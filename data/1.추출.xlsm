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martLottoAI\data\"/>
    </mc:Choice>
  </mc:AlternateContent>
  <xr:revisionPtr revIDLastSave="0" documentId="13_ncr:1_{D28F8AE0-F873-42B0-B02E-63B8FC0EA813}" xr6:coauthVersionLast="47" xr6:coauthVersionMax="47" xr10:uidLastSave="{00000000-0000-0000-0000-000000000000}"/>
  <bookViews>
    <workbookView xWindow="-110" yWindow="-110" windowWidth="25820" windowHeight="15500" tabRatio="799" activeTab="1" xr2:uid="{00000000-000D-0000-FFFF-FFFF00000000}"/>
  </bookViews>
  <sheets>
    <sheet name="당첨번호" sheetId="10" r:id="rId1"/>
    <sheet name="집계" sheetId="13" r:id="rId2"/>
  </sheets>
  <definedNames>
    <definedName name="_1열">집계!$N$5:$N$497</definedName>
    <definedName name="_2열">집계!$O$5:$O$497</definedName>
    <definedName name="_3열">집계!$P$5:$P$497</definedName>
    <definedName name="_4열">집계!$Q$5:$Q$497</definedName>
    <definedName name="_5열">집계!$R$5:$R$497</definedName>
    <definedName name="_6열">집계!$S$5:$S$497</definedName>
    <definedName name="_xlnm._FilterDatabase" localSheetId="1" hidden="1">집계!$A$4:$CD$563</definedName>
    <definedName name="dfsf">#REF!</definedName>
    <definedName name="wh">#REF!</definedName>
    <definedName name="당첨">집계!$CB$5:$CB$49</definedName>
    <definedName name="당첨번호">집계!$B$4:$S$1499</definedName>
    <definedName name="보너스">집계!$T$5:$T$497</definedName>
    <definedName name="삼그룹">집계!$BR$4:$BW$49</definedName>
    <definedName name="전체출현번호">집계!$N$5:$T$1000</definedName>
    <definedName name="최근10회">집계!$N$490:$T$2498</definedName>
    <definedName name="최근5회">집계!$N$495:$T$2498</definedName>
    <definedName name="포함수필터">#REF!</definedName>
    <definedName name="합계">집계!$U$5:$U$497</definedName>
    <definedName name="홀짝수">집계!$CC$5:$CC$49</definedName>
    <definedName name="회차">집계!$B$3:$B$1000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725" i="13" l="1"/>
  <c r="BJ725" i="13" s="1"/>
  <c r="BD725" i="13"/>
  <c r="BE725" i="13"/>
  <c r="BF725" i="13"/>
  <c r="BG725" i="13"/>
  <c r="BH725" i="13"/>
  <c r="BI725" i="13"/>
  <c r="BK725" i="13"/>
  <c r="U725" i="13"/>
  <c r="AB725" i="13"/>
  <c r="AD725" i="13"/>
  <c r="AE725" i="13"/>
  <c r="AK725" i="13"/>
  <c r="AM725" i="13"/>
  <c r="AL725" i="13" s="1"/>
  <c r="AN725" i="13"/>
  <c r="AO725" i="13"/>
  <c r="AU725" i="13"/>
  <c r="BB725" i="13" s="1"/>
  <c r="BA725" i="13"/>
  <c r="AA725" i="13"/>
  <c r="AJ725" i="13"/>
  <c r="AT725" i="13"/>
  <c r="AZ725" i="13"/>
  <c r="Z725" i="13"/>
  <c r="AI725" i="13"/>
  <c r="AS725" i="13"/>
  <c r="AY725" i="13"/>
  <c r="Y725" i="13"/>
  <c r="AH725" i="13"/>
  <c r="AR725" i="13"/>
  <c r="AX725" i="13"/>
  <c r="X725" i="13"/>
  <c r="AG725" i="13"/>
  <c r="AQ725" i="13"/>
  <c r="AW725" i="13"/>
  <c r="W725" i="13"/>
  <c r="AF725" i="13"/>
  <c r="AP725" i="13"/>
  <c r="AV725" i="13"/>
  <c r="AC725" i="13" l="1"/>
  <c r="BL725" i="13"/>
  <c r="BC724" i="13"/>
  <c r="BD724" i="13"/>
  <c r="BE724" i="13"/>
  <c r="BF724" i="13"/>
  <c r="BG724" i="13"/>
  <c r="BH724" i="13"/>
  <c r="BI724" i="13"/>
  <c r="BJ724" i="13"/>
  <c r="BK724" i="13"/>
  <c r="U724" i="13"/>
  <c r="AB724" i="13"/>
  <c r="AD724" i="13"/>
  <c r="AC724" i="13" s="1"/>
  <c r="AE724" i="13"/>
  <c r="AK724" i="13"/>
  <c r="AO724" i="13"/>
  <c r="AU724" i="13"/>
  <c r="BA724" i="13"/>
  <c r="AA724" i="13"/>
  <c r="AJ724" i="13"/>
  <c r="AT724" i="13"/>
  <c r="AZ724" i="13"/>
  <c r="Z724" i="13"/>
  <c r="AI724" i="13"/>
  <c r="AS724" i="13"/>
  <c r="AY724" i="13"/>
  <c r="Y724" i="13"/>
  <c r="AH724" i="13"/>
  <c r="AR724" i="13"/>
  <c r="AX724" i="13"/>
  <c r="X724" i="13"/>
  <c r="AG724" i="13"/>
  <c r="AQ724" i="13"/>
  <c r="AW724" i="13"/>
  <c r="W724" i="13"/>
  <c r="AF724" i="13"/>
  <c r="AM724" i="13" s="1"/>
  <c r="AP724" i="13"/>
  <c r="AV724" i="13"/>
  <c r="BB724" i="13" l="1"/>
  <c r="AN724" i="13"/>
  <c r="AL724" i="13" s="1"/>
  <c r="BL724" i="13"/>
  <c r="BC723" i="13"/>
  <c r="BD723" i="13"/>
  <c r="BE723" i="13"/>
  <c r="BF723" i="13"/>
  <c r="BG723" i="13"/>
  <c r="BH723" i="13"/>
  <c r="U723" i="13"/>
  <c r="AB723" i="13"/>
  <c r="AE723" i="13"/>
  <c r="AK723" i="13"/>
  <c r="AM723" i="13"/>
  <c r="AO723" i="13"/>
  <c r="AU723" i="13"/>
  <c r="BA723" i="13"/>
  <c r="AA723" i="13"/>
  <c r="AJ723" i="13"/>
  <c r="AT723" i="13"/>
  <c r="AZ723" i="13"/>
  <c r="Z723" i="13"/>
  <c r="AI723" i="13"/>
  <c r="AS723" i="13"/>
  <c r="AY723" i="13"/>
  <c r="Y723" i="13"/>
  <c r="AD723" i="13" s="1"/>
  <c r="AC723" i="13" s="1"/>
  <c r="AH723" i="13"/>
  <c r="AR723" i="13"/>
  <c r="AX723" i="13"/>
  <c r="X723" i="13"/>
  <c r="AG723" i="13"/>
  <c r="AQ723" i="13"/>
  <c r="AW723" i="13"/>
  <c r="W723" i="13"/>
  <c r="AF723" i="13"/>
  <c r="AN723" i="13" s="1"/>
  <c r="AP723" i="13"/>
  <c r="AV723" i="13"/>
  <c r="AL723" i="13" l="1"/>
  <c r="BB723" i="13"/>
  <c r="BJ723" i="13"/>
  <c r="BK723" i="13"/>
  <c r="BI723" i="13"/>
  <c r="BC722" i="13"/>
  <c r="BD722" i="13"/>
  <c r="BE722" i="13"/>
  <c r="BK722" i="13" s="1"/>
  <c r="BF722" i="13"/>
  <c r="BG722" i="13"/>
  <c r="BH722" i="13"/>
  <c r="U722" i="13"/>
  <c r="AB722" i="13"/>
  <c r="AD722" i="13"/>
  <c r="AE722" i="13"/>
  <c r="AK722" i="13"/>
  <c r="AO722" i="13"/>
  <c r="AU722" i="13"/>
  <c r="BA722" i="13"/>
  <c r="AA722" i="13"/>
  <c r="AJ722" i="13"/>
  <c r="AT722" i="13"/>
  <c r="AZ722" i="13"/>
  <c r="Z722" i="13"/>
  <c r="AI722" i="13"/>
  <c r="AS722" i="13"/>
  <c r="AY722" i="13"/>
  <c r="Y722" i="13"/>
  <c r="AH722" i="13"/>
  <c r="AR722" i="13"/>
  <c r="AX722" i="13"/>
  <c r="X722" i="13"/>
  <c r="AG722" i="13"/>
  <c r="AQ722" i="13"/>
  <c r="AW722" i="13"/>
  <c r="W722" i="13"/>
  <c r="AF722" i="13"/>
  <c r="AM722" i="13" s="1"/>
  <c r="AP722" i="13"/>
  <c r="AV722" i="13"/>
  <c r="BB722" i="13" l="1"/>
  <c r="AC722" i="13"/>
  <c r="AN722" i="13"/>
  <c r="AL722" i="13" s="1"/>
  <c r="BJ722" i="13"/>
  <c r="BL723" i="13"/>
  <c r="BI722" i="13"/>
  <c r="BC721" i="13"/>
  <c r="BD721" i="13"/>
  <c r="BE721" i="13"/>
  <c r="BF721" i="13"/>
  <c r="BG721" i="13"/>
  <c r="BH721" i="13"/>
  <c r="U721" i="13"/>
  <c r="AB721" i="13"/>
  <c r="AK721" i="13"/>
  <c r="AO721" i="13"/>
  <c r="AU721" i="13"/>
  <c r="BA721" i="13"/>
  <c r="AA721" i="13"/>
  <c r="AJ721" i="13"/>
  <c r="AT721" i="13"/>
  <c r="AZ721" i="13"/>
  <c r="Z721" i="13"/>
  <c r="AI721" i="13"/>
  <c r="AS721" i="13"/>
  <c r="AY721" i="13"/>
  <c r="Y721" i="13"/>
  <c r="AD721" i="13" s="1"/>
  <c r="AC721" i="13" s="1"/>
  <c r="AH721" i="13"/>
  <c r="AR721" i="13"/>
  <c r="AX721" i="13"/>
  <c r="X721" i="13"/>
  <c r="AG721" i="13"/>
  <c r="AQ721" i="13"/>
  <c r="AW721" i="13"/>
  <c r="W721" i="13"/>
  <c r="AE721" i="13" s="1"/>
  <c r="AF721" i="13"/>
  <c r="AN721" i="13" s="1"/>
  <c r="AP721" i="13"/>
  <c r="AV721" i="13"/>
  <c r="AM721" i="13" l="1"/>
  <c r="AL721" i="13" s="1"/>
  <c r="BB721" i="13"/>
  <c r="BI721" i="13"/>
  <c r="BJ721" i="13"/>
  <c r="BK721" i="13"/>
  <c r="BL722" i="13"/>
  <c r="BC720" i="13"/>
  <c r="BD720" i="13"/>
  <c r="BE720" i="13"/>
  <c r="BF720" i="13"/>
  <c r="BG720" i="13"/>
  <c r="BH720" i="13"/>
  <c r="BI720" i="13"/>
  <c r="U720" i="13"/>
  <c r="AB720" i="13"/>
  <c r="AD720" i="13"/>
  <c r="AK720" i="13"/>
  <c r="AO720" i="13"/>
  <c r="AU720" i="13"/>
  <c r="BA720" i="13"/>
  <c r="AA720" i="13"/>
  <c r="AJ720" i="13"/>
  <c r="AT720" i="13"/>
  <c r="AZ720" i="13"/>
  <c r="Z720" i="13"/>
  <c r="AI720" i="13"/>
  <c r="AS720" i="13"/>
  <c r="AY720" i="13"/>
  <c r="Y720" i="13"/>
  <c r="AH720" i="13"/>
  <c r="AR720" i="13"/>
  <c r="AX720" i="13"/>
  <c r="X720" i="13"/>
  <c r="AG720" i="13"/>
  <c r="AQ720" i="13"/>
  <c r="AW720" i="13"/>
  <c r="W720" i="13"/>
  <c r="AE720" i="13" s="1"/>
  <c r="AF720" i="13"/>
  <c r="AN720" i="13" s="1"/>
  <c r="AP720" i="13"/>
  <c r="AV720" i="13"/>
  <c r="AC720" i="13" l="1"/>
  <c r="BB720" i="13"/>
  <c r="AM720" i="13"/>
  <c r="AL720" i="13" s="1"/>
  <c r="BL721" i="13"/>
  <c r="BJ720" i="13"/>
  <c r="BK720" i="13"/>
  <c r="BL720" i="13" s="1"/>
  <c r="BC719" i="13"/>
  <c r="BD719" i="13"/>
  <c r="BE719" i="13"/>
  <c r="BF719" i="13"/>
  <c r="BG719" i="13"/>
  <c r="BH719" i="13"/>
  <c r="BI719" i="13"/>
  <c r="U719" i="13"/>
  <c r="AB719" i="13"/>
  <c r="AD719" i="13" s="1"/>
  <c r="AK719" i="13"/>
  <c r="AN719" i="13" s="1"/>
  <c r="AO719" i="13"/>
  <c r="AU719" i="13"/>
  <c r="BA719" i="13"/>
  <c r="AA719" i="13"/>
  <c r="AJ719" i="13"/>
  <c r="AT719" i="13"/>
  <c r="AZ719" i="13"/>
  <c r="Z719" i="13"/>
  <c r="AI719" i="13"/>
  <c r="AS719" i="13"/>
  <c r="AY719" i="13"/>
  <c r="Y719" i="13"/>
  <c r="AH719" i="13"/>
  <c r="AR719" i="13"/>
  <c r="AX719" i="13"/>
  <c r="X719" i="13"/>
  <c r="AG719" i="13"/>
  <c r="AQ719" i="13"/>
  <c r="AW719" i="13"/>
  <c r="W719" i="13"/>
  <c r="AF719" i="13"/>
  <c r="AM719" i="13" s="1"/>
  <c r="AL719" i="13" s="1"/>
  <c r="AP719" i="13"/>
  <c r="AV719" i="13"/>
  <c r="BB719" i="13" l="1"/>
  <c r="BJ719" i="13"/>
  <c r="BK719" i="13"/>
  <c r="BL719" i="13" s="1"/>
  <c r="AE719" i="13"/>
  <c r="AC719" i="13" s="1"/>
  <c r="BC718" i="13"/>
  <c r="BD718" i="13"/>
  <c r="BE718" i="13"/>
  <c r="BF718" i="13"/>
  <c r="BG718" i="13"/>
  <c r="BH718" i="13"/>
  <c r="U718" i="13"/>
  <c r="AB718" i="13"/>
  <c r="AD718" i="13"/>
  <c r="AC718" i="13" s="1"/>
  <c r="AE718" i="13"/>
  <c r="AK718" i="13"/>
  <c r="AM718" i="13"/>
  <c r="AO718" i="13"/>
  <c r="AU718" i="13"/>
  <c r="BA718" i="13"/>
  <c r="AA718" i="13"/>
  <c r="AJ718" i="13"/>
  <c r="AT718" i="13"/>
  <c r="AZ718" i="13"/>
  <c r="Z718" i="13"/>
  <c r="AI718" i="13"/>
  <c r="AS718" i="13"/>
  <c r="AY718" i="13"/>
  <c r="Y718" i="13"/>
  <c r="AH718" i="13"/>
  <c r="AR718" i="13"/>
  <c r="AX718" i="13"/>
  <c r="X718" i="13"/>
  <c r="AG718" i="13"/>
  <c r="AQ718" i="13"/>
  <c r="AW718" i="13"/>
  <c r="W718" i="13"/>
  <c r="AF718" i="13"/>
  <c r="AN718" i="13" s="1"/>
  <c r="AP718" i="13"/>
  <c r="AV718" i="13"/>
  <c r="BB718" i="13" l="1"/>
  <c r="AL718" i="13"/>
  <c r="BK718" i="13"/>
  <c r="BJ718" i="13"/>
  <c r="BI718" i="13"/>
  <c r="BC717" i="13"/>
  <c r="BD717" i="13"/>
  <c r="BE717" i="13"/>
  <c r="BF717" i="13"/>
  <c r="BG717" i="13"/>
  <c r="BH717" i="13"/>
  <c r="U717" i="13"/>
  <c r="AB717" i="13"/>
  <c r="AK717" i="13"/>
  <c r="AO717" i="13"/>
  <c r="AU717" i="13"/>
  <c r="BA717" i="13"/>
  <c r="AA717" i="13"/>
  <c r="AJ717" i="13"/>
  <c r="AT717" i="13"/>
  <c r="AZ717" i="13"/>
  <c r="Z717" i="13"/>
  <c r="AI717" i="13"/>
  <c r="AS717" i="13"/>
  <c r="AY717" i="13"/>
  <c r="Y717" i="13"/>
  <c r="AE717" i="13" s="1"/>
  <c r="AH717" i="13"/>
  <c r="AR717" i="13"/>
  <c r="AX717" i="13"/>
  <c r="X717" i="13"/>
  <c r="AG717" i="13"/>
  <c r="AQ717" i="13"/>
  <c r="AW717" i="13"/>
  <c r="W717" i="13"/>
  <c r="AF717" i="13"/>
  <c r="AM717" i="13" s="1"/>
  <c r="AP717" i="13"/>
  <c r="BB717" i="13" s="1"/>
  <c r="AV717" i="13"/>
  <c r="AD717" i="13" l="1"/>
  <c r="AC717" i="13" s="1"/>
  <c r="AN717" i="13"/>
  <c r="AL717" i="13" s="1"/>
  <c r="BL718" i="13"/>
  <c r="BK717" i="13"/>
  <c r="BJ717" i="13"/>
  <c r="BI717" i="13"/>
  <c r="BC716" i="13"/>
  <c r="BD716" i="13"/>
  <c r="BE716" i="13"/>
  <c r="BF716" i="13"/>
  <c r="BK716" i="13" s="1"/>
  <c r="BG716" i="13"/>
  <c r="BH716" i="13"/>
  <c r="U716" i="13"/>
  <c r="AB716" i="13"/>
  <c r="AK716" i="13"/>
  <c r="AO716" i="13"/>
  <c r="AU716" i="13"/>
  <c r="BA716" i="13"/>
  <c r="AA716" i="13"/>
  <c r="AJ716" i="13"/>
  <c r="AT716" i="13"/>
  <c r="AZ716" i="13"/>
  <c r="Z716" i="13"/>
  <c r="AI716" i="13"/>
  <c r="AS716" i="13"/>
  <c r="AY716" i="13"/>
  <c r="Y716" i="13"/>
  <c r="AD716" i="13" s="1"/>
  <c r="AC716" i="13" s="1"/>
  <c r="AH716" i="13"/>
  <c r="AR716" i="13"/>
  <c r="AX716" i="13"/>
  <c r="X716" i="13"/>
  <c r="AG716" i="13"/>
  <c r="AQ716" i="13"/>
  <c r="AW716" i="13"/>
  <c r="W716" i="13"/>
  <c r="AE716" i="13" s="1"/>
  <c r="AF716" i="13"/>
  <c r="AM716" i="13" s="1"/>
  <c r="AP716" i="13"/>
  <c r="AV716" i="13"/>
  <c r="BB716" i="13" l="1"/>
  <c r="AN716" i="13"/>
  <c r="AL716" i="13" s="1"/>
  <c r="BL717" i="13"/>
  <c r="BI716" i="13"/>
  <c r="BJ716" i="13"/>
  <c r="BC715" i="13"/>
  <c r="BD715" i="13"/>
  <c r="BE715" i="13"/>
  <c r="BF715" i="13"/>
  <c r="BG715" i="13"/>
  <c r="BH715" i="13"/>
  <c r="U715" i="13"/>
  <c r="AB715" i="13"/>
  <c r="AK715" i="13"/>
  <c r="AO715" i="13"/>
  <c r="AU715" i="13"/>
  <c r="BA715" i="13"/>
  <c r="AA715" i="13"/>
  <c r="AJ715" i="13"/>
  <c r="AT715" i="13"/>
  <c r="AZ715" i="13"/>
  <c r="Z715" i="13"/>
  <c r="AI715" i="13"/>
  <c r="AS715" i="13"/>
  <c r="AY715" i="13"/>
  <c r="Y715" i="13"/>
  <c r="AE715" i="13" s="1"/>
  <c r="AH715" i="13"/>
  <c r="AR715" i="13"/>
  <c r="AX715" i="13"/>
  <c r="X715" i="13"/>
  <c r="AG715" i="13"/>
  <c r="AQ715" i="13"/>
  <c r="AW715" i="13"/>
  <c r="W715" i="13"/>
  <c r="AF715" i="13"/>
  <c r="AM715" i="13" s="1"/>
  <c r="AP715" i="13"/>
  <c r="AV715" i="13"/>
  <c r="BC714" i="13"/>
  <c r="BD714" i="13"/>
  <c r="BE714" i="13"/>
  <c r="BF714" i="13"/>
  <c r="BG714" i="13"/>
  <c r="BH714" i="13"/>
  <c r="U714" i="13"/>
  <c r="AB714" i="13"/>
  <c r="AK714" i="13"/>
  <c r="AO714" i="13"/>
  <c r="AU714" i="13"/>
  <c r="BA714" i="13"/>
  <c r="AA714" i="13"/>
  <c r="AJ714" i="13"/>
  <c r="AT714" i="13"/>
  <c r="AZ714" i="13"/>
  <c r="Z714" i="13"/>
  <c r="AI714" i="13"/>
  <c r="AS714" i="13"/>
  <c r="AY714" i="13"/>
  <c r="Y714" i="13"/>
  <c r="AH714" i="13"/>
  <c r="AR714" i="13"/>
  <c r="AX714" i="13"/>
  <c r="X714" i="13"/>
  <c r="AG714" i="13"/>
  <c r="AQ714" i="13"/>
  <c r="AW714" i="13"/>
  <c r="W714" i="13"/>
  <c r="AF714" i="13"/>
  <c r="AP714" i="13"/>
  <c r="AV714" i="13"/>
  <c r="AD715" i="13" l="1"/>
  <c r="AC715" i="13" s="1"/>
  <c r="AM714" i="13"/>
  <c r="BB715" i="13"/>
  <c r="AN715" i="13"/>
  <c r="AL715" i="13" s="1"/>
  <c r="AE714" i="13"/>
  <c r="BI715" i="13"/>
  <c r="BL716" i="13"/>
  <c r="BK714" i="13"/>
  <c r="BK715" i="13"/>
  <c r="BJ715" i="13"/>
  <c r="BJ714" i="13"/>
  <c r="BI714" i="13"/>
  <c r="AN714" i="13"/>
  <c r="AL714" i="13" s="1"/>
  <c r="AD714" i="13"/>
  <c r="AC714" i="13" s="1"/>
  <c r="BB714" i="13"/>
  <c r="BC713" i="13"/>
  <c r="BD713" i="13"/>
  <c r="BE713" i="13"/>
  <c r="BF713" i="13"/>
  <c r="BG713" i="13"/>
  <c r="BH713" i="13"/>
  <c r="U713" i="13"/>
  <c r="AB713" i="13"/>
  <c r="AK713" i="13"/>
  <c r="AO713" i="13"/>
  <c r="AU713" i="13"/>
  <c r="BA713" i="13"/>
  <c r="AA713" i="13"/>
  <c r="AJ713" i="13"/>
  <c r="AT713" i="13"/>
  <c r="AZ713" i="13"/>
  <c r="Z713" i="13"/>
  <c r="AI713" i="13"/>
  <c r="AS713" i="13"/>
  <c r="AY713" i="13"/>
  <c r="Y713" i="13"/>
  <c r="AH713" i="13"/>
  <c r="AR713" i="13"/>
  <c r="AX713" i="13"/>
  <c r="X713" i="13"/>
  <c r="AG713" i="13"/>
  <c r="AQ713" i="13"/>
  <c r="AW713" i="13"/>
  <c r="W713" i="13"/>
  <c r="AD713" i="13" s="1"/>
  <c r="AF713" i="13"/>
  <c r="AN713" i="13" s="1"/>
  <c r="AP713" i="13"/>
  <c r="AV713" i="13"/>
  <c r="AM713" i="13" l="1"/>
  <c r="BL715" i="13"/>
  <c r="BL714" i="13"/>
  <c r="BK713" i="13"/>
  <c r="AL713" i="13"/>
  <c r="BB713" i="13"/>
  <c r="AE713" i="13"/>
  <c r="AC713" i="13" s="1"/>
  <c r="BJ713" i="13"/>
  <c r="BI713" i="13"/>
  <c r="BC712" i="13"/>
  <c r="BD712" i="13"/>
  <c r="BE712" i="13"/>
  <c r="BF712" i="13"/>
  <c r="BG712" i="13"/>
  <c r="BH712" i="13"/>
  <c r="U712" i="13"/>
  <c r="AB712" i="13"/>
  <c r="AK712" i="13"/>
  <c r="AO712" i="13"/>
  <c r="AU712" i="13"/>
  <c r="BA712" i="13"/>
  <c r="AA712" i="13"/>
  <c r="AJ712" i="13"/>
  <c r="AT712" i="13"/>
  <c r="AZ712" i="13"/>
  <c r="Z712" i="13"/>
  <c r="AI712" i="13"/>
  <c r="AS712" i="13"/>
  <c r="AY712" i="13"/>
  <c r="Y712" i="13"/>
  <c r="AH712" i="13"/>
  <c r="AR712" i="13"/>
  <c r="AX712" i="13"/>
  <c r="X712" i="13"/>
  <c r="AG712" i="13"/>
  <c r="AQ712" i="13"/>
  <c r="AW712" i="13"/>
  <c r="W712" i="13"/>
  <c r="AE712" i="13" s="1"/>
  <c r="AF712" i="13"/>
  <c r="AN712" i="13" s="1"/>
  <c r="AP712" i="13"/>
  <c r="AV712" i="13"/>
  <c r="AM712" i="13" l="1"/>
  <c r="AL712" i="13" s="1"/>
  <c r="AD712" i="13"/>
  <c r="AC712" i="13" s="1"/>
  <c r="BB712" i="13"/>
  <c r="BK712" i="13"/>
  <c r="BL713" i="13"/>
  <c r="BI712" i="13"/>
  <c r="BJ712" i="13"/>
  <c r="BC711" i="13"/>
  <c r="BD711" i="13"/>
  <c r="BE711" i="13"/>
  <c r="BF711" i="13"/>
  <c r="BG711" i="13"/>
  <c r="BH711" i="13"/>
  <c r="U711" i="13"/>
  <c r="AB711" i="13"/>
  <c r="AK711" i="13"/>
  <c r="AO711" i="13"/>
  <c r="AU711" i="13"/>
  <c r="BA711" i="13"/>
  <c r="AA711" i="13"/>
  <c r="AJ711" i="13"/>
  <c r="AT711" i="13"/>
  <c r="AZ711" i="13"/>
  <c r="Z711" i="13"/>
  <c r="AI711" i="13"/>
  <c r="AS711" i="13"/>
  <c r="AY711" i="13"/>
  <c r="Y711" i="13"/>
  <c r="AH711" i="13"/>
  <c r="AR711" i="13"/>
  <c r="AX711" i="13"/>
  <c r="X711" i="13"/>
  <c r="AG711" i="13"/>
  <c r="AQ711" i="13"/>
  <c r="AW711" i="13"/>
  <c r="W711" i="13"/>
  <c r="AF711" i="13"/>
  <c r="AP711" i="13"/>
  <c r="AV711" i="13"/>
  <c r="AD711" i="13" l="1"/>
  <c r="AN711" i="13"/>
  <c r="AM711" i="13"/>
  <c r="BK711" i="13"/>
  <c r="AL711" i="13"/>
  <c r="BB711" i="13"/>
  <c r="BJ711" i="13"/>
  <c r="BL712" i="13"/>
  <c r="AE711" i="13"/>
  <c r="AC711" i="13" s="1"/>
  <c r="BI711" i="13"/>
  <c r="BC710" i="13"/>
  <c r="BD710" i="13"/>
  <c r="BE710" i="13"/>
  <c r="BF710" i="13"/>
  <c r="BG710" i="13"/>
  <c r="BH710" i="13"/>
  <c r="U710" i="13"/>
  <c r="AB710" i="13"/>
  <c r="AK710" i="13"/>
  <c r="AO710" i="13"/>
  <c r="AU710" i="13"/>
  <c r="BA710" i="13"/>
  <c r="AA710" i="13"/>
  <c r="AJ710" i="13"/>
  <c r="AT710" i="13"/>
  <c r="AZ710" i="13"/>
  <c r="Z710" i="13"/>
  <c r="AI710" i="13"/>
  <c r="AS710" i="13"/>
  <c r="AY710" i="13"/>
  <c r="Y710" i="13"/>
  <c r="AH710" i="13"/>
  <c r="AR710" i="13"/>
  <c r="AX710" i="13"/>
  <c r="X710" i="13"/>
  <c r="AG710" i="13"/>
  <c r="AQ710" i="13"/>
  <c r="AW710" i="13"/>
  <c r="W710" i="13"/>
  <c r="AF710" i="13"/>
  <c r="AM710" i="13" s="1"/>
  <c r="AP710" i="13"/>
  <c r="AV710" i="13"/>
  <c r="AN710" i="13" l="1"/>
  <c r="AE710" i="13"/>
  <c r="AD710" i="13"/>
  <c r="AC710" i="13" s="1"/>
  <c r="BI710" i="13"/>
  <c r="BL711" i="13"/>
  <c r="AL710" i="13"/>
  <c r="BB710" i="13"/>
  <c r="BJ710" i="13"/>
  <c r="BK710" i="13"/>
  <c r="BC709" i="13"/>
  <c r="BD709" i="13"/>
  <c r="BE709" i="13"/>
  <c r="BF709" i="13"/>
  <c r="BG709" i="13"/>
  <c r="BH709" i="13"/>
  <c r="U709" i="13"/>
  <c r="AB709" i="13"/>
  <c r="AK709" i="13"/>
  <c r="AO709" i="13"/>
  <c r="AU709" i="13"/>
  <c r="BA709" i="13"/>
  <c r="AA709" i="13"/>
  <c r="AJ709" i="13"/>
  <c r="AT709" i="13"/>
  <c r="AZ709" i="13"/>
  <c r="Z709" i="13"/>
  <c r="AI709" i="13"/>
  <c r="AS709" i="13"/>
  <c r="AY709" i="13"/>
  <c r="Y709" i="13"/>
  <c r="AH709" i="13"/>
  <c r="AR709" i="13"/>
  <c r="AX709" i="13"/>
  <c r="X709" i="13"/>
  <c r="AG709" i="13"/>
  <c r="AQ709" i="13"/>
  <c r="AW709" i="13"/>
  <c r="W709" i="13"/>
  <c r="AF709" i="13"/>
  <c r="AN709" i="13" s="1"/>
  <c r="AP709" i="13"/>
  <c r="AV709" i="13"/>
  <c r="AE709" i="13" l="1"/>
  <c r="AM709" i="13"/>
  <c r="AL709" i="13" s="1"/>
  <c r="AD709" i="13"/>
  <c r="AC709" i="13" s="1"/>
  <c r="BB709" i="13"/>
  <c r="BJ709" i="13"/>
  <c r="BL710" i="13"/>
  <c r="BK709" i="13"/>
  <c r="BI709" i="13"/>
  <c r="BC708" i="13"/>
  <c r="BD708" i="13"/>
  <c r="BE708" i="13"/>
  <c r="BF708" i="13"/>
  <c r="BG708" i="13"/>
  <c r="BH708" i="13"/>
  <c r="U708" i="13"/>
  <c r="AB708" i="13"/>
  <c r="AK708" i="13"/>
  <c r="AO708" i="13"/>
  <c r="AU708" i="13"/>
  <c r="BA708" i="13"/>
  <c r="AA708" i="13"/>
  <c r="AJ708" i="13"/>
  <c r="AT708" i="13"/>
  <c r="AZ708" i="13"/>
  <c r="Z708" i="13"/>
  <c r="AI708" i="13"/>
  <c r="AS708" i="13"/>
  <c r="AY708" i="13"/>
  <c r="Y708" i="13"/>
  <c r="AH708" i="13"/>
  <c r="AR708" i="13"/>
  <c r="AX708" i="13"/>
  <c r="X708" i="13"/>
  <c r="AG708" i="13"/>
  <c r="AQ708" i="13"/>
  <c r="AW708" i="13"/>
  <c r="W708" i="13"/>
  <c r="AF708" i="13"/>
  <c r="AP708" i="13"/>
  <c r="AV708" i="13"/>
  <c r="AE708" i="13" l="1"/>
  <c r="AM708" i="13"/>
  <c r="AN708" i="13"/>
  <c r="AL708" i="13"/>
  <c r="BB708" i="13"/>
  <c r="AD708" i="13"/>
  <c r="AC708" i="13" s="1"/>
  <c r="BJ708" i="13"/>
  <c r="BL709" i="13"/>
  <c r="BK708" i="13"/>
  <c r="BI708" i="13"/>
  <c r="BC707" i="13"/>
  <c r="BD707" i="13"/>
  <c r="BE707" i="13"/>
  <c r="BF707" i="13"/>
  <c r="BG707" i="13"/>
  <c r="BH707" i="13"/>
  <c r="U707" i="13"/>
  <c r="AB707" i="13"/>
  <c r="AK707" i="13"/>
  <c r="AO707" i="13"/>
  <c r="AU707" i="13"/>
  <c r="BA707" i="13"/>
  <c r="AA707" i="13"/>
  <c r="AJ707" i="13"/>
  <c r="AT707" i="13"/>
  <c r="AZ707" i="13"/>
  <c r="Z707" i="13"/>
  <c r="AI707" i="13"/>
  <c r="AS707" i="13"/>
  <c r="AY707" i="13"/>
  <c r="Y707" i="13"/>
  <c r="AH707" i="13"/>
  <c r="AR707" i="13"/>
  <c r="AX707" i="13"/>
  <c r="X707" i="13"/>
  <c r="AG707" i="13"/>
  <c r="AQ707" i="13"/>
  <c r="AW707" i="13"/>
  <c r="W707" i="13"/>
  <c r="AF707" i="13"/>
  <c r="AN707" i="13" s="1"/>
  <c r="AP707" i="13"/>
  <c r="AV707" i="13"/>
  <c r="AE707" i="13" l="1"/>
  <c r="AM707" i="13"/>
  <c r="AL707" i="13" s="1"/>
  <c r="BI707" i="13"/>
  <c r="AD707" i="13"/>
  <c r="AC707" i="13" s="1"/>
  <c r="BB707" i="13"/>
  <c r="BJ707" i="13"/>
  <c r="BK707" i="13"/>
  <c r="BL708" i="13"/>
  <c r="BC706" i="13"/>
  <c r="BD706" i="13"/>
  <c r="BE706" i="13"/>
  <c r="BF706" i="13"/>
  <c r="BG706" i="13"/>
  <c r="BH706" i="13"/>
  <c r="U706" i="13"/>
  <c r="AB706" i="13"/>
  <c r="AK706" i="13"/>
  <c r="AO706" i="13"/>
  <c r="AU706" i="13"/>
  <c r="BA706" i="13"/>
  <c r="AA706" i="13"/>
  <c r="AJ706" i="13"/>
  <c r="AT706" i="13"/>
  <c r="AZ706" i="13"/>
  <c r="Z706" i="13"/>
  <c r="AI706" i="13"/>
  <c r="AS706" i="13"/>
  <c r="AY706" i="13"/>
  <c r="Y706" i="13"/>
  <c r="AH706" i="13"/>
  <c r="AR706" i="13"/>
  <c r="AX706" i="13"/>
  <c r="X706" i="13"/>
  <c r="AG706" i="13"/>
  <c r="AQ706" i="13"/>
  <c r="AW706" i="13"/>
  <c r="W706" i="13"/>
  <c r="AF706" i="13"/>
  <c r="AP706" i="13"/>
  <c r="AV706" i="13"/>
  <c r="AD706" i="13" l="1"/>
  <c r="AM706" i="13"/>
  <c r="AE706" i="13"/>
  <c r="AC706" i="13" s="1"/>
  <c r="BB706" i="13"/>
  <c r="AN706" i="13"/>
  <c r="AL706" i="13" s="1"/>
  <c r="BK706" i="13"/>
  <c r="BL707" i="13"/>
  <c r="BI706" i="13"/>
  <c r="BJ706" i="13"/>
  <c r="BC705" i="13"/>
  <c r="BD705" i="13"/>
  <c r="BE705" i="13"/>
  <c r="BF705" i="13"/>
  <c r="BG705" i="13"/>
  <c r="BH705" i="13"/>
  <c r="U705" i="13"/>
  <c r="AB705" i="13"/>
  <c r="AK705" i="13"/>
  <c r="AO705" i="13"/>
  <c r="AU705" i="13"/>
  <c r="BA705" i="13"/>
  <c r="AA705" i="13"/>
  <c r="AJ705" i="13"/>
  <c r="AT705" i="13"/>
  <c r="AZ705" i="13"/>
  <c r="Z705" i="13"/>
  <c r="AI705" i="13"/>
  <c r="AS705" i="13"/>
  <c r="AY705" i="13"/>
  <c r="Y705" i="13"/>
  <c r="AH705" i="13"/>
  <c r="AR705" i="13"/>
  <c r="AX705" i="13"/>
  <c r="X705" i="13"/>
  <c r="AG705" i="13"/>
  <c r="AQ705" i="13"/>
  <c r="AW705" i="13"/>
  <c r="W705" i="13"/>
  <c r="AF705" i="13"/>
  <c r="AM705" i="13" s="1"/>
  <c r="AP705" i="13"/>
  <c r="AV705" i="13"/>
  <c r="AN705" i="13" l="1"/>
  <c r="BJ705" i="13"/>
  <c r="AE705" i="13"/>
  <c r="BK705" i="13"/>
  <c r="AL705" i="13"/>
  <c r="BB705" i="13"/>
  <c r="AD705" i="13"/>
  <c r="AC705" i="13" s="1"/>
  <c r="BI705" i="13"/>
  <c r="BL706" i="13"/>
  <c r="BC704" i="13"/>
  <c r="BD704" i="13"/>
  <c r="BE704" i="13"/>
  <c r="BF704" i="13"/>
  <c r="BG704" i="13"/>
  <c r="BH704" i="13"/>
  <c r="U704" i="13"/>
  <c r="AB704" i="13"/>
  <c r="AK704" i="13"/>
  <c r="AO704" i="13"/>
  <c r="AU704" i="13"/>
  <c r="BA704" i="13"/>
  <c r="AA704" i="13"/>
  <c r="AJ704" i="13"/>
  <c r="AT704" i="13"/>
  <c r="AZ704" i="13"/>
  <c r="Z704" i="13"/>
  <c r="AI704" i="13"/>
  <c r="AS704" i="13"/>
  <c r="AY704" i="13"/>
  <c r="Y704" i="13"/>
  <c r="AH704" i="13"/>
  <c r="AR704" i="13"/>
  <c r="AX704" i="13"/>
  <c r="X704" i="13"/>
  <c r="AG704" i="13"/>
  <c r="AQ704" i="13"/>
  <c r="AW704" i="13"/>
  <c r="W704" i="13"/>
  <c r="AF704" i="13"/>
  <c r="AP704" i="13"/>
  <c r="AV704" i="13"/>
  <c r="BB704" i="13" l="1"/>
  <c r="AN704" i="13"/>
  <c r="BL705" i="13"/>
  <c r="BJ704" i="13"/>
  <c r="AE704" i="13"/>
  <c r="BI704" i="13"/>
  <c r="BK704" i="13"/>
  <c r="AM704" i="13"/>
  <c r="AL704" i="13" s="1"/>
  <c r="AD704" i="13"/>
  <c r="AC704" i="13" s="1"/>
  <c r="BC703" i="13"/>
  <c r="BD703" i="13"/>
  <c r="BE703" i="13"/>
  <c r="BF703" i="13"/>
  <c r="BG703" i="13"/>
  <c r="BH703" i="13"/>
  <c r="U703" i="13"/>
  <c r="AB703" i="13"/>
  <c r="AK703" i="13"/>
  <c r="AO703" i="13"/>
  <c r="AU703" i="13"/>
  <c r="BA703" i="13"/>
  <c r="AA703" i="13"/>
  <c r="AJ703" i="13"/>
  <c r="AT703" i="13"/>
  <c r="AZ703" i="13"/>
  <c r="Z703" i="13"/>
  <c r="AI703" i="13"/>
  <c r="AS703" i="13"/>
  <c r="AY703" i="13"/>
  <c r="Y703" i="13"/>
  <c r="AH703" i="13"/>
  <c r="AR703" i="13"/>
  <c r="AX703" i="13"/>
  <c r="X703" i="13"/>
  <c r="AG703" i="13"/>
  <c r="AQ703" i="13"/>
  <c r="AW703" i="13"/>
  <c r="W703" i="13"/>
  <c r="AF703" i="13"/>
  <c r="AP703" i="13"/>
  <c r="AV703" i="13"/>
  <c r="AM703" i="13" l="1"/>
  <c r="AE703" i="13"/>
  <c r="AD703" i="13"/>
  <c r="AN703" i="13"/>
  <c r="BB703" i="13"/>
  <c r="BL704" i="13"/>
  <c r="AC703" i="13"/>
  <c r="AL703" i="13"/>
  <c r="BJ703" i="13"/>
  <c r="BI703" i="13"/>
  <c r="BK703" i="13"/>
  <c r="BC702" i="13"/>
  <c r="BD702" i="13"/>
  <c r="BE702" i="13"/>
  <c r="BF702" i="13"/>
  <c r="BG702" i="13"/>
  <c r="BH702" i="13"/>
  <c r="U702" i="13"/>
  <c r="AB702" i="13"/>
  <c r="AK702" i="13"/>
  <c r="AO702" i="13"/>
  <c r="AU702" i="13"/>
  <c r="BA702" i="13"/>
  <c r="AA702" i="13"/>
  <c r="AJ702" i="13"/>
  <c r="AT702" i="13"/>
  <c r="AZ702" i="13"/>
  <c r="Z702" i="13"/>
  <c r="AI702" i="13"/>
  <c r="AS702" i="13"/>
  <c r="AY702" i="13"/>
  <c r="Y702" i="13"/>
  <c r="AH702" i="13"/>
  <c r="AR702" i="13"/>
  <c r="AX702" i="13"/>
  <c r="X702" i="13"/>
  <c r="AG702" i="13"/>
  <c r="AQ702" i="13"/>
  <c r="AW702" i="13"/>
  <c r="W702" i="13"/>
  <c r="AF702" i="13"/>
  <c r="AP702" i="13"/>
  <c r="AV702" i="13"/>
  <c r="AM702" i="13" l="1"/>
  <c r="AD702" i="13"/>
  <c r="BB702" i="13"/>
  <c r="AE702" i="13"/>
  <c r="AC702" i="13" s="1"/>
  <c r="AN702" i="13"/>
  <c r="AL702" i="13" s="1"/>
  <c r="BJ702" i="13"/>
  <c r="BL703" i="13"/>
  <c r="BI702" i="13"/>
  <c r="BK702" i="13"/>
  <c r="BC701" i="13"/>
  <c r="BD701" i="13"/>
  <c r="BE701" i="13"/>
  <c r="BF701" i="13"/>
  <c r="BG701" i="13"/>
  <c r="BH701" i="13"/>
  <c r="U701" i="13"/>
  <c r="AB701" i="13"/>
  <c r="AK701" i="13"/>
  <c r="AO701" i="13"/>
  <c r="AU701" i="13"/>
  <c r="BA701" i="13"/>
  <c r="AA701" i="13"/>
  <c r="AJ701" i="13"/>
  <c r="AT701" i="13"/>
  <c r="AZ701" i="13"/>
  <c r="Z701" i="13"/>
  <c r="AI701" i="13"/>
  <c r="AS701" i="13"/>
  <c r="AY701" i="13"/>
  <c r="Y701" i="13"/>
  <c r="AH701" i="13"/>
  <c r="AR701" i="13"/>
  <c r="AX701" i="13"/>
  <c r="X701" i="13"/>
  <c r="AG701" i="13"/>
  <c r="AQ701" i="13"/>
  <c r="AW701" i="13"/>
  <c r="W701" i="13"/>
  <c r="AF701" i="13"/>
  <c r="AP701" i="13"/>
  <c r="AV701" i="13"/>
  <c r="AD701" i="13" l="1"/>
  <c r="AN701" i="13"/>
  <c r="AM701" i="13"/>
  <c r="AL701" i="13" s="1"/>
  <c r="BB701" i="13"/>
  <c r="AE701" i="13"/>
  <c r="AC701" i="13" s="1"/>
  <c r="BJ701" i="13"/>
  <c r="BL702" i="13"/>
  <c r="BI701" i="13"/>
  <c r="BK701" i="13"/>
  <c r="BC700" i="13"/>
  <c r="BD700" i="13"/>
  <c r="BE700" i="13"/>
  <c r="BF700" i="13"/>
  <c r="BG700" i="13"/>
  <c r="BH700" i="13"/>
  <c r="U700" i="13"/>
  <c r="AB700" i="13"/>
  <c r="AK700" i="13"/>
  <c r="AO700" i="13"/>
  <c r="AU700" i="13"/>
  <c r="BA700" i="13"/>
  <c r="AA700" i="13"/>
  <c r="AJ700" i="13"/>
  <c r="AT700" i="13"/>
  <c r="AZ700" i="13"/>
  <c r="Z700" i="13"/>
  <c r="AI700" i="13"/>
  <c r="AS700" i="13"/>
  <c r="AY700" i="13"/>
  <c r="Y700" i="13"/>
  <c r="AH700" i="13"/>
  <c r="AR700" i="13"/>
  <c r="AX700" i="13"/>
  <c r="X700" i="13"/>
  <c r="AG700" i="13"/>
  <c r="AQ700" i="13"/>
  <c r="AW700" i="13"/>
  <c r="W700" i="13"/>
  <c r="AF700" i="13"/>
  <c r="AP700" i="13"/>
  <c r="AV700" i="13"/>
  <c r="AN700" i="13" l="1"/>
  <c r="AD700" i="13"/>
  <c r="AM700" i="13"/>
  <c r="AL700" i="13" s="1"/>
  <c r="BB700" i="13"/>
  <c r="AE700" i="13"/>
  <c r="AC700" i="13" s="1"/>
  <c r="BJ700" i="13"/>
  <c r="BL701" i="13"/>
  <c r="BI700" i="13"/>
  <c r="BK700" i="13"/>
  <c r="BC698" i="13"/>
  <c r="BD698" i="13"/>
  <c r="BE698" i="13"/>
  <c r="BF698" i="13"/>
  <c r="BG698" i="13"/>
  <c r="BH698" i="13"/>
  <c r="BC699" i="13"/>
  <c r="BD699" i="13"/>
  <c r="BE699" i="13"/>
  <c r="BF699" i="13"/>
  <c r="BG699" i="13"/>
  <c r="BH699" i="13"/>
  <c r="U699" i="13"/>
  <c r="AB699" i="13"/>
  <c r="AK699" i="13"/>
  <c r="AO699" i="13"/>
  <c r="AU699" i="13"/>
  <c r="BA699" i="13"/>
  <c r="AA699" i="13"/>
  <c r="AJ699" i="13"/>
  <c r="AT699" i="13"/>
  <c r="AZ699" i="13"/>
  <c r="Z699" i="13"/>
  <c r="AI699" i="13"/>
  <c r="AS699" i="13"/>
  <c r="AY699" i="13"/>
  <c r="Y699" i="13"/>
  <c r="AH699" i="13"/>
  <c r="AR699" i="13"/>
  <c r="AX699" i="13"/>
  <c r="X699" i="13"/>
  <c r="AG699" i="13"/>
  <c r="AQ699" i="13"/>
  <c r="AW699" i="13"/>
  <c r="W699" i="13"/>
  <c r="AF699" i="13"/>
  <c r="AM699" i="13" s="1"/>
  <c r="AP699" i="13"/>
  <c r="AV699" i="13"/>
  <c r="AD699" i="13" l="1"/>
  <c r="AE699" i="13"/>
  <c r="AC699" i="13" s="1"/>
  <c r="AN699" i="13"/>
  <c r="AL699" i="13" s="1"/>
  <c r="BB699" i="13"/>
  <c r="BL700" i="13"/>
  <c r="BJ699" i="13"/>
  <c r="BJ698" i="13"/>
  <c r="BI698" i="13"/>
  <c r="BK698" i="13"/>
  <c r="BK699" i="13"/>
  <c r="BI699" i="13"/>
  <c r="U698" i="13"/>
  <c r="AB698" i="13"/>
  <c r="AK698" i="13"/>
  <c r="AO698" i="13"/>
  <c r="AU698" i="13"/>
  <c r="BA698" i="13"/>
  <c r="AA698" i="13"/>
  <c r="AJ698" i="13"/>
  <c r="AT698" i="13"/>
  <c r="AZ698" i="13"/>
  <c r="Z698" i="13"/>
  <c r="AI698" i="13"/>
  <c r="AS698" i="13"/>
  <c r="AY698" i="13"/>
  <c r="Y698" i="13"/>
  <c r="AH698" i="13"/>
  <c r="AR698" i="13"/>
  <c r="AX698" i="13"/>
  <c r="X698" i="13"/>
  <c r="AG698" i="13"/>
  <c r="AQ698" i="13"/>
  <c r="AW698" i="13"/>
  <c r="W698" i="13"/>
  <c r="AF698" i="13"/>
  <c r="AP698" i="13"/>
  <c r="AV698" i="13"/>
  <c r="AD698" i="13" l="1"/>
  <c r="AM698" i="13"/>
  <c r="AE698" i="13"/>
  <c r="AC698" i="13" s="1"/>
  <c r="AN698" i="13"/>
  <c r="AL698" i="13" s="1"/>
  <c r="BB698" i="13"/>
  <c r="BL698" i="13"/>
  <c r="BL699" i="13"/>
  <c r="BC697" i="13"/>
  <c r="BD697" i="13"/>
  <c r="BE697" i="13"/>
  <c r="BF697" i="13"/>
  <c r="BG697" i="13"/>
  <c r="BH697" i="13"/>
  <c r="U697" i="13"/>
  <c r="AB697" i="13"/>
  <c r="AK697" i="13"/>
  <c r="AO697" i="13"/>
  <c r="AU697" i="13"/>
  <c r="BA697" i="13"/>
  <c r="AA697" i="13"/>
  <c r="AJ697" i="13"/>
  <c r="AT697" i="13"/>
  <c r="AZ697" i="13"/>
  <c r="Z697" i="13"/>
  <c r="AI697" i="13"/>
  <c r="AS697" i="13"/>
  <c r="AY697" i="13"/>
  <c r="Y697" i="13"/>
  <c r="AH697" i="13"/>
  <c r="AR697" i="13"/>
  <c r="AX697" i="13"/>
  <c r="X697" i="13"/>
  <c r="AG697" i="13"/>
  <c r="AQ697" i="13"/>
  <c r="AW697" i="13"/>
  <c r="W697" i="13"/>
  <c r="AF697" i="13"/>
  <c r="AP697" i="13"/>
  <c r="AV697" i="13"/>
  <c r="AM697" i="13" l="1"/>
  <c r="AE697" i="13"/>
  <c r="AN697" i="13"/>
  <c r="AL697" i="13" s="1"/>
  <c r="AD697" i="13"/>
  <c r="AC697" i="13" s="1"/>
  <c r="BB697" i="13"/>
  <c r="BK697" i="13"/>
  <c r="BJ697" i="13"/>
  <c r="BI697" i="13"/>
  <c r="BC696" i="13"/>
  <c r="BD696" i="13"/>
  <c r="BE696" i="13"/>
  <c r="BF696" i="13"/>
  <c r="BG696" i="13"/>
  <c r="BH696" i="13"/>
  <c r="U696" i="13"/>
  <c r="AB696" i="13"/>
  <c r="AK696" i="13"/>
  <c r="AO696" i="13"/>
  <c r="AU696" i="13"/>
  <c r="BA696" i="13"/>
  <c r="AA696" i="13"/>
  <c r="AJ696" i="13"/>
  <c r="AT696" i="13"/>
  <c r="AZ696" i="13"/>
  <c r="Z696" i="13"/>
  <c r="AI696" i="13"/>
  <c r="AS696" i="13"/>
  <c r="AY696" i="13"/>
  <c r="Y696" i="13"/>
  <c r="AH696" i="13"/>
  <c r="AR696" i="13"/>
  <c r="AX696" i="13"/>
  <c r="X696" i="13"/>
  <c r="AG696" i="13"/>
  <c r="AQ696" i="13"/>
  <c r="AW696" i="13"/>
  <c r="W696" i="13"/>
  <c r="AF696" i="13"/>
  <c r="AP696" i="13"/>
  <c r="AV696" i="13"/>
  <c r="U694" i="13"/>
  <c r="W694" i="13"/>
  <c r="X694" i="13"/>
  <c r="Y694" i="13"/>
  <c r="Z694" i="13"/>
  <c r="AA694" i="13"/>
  <c r="AB694" i="13"/>
  <c r="AF694" i="13"/>
  <c r="AM694" i="13" s="1"/>
  <c r="AG694" i="13"/>
  <c r="AH694" i="13"/>
  <c r="AI694" i="13"/>
  <c r="AJ694" i="13"/>
  <c r="AK694" i="13"/>
  <c r="AO694" i="13"/>
  <c r="AP694" i="13"/>
  <c r="AQ694" i="13"/>
  <c r="AR694" i="13"/>
  <c r="U695" i="13"/>
  <c r="W695" i="13"/>
  <c r="X695" i="13"/>
  <c r="Y695" i="13"/>
  <c r="Z695" i="13"/>
  <c r="AA695" i="13"/>
  <c r="AB695" i="13"/>
  <c r="AF695" i="13"/>
  <c r="AG695" i="13"/>
  <c r="AH695" i="13"/>
  <c r="AI695" i="13"/>
  <c r="AJ695" i="13"/>
  <c r="AK695" i="13"/>
  <c r="AO695" i="13"/>
  <c r="AP695" i="13"/>
  <c r="AQ695" i="13"/>
  <c r="AR695" i="13"/>
  <c r="AE696" i="13" l="1"/>
  <c r="AD694" i="13"/>
  <c r="AM696" i="13"/>
  <c r="AM695" i="13"/>
  <c r="AN694" i="13"/>
  <c r="AE694" i="13"/>
  <c r="AN696" i="13"/>
  <c r="AL696" i="13" s="1"/>
  <c r="AD696" i="13"/>
  <c r="AC696" i="13" s="1"/>
  <c r="AL694" i="13"/>
  <c r="AC694" i="13"/>
  <c r="AE695" i="13"/>
  <c r="AD695" i="13"/>
  <c r="AC695" i="13" s="1"/>
  <c r="BB696" i="13"/>
  <c r="AN695" i="13"/>
  <c r="AL695" i="13" s="1"/>
  <c r="BK696" i="13"/>
  <c r="BL697" i="13"/>
  <c r="BI696" i="13"/>
  <c r="BJ696" i="13"/>
  <c r="BC695" i="13"/>
  <c r="BD695" i="13"/>
  <c r="BE695" i="13"/>
  <c r="BF695" i="13"/>
  <c r="BG695" i="13"/>
  <c r="BH695" i="13"/>
  <c r="AU695" i="13"/>
  <c r="BA695" i="13"/>
  <c r="AT695" i="13"/>
  <c r="AZ695" i="13"/>
  <c r="AS695" i="13"/>
  <c r="AY695" i="13"/>
  <c r="AX695" i="13"/>
  <c r="AW695" i="13"/>
  <c r="AV695" i="13"/>
  <c r="BK695" i="13" l="1"/>
  <c r="BL696" i="13"/>
  <c r="BJ695" i="13"/>
  <c r="BI695" i="13"/>
  <c r="BB695" i="13"/>
  <c r="BC694" i="13"/>
  <c r="BD694" i="13"/>
  <c r="BE694" i="13"/>
  <c r="BF694" i="13"/>
  <c r="BG694" i="13"/>
  <c r="BH694" i="13"/>
  <c r="AU694" i="13"/>
  <c r="BA694" i="13"/>
  <c r="AT694" i="13"/>
  <c r="AZ694" i="13"/>
  <c r="AS694" i="13"/>
  <c r="AY694" i="13"/>
  <c r="AX694" i="13"/>
  <c r="AW694" i="13"/>
  <c r="AV694" i="13"/>
  <c r="BL695" i="13" l="1"/>
  <c r="BJ694" i="13"/>
  <c r="BB694" i="13"/>
  <c r="BK694" i="13"/>
  <c r="BI694" i="13"/>
  <c r="BC693" i="13"/>
  <c r="BD693" i="13"/>
  <c r="BE693" i="13"/>
  <c r="BF693" i="13"/>
  <c r="BG693" i="13"/>
  <c r="BH693" i="13"/>
  <c r="U693" i="13"/>
  <c r="AB693" i="13"/>
  <c r="AK693" i="13"/>
  <c r="AO693" i="13"/>
  <c r="AU693" i="13"/>
  <c r="BA693" i="13"/>
  <c r="AA693" i="13"/>
  <c r="AJ693" i="13"/>
  <c r="AT693" i="13"/>
  <c r="AZ693" i="13"/>
  <c r="Z693" i="13"/>
  <c r="AI693" i="13"/>
  <c r="AS693" i="13"/>
  <c r="AY693" i="13"/>
  <c r="Y693" i="13"/>
  <c r="AH693" i="13"/>
  <c r="AR693" i="13"/>
  <c r="AX693" i="13"/>
  <c r="X693" i="13"/>
  <c r="AG693" i="13"/>
  <c r="AQ693" i="13"/>
  <c r="AW693" i="13"/>
  <c r="W693" i="13"/>
  <c r="AF693" i="13"/>
  <c r="AP693" i="13"/>
  <c r="AV693" i="13"/>
  <c r="AM693" i="13" l="1"/>
  <c r="AD693" i="13"/>
  <c r="AE693" i="13"/>
  <c r="AC693" i="13" s="1"/>
  <c r="BB693" i="13"/>
  <c r="AN693" i="13"/>
  <c r="AL693" i="13" s="1"/>
  <c r="BK693" i="13"/>
  <c r="BJ693" i="13"/>
  <c r="BL694" i="13"/>
  <c r="BI693" i="13"/>
  <c r="BC692" i="13"/>
  <c r="BD692" i="13"/>
  <c r="BE692" i="13"/>
  <c r="BF692" i="13"/>
  <c r="BG692" i="13"/>
  <c r="BH692" i="13"/>
  <c r="U692" i="13"/>
  <c r="AB692" i="13"/>
  <c r="AK692" i="13"/>
  <c r="AO692" i="13"/>
  <c r="AU692" i="13"/>
  <c r="BA692" i="13"/>
  <c r="AA692" i="13"/>
  <c r="AJ692" i="13"/>
  <c r="AT692" i="13"/>
  <c r="AZ692" i="13"/>
  <c r="Z692" i="13"/>
  <c r="AI692" i="13"/>
  <c r="AS692" i="13"/>
  <c r="AY692" i="13"/>
  <c r="Y692" i="13"/>
  <c r="AH692" i="13"/>
  <c r="AR692" i="13"/>
  <c r="AX692" i="13"/>
  <c r="X692" i="13"/>
  <c r="AG692" i="13"/>
  <c r="AQ692" i="13"/>
  <c r="AW692" i="13"/>
  <c r="W692" i="13"/>
  <c r="AF692" i="13"/>
  <c r="AP692" i="13"/>
  <c r="AV692" i="13"/>
  <c r="AM692" i="13" l="1"/>
  <c r="AE692" i="13"/>
  <c r="AN692" i="13"/>
  <c r="AL692" i="13" s="1"/>
  <c r="AD692" i="13"/>
  <c r="AC692" i="13" s="1"/>
  <c r="BB692" i="13"/>
  <c r="BJ692" i="13"/>
  <c r="BL693" i="13"/>
  <c r="BK692" i="13"/>
  <c r="BI692" i="13"/>
  <c r="BC691" i="13"/>
  <c r="BD691" i="13"/>
  <c r="BE691" i="13"/>
  <c r="BF691" i="13"/>
  <c r="BG691" i="13"/>
  <c r="BH691" i="13"/>
  <c r="U691" i="13"/>
  <c r="AB691" i="13"/>
  <c r="AK691" i="13"/>
  <c r="AO691" i="13"/>
  <c r="AU691" i="13"/>
  <c r="BA691" i="13"/>
  <c r="AA691" i="13"/>
  <c r="AJ691" i="13"/>
  <c r="AT691" i="13"/>
  <c r="AZ691" i="13"/>
  <c r="Z691" i="13"/>
  <c r="AI691" i="13"/>
  <c r="AS691" i="13"/>
  <c r="AY691" i="13"/>
  <c r="Y691" i="13"/>
  <c r="AH691" i="13"/>
  <c r="AR691" i="13"/>
  <c r="AX691" i="13"/>
  <c r="X691" i="13"/>
  <c r="AG691" i="13"/>
  <c r="AQ691" i="13"/>
  <c r="AW691" i="13"/>
  <c r="W691" i="13"/>
  <c r="AF691" i="13"/>
  <c r="AP691" i="13"/>
  <c r="AV691" i="13"/>
  <c r="AN691" i="13" l="1"/>
  <c r="AD691" i="13"/>
  <c r="AM691" i="13"/>
  <c r="AL691" i="13" s="1"/>
  <c r="BB691" i="13"/>
  <c r="AE691" i="13"/>
  <c r="AC691" i="13" s="1"/>
  <c r="BK691" i="13"/>
  <c r="BL692" i="13"/>
  <c r="BJ691" i="13"/>
  <c r="BI691" i="13"/>
  <c r="BC690" i="13"/>
  <c r="BD690" i="13"/>
  <c r="BE690" i="13"/>
  <c r="BF690" i="13"/>
  <c r="BG690" i="13"/>
  <c r="BH690" i="13"/>
  <c r="U690" i="13"/>
  <c r="AB690" i="13"/>
  <c r="AK690" i="13"/>
  <c r="AO690" i="13"/>
  <c r="AU690" i="13"/>
  <c r="BA690" i="13"/>
  <c r="AA690" i="13"/>
  <c r="AJ690" i="13"/>
  <c r="AT690" i="13"/>
  <c r="AZ690" i="13"/>
  <c r="Z690" i="13"/>
  <c r="AI690" i="13"/>
  <c r="AS690" i="13"/>
  <c r="AY690" i="13"/>
  <c r="Y690" i="13"/>
  <c r="AH690" i="13"/>
  <c r="AR690" i="13"/>
  <c r="AX690" i="13"/>
  <c r="X690" i="13"/>
  <c r="AG690" i="13"/>
  <c r="AQ690" i="13"/>
  <c r="AW690" i="13"/>
  <c r="W690" i="13"/>
  <c r="AF690" i="13"/>
  <c r="AP690" i="13"/>
  <c r="AV690" i="13"/>
  <c r="AD690" i="13" l="1"/>
  <c r="AN690" i="13"/>
  <c r="AM690" i="13"/>
  <c r="AL690" i="13" s="1"/>
  <c r="BB690" i="13"/>
  <c r="AE690" i="13"/>
  <c r="AC690" i="13" s="1"/>
  <c r="BI690" i="13"/>
  <c r="BL691" i="13"/>
  <c r="BK690" i="13"/>
  <c r="BJ690" i="13"/>
  <c r="BC689" i="13"/>
  <c r="BD689" i="13"/>
  <c r="BE689" i="13"/>
  <c r="BF689" i="13"/>
  <c r="BG689" i="13"/>
  <c r="BH689" i="13"/>
  <c r="U689" i="13"/>
  <c r="AB689" i="13"/>
  <c r="AK689" i="13"/>
  <c r="AO689" i="13"/>
  <c r="AU689" i="13"/>
  <c r="BA689" i="13"/>
  <c r="AA689" i="13"/>
  <c r="AJ689" i="13"/>
  <c r="AT689" i="13"/>
  <c r="AZ689" i="13"/>
  <c r="Z689" i="13"/>
  <c r="AI689" i="13"/>
  <c r="AS689" i="13"/>
  <c r="AY689" i="13"/>
  <c r="Y689" i="13"/>
  <c r="AH689" i="13"/>
  <c r="AR689" i="13"/>
  <c r="AX689" i="13"/>
  <c r="X689" i="13"/>
  <c r="AG689" i="13"/>
  <c r="AQ689" i="13"/>
  <c r="AW689" i="13"/>
  <c r="W689" i="13"/>
  <c r="AF689" i="13"/>
  <c r="AP689" i="13"/>
  <c r="AV689" i="13"/>
  <c r="AN689" i="13" l="1"/>
  <c r="AD689" i="13"/>
  <c r="AM689" i="13"/>
  <c r="AL689" i="13"/>
  <c r="BB689" i="13"/>
  <c r="AE689" i="13"/>
  <c r="AC689" i="13" s="1"/>
  <c r="BL690" i="13"/>
  <c r="BJ689" i="13"/>
  <c r="BI689" i="13"/>
  <c r="BK689" i="13"/>
  <c r="BC688" i="13"/>
  <c r="BD688" i="13"/>
  <c r="BE688" i="13"/>
  <c r="BF688" i="13"/>
  <c r="BG688" i="13"/>
  <c r="BH688" i="13"/>
  <c r="U688" i="13"/>
  <c r="AB688" i="13"/>
  <c r="AK688" i="13"/>
  <c r="AO688" i="13"/>
  <c r="AU688" i="13"/>
  <c r="BA688" i="13"/>
  <c r="AA688" i="13"/>
  <c r="AJ688" i="13"/>
  <c r="AT688" i="13"/>
  <c r="AZ688" i="13"/>
  <c r="Z688" i="13"/>
  <c r="AI688" i="13"/>
  <c r="AS688" i="13"/>
  <c r="AY688" i="13"/>
  <c r="Y688" i="13"/>
  <c r="AH688" i="13"/>
  <c r="AR688" i="13"/>
  <c r="AX688" i="13"/>
  <c r="X688" i="13"/>
  <c r="AG688" i="13"/>
  <c r="AQ688" i="13"/>
  <c r="AW688" i="13"/>
  <c r="W688" i="13"/>
  <c r="AF688" i="13"/>
  <c r="AP688" i="13"/>
  <c r="AV688" i="13"/>
  <c r="AN688" i="13" l="1"/>
  <c r="AD688" i="13"/>
  <c r="AM688" i="13"/>
  <c r="AL688" i="13" s="1"/>
  <c r="BB688" i="13"/>
  <c r="AE688" i="13"/>
  <c r="AC688" i="13" s="1"/>
  <c r="BI688" i="13"/>
  <c r="BJ688" i="13"/>
  <c r="BK688" i="13"/>
  <c r="BL689" i="13"/>
  <c r="BC687" i="13"/>
  <c r="BD687" i="13"/>
  <c r="BE687" i="13"/>
  <c r="BF687" i="13"/>
  <c r="BG687" i="13"/>
  <c r="BH687" i="13"/>
  <c r="U687" i="13"/>
  <c r="AB687" i="13"/>
  <c r="AK687" i="13"/>
  <c r="AO687" i="13"/>
  <c r="AU687" i="13"/>
  <c r="BA687" i="13"/>
  <c r="AA687" i="13"/>
  <c r="AJ687" i="13"/>
  <c r="AT687" i="13"/>
  <c r="AZ687" i="13"/>
  <c r="Z687" i="13"/>
  <c r="AI687" i="13"/>
  <c r="AS687" i="13"/>
  <c r="AY687" i="13"/>
  <c r="Y687" i="13"/>
  <c r="AH687" i="13"/>
  <c r="AR687" i="13"/>
  <c r="AX687" i="13"/>
  <c r="X687" i="13"/>
  <c r="AG687" i="13"/>
  <c r="AQ687" i="13"/>
  <c r="AW687" i="13"/>
  <c r="W687" i="13"/>
  <c r="AF687" i="13"/>
  <c r="AP687" i="13"/>
  <c r="AV687" i="13"/>
  <c r="AD687" i="13" l="1"/>
  <c r="AE687" i="13"/>
  <c r="AN687" i="13"/>
  <c r="AC687" i="13"/>
  <c r="AM687" i="13"/>
  <c r="AL687" i="13" s="1"/>
  <c r="BB687" i="13"/>
  <c r="BJ687" i="13"/>
  <c r="BL688" i="13"/>
  <c r="BI687" i="13"/>
  <c r="BK687" i="13"/>
  <c r="BC686" i="13"/>
  <c r="BD686" i="13"/>
  <c r="BE686" i="13"/>
  <c r="BF686" i="13"/>
  <c r="BG686" i="13"/>
  <c r="BH686" i="13"/>
  <c r="U686" i="13"/>
  <c r="AB686" i="13"/>
  <c r="AK686" i="13"/>
  <c r="AO686" i="13"/>
  <c r="AU686" i="13"/>
  <c r="BA686" i="13"/>
  <c r="AA686" i="13"/>
  <c r="AJ686" i="13"/>
  <c r="AT686" i="13"/>
  <c r="AZ686" i="13"/>
  <c r="Z686" i="13"/>
  <c r="AI686" i="13"/>
  <c r="AS686" i="13"/>
  <c r="AY686" i="13"/>
  <c r="Y686" i="13"/>
  <c r="AH686" i="13"/>
  <c r="AR686" i="13"/>
  <c r="AX686" i="13"/>
  <c r="X686" i="13"/>
  <c r="AG686" i="13"/>
  <c r="AQ686" i="13"/>
  <c r="AW686" i="13"/>
  <c r="W686" i="13"/>
  <c r="AF686" i="13"/>
  <c r="AP686" i="13"/>
  <c r="AV686" i="13"/>
  <c r="AD686" i="13" l="1"/>
  <c r="AM686" i="13"/>
  <c r="AE686" i="13"/>
  <c r="AC686" i="13"/>
  <c r="BJ686" i="13"/>
  <c r="AN686" i="13"/>
  <c r="AL686" i="13" s="1"/>
  <c r="BB686" i="13"/>
  <c r="BL687" i="13"/>
  <c r="BK686" i="13"/>
  <c r="BI686" i="13"/>
  <c r="BC685" i="13"/>
  <c r="BD685" i="13"/>
  <c r="BE685" i="13"/>
  <c r="BF685" i="13"/>
  <c r="BG685" i="13"/>
  <c r="BH685" i="13"/>
  <c r="U685" i="13"/>
  <c r="AB685" i="13"/>
  <c r="AK685" i="13"/>
  <c r="AO685" i="13"/>
  <c r="AU685" i="13"/>
  <c r="BA685" i="13"/>
  <c r="AA685" i="13"/>
  <c r="AJ685" i="13"/>
  <c r="AT685" i="13"/>
  <c r="AZ685" i="13"/>
  <c r="Z685" i="13"/>
  <c r="AI685" i="13"/>
  <c r="AS685" i="13"/>
  <c r="AY685" i="13"/>
  <c r="Y685" i="13"/>
  <c r="AH685" i="13"/>
  <c r="AR685" i="13"/>
  <c r="AX685" i="13"/>
  <c r="X685" i="13"/>
  <c r="AG685" i="13"/>
  <c r="AQ685" i="13"/>
  <c r="AW685" i="13"/>
  <c r="W685" i="13"/>
  <c r="AF685" i="13"/>
  <c r="AP685" i="13"/>
  <c r="AV685" i="13"/>
  <c r="AM685" i="13" l="1"/>
  <c r="AD685" i="13"/>
  <c r="AN685" i="13"/>
  <c r="AL685" i="13" s="1"/>
  <c r="AE685" i="13"/>
  <c r="AC685" i="13" s="1"/>
  <c r="BB685" i="13"/>
  <c r="BJ685" i="13"/>
  <c r="BI685" i="13"/>
  <c r="BK685" i="13"/>
  <c r="BL686" i="13"/>
  <c r="BC684" i="13"/>
  <c r="BD684" i="13"/>
  <c r="BE684" i="13"/>
  <c r="BF684" i="13"/>
  <c r="BG684" i="13"/>
  <c r="BH684" i="13"/>
  <c r="U684" i="13"/>
  <c r="AB684" i="13"/>
  <c r="AK684" i="13"/>
  <c r="AO684" i="13"/>
  <c r="AU684" i="13"/>
  <c r="BA684" i="13"/>
  <c r="AA684" i="13"/>
  <c r="AJ684" i="13"/>
  <c r="AT684" i="13"/>
  <c r="AZ684" i="13"/>
  <c r="Z684" i="13"/>
  <c r="AI684" i="13"/>
  <c r="AS684" i="13"/>
  <c r="AY684" i="13"/>
  <c r="Y684" i="13"/>
  <c r="AH684" i="13"/>
  <c r="AR684" i="13"/>
  <c r="AX684" i="13"/>
  <c r="X684" i="13"/>
  <c r="AG684" i="13"/>
  <c r="AQ684" i="13"/>
  <c r="AW684" i="13"/>
  <c r="W684" i="13"/>
  <c r="AF684" i="13"/>
  <c r="AP684" i="13"/>
  <c r="AV684" i="13"/>
  <c r="AM684" i="13" l="1"/>
  <c r="AE684" i="13"/>
  <c r="AN684" i="13"/>
  <c r="AL684" i="13" s="1"/>
  <c r="AD684" i="13"/>
  <c r="AC684" i="13" s="1"/>
  <c r="BB684" i="13"/>
  <c r="BI684" i="13"/>
  <c r="BJ684" i="13"/>
  <c r="BL685" i="13"/>
  <c r="BK684" i="13"/>
  <c r="BC683" i="13"/>
  <c r="BD683" i="13"/>
  <c r="BE683" i="13"/>
  <c r="BF683" i="13"/>
  <c r="BG683" i="13"/>
  <c r="BH683" i="13"/>
  <c r="U683" i="13"/>
  <c r="AB683" i="13"/>
  <c r="AK683" i="13"/>
  <c r="AO683" i="13"/>
  <c r="AU683" i="13"/>
  <c r="BA683" i="13"/>
  <c r="AA683" i="13"/>
  <c r="AJ683" i="13"/>
  <c r="AT683" i="13"/>
  <c r="AZ683" i="13"/>
  <c r="Z683" i="13"/>
  <c r="AI683" i="13"/>
  <c r="AS683" i="13"/>
  <c r="AY683" i="13"/>
  <c r="Y683" i="13"/>
  <c r="AH683" i="13"/>
  <c r="AR683" i="13"/>
  <c r="AX683" i="13"/>
  <c r="X683" i="13"/>
  <c r="AG683" i="13"/>
  <c r="AQ683" i="13"/>
  <c r="AW683" i="13"/>
  <c r="W683" i="13"/>
  <c r="AF683" i="13"/>
  <c r="AP683" i="13"/>
  <c r="AV683" i="13"/>
  <c r="AD683" i="13" l="1"/>
  <c r="AN683" i="13"/>
  <c r="AM683" i="13"/>
  <c r="AL683" i="13" s="1"/>
  <c r="AE683" i="13"/>
  <c r="AC683" i="13" s="1"/>
  <c r="BB683" i="13"/>
  <c r="BL684" i="13"/>
  <c r="BK683" i="13"/>
  <c r="BJ683" i="13"/>
  <c r="BI683" i="13"/>
  <c r="BC682" i="13"/>
  <c r="BD682" i="13"/>
  <c r="BE682" i="13"/>
  <c r="BF682" i="13"/>
  <c r="BG682" i="13"/>
  <c r="BH682" i="13"/>
  <c r="U682" i="13"/>
  <c r="AB682" i="13"/>
  <c r="AK682" i="13"/>
  <c r="AO682" i="13"/>
  <c r="AU682" i="13"/>
  <c r="BA682" i="13"/>
  <c r="AA682" i="13"/>
  <c r="AJ682" i="13"/>
  <c r="AT682" i="13"/>
  <c r="AZ682" i="13"/>
  <c r="Z682" i="13"/>
  <c r="AI682" i="13"/>
  <c r="AS682" i="13"/>
  <c r="AY682" i="13"/>
  <c r="Y682" i="13"/>
  <c r="AH682" i="13"/>
  <c r="AR682" i="13"/>
  <c r="AX682" i="13"/>
  <c r="X682" i="13"/>
  <c r="AG682" i="13"/>
  <c r="AQ682" i="13"/>
  <c r="AW682" i="13"/>
  <c r="W682" i="13"/>
  <c r="AF682" i="13"/>
  <c r="AP682" i="13"/>
  <c r="AV682" i="13"/>
  <c r="AN682" i="13" l="1"/>
  <c r="AD682" i="13"/>
  <c r="AM682" i="13"/>
  <c r="AL682" i="13" s="1"/>
  <c r="BB682" i="13"/>
  <c r="AE682" i="13"/>
  <c r="AC682" i="13" s="1"/>
  <c r="BI682" i="13"/>
  <c r="BJ682" i="13"/>
  <c r="BK682" i="13"/>
  <c r="BL683" i="13"/>
  <c r="BC681" i="13"/>
  <c r="BD681" i="13"/>
  <c r="BE681" i="13"/>
  <c r="BF681" i="13"/>
  <c r="BG681" i="13"/>
  <c r="BH681" i="13"/>
  <c r="U681" i="13"/>
  <c r="AB681" i="13"/>
  <c r="AK681" i="13"/>
  <c r="AO681" i="13"/>
  <c r="AU681" i="13"/>
  <c r="BA681" i="13"/>
  <c r="AA681" i="13"/>
  <c r="AJ681" i="13"/>
  <c r="AT681" i="13"/>
  <c r="AZ681" i="13"/>
  <c r="Z681" i="13"/>
  <c r="AI681" i="13"/>
  <c r="AS681" i="13"/>
  <c r="AY681" i="13"/>
  <c r="Y681" i="13"/>
  <c r="AH681" i="13"/>
  <c r="AR681" i="13"/>
  <c r="AX681" i="13"/>
  <c r="X681" i="13"/>
  <c r="AG681" i="13"/>
  <c r="AQ681" i="13"/>
  <c r="AW681" i="13"/>
  <c r="W681" i="13"/>
  <c r="AF681" i="13"/>
  <c r="AP681" i="13"/>
  <c r="AV681" i="13"/>
  <c r="AN681" i="13" l="1"/>
  <c r="AD681" i="13"/>
  <c r="AM681" i="13"/>
  <c r="AL681" i="13" s="1"/>
  <c r="BB681" i="13"/>
  <c r="AE681" i="13"/>
  <c r="AC681" i="13" s="1"/>
  <c r="BL682" i="13"/>
  <c r="BJ681" i="13"/>
  <c r="BI681" i="13"/>
  <c r="BK681" i="13"/>
  <c r="BC680" i="13"/>
  <c r="BD680" i="13"/>
  <c r="BE680" i="13"/>
  <c r="BF680" i="13"/>
  <c r="BG680" i="13"/>
  <c r="BH680" i="13"/>
  <c r="U680" i="13"/>
  <c r="AB680" i="13"/>
  <c r="AK680" i="13"/>
  <c r="AO680" i="13"/>
  <c r="AU680" i="13"/>
  <c r="BA680" i="13"/>
  <c r="AA680" i="13"/>
  <c r="AJ680" i="13"/>
  <c r="AT680" i="13"/>
  <c r="AZ680" i="13"/>
  <c r="Z680" i="13"/>
  <c r="AI680" i="13"/>
  <c r="AS680" i="13"/>
  <c r="AY680" i="13"/>
  <c r="Y680" i="13"/>
  <c r="AH680" i="13"/>
  <c r="AR680" i="13"/>
  <c r="AX680" i="13"/>
  <c r="X680" i="13"/>
  <c r="AG680" i="13"/>
  <c r="AQ680" i="13"/>
  <c r="AW680" i="13"/>
  <c r="W680" i="13"/>
  <c r="AF680" i="13"/>
  <c r="AP680" i="13"/>
  <c r="AV680" i="13"/>
  <c r="AD680" i="13" l="1"/>
  <c r="AE680" i="13"/>
  <c r="AN680" i="13"/>
  <c r="AM680" i="13"/>
  <c r="AL680" i="13" s="1"/>
  <c r="AC680" i="13"/>
  <c r="BB680" i="13"/>
  <c r="BJ680" i="13"/>
  <c r="BL681" i="13"/>
  <c r="BI680" i="13"/>
  <c r="BK680" i="13"/>
  <c r="BC679" i="13"/>
  <c r="BD679" i="13"/>
  <c r="BE679" i="13"/>
  <c r="BF679" i="13"/>
  <c r="BG679" i="13"/>
  <c r="BH679" i="13"/>
  <c r="U679" i="13"/>
  <c r="AB679" i="13"/>
  <c r="AK679" i="13"/>
  <c r="AO679" i="13"/>
  <c r="AU679" i="13"/>
  <c r="BA679" i="13"/>
  <c r="AA679" i="13"/>
  <c r="AJ679" i="13"/>
  <c r="AT679" i="13"/>
  <c r="AZ679" i="13"/>
  <c r="Z679" i="13"/>
  <c r="AI679" i="13"/>
  <c r="AS679" i="13"/>
  <c r="AY679" i="13"/>
  <c r="Y679" i="13"/>
  <c r="AH679" i="13"/>
  <c r="AR679" i="13"/>
  <c r="AX679" i="13"/>
  <c r="X679" i="13"/>
  <c r="AG679" i="13"/>
  <c r="AQ679" i="13"/>
  <c r="AW679" i="13"/>
  <c r="W679" i="13"/>
  <c r="AF679" i="13"/>
  <c r="AP679" i="13"/>
  <c r="AV679" i="13"/>
  <c r="AE679" i="13" l="1"/>
  <c r="AN679" i="13"/>
  <c r="AM679" i="13"/>
  <c r="AL679" i="13"/>
  <c r="AD679" i="13"/>
  <c r="AC679" i="13" s="1"/>
  <c r="BB679" i="13"/>
  <c r="BI679" i="13"/>
  <c r="BK679" i="13"/>
  <c r="BJ679" i="13"/>
  <c r="BL680" i="13"/>
  <c r="BC678" i="13"/>
  <c r="BD678" i="13"/>
  <c r="BE678" i="13"/>
  <c r="BF678" i="13"/>
  <c r="BG678" i="13"/>
  <c r="BH678" i="13"/>
  <c r="U678" i="13"/>
  <c r="AB678" i="13"/>
  <c r="AK678" i="13"/>
  <c r="AO678" i="13"/>
  <c r="AU678" i="13"/>
  <c r="BA678" i="13"/>
  <c r="AA678" i="13"/>
  <c r="AJ678" i="13"/>
  <c r="AT678" i="13"/>
  <c r="AZ678" i="13"/>
  <c r="Z678" i="13"/>
  <c r="AI678" i="13"/>
  <c r="AS678" i="13"/>
  <c r="AY678" i="13"/>
  <c r="Y678" i="13"/>
  <c r="AH678" i="13"/>
  <c r="AR678" i="13"/>
  <c r="AX678" i="13"/>
  <c r="X678" i="13"/>
  <c r="AG678" i="13"/>
  <c r="AQ678" i="13"/>
  <c r="AW678" i="13"/>
  <c r="W678" i="13"/>
  <c r="AF678" i="13"/>
  <c r="AP678" i="13"/>
  <c r="AV678" i="13"/>
  <c r="AE678" i="13" l="1"/>
  <c r="AM678" i="13"/>
  <c r="AN678" i="13"/>
  <c r="AL678" i="13" s="1"/>
  <c r="BB678" i="13"/>
  <c r="AD678" i="13"/>
  <c r="AC678" i="13" s="1"/>
  <c r="BK678" i="13"/>
  <c r="BL679" i="13"/>
  <c r="BJ678" i="13"/>
  <c r="BI678" i="13"/>
  <c r="BC677" i="13"/>
  <c r="BD677" i="13"/>
  <c r="BE677" i="13"/>
  <c r="BF677" i="13"/>
  <c r="BG677" i="13"/>
  <c r="BH677" i="13"/>
  <c r="U677" i="13"/>
  <c r="AB677" i="13"/>
  <c r="AK677" i="13"/>
  <c r="AO677" i="13"/>
  <c r="AU677" i="13"/>
  <c r="BA677" i="13"/>
  <c r="AA677" i="13"/>
  <c r="AJ677" i="13"/>
  <c r="AT677" i="13"/>
  <c r="AZ677" i="13"/>
  <c r="Z677" i="13"/>
  <c r="AI677" i="13"/>
  <c r="AS677" i="13"/>
  <c r="AY677" i="13"/>
  <c r="Y677" i="13"/>
  <c r="AH677" i="13"/>
  <c r="AR677" i="13"/>
  <c r="AX677" i="13"/>
  <c r="X677" i="13"/>
  <c r="AG677" i="13"/>
  <c r="AQ677" i="13"/>
  <c r="AW677" i="13"/>
  <c r="W677" i="13"/>
  <c r="AF677" i="13"/>
  <c r="AP677" i="13"/>
  <c r="AV677" i="13"/>
  <c r="AM677" i="13" l="1"/>
  <c r="AN677" i="13"/>
  <c r="AE677" i="13"/>
  <c r="AD677" i="13"/>
  <c r="AC677" i="13" s="1"/>
  <c r="AL677" i="13"/>
  <c r="BB677" i="13"/>
  <c r="BL678" i="13"/>
  <c r="BK677" i="13"/>
  <c r="BJ677" i="13"/>
  <c r="BI677" i="13"/>
  <c r="BC676" i="13"/>
  <c r="BD676" i="13"/>
  <c r="BE676" i="13"/>
  <c r="BF676" i="13"/>
  <c r="BG676" i="13"/>
  <c r="BH676" i="13"/>
  <c r="U676" i="13"/>
  <c r="AB676" i="13"/>
  <c r="AK676" i="13"/>
  <c r="AO676" i="13"/>
  <c r="AU676" i="13"/>
  <c r="BA676" i="13"/>
  <c r="AA676" i="13"/>
  <c r="AJ676" i="13"/>
  <c r="AT676" i="13"/>
  <c r="AZ676" i="13"/>
  <c r="Z676" i="13"/>
  <c r="AI676" i="13"/>
  <c r="AS676" i="13"/>
  <c r="AY676" i="13"/>
  <c r="Y676" i="13"/>
  <c r="AH676" i="13"/>
  <c r="AR676" i="13"/>
  <c r="AX676" i="13"/>
  <c r="X676" i="13"/>
  <c r="AG676" i="13"/>
  <c r="AQ676" i="13"/>
  <c r="AW676" i="13"/>
  <c r="W676" i="13"/>
  <c r="AF676" i="13"/>
  <c r="AP676" i="13"/>
  <c r="AV676" i="13"/>
  <c r="AM676" i="13" l="1"/>
  <c r="AE676" i="13"/>
  <c r="AN676" i="13"/>
  <c r="BI676" i="13"/>
  <c r="AD676" i="13"/>
  <c r="AC676" i="13" s="1"/>
  <c r="BB676" i="13"/>
  <c r="AL676" i="13"/>
  <c r="BK676" i="13"/>
  <c r="BJ676" i="13"/>
  <c r="BL677" i="13"/>
  <c r="BC674" i="13"/>
  <c r="BD674" i="13"/>
  <c r="BE674" i="13"/>
  <c r="BF674" i="13"/>
  <c r="BG674" i="13"/>
  <c r="BH674" i="13"/>
  <c r="BC675" i="13"/>
  <c r="BD675" i="13"/>
  <c r="BE675" i="13"/>
  <c r="BF675" i="13"/>
  <c r="BG675" i="13"/>
  <c r="BH675" i="13"/>
  <c r="U675" i="13"/>
  <c r="AB675" i="13"/>
  <c r="AK675" i="13"/>
  <c r="AO675" i="13"/>
  <c r="AU675" i="13"/>
  <c r="BA675" i="13"/>
  <c r="AA675" i="13"/>
  <c r="AJ675" i="13"/>
  <c r="AT675" i="13"/>
  <c r="AZ675" i="13"/>
  <c r="Z675" i="13"/>
  <c r="AI675" i="13"/>
  <c r="AS675" i="13"/>
  <c r="AY675" i="13"/>
  <c r="Y675" i="13"/>
  <c r="AH675" i="13"/>
  <c r="AR675" i="13"/>
  <c r="AX675" i="13"/>
  <c r="X675" i="13"/>
  <c r="AG675" i="13"/>
  <c r="AQ675" i="13"/>
  <c r="AW675" i="13"/>
  <c r="W675" i="13"/>
  <c r="AD675" i="13" s="1"/>
  <c r="AF675" i="13"/>
  <c r="AM675" i="13" s="1"/>
  <c r="AP675" i="13"/>
  <c r="AV675" i="13"/>
  <c r="U674" i="13"/>
  <c r="AB674" i="13"/>
  <c r="AK674" i="13"/>
  <c r="AO674" i="13"/>
  <c r="AU674" i="13"/>
  <c r="BA674" i="13"/>
  <c r="AA674" i="13"/>
  <c r="AJ674" i="13"/>
  <c r="AT674" i="13"/>
  <c r="AZ674" i="13"/>
  <c r="Z674" i="13"/>
  <c r="AI674" i="13"/>
  <c r="AS674" i="13"/>
  <c r="AY674" i="13"/>
  <c r="Y674" i="13"/>
  <c r="AH674" i="13"/>
  <c r="AR674" i="13"/>
  <c r="AX674" i="13"/>
  <c r="X674" i="13"/>
  <c r="AG674" i="13"/>
  <c r="AQ674" i="13"/>
  <c r="AW674" i="13"/>
  <c r="W674" i="13"/>
  <c r="AF674" i="13"/>
  <c r="AP674" i="13"/>
  <c r="AV674" i="13"/>
  <c r="AN675" i="13" l="1"/>
  <c r="AD674" i="13"/>
  <c r="AM674" i="13"/>
  <c r="BB674" i="13"/>
  <c r="AL675" i="13"/>
  <c r="AE674" i="13"/>
  <c r="AC674" i="13" s="1"/>
  <c r="AN674" i="13"/>
  <c r="AL674" i="13" s="1"/>
  <c r="BB675" i="13"/>
  <c r="AE675" i="13"/>
  <c r="AC675" i="13" s="1"/>
  <c r="BL676" i="13"/>
  <c r="BI675" i="13"/>
  <c r="BK674" i="13"/>
  <c r="BI674" i="13"/>
  <c r="BK675" i="13"/>
  <c r="BJ674" i="13"/>
  <c r="BJ675" i="13"/>
  <c r="BC673" i="13"/>
  <c r="BD673" i="13"/>
  <c r="BE673" i="13"/>
  <c r="BF673" i="13"/>
  <c r="BG673" i="13"/>
  <c r="BH673" i="13"/>
  <c r="U673" i="13"/>
  <c r="AB673" i="13"/>
  <c r="AK673" i="13"/>
  <c r="AO673" i="13"/>
  <c r="AU673" i="13"/>
  <c r="BA673" i="13"/>
  <c r="AA673" i="13"/>
  <c r="AJ673" i="13"/>
  <c r="AT673" i="13"/>
  <c r="AZ673" i="13"/>
  <c r="Z673" i="13"/>
  <c r="AI673" i="13"/>
  <c r="AS673" i="13"/>
  <c r="AY673" i="13"/>
  <c r="Y673" i="13"/>
  <c r="AH673" i="13"/>
  <c r="AR673" i="13"/>
  <c r="AX673" i="13"/>
  <c r="X673" i="13"/>
  <c r="AG673" i="13"/>
  <c r="AQ673" i="13"/>
  <c r="AW673" i="13"/>
  <c r="W673" i="13"/>
  <c r="AD673" i="13" s="1"/>
  <c r="AF673" i="13"/>
  <c r="AM673" i="13" s="1"/>
  <c r="AP673" i="13"/>
  <c r="AV673" i="13"/>
  <c r="AE673" i="13" l="1"/>
  <c r="AC673" i="13" s="1"/>
  <c r="AN673" i="13"/>
  <c r="AL673" i="13" s="1"/>
  <c r="BB673" i="13"/>
  <c r="BK673" i="13"/>
  <c r="BL675" i="13"/>
  <c r="BI673" i="13"/>
  <c r="BL674" i="13"/>
  <c r="BJ673" i="13"/>
  <c r="BC672" i="13"/>
  <c r="BD672" i="13"/>
  <c r="BE672" i="13"/>
  <c r="BF672" i="13"/>
  <c r="BG672" i="13"/>
  <c r="BH672" i="13"/>
  <c r="U672" i="13"/>
  <c r="AB672" i="13"/>
  <c r="AK672" i="13"/>
  <c r="AO672" i="13"/>
  <c r="AU672" i="13"/>
  <c r="BA672" i="13"/>
  <c r="AA672" i="13"/>
  <c r="AJ672" i="13"/>
  <c r="AT672" i="13"/>
  <c r="AZ672" i="13"/>
  <c r="Z672" i="13"/>
  <c r="AI672" i="13"/>
  <c r="AS672" i="13"/>
  <c r="AY672" i="13"/>
  <c r="Y672" i="13"/>
  <c r="AH672" i="13"/>
  <c r="AR672" i="13"/>
  <c r="AX672" i="13"/>
  <c r="X672" i="13"/>
  <c r="AG672" i="13"/>
  <c r="AQ672" i="13"/>
  <c r="AW672" i="13"/>
  <c r="W672" i="13"/>
  <c r="AF672" i="13"/>
  <c r="AP672" i="13"/>
  <c r="AV672" i="13"/>
  <c r="AM672" i="13" l="1"/>
  <c r="AD672" i="13"/>
  <c r="AE672" i="13"/>
  <c r="AC672" i="13" s="1"/>
  <c r="AN672" i="13"/>
  <c r="AL672" i="13" s="1"/>
  <c r="BB672" i="13"/>
  <c r="BL673" i="13"/>
  <c r="BK672" i="13"/>
  <c r="BI672" i="13"/>
  <c r="BJ672" i="13"/>
  <c r="U671" i="13"/>
  <c r="W671" i="13"/>
  <c r="AD671" i="13" s="1"/>
  <c r="X671" i="13"/>
  <c r="Y671" i="13"/>
  <c r="Z671" i="13"/>
  <c r="AA671" i="13"/>
  <c r="AB671" i="13"/>
  <c r="AF671" i="13"/>
  <c r="AG671" i="13"/>
  <c r="AH671" i="13"/>
  <c r="AI671" i="13"/>
  <c r="AJ671" i="13"/>
  <c r="AK671" i="13"/>
  <c r="AO671" i="13"/>
  <c r="AP671" i="13"/>
  <c r="AQ671" i="13"/>
  <c r="AR671" i="13"/>
  <c r="AS671" i="13"/>
  <c r="AT671" i="13"/>
  <c r="AU671" i="13"/>
  <c r="AV671" i="13"/>
  <c r="AW671" i="13"/>
  <c r="AX671" i="13"/>
  <c r="AY671" i="13"/>
  <c r="AZ671" i="13"/>
  <c r="BA671" i="13"/>
  <c r="BC671" i="13"/>
  <c r="BD671" i="13"/>
  <c r="BE671" i="13"/>
  <c r="BF671" i="13"/>
  <c r="BG671" i="13"/>
  <c r="BH671" i="13"/>
  <c r="AM671" i="13" l="1"/>
  <c r="AE671" i="13"/>
  <c r="AN671" i="13"/>
  <c r="BI671" i="13"/>
  <c r="BL672" i="13"/>
  <c r="BJ671" i="13"/>
  <c r="BK671" i="13"/>
  <c r="AC671" i="13"/>
  <c r="BB671" i="13"/>
  <c r="AL671" i="13"/>
  <c r="BC670" i="13"/>
  <c r="BD670" i="13"/>
  <c r="BE670" i="13"/>
  <c r="BF670" i="13"/>
  <c r="BG670" i="13"/>
  <c r="BH670" i="13"/>
  <c r="U670" i="13"/>
  <c r="AB670" i="13"/>
  <c r="AK670" i="13"/>
  <c r="AO670" i="13"/>
  <c r="AU670" i="13"/>
  <c r="BA670" i="13"/>
  <c r="AA670" i="13"/>
  <c r="AJ670" i="13"/>
  <c r="AT670" i="13"/>
  <c r="AZ670" i="13"/>
  <c r="Z670" i="13"/>
  <c r="AI670" i="13"/>
  <c r="AS670" i="13"/>
  <c r="AY670" i="13"/>
  <c r="Y670" i="13"/>
  <c r="AH670" i="13"/>
  <c r="AR670" i="13"/>
  <c r="AX670" i="13"/>
  <c r="X670" i="13"/>
  <c r="AG670" i="13"/>
  <c r="AQ670" i="13"/>
  <c r="AW670" i="13"/>
  <c r="W670" i="13"/>
  <c r="AF670" i="13"/>
  <c r="AP670" i="13"/>
  <c r="AV670" i="13"/>
  <c r="AD670" i="13" l="1"/>
  <c r="AN670" i="13"/>
  <c r="AM670" i="13"/>
  <c r="AL670" i="13" s="1"/>
  <c r="BB670" i="13"/>
  <c r="AE670" i="13"/>
  <c r="AC670" i="13" s="1"/>
  <c r="BJ670" i="13"/>
  <c r="BL671" i="13"/>
  <c r="BI670" i="13"/>
  <c r="BK670" i="13"/>
  <c r="BP6" i="13"/>
  <c r="BC669" i="13"/>
  <c r="BD669" i="13"/>
  <c r="BE669" i="13"/>
  <c r="BF669" i="13"/>
  <c r="BG669" i="13"/>
  <c r="BH669" i="13"/>
  <c r="U669" i="13"/>
  <c r="AB669" i="13"/>
  <c r="AK669" i="13"/>
  <c r="AO669" i="13"/>
  <c r="AU669" i="13"/>
  <c r="BA669" i="13"/>
  <c r="AA669" i="13"/>
  <c r="AJ669" i="13"/>
  <c r="AT669" i="13"/>
  <c r="AZ669" i="13"/>
  <c r="Z669" i="13"/>
  <c r="AI669" i="13"/>
  <c r="AS669" i="13"/>
  <c r="AY669" i="13"/>
  <c r="Y669" i="13"/>
  <c r="AH669" i="13"/>
  <c r="AR669" i="13"/>
  <c r="AX669" i="13"/>
  <c r="X669" i="13"/>
  <c r="AG669" i="13"/>
  <c r="AQ669" i="13"/>
  <c r="AW669" i="13"/>
  <c r="W669" i="13"/>
  <c r="AF669" i="13"/>
  <c r="AP669" i="13"/>
  <c r="AV669" i="13"/>
  <c r="AN669" i="13" l="1"/>
  <c r="BB669" i="13"/>
  <c r="AM669" i="13"/>
  <c r="AD669" i="13"/>
  <c r="AL669" i="13"/>
  <c r="AE669" i="13"/>
  <c r="AC669" i="13" s="1"/>
  <c r="BJ669" i="13"/>
  <c r="BL670" i="13"/>
  <c r="BK669" i="13"/>
  <c r="BI669" i="13"/>
  <c r="BC668" i="13"/>
  <c r="BD668" i="13"/>
  <c r="BE668" i="13"/>
  <c r="BF668" i="13"/>
  <c r="BG668" i="13"/>
  <c r="BH668" i="13"/>
  <c r="U668" i="13"/>
  <c r="AB668" i="13"/>
  <c r="AK668" i="13"/>
  <c r="AO668" i="13"/>
  <c r="AU668" i="13"/>
  <c r="BA668" i="13"/>
  <c r="AA668" i="13"/>
  <c r="AJ668" i="13"/>
  <c r="AT668" i="13"/>
  <c r="AZ668" i="13"/>
  <c r="Z668" i="13"/>
  <c r="AI668" i="13"/>
  <c r="AS668" i="13"/>
  <c r="AY668" i="13"/>
  <c r="Y668" i="13"/>
  <c r="AH668" i="13"/>
  <c r="AR668" i="13"/>
  <c r="AX668" i="13"/>
  <c r="X668" i="13"/>
  <c r="AG668" i="13"/>
  <c r="AQ668" i="13"/>
  <c r="AW668" i="13"/>
  <c r="W668" i="13"/>
  <c r="AF668" i="13"/>
  <c r="AP668" i="13"/>
  <c r="AV668" i="13"/>
  <c r="AM668" i="13" l="1"/>
  <c r="AD668" i="13"/>
  <c r="AN668" i="13"/>
  <c r="AE668" i="13"/>
  <c r="AC668" i="13" s="1"/>
  <c r="BB668" i="13"/>
  <c r="BK668" i="13"/>
  <c r="BI668" i="13"/>
  <c r="BL669" i="13"/>
  <c r="BJ668" i="13"/>
  <c r="BC667" i="13"/>
  <c r="BD667" i="13"/>
  <c r="BE667" i="13"/>
  <c r="BF667" i="13"/>
  <c r="BG667" i="13"/>
  <c r="BH667" i="13"/>
  <c r="U667" i="13"/>
  <c r="AB667" i="13"/>
  <c r="AK667" i="13"/>
  <c r="AO667" i="13"/>
  <c r="AU667" i="13"/>
  <c r="BA667" i="13"/>
  <c r="AA667" i="13"/>
  <c r="AJ667" i="13"/>
  <c r="AT667" i="13"/>
  <c r="AZ667" i="13"/>
  <c r="Z667" i="13"/>
  <c r="AI667" i="13"/>
  <c r="AS667" i="13"/>
  <c r="AY667" i="13"/>
  <c r="Y667" i="13"/>
  <c r="AH667" i="13"/>
  <c r="AR667" i="13"/>
  <c r="AX667" i="13"/>
  <c r="X667" i="13"/>
  <c r="AG667" i="13"/>
  <c r="AQ667" i="13"/>
  <c r="AW667" i="13"/>
  <c r="W667" i="13"/>
  <c r="AF667" i="13"/>
  <c r="AM667" i="13" s="1"/>
  <c r="AP667" i="13"/>
  <c r="AV667" i="13"/>
  <c r="AE667" i="13" l="1"/>
  <c r="AN667" i="13"/>
  <c r="AL668" i="13"/>
  <c r="AD667" i="13"/>
  <c r="AC667" i="13" s="1"/>
  <c r="AL667" i="13"/>
  <c r="BB667" i="13"/>
  <c r="BJ667" i="13"/>
  <c r="BL668" i="13"/>
  <c r="BI667" i="13"/>
  <c r="BK667" i="13"/>
  <c r="BC666" i="13"/>
  <c r="BD666" i="13"/>
  <c r="BE666" i="13"/>
  <c r="BF666" i="13"/>
  <c r="BG666" i="13"/>
  <c r="BH666" i="13"/>
  <c r="U666" i="13"/>
  <c r="AB666" i="13"/>
  <c r="AK666" i="13"/>
  <c r="AO666" i="13"/>
  <c r="AU666" i="13"/>
  <c r="BA666" i="13"/>
  <c r="AA666" i="13"/>
  <c r="AJ666" i="13"/>
  <c r="AT666" i="13"/>
  <c r="AZ666" i="13"/>
  <c r="Z666" i="13"/>
  <c r="AI666" i="13"/>
  <c r="AS666" i="13"/>
  <c r="AY666" i="13"/>
  <c r="Y666" i="13"/>
  <c r="AH666" i="13"/>
  <c r="AR666" i="13"/>
  <c r="AX666" i="13"/>
  <c r="X666" i="13"/>
  <c r="AG666" i="13"/>
  <c r="AQ666" i="13"/>
  <c r="AW666" i="13"/>
  <c r="W666" i="13"/>
  <c r="AF666" i="13"/>
  <c r="AP666" i="13"/>
  <c r="AV666" i="13"/>
  <c r="AE666" i="13" l="1"/>
  <c r="AN666" i="13"/>
  <c r="AM666" i="13"/>
  <c r="AD666" i="13"/>
  <c r="AC666" i="13" s="1"/>
  <c r="AL666" i="13"/>
  <c r="BB666" i="13"/>
  <c r="BJ666" i="13"/>
  <c r="BL667" i="13"/>
  <c r="BI666" i="13"/>
  <c r="BK666" i="13"/>
  <c r="BC665" i="13"/>
  <c r="BD665" i="13"/>
  <c r="BE665" i="13"/>
  <c r="BF665" i="13"/>
  <c r="BG665" i="13"/>
  <c r="BH665" i="13"/>
  <c r="U665" i="13"/>
  <c r="AB665" i="13"/>
  <c r="AK665" i="13"/>
  <c r="AO665" i="13"/>
  <c r="AU665" i="13"/>
  <c r="BA665" i="13"/>
  <c r="AA665" i="13"/>
  <c r="AJ665" i="13"/>
  <c r="AT665" i="13"/>
  <c r="AZ665" i="13"/>
  <c r="Z665" i="13"/>
  <c r="AI665" i="13"/>
  <c r="AS665" i="13"/>
  <c r="AY665" i="13"/>
  <c r="Y665" i="13"/>
  <c r="AH665" i="13"/>
  <c r="AR665" i="13"/>
  <c r="AX665" i="13"/>
  <c r="X665" i="13"/>
  <c r="AG665" i="13"/>
  <c r="AN665" i="13" s="1"/>
  <c r="AQ665" i="13"/>
  <c r="AW665" i="13"/>
  <c r="W665" i="13"/>
  <c r="AF665" i="13"/>
  <c r="AP665" i="13"/>
  <c r="AV665" i="13"/>
  <c r="AM665" i="13" l="1"/>
  <c r="AL665" i="13" s="1"/>
  <c r="AE665" i="13"/>
  <c r="AD665" i="13"/>
  <c r="AC665" i="13" s="1"/>
  <c r="BB665" i="13"/>
  <c r="BL666" i="13"/>
  <c r="BK665" i="13"/>
  <c r="BJ665" i="13"/>
  <c r="BI665" i="13"/>
  <c r="W664" i="13"/>
  <c r="X664" i="13"/>
  <c r="Y664" i="13"/>
  <c r="Z664" i="13"/>
  <c r="AA664" i="13"/>
  <c r="AB664" i="13"/>
  <c r="AF664" i="13"/>
  <c r="AG664" i="13"/>
  <c r="AM664" i="13" s="1"/>
  <c r="AH664" i="13"/>
  <c r="AI664" i="13"/>
  <c r="AJ664" i="13"/>
  <c r="AK664" i="13"/>
  <c r="AO664" i="13"/>
  <c r="AP664" i="13"/>
  <c r="AQ664" i="13"/>
  <c r="AR664" i="13"/>
  <c r="AS664" i="13"/>
  <c r="AT664" i="13"/>
  <c r="AU664" i="13"/>
  <c r="AV664" i="13"/>
  <c r="AW664" i="13"/>
  <c r="AX664" i="13"/>
  <c r="AY664" i="13"/>
  <c r="AZ664" i="13"/>
  <c r="BA664" i="13"/>
  <c r="BC664" i="13"/>
  <c r="BD664" i="13"/>
  <c r="BE664" i="13"/>
  <c r="BF664" i="13"/>
  <c r="BG664" i="13"/>
  <c r="BH664" i="13"/>
  <c r="BC663" i="13"/>
  <c r="BD663" i="13"/>
  <c r="BE663" i="13"/>
  <c r="BF663" i="13"/>
  <c r="BG663" i="13"/>
  <c r="BH663" i="13"/>
  <c r="U664" i="13"/>
  <c r="U663" i="13"/>
  <c r="AB663" i="13"/>
  <c r="AK663" i="13"/>
  <c r="AO663" i="13"/>
  <c r="AU663" i="13"/>
  <c r="BA663" i="13"/>
  <c r="AA663" i="13"/>
  <c r="AJ663" i="13"/>
  <c r="AT663" i="13"/>
  <c r="AZ663" i="13"/>
  <c r="Z663" i="13"/>
  <c r="AI663" i="13"/>
  <c r="AS663" i="13"/>
  <c r="AY663" i="13"/>
  <c r="Y663" i="13"/>
  <c r="AH663" i="13"/>
  <c r="AR663" i="13"/>
  <c r="AX663" i="13"/>
  <c r="X663" i="13"/>
  <c r="AG663" i="13"/>
  <c r="AQ663" i="13"/>
  <c r="AW663" i="13"/>
  <c r="W663" i="13"/>
  <c r="AF663" i="13"/>
  <c r="AP663" i="13"/>
  <c r="AV663" i="13"/>
  <c r="AD664" i="13" l="1"/>
  <c r="AM663" i="13"/>
  <c r="AN663" i="13"/>
  <c r="AD663" i="13"/>
  <c r="AN664" i="13"/>
  <c r="AL664" i="13" s="1"/>
  <c r="AE664" i="13"/>
  <c r="AC664" i="13" s="1"/>
  <c r="BB663" i="13"/>
  <c r="BB664" i="13"/>
  <c r="AE663" i="13"/>
  <c r="BK664" i="13"/>
  <c r="AL663" i="13"/>
  <c r="BL665" i="13"/>
  <c r="BK663" i="13"/>
  <c r="BI663" i="13"/>
  <c r="BJ663" i="13"/>
  <c r="BI664" i="13"/>
  <c r="BJ664" i="13"/>
  <c r="BC662" i="13"/>
  <c r="BD662" i="13"/>
  <c r="BE662" i="13"/>
  <c r="BF662" i="13"/>
  <c r="BG662" i="13"/>
  <c r="BH662" i="13"/>
  <c r="U662" i="13"/>
  <c r="AB662" i="13"/>
  <c r="AK662" i="13"/>
  <c r="AO662" i="13"/>
  <c r="AU662" i="13"/>
  <c r="BA662" i="13"/>
  <c r="AA662" i="13"/>
  <c r="AJ662" i="13"/>
  <c r="AT662" i="13"/>
  <c r="AZ662" i="13"/>
  <c r="Z662" i="13"/>
  <c r="AI662" i="13"/>
  <c r="AS662" i="13"/>
  <c r="AY662" i="13"/>
  <c r="Y662" i="13"/>
  <c r="AH662" i="13"/>
  <c r="AR662" i="13"/>
  <c r="AX662" i="13"/>
  <c r="X662" i="13"/>
  <c r="AG662" i="13"/>
  <c r="AQ662" i="13"/>
  <c r="AW662" i="13"/>
  <c r="W662" i="13"/>
  <c r="AD662" i="13" s="1"/>
  <c r="AF662" i="13"/>
  <c r="AP662" i="13"/>
  <c r="AV662" i="13"/>
  <c r="AC663" i="13" l="1"/>
  <c r="AN662" i="13"/>
  <c r="AM662" i="13"/>
  <c r="AL662" i="13" s="1"/>
  <c r="BB662" i="13"/>
  <c r="AE662" i="13"/>
  <c r="AC662" i="13" s="1"/>
  <c r="BK662" i="13"/>
  <c r="BL663" i="13"/>
  <c r="BL664" i="13"/>
  <c r="BJ662" i="13"/>
  <c r="BI662" i="13"/>
  <c r="BC661" i="13"/>
  <c r="BD661" i="13"/>
  <c r="BE661" i="13"/>
  <c r="BF661" i="13"/>
  <c r="BG661" i="13"/>
  <c r="BH661" i="13"/>
  <c r="U661" i="13"/>
  <c r="AB661" i="13"/>
  <c r="AK661" i="13"/>
  <c r="AO661" i="13"/>
  <c r="AU661" i="13"/>
  <c r="BA661" i="13"/>
  <c r="AA661" i="13"/>
  <c r="AJ661" i="13"/>
  <c r="AT661" i="13"/>
  <c r="AZ661" i="13"/>
  <c r="Z661" i="13"/>
  <c r="AI661" i="13"/>
  <c r="AS661" i="13"/>
  <c r="AY661" i="13"/>
  <c r="Y661" i="13"/>
  <c r="AH661" i="13"/>
  <c r="AR661" i="13"/>
  <c r="AX661" i="13"/>
  <c r="X661" i="13"/>
  <c r="AG661" i="13"/>
  <c r="AQ661" i="13"/>
  <c r="AW661" i="13"/>
  <c r="W661" i="13"/>
  <c r="AF661" i="13"/>
  <c r="AP661" i="13"/>
  <c r="AV661" i="13"/>
  <c r="AN661" i="13" l="1"/>
  <c r="AD661" i="13"/>
  <c r="AM661" i="13"/>
  <c r="BB661" i="13"/>
  <c r="AE661" i="13"/>
  <c r="AC661" i="13" s="1"/>
  <c r="AL661" i="13"/>
  <c r="BL662" i="13"/>
  <c r="BI661" i="13"/>
  <c r="BJ661" i="13"/>
  <c r="BK661" i="13"/>
  <c r="BC660" i="13"/>
  <c r="BD660" i="13"/>
  <c r="BE660" i="13"/>
  <c r="BF660" i="13"/>
  <c r="BG660" i="13"/>
  <c r="BH660" i="13"/>
  <c r="U660" i="13"/>
  <c r="AB660" i="13"/>
  <c r="AK660" i="13"/>
  <c r="AO660" i="13"/>
  <c r="AU660" i="13"/>
  <c r="BA660" i="13"/>
  <c r="AA660" i="13"/>
  <c r="AJ660" i="13"/>
  <c r="AT660" i="13"/>
  <c r="AZ660" i="13"/>
  <c r="Z660" i="13"/>
  <c r="AI660" i="13"/>
  <c r="AS660" i="13"/>
  <c r="AY660" i="13"/>
  <c r="Y660" i="13"/>
  <c r="AH660" i="13"/>
  <c r="AR660" i="13"/>
  <c r="AX660" i="13"/>
  <c r="X660" i="13"/>
  <c r="AG660" i="13"/>
  <c r="AQ660" i="13"/>
  <c r="AW660" i="13"/>
  <c r="W660" i="13"/>
  <c r="AF660" i="13"/>
  <c r="AP660" i="13"/>
  <c r="AV660" i="13"/>
  <c r="AN660" i="13" l="1"/>
  <c r="AD660" i="13"/>
  <c r="AM660" i="13"/>
  <c r="AL660" i="13" s="1"/>
  <c r="BB660" i="13"/>
  <c r="AE660" i="13"/>
  <c r="AC660" i="13" s="1"/>
  <c r="BI660" i="13"/>
  <c r="BJ660" i="13"/>
  <c r="BL661" i="13"/>
  <c r="BK660" i="13"/>
  <c r="BC659" i="13"/>
  <c r="BD659" i="13"/>
  <c r="BE659" i="13"/>
  <c r="BF659" i="13"/>
  <c r="BG659" i="13"/>
  <c r="BH659" i="13"/>
  <c r="U659" i="13"/>
  <c r="AB659" i="13"/>
  <c r="AK659" i="13"/>
  <c r="AO659" i="13"/>
  <c r="AU659" i="13"/>
  <c r="BA659" i="13"/>
  <c r="AA659" i="13"/>
  <c r="AJ659" i="13"/>
  <c r="AT659" i="13"/>
  <c r="AZ659" i="13"/>
  <c r="Z659" i="13"/>
  <c r="AI659" i="13"/>
  <c r="AS659" i="13"/>
  <c r="AY659" i="13"/>
  <c r="Y659" i="13"/>
  <c r="AH659" i="13"/>
  <c r="AR659" i="13"/>
  <c r="AX659" i="13"/>
  <c r="X659" i="13"/>
  <c r="AG659" i="13"/>
  <c r="AQ659" i="13"/>
  <c r="AW659" i="13"/>
  <c r="W659" i="13"/>
  <c r="AF659" i="13"/>
  <c r="AP659" i="13"/>
  <c r="AV659" i="13"/>
  <c r="AN659" i="13" l="1"/>
  <c r="AD659" i="13"/>
  <c r="AM659" i="13"/>
  <c r="AL659" i="13" s="1"/>
  <c r="BB659" i="13"/>
  <c r="AE659" i="13"/>
  <c r="AC659" i="13" s="1"/>
  <c r="BL660" i="13"/>
  <c r="BI659" i="13"/>
  <c r="BK659" i="13"/>
  <c r="BJ659" i="13"/>
  <c r="BC658" i="13"/>
  <c r="BD658" i="13"/>
  <c r="BE658" i="13"/>
  <c r="BF658" i="13"/>
  <c r="BG658" i="13"/>
  <c r="BH658" i="13"/>
  <c r="U658" i="13"/>
  <c r="AB658" i="13"/>
  <c r="AK658" i="13"/>
  <c r="AO658" i="13"/>
  <c r="AU658" i="13"/>
  <c r="BA658" i="13"/>
  <c r="AA658" i="13"/>
  <c r="AJ658" i="13"/>
  <c r="AT658" i="13"/>
  <c r="AZ658" i="13"/>
  <c r="Z658" i="13"/>
  <c r="AI658" i="13"/>
  <c r="AS658" i="13"/>
  <c r="AY658" i="13"/>
  <c r="Y658" i="13"/>
  <c r="AH658" i="13"/>
  <c r="AR658" i="13"/>
  <c r="AX658" i="13"/>
  <c r="X658" i="13"/>
  <c r="AG658" i="13"/>
  <c r="AQ658" i="13"/>
  <c r="AW658" i="13"/>
  <c r="W658" i="13"/>
  <c r="AF658" i="13"/>
  <c r="AP658" i="13"/>
  <c r="AV658" i="13"/>
  <c r="AN658" i="13" l="1"/>
  <c r="AD658" i="13"/>
  <c r="AM658" i="13"/>
  <c r="AL658" i="13" s="1"/>
  <c r="BB658" i="13"/>
  <c r="AE658" i="13"/>
  <c r="AC658" i="13" s="1"/>
  <c r="BK658" i="13"/>
  <c r="BL659" i="13"/>
  <c r="BI658" i="13"/>
  <c r="BJ658" i="13"/>
  <c r="BC657" i="13"/>
  <c r="BD657" i="13"/>
  <c r="BE657" i="13"/>
  <c r="BF657" i="13"/>
  <c r="BG657" i="13"/>
  <c r="BH657" i="13"/>
  <c r="U657" i="13"/>
  <c r="AB657" i="13"/>
  <c r="AK657" i="13"/>
  <c r="AO657" i="13"/>
  <c r="AU657" i="13"/>
  <c r="BA657" i="13"/>
  <c r="AA657" i="13"/>
  <c r="AJ657" i="13"/>
  <c r="AT657" i="13"/>
  <c r="AZ657" i="13"/>
  <c r="Z657" i="13"/>
  <c r="AI657" i="13"/>
  <c r="AS657" i="13"/>
  <c r="AY657" i="13"/>
  <c r="Y657" i="13"/>
  <c r="AH657" i="13"/>
  <c r="AR657" i="13"/>
  <c r="AX657" i="13"/>
  <c r="X657" i="13"/>
  <c r="AG657" i="13"/>
  <c r="AQ657" i="13"/>
  <c r="AW657" i="13"/>
  <c r="W657" i="13"/>
  <c r="AF657" i="13"/>
  <c r="AP657" i="13"/>
  <c r="AV657" i="13"/>
  <c r="AN657" i="13" l="1"/>
  <c r="AD657" i="13"/>
  <c r="AM657" i="13"/>
  <c r="AL657" i="13" s="1"/>
  <c r="BB657" i="13"/>
  <c r="AE657" i="13"/>
  <c r="AC657" i="13" s="1"/>
  <c r="BK657" i="13"/>
  <c r="BJ657" i="13"/>
  <c r="BI657" i="13"/>
  <c r="BL658" i="13"/>
  <c r="BC656" i="13"/>
  <c r="BD656" i="13"/>
  <c r="BE656" i="13"/>
  <c r="BF656" i="13"/>
  <c r="BG656" i="13"/>
  <c r="BH656" i="13"/>
  <c r="U656" i="13"/>
  <c r="AB656" i="13"/>
  <c r="AK656" i="13"/>
  <c r="AO656" i="13"/>
  <c r="AU656" i="13"/>
  <c r="BA656" i="13"/>
  <c r="AA656" i="13"/>
  <c r="AJ656" i="13"/>
  <c r="AT656" i="13"/>
  <c r="AZ656" i="13"/>
  <c r="Z656" i="13"/>
  <c r="AI656" i="13"/>
  <c r="AS656" i="13"/>
  <c r="AY656" i="13"/>
  <c r="Y656" i="13"/>
  <c r="AH656" i="13"/>
  <c r="AR656" i="13"/>
  <c r="AX656" i="13"/>
  <c r="X656" i="13"/>
  <c r="AG656" i="13"/>
  <c r="AQ656" i="13"/>
  <c r="AW656" i="13"/>
  <c r="W656" i="13"/>
  <c r="AF656" i="13"/>
  <c r="AP656" i="13"/>
  <c r="AV656" i="13"/>
  <c r="AM656" i="13" l="1"/>
  <c r="AD656" i="13"/>
  <c r="BB656" i="13"/>
  <c r="AE656" i="13"/>
  <c r="AC656" i="13" s="1"/>
  <c r="AN656" i="13"/>
  <c r="AL656" i="13" s="1"/>
  <c r="BL657" i="13"/>
  <c r="BJ656" i="13"/>
  <c r="BI656" i="13"/>
  <c r="BK656" i="13"/>
  <c r="BC655" i="13"/>
  <c r="BD655" i="13"/>
  <c r="BE655" i="13"/>
  <c r="BF655" i="13"/>
  <c r="BG655" i="13"/>
  <c r="BH655" i="13"/>
  <c r="U655" i="13"/>
  <c r="AB655" i="13"/>
  <c r="AK655" i="13"/>
  <c r="AO655" i="13"/>
  <c r="AU655" i="13"/>
  <c r="BA655" i="13"/>
  <c r="AA655" i="13"/>
  <c r="AJ655" i="13"/>
  <c r="AT655" i="13"/>
  <c r="AZ655" i="13"/>
  <c r="Z655" i="13"/>
  <c r="AI655" i="13"/>
  <c r="AS655" i="13"/>
  <c r="AY655" i="13"/>
  <c r="Y655" i="13"/>
  <c r="AH655" i="13"/>
  <c r="AR655" i="13"/>
  <c r="AX655" i="13"/>
  <c r="X655" i="13"/>
  <c r="AG655" i="13"/>
  <c r="AQ655" i="13"/>
  <c r="AW655" i="13"/>
  <c r="W655" i="13"/>
  <c r="AF655" i="13"/>
  <c r="AP655" i="13"/>
  <c r="AV655" i="13"/>
  <c r="AM655" i="13" l="1"/>
  <c r="AD655" i="13"/>
  <c r="BB655" i="13"/>
  <c r="AE655" i="13"/>
  <c r="AC655" i="13" s="1"/>
  <c r="AN655" i="13"/>
  <c r="AL655" i="13" s="1"/>
  <c r="BI655" i="13"/>
  <c r="BJ655" i="13"/>
  <c r="BL656" i="13"/>
  <c r="BK655" i="13"/>
  <c r="BC654" i="13"/>
  <c r="BD654" i="13"/>
  <c r="BE654" i="13"/>
  <c r="BF654" i="13"/>
  <c r="BG654" i="13"/>
  <c r="BH654" i="13"/>
  <c r="U654" i="13"/>
  <c r="AB654" i="13"/>
  <c r="AK654" i="13"/>
  <c r="AO654" i="13"/>
  <c r="AU654" i="13"/>
  <c r="BA654" i="13"/>
  <c r="AA654" i="13"/>
  <c r="AJ654" i="13"/>
  <c r="AT654" i="13"/>
  <c r="AZ654" i="13"/>
  <c r="Z654" i="13"/>
  <c r="AI654" i="13"/>
  <c r="AS654" i="13"/>
  <c r="AY654" i="13"/>
  <c r="Y654" i="13"/>
  <c r="AH654" i="13"/>
  <c r="AR654" i="13"/>
  <c r="AX654" i="13"/>
  <c r="X654" i="13"/>
  <c r="AG654" i="13"/>
  <c r="AQ654" i="13"/>
  <c r="AW654" i="13"/>
  <c r="W654" i="13"/>
  <c r="AF654" i="13"/>
  <c r="AP654" i="13"/>
  <c r="AV654" i="13"/>
  <c r="AM654" i="13" l="1"/>
  <c r="AD654" i="13"/>
  <c r="BB654" i="13"/>
  <c r="AE654" i="13"/>
  <c r="AC654" i="13" s="1"/>
  <c r="AN654" i="13"/>
  <c r="AL654" i="13" s="1"/>
  <c r="BK654" i="13"/>
  <c r="BL655" i="13"/>
  <c r="BJ654" i="13"/>
  <c r="BI654" i="13"/>
  <c r="BC653" i="13"/>
  <c r="BD653" i="13"/>
  <c r="BE653" i="13"/>
  <c r="BF653" i="13"/>
  <c r="BG653" i="13"/>
  <c r="BH653" i="13"/>
  <c r="U653" i="13"/>
  <c r="AB653" i="13"/>
  <c r="AK653" i="13"/>
  <c r="AO653" i="13"/>
  <c r="AU653" i="13"/>
  <c r="BA653" i="13"/>
  <c r="AA653" i="13"/>
  <c r="AJ653" i="13"/>
  <c r="AT653" i="13"/>
  <c r="AZ653" i="13"/>
  <c r="Z653" i="13"/>
  <c r="AI653" i="13"/>
  <c r="AS653" i="13"/>
  <c r="AY653" i="13"/>
  <c r="Y653" i="13"/>
  <c r="AH653" i="13"/>
  <c r="AR653" i="13"/>
  <c r="AX653" i="13"/>
  <c r="X653" i="13"/>
  <c r="AG653" i="13"/>
  <c r="AQ653" i="13"/>
  <c r="AW653" i="13"/>
  <c r="W653" i="13"/>
  <c r="AF653" i="13"/>
  <c r="AP653" i="13"/>
  <c r="AV653" i="13"/>
  <c r="AM653" i="13" l="1"/>
  <c r="AD653" i="13"/>
  <c r="BB653" i="13"/>
  <c r="AE653" i="13"/>
  <c r="AC653" i="13" s="1"/>
  <c r="AN653" i="13"/>
  <c r="AL653" i="13" s="1"/>
  <c r="BL654" i="13"/>
  <c r="BJ653" i="13"/>
  <c r="BI653" i="13"/>
  <c r="BK653" i="13"/>
  <c r="BC652" i="13"/>
  <c r="BD652" i="13"/>
  <c r="BE652" i="13"/>
  <c r="BF652" i="13"/>
  <c r="BG652" i="13"/>
  <c r="BH652" i="13"/>
  <c r="U652" i="13"/>
  <c r="AB652" i="13"/>
  <c r="AK652" i="13"/>
  <c r="AO652" i="13"/>
  <c r="AU652" i="13"/>
  <c r="BA652" i="13"/>
  <c r="AA652" i="13"/>
  <c r="AJ652" i="13"/>
  <c r="AT652" i="13"/>
  <c r="AZ652" i="13"/>
  <c r="Z652" i="13"/>
  <c r="AI652" i="13"/>
  <c r="AS652" i="13"/>
  <c r="AY652" i="13"/>
  <c r="Y652" i="13"/>
  <c r="AH652" i="13"/>
  <c r="AR652" i="13"/>
  <c r="AX652" i="13"/>
  <c r="X652" i="13"/>
  <c r="AG652" i="13"/>
  <c r="AQ652" i="13"/>
  <c r="AW652" i="13"/>
  <c r="W652" i="13"/>
  <c r="AF652" i="13"/>
  <c r="AP652" i="13"/>
  <c r="AV652" i="13"/>
  <c r="AM652" i="13" l="1"/>
  <c r="AD652" i="13"/>
  <c r="BB652" i="13"/>
  <c r="AE652" i="13"/>
  <c r="AC652" i="13" s="1"/>
  <c r="AN652" i="13"/>
  <c r="AL652" i="13" s="1"/>
  <c r="BI652" i="13"/>
  <c r="BL653" i="13"/>
  <c r="BK652" i="13"/>
  <c r="BJ652" i="13"/>
  <c r="BC651" i="13"/>
  <c r="BD651" i="13"/>
  <c r="BE651" i="13"/>
  <c r="BF651" i="13"/>
  <c r="BG651" i="13"/>
  <c r="BH651" i="13"/>
  <c r="U651" i="13"/>
  <c r="AB651" i="13"/>
  <c r="AK651" i="13"/>
  <c r="AO651" i="13"/>
  <c r="AU651" i="13"/>
  <c r="BA651" i="13"/>
  <c r="AA651" i="13"/>
  <c r="AJ651" i="13"/>
  <c r="AT651" i="13"/>
  <c r="AZ651" i="13"/>
  <c r="Z651" i="13"/>
  <c r="AI651" i="13"/>
  <c r="AS651" i="13"/>
  <c r="AY651" i="13"/>
  <c r="Y651" i="13"/>
  <c r="AH651" i="13"/>
  <c r="AR651" i="13"/>
  <c r="AX651" i="13"/>
  <c r="X651" i="13"/>
  <c r="AG651" i="13"/>
  <c r="AQ651" i="13"/>
  <c r="AW651" i="13"/>
  <c r="W651" i="13"/>
  <c r="AF651" i="13"/>
  <c r="AP651" i="13"/>
  <c r="AV651" i="13"/>
  <c r="AM651" i="13" l="1"/>
  <c r="AD651" i="13"/>
  <c r="BB651" i="13"/>
  <c r="AE651" i="13"/>
  <c r="AC651" i="13" s="1"/>
  <c r="AN651" i="13"/>
  <c r="AL651" i="13" s="1"/>
  <c r="BL652" i="13"/>
  <c r="BK651" i="13"/>
  <c r="BJ651" i="13"/>
  <c r="BI651" i="13"/>
  <c r="BC650" i="13"/>
  <c r="BD650" i="13"/>
  <c r="BE650" i="13"/>
  <c r="BF650" i="13"/>
  <c r="BG650" i="13"/>
  <c r="BH650" i="13"/>
  <c r="U650" i="13"/>
  <c r="AB650" i="13"/>
  <c r="AK650" i="13"/>
  <c r="AO650" i="13"/>
  <c r="AU650" i="13"/>
  <c r="BA650" i="13"/>
  <c r="AA650" i="13"/>
  <c r="AJ650" i="13"/>
  <c r="AT650" i="13"/>
  <c r="AZ650" i="13"/>
  <c r="Z650" i="13"/>
  <c r="AI650" i="13"/>
  <c r="AS650" i="13"/>
  <c r="AY650" i="13"/>
  <c r="Y650" i="13"/>
  <c r="AH650" i="13"/>
  <c r="AR650" i="13"/>
  <c r="AX650" i="13"/>
  <c r="X650" i="13"/>
  <c r="AG650" i="13"/>
  <c r="AQ650" i="13"/>
  <c r="AW650" i="13"/>
  <c r="W650" i="13"/>
  <c r="AF650" i="13"/>
  <c r="AP650" i="13"/>
  <c r="AV650" i="13"/>
  <c r="AD650" i="13" l="1"/>
  <c r="AE650" i="13"/>
  <c r="AN650" i="13"/>
  <c r="AM650" i="13"/>
  <c r="AL650" i="13" s="1"/>
  <c r="BI650" i="13"/>
  <c r="AC650" i="13"/>
  <c r="BB650" i="13"/>
  <c r="BL651" i="13"/>
  <c r="BK650" i="13"/>
  <c r="BJ650" i="13"/>
  <c r="BC649" i="13"/>
  <c r="BD649" i="13"/>
  <c r="BE649" i="13"/>
  <c r="BF649" i="13"/>
  <c r="BG649" i="13"/>
  <c r="BH649" i="13"/>
  <c r="U649" i="13"/>
  <c r="AB649" i="13"/>
  <c r="AK649" i="13"/>
  <c r="AO649" i="13"/>
  <c r="AU649" i="13"/>
  <c r="BA649" i="13"/>
  <c r="AA649" i="13"/>
  <c r="AJ649" i="13"/>
  <c r="AT649" i="13"/>
  <c r="AZ649" i="13"/>
  <c r="Z649" i="13"/>
  <c r="AI649" i="13"/>
  <c r="AS649" i="13"/>
  <c r="AY649" i="13"/>
  <c r="Y649" i="13"/>
  <c r="AH649" i="13"/>
  <c r="AR649" i="13"/>
  <c r="AX649" i="13"/>
  <c r="X649" i="13"/>
  <c r="AG649" i="13"/>
  <c r="AQ649" i="13"/>
  <c r="AW649" i="13"/>
  <c r="W649" i="13"/>
  <c r="AF649" i="13"/>
  <c r="AP649" i="13"/>
  <c r="AV649" i="13"/>
  <c r="AD649" i="13" l="1"/>
  <c r="AM649" i="13"/>
  <c r="AN649" i="13"/>
  <c r="AL649" i="13" s="1"/>
  <c r="AE649" i="13"/>
  <c r="AC649" i="13" s="1"/>
  <c r="BB649" i="13"/>
  <c r="BL650" i="13"/>
  <c r="BI649" i="13"/>
  <c r="BK649" i="13"/>
  <c r="BJ649" i="13"/>
  <c r="BC648" i="13"/>
  <c r="BD648" i="13"/>
  <c r="BE648" i="13"/>
  <c r="BF648" i="13"/>
  <c r="BG648" i="13"/>
  <c r="BH648" i="13"/>
  <c r="U648" i="13"/>
  <c r="AB648" i="13"/>
  <c r="AK648" i="13"/>
  <c r="AO648" i="13"/>
  <c r="AU648" i="13"/>
  <c r="BA648" i="13"/>
  <c r="AA648" i="13"/>
  <c r="AJ648" i="13"/>
  <c r="AT648" i="13"/>
  <c r="AZ648" i="13"/>
  <c r="Z648" i="13"/>
  <c r="AI648" i="13"/>
  <c r="AS648" i="13"/>
  <c r="AY648" i="13"/>
  <c r="Y648" i="13"/>
  <c r="AH648" i="13"/>
  <c r="AR648" i="13"/>
  <c r="AX648" i="13"/>
  <c r="X648" i="13"/>
  <c r="AG648" i="13"/>
  <c r="AQ648" i="13"/>
  <c r="AW648" i="13"/>
  <c r="W648" i="13"/>
  <c r="AF648" i="13"/>
  <c r="AP648" i="13"/>
  <c r="AV648" i="13"/>
  <c r="AN648" i="13" l="1"/>
  <c r="AE648" i="13"/>
  <c r="AM648" i="13"/>
  <c r="AL648" i="13" s="1"/>
  <c r="AD648" i="13"/>
  <c r="AC648" i="13" s="1"/>
  <c r="BB648" i="13"/>
  <c r="BL649" i="13"/>
  <c r="BI648" i="13"/>
  <c r="BK648" i="13"/>
  <c r="BJ648" i="13"/>
  <c r="BC647" i="13"/>
  <c r="BD647" i="13"/>
  <c r="BE647" i="13"/>
  <c r="BF647" i="13"/>
  <c r="BG647" i="13"/>
  <c r="BH647" i="13"/>
  <c r="U647" i="13"/>
  <c r="AB647" i="13"/>
  <c r="AK647" i="13"/>
  <c r="AO647" i="13"/>
  <c r="AU647" i="13"/>
  <c r="BA647" i="13"/>
  <c r="AA647" i="13"/>
  <c r="AJ647" i="13"/>
  <c r="AT647" i="13"/>
  <c r="AZ647" i="13"/>
  <c r="Z647" i="13"/>
  <c r="AI647" i="13"/>
  <c r="AS647" i="13"/>
  <c r="AY647" i="13"/>
  <c r="Y647" i="13"/>
  <c r="AH647" i="13"/>
  <c r="AR647" i="13"/>
  <c r="AX647" i="13"/>
  <c r="X647" i="13"/>
  <c r="AG647" i="13"/>
  <c r="AQ647" i="13"/>
  <c r="AW647" i="13"/>
  <c r="W647" i="13"/>
  <c r="AF647" i="13"/>
  <c r="AP647" i="13"/>
  <c r="AV647" i="13"/>
  <c r="AM647" i="13" l="1"/>
  <c r="AE647" i="13"/>
  <c r="AN647" i="13"/>
  <c r="AL647" i="13" s="1"/>
  <c r="AD647" i="13"/>
  <c r="AC647" i="13" s="1"/>
  <c r="BB647" i="13"/>
  <c r="BK647" i="13"/>
  <c r="BL648" i="13"/>
  <c r="BI647" i="13"/>
  <c r="BJ647" i="13"/>
  <c r="BC646" i="13"/>
  <c r="BD646" i="13"/>
  <c r="BE646" i="13"/>
  <c r="BF646" i="13"/>
  <c r="BG646" i="13"/>
  <c r="BH646" i="13"/>
  <c r="U646" i="13"/>
  <c r="AB646" i="13"/>
  <c r="AK646" i="13"/>
  <c r="AO646" i="13"/>
  <c r="AU646" i="13"/>
  <c r="BA646" i="13"/>
  <c r="AA646" i="13"/>
  <c r="AJ646" i="13"/>
  <c r="AT646" i="13"/>
  <c r="AZ646" i="13"/>
  <c r="Z646" i="13"/>
  <c r="AI646" i="13"/>
  <c r="AS646" i="13"/>
  <c r="AY646" i="13"/>
  <c r="Y646" i="13"/>
  <c r="AH646" i="13"/>
  <c r="AR646" i="13"/>
  <c r="AX646" i="13"/>
  <c r="X646" i="13"/>
  <c r="AG646" i="13"/>
  <c r="AQ646" i="13"/>
  <c r="AW646" i="13"/>
  <c r="W646" i="13"/>
  <c r="AF646" i="13"/>
  <c r="AP646" i="13"/>
  <c r="AV646" i="13"/>
  <c r="AN646" i="13" l="1"/>
  <c r="AD646" i="13"/>
  <c r="AM646" i="13"/>
  <c r="AL646" i="13" s="1"/>
  <c r="BB646" i="13"/>
  <c r="AE646" i="13"/>
  <c r="BK646" i="13"/>
  <c r="BJ646" i="13"/>
  <c r="BL647" i="13"/>
  <c r="BI646" i="13"/>
  <c r="BC645" i="13"/>
  <c r="BD645" i="13"/>
  <c r="BE645" i="13"/>
  <c r="BF645" i="13"/>
  <c r="BG645" i="13"/>
  <c r="BH645" i="13"/>
  <c r="U645" i="13"/>
  <c r="AB645" i="13"/>
  <c r="AK645" i="13"/>
  <c r="AO645" i="13"/>
  <c r="AU645" i="13"/>
  <c r="BA645" i="13"/>
  <c r="AA645" i="13"/>
  <c r="AJ645" i="13"/>
  <c r="AT645" i="13"/>
  <c r="AZ645" i="13"/>
  <c r="Z645" i="13"/>
  <c r="AI645" i="13"/>
  <c r="AS645" i="13"/>
  <c r="AY645" i="13"/>
  <c r="Y645" i="13"/>
  <c r="AH645" i="13"/>
  <c r="AR645" i="13"/>
  <c r="AX645" i="13"/>
  <c r="X645" i="13"/>
  <c r="AG645" i="13"/>
  <c r="AQ645" i="13"/>
  <c r="AW645" i="13"/>
  <c r="W645" i="13"/>
  <c r="AF645" i="13"/>
  <c r="AP645" i="13"/>
  <c r="AV645" i="13"/>
  <c r="BC644" i="13"/>
  <c r="BD644" i="13"/>
  <c r="BE644" i="13"/>
  <c r="BF644" i="13"/>
  <c r="BG644" i="13"/>
  <c r="BH644" i="13"/>
  <c r="U644" i="13"/>
  <c r="AB644" i="13"/>
  <c r="AK644" i="13"/>
  <c r="AO644" i="13"/>
  <c r="AU644" i="13"/>
  <c r="BA644" i="13"/>
  <c r="AA644" i="13"/>
  <c r="AJ644" i="13"/>
  <c r="AT644" i="13"/>
  <c r="AZ644" i="13"/>
  <c r="Z644" i="13"/>
  <c r="AI644" i="13"/>
  <c r="AS644" i="13"/>
  <c r="AY644" i="13"/>
  <c r="Y644" i="13"/>
  <c r="AH644" i="13"/>
  <c r="AR644" i="13"/>
  <c r="AX644" i="13"/>
  <c r="X644" i="13"/>
  <c r="AG644" i="13"/>
  <c r="AQ644" i="13"/>
  <c r="AW644" i="13"/>
  <c r="W644" i="13"/>
  <c r="AF644" i="13"/>
  <c r="AP644" i="13"/>
  <c r="AV644" i="13"/>
  <c r="AM644" i="13" l="1"/>
  <c r="AE644" i="13"/>
  <c r="AN645" i="13"/>
  <c r="AC646" i="13"/>
  <c r="AD645" i="13"/>
  <c r="AM645" i="13"/>
  <c r="AL645" i="13" s="1"/>
  <c r="BB645" i="13"/>
  <c r="AE645" i="13"/>
  <c r="AC645" i="13" s="1"/>
  <c r="BL646" i="13"/>
  <c r="BI645" i="13"/>
  <c r="BK645" i="13"/>
  <c r="BK644" i="13"/>
  <c r="BI644" i="13"/>
  <c r="BJ645" i="13"/>
  <c r="BJ644" i="13"/>
  <c r="AN644" i="13"/>
  <c r="AL644" i="13" s="1"/>
  <c r="AD644" i="13"/>
  <c r="AC644" i="13" s="1"/>
  <c r="BB644" i="13"/>
  <c r="BC643" i="13"/>
  <c r="BD643" i="13"/>
  <c r="BE643" i="13"/>
  <c r="BF643" i="13"/>
  <c r="BG643" i="13"/>
  <c r="BH643" i="13"/>
  <c r="U643" i="13"/>
  <c r="AB643" i="13"/>
  <c r="AK643" i="13"/>
  <c r="AO643" i="13"/>
  <c r="AU643" i="13"/>
  <c r="BA643" i="13"/>
  <c r="AA643" i="13"/>
  <c r="AJ643" i="13"/>
  <c r="AT643" i="13"/>
  <c r="AZ643" i="13"/>
  <c r="Z643" i="13"/>
  <c r="AI643" i="13"/>
  <c r="AS643" i="13"/>
  <c r="AY643" i="13"/>
  <c r="Y643" i="13"/>
  <c r="AH643" i="13"/>
  <c r="AR643" i="13"/>
  <c r="AX643" i="13"/>
  <c r="X643" i="13"/>
  <c r="AG643" i="13"/>
  <c r="AQ643" i="13"/>
  <c r="AW643" i="13"/>
  <c r="W643" i="13"/>
  <c r="AF643" i="13"/>
  <c r="AP643" i="13"/>
  <c r="AV643" i="13"/>
  <c r="BC642" i="13"/>
  <c r="BD642" i="13"/>
  <c r="BE642" i="13"/>
  <c r="BF642" i="13"/>
  <c r="BG642" i="13"/>
  <c r="BH642" i="13"/>
  <c r="U642" i="13"/>
  <c r="AB642" i="13"/>
  <c r="AK642" i="13"/>
  <c r="AO642" i="13"/>
  <c r="AU642" i="13"/>
  <c r="BA642" i="13"/>
  <c r="AA642" i="13"/>
  <c r="AJ642" i="13"/>
  <c r="AT642" i="13"/>
  <c r="AZ642" i="13"/>
  <c r="Z642" i="13"/>
  <c r="AI642" i="13"/>
  <c r="AS642" i="13"/>
  <c r="AY642" i="13"/>
  <c r="Y642" i="13"/>
  <c r="AH642" i="13"/>
  <c r="AR642" i="13"/>
  <c r="AX642" i="13"/>
  <c r="X642" i="13"/>
  <c r="AG642" i="13"/>
  <c r="AQ642" i="13"/>
  <c r="AW642" i="13"/>
  <c r="W642" i="13"/>
  <c r="AF642" i="13"/>
  <c r="AP642" i="13"/>
  <c r="AV642" i="13"/>
  <c r="BB642" i="13" l="1"/>
  <c r="AN642" i="13"/>
  <c r="AN643" i="13"/>
  <c r="AE642" i="13"/>
  <c r="AD643" i="13"/>
  <c r="AM643" i="13"/>
  <c r="BL645" i="13"/>
  <c r="BL644" i="13"/>
  <c r="BJ643" i="13"/>
  <c r="AL643" i="13"/>
  <c r="BB643" i="13"/>
  <c r="BI643" i="13"/>
  <c r="AE643" i="13"/>
  <c r="AC643" i="13" s="1"/>
  <c r="BK643" i="13"/>
  <c r="BI642" i="13"/>
  <c r="BK642" i="13"/>
  <c r="BJ642" i="13"/>
  <c r="AD642" i="13"/>
  <c r="AM642" i="13"/>
  <c r="AL642" i="13" s="1"/>
  <c r="BC641" i="13"/>
  <c r="BD641" i="13"/>
  <c r="BE641" i="13"/>
  <c r="BF641" i="13"/>
  <c r="BG641" i="13"/>
  <c r="BH641" i="13"/>
  <c r="U641" i="13"/>
  <c r="AB641" i="13"/>
  <c r="AK641" i="13"/>
  <c r="AO641" i="13"/>
  <c r="AU641" i="13"/>
  <c r="BA641" i="13"/>
  <c r="AA641" i="13"/>
  <c r="AJ641" i="13"/>
  <c r="AT641" i="13"/>
  <c r="AZ641" i="13"/>
  <c r="Z641" i="13"/>
  <c r="AI641" i="13"/>
  <c r="AS641" i="13"/>
  <c r="AY641" i="13"/>
  <c r="Y641" i="13"/>
  <c r="AH641" i="13"/>
  <c r="AR641" i="13"/>
  <c r="AX641" i="13"/>
  <c r="X641" i="13"/>
  <c r="AG641" i="13"/>
  <c r="AQ641" i="13"/>
  <c r="AW641" i="13"/>
  <c r="W641" i="13"/>
  <c r="AF641" i="13"/>
  <c r="AP641" i="13"/>
  <c r="AV641" i="13"/>
  <c r="AC642" i="13" l="1"/>
  <c r="AN641" i="13"/>
  <c r="BL643" i="13"/>
  <c r="AD641" i="13"/>
  <c r="BK641" i="13"/>
  <c r="BL642" i="13"/>
  <c r="BB641" i="13"/>
  <c r="AM641" i="13"/>
  <c r="AL641" i="13" s="1"/>
  <c r="AE641" i="13"/>
  <c r="AC641" i="13" s="1"/>
  <c r="BJ641" i="13"/>
  <c r="BI641" i="13"/>
  <c r="BC640" i="13"/>
  <c r="BD640" i="13"/>
  <c r="BE640" i="13"/>
  <c r="BF640" i="13"/>
  <c r="BG640" i="13"/>
  <c r="BH640" i="13"/>
  <c r="U640" i="13"/>
  <c r="AB640" i="13"/>
  <c r="AK640" i="13"/>
  <c r="AO640" i="13"/>
  <c r="AU640" i="13"/>
  <c r="BA640" i="13"/>
  <c r="AA640" i="13"/>
  <c r="AJ640" i="13"/>
  <c r="AT640" i="13"/>
  <c r="AZ640" i="13"/>
  <c r="Z640" i="13"/>
  <c r="AI640" i="13"/>
  <c r="AS640" i="13"/>
  <c r="AY640" i="13"/>
  <c r="Y640" i="13"/>
  <c r="AH640" i="13"/>
  <c r="AR640" i="13"/>
  <c r="AX640" i="13"/>
  <c r="X640" i="13"/>
  <c r="AG640" i="13"/>
  <c r="AQ640" i="13"/>
  <c r="AW640" i="13"/>
  <c r="W640" i="13"/>
  <c r="AF640" i="13"/>
  <c r="AP640" i="13"/>
  <c r="AV640" i="13"/>
  <c r="AM640" i="13" l="1"/>
  <c r="AE640" i="13"/>
  <c r="BL641" i="13"/>
  <c r="AN640" i="13"/>
  <c r="AL640" i="13" s="1"/>
  <c r="BK640" i="13"/>
  <c r="AD640" i="13"/>
  <c r="AC640" i="13" s="1"/>
  <c r="BB640" i="13"/>
  <c r="BJ640" i="13"/>
  <c r="BI640" i="13"/>
  <c r="BC639" i="13"/>
  <c r="BD639" i="13"/>
  <c r="BE639" i="13"/>
  <c r="BF639" i="13"/>
  <c r="BG639" i="13"/>
  <c r="BH639" i="13"/>
  <c r="U639" i="13"/>
  <c r="AB639" i="13"/>
  <c r="AK639" i="13"/>
  <c r="AO639" i="13"/>
  <c r="AU639" i="13"/>
  <c r="BA639" i="13"/>
  <c r="AA639" i="13"/>
  <c r="AJ639" i="13"/>
  <c r="AT639" i="13"/>
  <c r="AZ639" i="13"/>
  <c r="Z639" i="13"/>
  <c r="AI639" i="13"/>
  <c r="AS639" i="13"/>
  <c r="AY639" i="13"/>
  <c r="Y639" i="13"/>
  <c r="AH639" i="13"/>
  <c r="AR639" i="13"/>
  <c r="AX639" i="13"/>
  <c r="X639" i="13"/>
  <c r="AG639" i="13"/>
  <c r="AQ639" i="13"/>
  <c r="AW639" i="13"/>
  <c r="W639" i="13"/>
  <c r="AF639" i="13"/>
  <c r="AP639" i="13"/>
  <c r="AV639" i="13"/>
  <c r="AE639" i="13" l="1"/>
  <c r="AN639" i="13"/>
  <c r="AD639" i="13"/>
  <c r="AC639" i="13" s="1"/>
  <c r="BB639" i="13"/>
  <c r="AM639" i="13"/>
  <c r="AL639" i="13" s="1"/>
  <c r="BL640" i="13"/>
  <c r="BI639" i="13"/>
  <c r="BK639" i="13"/>
  <c r="BJ639" i="13"/>
  <c r="BC638" i="13"/>
  <c r="BD638" i="13"/>
  <c r="BE638" i="13"/>
  <c r="BF638" i="13"/>
  <c r="BG638" i="13"/>
  <c r="BH638" i="13"/>
  <c r="U638" i="13"/>
  <c r="AB638" i="13"/>
  <c r="AK638" i="13"/>
  <c r="AO638" i="13"/>
  <c r="AU638" i="13"/>
  <c r="BA638" i="13"/>
  <c r="AA638" i="13"/>
  <c r="AJ638" i="13"/>
  <c r="AT638" i="13"/>
  <c r="AZ638" i="13"/>
  <c r="Z638" i="13"/>
  <c r="AI638" i="13"/>
  <c r="AS638" i="13"/>
  <c r="AY638" i="13"/>
  <c r="Y638" i="13"/>
  <c r="AH638" i="13"/>
  <c r="AR638" i="13"/>
  <c r="AX638" i="13"/>
  <c r="X638" i="13"/>
  <c r="AG638" i="13"/>
  <c r="AQ638" i="13"/>
  <c r="AW638" i="13"/>
  <c r="W638" i="13"/>
  <c r="AF638" i="13"/>
  <c r="AP638" i="13"/>
  <c r="AV638" i="13"/>
  <c r="AM638" i="13" l="1"/>
  <c r="AN638" i="13"/>
  <c r="AE638" i="13"/>
  <c r="BL639" i="13"/>
  <c r="AD638" i="13"/>
  <c r="AL638" i="13"/>
  <c r="BK638" i="13"/>
  <c r="BB638" i="13"/>
  <c r="BJ638" i="13"/>
  <c r="BI638" i="13"/>
  <c r="BC637" i="13"/>
  <c r="BD637" i="13"/>
  <c r="BE637" i="13"/>
  <c r="BF637" i="13"/>
  <c r="BG637" i="13"/>
  <c r="BH637" i="13"/>
  <c r="U637" i="13"/>
  <c r="AB637" i="13"/>
  <c r="AK637" i="13"/>
  <c r="AO637" i="13"/>
  <c r="AU637" i="13"/>
  <c r="BA637" i="13"/>
  <c r="AA637" i="13"/>
  <c r="AJ637" i="13"/>
  <c r="AT637" i="13"/>
  <c r="AZ637" i="13"/>
  <c r="Z637" i="13"/>
  <c r="AI637" i="13"/>
  <c r="AS637" i="13"/>
  <c r="AY637" i="13"/>
  <c r="Y637" i="13"/>
  <c r="AH637" i="13"/>
  <c r="AR637" i="13"/>
  <c r="AX637" i="13"/>
  <c r="X637" i="13"/>
  <c r="AG637" i="13"/>
  <c r="AQ637" i="13"/>
  <c r="AW637" i="13"/>
  <c r="W637" i="13"/>
  <c r="AF637" i="13"/>
  <c r="AP637" i="13"/>
  <c r="AV637" i="13"/>
  <c r="AD637" i="13" l="1"/>
  <c r="AN637" i="13"/>
  <c r="AM637" i="13"/>
  <c r="AL637" i="13" s="1"/>
  <c r="AC638" i="13"/>
  <c r="AE637" i="13"/>
  <c r="AC637" i="13" s="1"/>
  <c r="BB637" i="13"/>
  <c r="BL638" i="13"/>
  <c r="BJ637" i="13"/>
  <c r="BK637" i="13"/>
  <c r="BI637" i="13"/>
  <c r="BC636" i="13"/>
  <c r="BD636" i="13"/>
  <c r="BE636" i="13"/>
  <c r="BF636" i="13"/>
  <c r="BG636" i="13"/>
  <c r="BH636" i="13"/>
  <c r="U636" i="13"/>
  <c r="AB636" i="13"/>
  <c r="AK636" i="13"/>
  <c r="AO636" i="13"/>
  <c r="AU636" i="13"/>
  <c r="BA636" i="13"/>
  <c r="AA636" i="13"/>
  <c r="AJ636" i="13"/>
  <c r="AT636" i="13"/>
  <c r="AZ636" i="13"/>
  <c r="Z636" i="13"/>
  <c r="AI636" i="13"/>
  <c r="AS636" i="13"/>
  <c r="AY636" i="13"/>
  <c r="Y636" i="13"/>
  <c r="AH636" i="13"/>
  <c r="AR636" i="13"/>
  <c r="AX636" i="13"/>
  <c r="X636" i="13"/>
  <c r="AG636" i="13"/>
  <c r="AQ636" i="13"/>
  <c r="AW636" i="13"/>
  <c r="W636" i="13"/>
  <c r="AF636" i="13"/>
  <c r="AP636" i="13"/>
  <c r="AV636" i="13"/>
  <c r="AM636" i="13" l="1"/>
  <c r="AE636" i="13"/>
  <c r="AN636" i="13"/>
  <c r="AL636" i="13" s="1"/>
  <c r="BB636" i="13"/>
  <c r="AD636" i="13"/>
  <c r="BL637" i="13"/>
  <c r="BK636" i="13"/>
  <c r="BI636" i="13"/>
  <c r="BJ636" i="13"/>
  <c r="BC635" i="13"/>
  <c r="BD635" i="13"/>
  <c r="BE635" i="13"/>
  <c r="BF635" i="13"/>
  <c r="BG635" i="13"/>
  <c r="BH635" i="13"/>
  <c r="U635" i="13"/>
  <c r="AB635" i="13"/>
  <c r="AK635" i="13"/>
  <c r="AO635" i="13"/>
  <c r="AU635" i="13"/>
  <c r="BA635" i="13"/>
  <c r="AA635" i="13"/>
  <c r="AJ635" i="13"/>
  <c r="AT635" i="13"/>
  <c r="AZ635" i="13"/>
  <c r="Z635" i="13"/>
  <c r="AI635" i="13"/>
  <c r="AS635" i="13"/>
  <c r="AY635" i="13"/>
  <c r="Y635" i="13"/>
  <c r="AH635" i="13"/>
  <c r="AR635" i="13"/>
  <c r="AX635" i="13"/>
  <c r="X635" i="13"/>
  <c r="AG635" i="13"/>
  <c r="AQ635" i="13"/>
  <c r="AW635" i="13"/>
  <c r="W635" i="13"/>
  <c r="AF635" i="13"/>
  <c r="AP635" i="13"/>
  <c r="AV635" i="13"/>
  <c r="AM635" i="13" l="1"/>
  <c r="AD635" i="13"/>
  <c r="AE635" i="13"/>
  <c r="AC635" i="13" s="1"/>
  <c r="AC636" i="13"/>
  <c r="BB635" i="13"/>
  <c r="AN635" i="13"/>
  <c r="AL635" i="13" s="1"/>
  <c r="BL636" i="13"/>
  <c r="BK635" i="13"/>
  <c r="BI635" i="13"/>
  <c r="BJ635" i="13"/>
  <c r="BC634" i="13"/>
  <c r="BD634" i="13"/>
  <c r="BE634" i="13"/>
  <c r="BF634" i="13"/>
  <c r="BG634" i="13"/>
  <c r="BH634" i="13"/>
  <c r="U634" i="13"/>
  <c r="AB634" i="13"/>
  <c r="AK634" i="13"/>
  <c r="AO634" i="13"/>
  <c r="AU634" i="13"/>
  <c r="BA634" i="13"/>
  <c r="AA634" i="13"/>
  <c r="AJ634" i="13"/>
  <c r="AT634" i="13"/>
  <c r="AZ634" i="13"/>
  <c r="Z634" i="13"/>
  <c r="AI634" i="13"/>
  <c r="AS634" i="13"/>
  <c r="AY634" i="13"/>
  <c r="Y634" i="13"/>
  <c r="AH634" i="13"/>
  <c r="AR634" i="13"/>
  <c r="AX634" i="13"/>
  <c r="X634" i="13"/>
  <c r="AG634" i="13"/>
  <c r="AQ634" i="13"/>
  <c r="AW634" i="13"/>
  <c r="W634" i="13"/>
  <c r="AF634" i="13"/>
  <c r="AP634" i="13"/>
  <c r="AV634" i="13"/>
  <c r="AE634" i="13" l="1"/>
  <c r="AN634" i="13"/>
  <c r="AM634" i="13"/>
  <c r="AL634" i="13" s="1"/>
  <c r="AD634" i="13"/>
  <c r="AC634" i="13" s="1"/>
  <c r="BB634" i="13"/>
  <c r="BL635" i="13"/>
  <c r="BI634" i="13"/>
  <c r="BK634" i="13"/>
  <c r="BJ634" i="13"/>
  <c r="BC633" i="13"/>
  <c r="BD633" i="13"/>
  <c r="BE633" i="13"/>
  <c r="BF633" i="13"/>
  <c r="BG633" i="13"/>
  <c r="BH633" i="13"/>
  <c r="U633" i="13"/>
  <c r="AB633" i="13"/>
  <c r="AK633" i="13"/>
  <c r="AO633" i="13"/>
  <c r="AU633" i="13"/>
  <c r="BA633" i="13"/>
  <c r="AA633" i="13"/>
  <c r="AJ633" i="13"/>
  <c r="AT633" i="13"/>
  <c r="AZ633" i="13"/>
  <c r="Z633" i="13"/>
  <c r="AI633" i="13"/>
  <c r="AS633" i="13"/>
  <c r="AY633" i="13"/>
  <c r="Y633" i="13"/>
  <c r="AH633" i="13"/>
  <c r="AR633" i="13"/>
  <c r="AX633" i="13"/>
  <c r="X633" i="13"/>
  <c r="AG633" i="13"/>
  <c r="AQ633" i="13"/>
  <c r="AW633" i="13"/>
  <c r="W633" i="13"/>
  <c r="AF633" i="13"/>
  <c r="AP633" i="13"/>
  <c r="AV633" i="13"/>
  <c r="AM633" i="13" l="1"/>
  <c r="AE633" i="13"/>
  <c r="AN633" i="13"/>
  <c r="AL633" i="13" s="1"/>
  <c r="AD633" i="13"/>
  <c r="AC633" i="13" s="1"/>
  <c r="BB633" i="13"/>
  <c r="BL634" i="13"/>
  <c r="BJ633" i="13"/>
  <c r="BI633" i="13"/>
  <c r="BK633" i="13"/>
  <c r="Q44" i="10"/>
  <c r="BC632" i="13"/>
  <c r="BD632" i="13"/>
  <c r="BE632" i="13"/>
  <c r="BF632" i="13"/>
  <c r="BG632" i="13"/>
  <c r="BH632" i="13"/>
  <c r="U632" i="13"/>
  <c r="AB632" i="13"/>
  <c r="AK632" i="13"/>
  <c r="AO632" i="13"/>
  <c r="AU632" i="13"/>
  <c r="BA632" i="13"/>
  <c r="AA632" i="13"/>
  <c r="AJ632" i="13"/>
  <c r="AT632" i="13"/>
  <c r="AZ632" i="13"/>
  <c r="Z632" i="13"/>
  <c r="AI632" i="13"/>
  <c r="AS632" i="13"/>
  <c r="AY632" i="13"/>
  <c r="Y632" i="13"/>
  <c r="AH632" i="13"/>
  <c r="AR632" i="13"/>
  <c r="AX632" i="13"/>
  <c r="X632" i="13"/>
  <c r="AG632" i="13"/>
  <c r="AQ632" i="13"/>
  <c r="AW632" i="13"/>
  <c r="W632" i="13"/>
  <c r="AF632" i="13"/>
  <c r="AP632" i="13"/>
  <c r="AV632" i="13"/>
  <c r="AE632" i="13" l="1"/>
  <c r="AN632" i="13"/>
  <c r="AM632" i="13"/>
  <c r="AL632" i="13" s="1"/>
  <c r="AD632" i="13"/>
  <c r="AC632" i="13" s="1"/>
  <c r="BB632" i="13"/>
  <c r="BK632" i="13"/>
  <c r="BL633" i="13"/>
  <c r="BJ632" i="13"/>
  <c r="BI632" i="13"/>
  <c r="BC631" i="13"/>
  <c r="BD631" i="13"/>
  <c r="BE631" i="13"/>
  <c r="BF631" i="13"/>
  <c r="BG631" i="13"/>
  <c r="BH631" i="13"/>
  <c r="U631" i="13"/>
  <c r="AB631" i="13"/>
  <c r="AK631" i="13"/>
  <c r="AO631" i="13"/>
  <c r="AU631" i="13"/>
  <c r="BA631" i="13"/>
  <c r="AA631" i="13"/>
  <c r="AJ631" i="13"/>
  <c r="AT631" i="13"/>
  <c r="AZ631" i="13"/>
  <c r="Z631" i="13"/>
  <c r="AI631" i="13"/>
  <c r="AS631" i="13"/>
  <c r="AY631" i="13"/>
  <c r="Y631" i="13"/>
  <c r="AH631" i="13"/>
  <c r="AR631" i="13"/>
  <c r="AX631" i="13"/>
  <c r="X631" i="13"/>
  <c r="AG631" i="13"/>
  <c r="AQ631" i="13"/>
  <c r="AW631" i="13"/>
  <c r="W631" i="13"/>
  <c r="AF631" i="13"/>
  <c r="AP631" i="13"/>
  <c r="AV631" i="13"/>
  <c r="AN631" i="13" l="1"/>
  <c r="AD631" i="13"/>
  <c r="AM631" i="13"/>
  <c r="AL631" i="13" s="1"/>
  <c r="AE631" i="13"/>
  <c r="AC631" i="13" s="1"/>
  <c r="BB631" i="13"/>
  <c r="BK631" i="13"/>
  <c r="BL632" i="13"/>
  <c r="BJ631" i="13"/>
  <c r="BI631" i="13"/>
  <c r="BC630" i="13"/>
  <c r="BD630" i="13"/>
  <c r="BE630" i="13"/>
  <c r="BF630" i="13"/>
  <c r="BG630" i="13"/>
  <c r="BH630" i="13"/>
  <c r="U630" i="13"/>
  <c r="AB630" i="13"/>
  <c r="AK630" i="13"/>
  <c r="AO630" i="13"/>
  <c r="AU630" i="13"/>
  <c r="BA630" i="13"/>
  <c r="AA630" i="13"/>
  <c r="AJ630" i="13"/>
  <c r="AT630" i="13"/>
  <c r="AZ630" i="13"/>
  <c r="Z630" i="13"/>
  <c r="AI630" i="13"/>
  <c r="AS630" i="13"/>
  <c r="AY630" i="13"/>
  <c r="Y630" i="13"/>
  <c r="AH630" i="13"/>
  <c r="AR630" i="13"/>
  <c r="AX630" i="13"/>
  <c r="X630" i="13"/>
  <c r="AG630" i="13"/>
  <c r="AQ630" i="13"/>
  <c r="AW630" i="13"/>
  <c r="W630" i="13"/>
  <c r="AF630" i="13"/>
  <c r="AP630" i="13"/>
  <c r="AV630" i="13"/>
  <c r="AN630" i="13" l="1"/>
  <c r="AE630" i="13"/>
  <c r="AM630" i="13"/>
  <c r="AL630" i="13" s="1"/>
  <c r="AD630" i="13"/>
  <c r="AC630" i="13" s="1"/>
  <c r="BB630" i="13"/>
  <c r="BI630" i="13"/>
  <c r="BL631" i="13"/>
  <c r="BJ630" i="13"/>
  <c r="BK630" i="13"/>
  <c r="BC629" i="13"/>
  <c r="BD629" i="13"/>
  <c r="BE629" i="13"/>
  <c r="BF629" i="13"/>
  <c r="BG629" i="13"/>
  <c r="BH629" i="13"/>
  <c r="U629" i="13"/>
  <c r="AB629" i="13"/>
  <c r="AK629" i="13"/>
  <c r="AO629" i="13"/>
  <c r="AU629" i="13"/>
  <c r="BA629" i="13"/>
  <c r="AA629" i="13"/>
  <c r="AJ629" i="13"/>
  <c r="AT629" i="13"/>
  <c r="AZ629" i="13"/>
  <c r="Z629" i="13"/>
  <c r="AI629" i="13"/>
  <c r="AS629" i="13"/>
  <c r="AY629" i="13"/>
  <c r="Y629" i="13"/>
  <c r="AH629" i="13"/>
  <c r="AR629" i="13"/>
  <c r="AX629" i="13"/>
  <c r="X629" i="13"/>
  <c r="AG629" i="13"/>
  <c r="AQ629" i="13"/>
  <c r="AW629" i="13"/>
  <c r="W629" i="13"/>
  <c r="AF629" i="13"/>
  <c r="AP629" i="13"/>
  <c r="AV629" i="13"/>
  <c r="AM629" i="13" l="1"/>
  <c r="AE629" i="13"/>
  <c r="AD629" i="13"/>
  <c r="AC629" i="13" s="1"/>
  <c r="AN629" i="13"/>
  <c r="AL629" i="13" s="1"/>
  <c r="BB629" i="13"/>
  <c r="BL630" i="13"/>
  <c r="BK629" i="13"/>
  <c r="BI629" i="13"/>
  <c r="BJ629" i="13"/>
  <c r="BC628" i="13"/>
  <c r="BD628" i="13"/>
  <c r="BE628" i="13"/>
  <c r="BF628" i="13"/>
  <c r="BG628" i="13"/>
  <c r="BH628" i="13"/>
  <c r="U628" i="13"/>
  <c r="AB628" i="13"/>
  <c r="AK628" i="13"/>
  <c r="AO628" i="13"/>
  <c r="AU628" i="13"/>
  <c r="BA628" i="13"/>
  <c r="AA628" i="13"/>
  <c r="AJ628" i="13"/>
  <c r="AT628" i="13"/>
  <c r="AZ628" i="13"/>
  <c r="Z628" i="13"/>
  <c r="AI628" i="13"/>
  <c r="AS628" i="13"/>
  <c r="AY628" i="13"/>
  <c r="Y628" i="13"/>
  <c r="AH628" i="13"/>
  <c r="AR628" i="13"/>
  <c r="AX628" i="13"/>
  <c r="X628" i="13"/>
  <c r="AG628" i="13"/>
  <c r="AQ628" i="13"/>
  <c r="AW628" i="13"/>
  <c r="W628" i="13"/>
  <c r="AF628" i="13"/>
  <c r="AP628" i="13"/>
  <c r="AV628" i="13"/>
  <c r="AM628" i="13" l="1"/>
  <c r="AD628" i="13"/>
  <c r="BB628" i="13"/>
  <c r="AN628" i="13"/>
  <c r="AL628" i="13" s="1"/>
  <c r="BK628" i="13"/>
  <c r="BJ628" i="13"/>
  <c r="BL629" i="13"/>
  <c r="BI628" i="13"/>
  <c r="AE628" i="13"/>
  <c r="BC627" i="13"/>
  <c r="BD627" i="13"/>
  <c r="BE627" i="13"/>
  <c r="BF627" i="13"/>
  <c r="BG627" i="13"/>
  <c r="BH627" i="13"/>
  <c r="U627" i="13"/>
  <c r="AB627" i="13"/>
  <c r="AK627" i="13"/>
  <c r="AO627" i="13"/>
  <c r="AU627" i="13"/>
  <c r="BA627" i="13"/>
  <c r="AA627" i="13"/>
  <c r="AJ627" i="13"/>
  <c r="AT627" i="13"/>
  <c r="AZ627" i="13"/>
  <c r="Z627" i="13"/>
  <c r="AI627" i="13"/>
  <c r="AS627" i="13"/>
  <c r="AY627" i="13"/>
  <c r="Y627" i="13"/>
  <c r="AH627" i="13"/>
  <c r="AR627" i="13"/>
  <c r="AX627" i="13"/>
  <c r="X627" i="13"/>
  <c r="AG627" i="13"/>
  <c r="AQ627" i="13"/>
  <c r="AW627" i="13"/>
  <c r="W627" i="13"/>
  <c r="AF627" i="13"/>
  <c r="AP627" i="13"/>
  <c r="AV627" i="13"/>
  <c r="AD627" i="13" l="1"/>
  <c r="BB627" i="13"/>
  <c r="AC628" i="13"/>
  <c r="AN627" i="13"/>
  <c r="AM627" i="13"/>
  <c r="AE627" i="13"/>
  <c r="AC627" i="13" s="1"/>
  <c r="BK627" i="13"/>
  <c r="BJ627" i="13"/>
  <c r="BL628" i="13"/>
  <c r="BI627" i="13"/>
  <c r="BC626" i="13"/>
  <c r="BD626" i="13"/>
  <c r="BE626" i="13"/>
  <c r="BF626" i="13"/>
  <c r="BG626" i="13"/>
  <c r="BH626" i="13"/>
  <c r="U626" i="13"/>
  <c r="AB626" i="13"/>
  <c r="AK626" i="13"/>
  <c r="AO626" i="13"/>
  <c r="AU626" i="13"/>
  <c r="BA626" i="13"/>
  <c r="AA626" i="13"/>
  <c r="AJ626" i="13"/>
  <c r="AT626" i="13"/>
  <c r="AZ626" i="13"/>
  <c r="Z626" i="13"/>
  <c r="AI626" i="13"/>
  <c r="AS626" i="13"/>
  <c r="AY626" i="13"/>
  <c r="Y626" i="13"/>
  <c r="AH626" i="13"/>
  <c r="AR626" i="13"/>
  <c r="AX626" i="13"/>
  <c r="X626" i="13"/>
  <c r="AG626" i="13"/>
  <c r="AQ626" i="13"/>
  <c r="AW626" i="13"/>
  <c r="W626" i="13"/>
  <c r="AF626" i="13"/>
  <c r="AP626" i="13"/>
  <c r="AV626" i="13"/>
  <c r="AE626" i="13" l="1"/>
  <c r="AN626" i="13"/>
  <c r="AM626" i="13"/>
  <c r="AL626" i="13" s="1"/>
  <c r="AL627" i="13"/>
  <c r="AD626" i="13"/>
  <c r="AC626" i="13" s="1"/>
  <c r="BB626" i="13"/>
  <c r="BK626" i="13"/>
  <c r="BL627" i="13"/>
  <c r="BJ626" i="13"/>
  <c r="BI626" i="13"/>
  <c r="BC625" i="13"/>
  <c r="BD625" i="13"/>
  <c r="BE625" i="13"/>
  <c r="BF625" i="13"/>
  <c r="BG625" i="13"/>
  <c r="BH625" i="13"/>
  <c r="U625" i="13"/>
  <c r="AB625" i="13"/>
  <c r="AK625" i="13"/>
  <c r="AO625" i="13"/>
  <c r="AU625" i="13"/>
  <c r="BA625" i="13"/>
  <c r="AA625" i="13"/>
  <c r="AJ625" i="13"/>
  <c r="AT625" i="13"/>
  <c r="AZ625" i="13"/>
  <c r="Z625" i="13"/>
  <c r="AI625" i="13"/>
  <c r="AS625" i="13"/>
  <c r="AY625" i="13"/>
  <c r="Y625" i="13"/>
  <c r="AH625" i="13"/>
  <c r="AR625" i="13"/>
  <c r="AX625" i="13"/>
  <c r="X625" i="13"/>
  <c r="AG625" i="13"/>
  <c r="AQ625" i="13"/>
  <c r="AW625" i="13"/>
  <c r="W625" i="13"/>
  <c r="AF625" i="13"/>
  <c r="AP625" i="13"/>
  <c r="AV625" i="13"/>
  <c r="BC607" i="13"/>
  <c r="BD607" i="13"/>
  <c r="BE607" i="13"/>
  <c r="BF607" i="13"/>
  <c r="BG607" i="13"/>
  <c r="BH607" i="13"/>
  <c r="BC608" i="13"/>
  <c r="BD608" i="13"/>
  <c r="BE608" i="13"/>
  <c r="BF608" i="13"/>
  <c r="BG608" i="13"/>
  <c r="BH608" i="13"/>
  <c r="BC609" i="13"/>
  <c r="BD609" i="13"/>
  <c r="BE609" i="13"/>
  <c r="BF609" i="13"/>
  <c r="BG609" i="13"/>
  <c r="BH609" i="13"/>
  <c r="BC610" i="13"/>
  <c r="BD610" i="13"/>
  <c r="BE610" i="13"/>
  <c r="BF610" i="13"/>
  <c r="BG610" i="13"/>
  <c r="BH610" i="13"/>
  <c r="BC611" i="13"/>
  <c r="BD611" i="13"/>
  <c r="BE611" i="13"/>
  <c r="BF611" i="13"/>
  <c r="BG611" i="13"/>
  <c r="BH611" i="13"/>
  <c r="BC612" i="13"/>
  <c r="BD612" i="13"/>
  <c r="BE612" i="13"/>
  <c r="BF612" i="13"/>
  <c r="BG612" i="13"/>
  <c r="BH612" i="13"/>
  <c r="BC613" i="13"/>
  <c r="BD613" i="13"/>
  <c r="BE613" i="13"/>
  <c r="BF613" i="13"/>
  <c r="BG613" i="13"/>
  <c r="BH613" i="13"/>
  <c r="BC614" i="13"/>
  <c r="BD614" i="13"/>
  <c r="BE614" i="13"/>
  <c r="BF614" i="13"/>
  <c r="BG614" i="13"/>
  <c r="BH614" i="13"/>
  <c r="BC615" i="13"/>
  <c r="BD615" i="13"/>
  <c r="BE615" i="13"/>
  <c r="BF615" i="13"/>
  <c r="BG615" i="13"/>
  <c r="BH615" i="13"/>
  <c r="BC616" i="13"/>
  <c r="BD616" i="13"/>
  <c r="BE616" i="13"/>
  <c r="BF616" i="13"/>
  <c r="BG616" i="13"/>
  <c r="BH616" i="13"/>
  <c r="BC617" i="13"/>
  <c r="BD617" i="13"/>
  <c r="BE617" i="13"/>
  <c r="BF617" i="13"/>
  <c r="BG617" i="13"/>
  <c r="BH617" i="13"/>
  <c r="BC618" i="13"/>
  <c r="BD618" i="13"/>
  <c r="BE618" i="13"/>
  <c r="BF618" i="13"/>
  <c r="BG618" i="13"/>
  <c r="BH618" i="13"/>
  <c r="BC619" i="13"/>
  <c r="BD619" i="13"/>
  <c r="BE619" i="13"/>
  <c r="BF619" i="13"/>
  <c r="BG619" i="13"/>
  <c r="BH619" i="13"/>
  <c r="BC620" i="13"/>
  <c r="BD620" i="13"/>
  <c r="BE620" i="13"/>
  <c r="BF620" i="13"/>
  <c r="BG620" i="13"/>
  <c r="BH620" i="13"/>
  <c r="BC621" i="13"/>
  <c r="BD621" i="13"/>
  <c r="BE621" i="13"/>
  <c r="BF621" i="13"/>
  <c r="BG621" i="13"/>
  <c r="BH621" i="13"/>
  <c r="BC622" i="13"/>
  <c r="BD622" i="13"/>
  <c r="BE622" i="13"/>
  <c r="BF622" i="13"/>
  <c r="BG622" i="13"/>
  <c r="BH622" i="13"/>
  <c r="BC623" i="13"/>
  <c r="BD623" i="13"/>
  <c r="BE623" i="13"/>
  <c r="BF623" i="13"/>
  <c r="BG623" i="13"/>
  <c r="BH623" i="13"/>
  <c r="BC624" i="13"/>
  <c r="BD624" i="13"/>
  <c r="BE624" i="13"/>
  <c r="BF624" i="13"/>
  <c r="BG624" i="13"/>
  <c r="BH624" i="13"/>
  <c r="U624" i="13"/>
  <c r="AB624" i="13"/>
  <c r="AK624" i="13"/>
  <c r="AO624" i="13"/>
  <c r="AU624" i="13"/>
  <c r="BA624" i="13"/>
  <c r="AA624" i="13"/>
  <c r="AJ624" i="13"/>
  <c r="AT624" i="13"/>
  <c r="AZ624" i="13"/>
  <c r="Z624" i="13"/>
  <c r="AI624" i="13"/>
  <c r="AS624" i="13"/>
  <c r="AY624" i="13"/>
  <c r="Y624" i="13"/>
  <c r="AH624" i="13"/>
  <c r="AR624" i="13"/>
  <c r="AX624" i="13"/>
  <c r="X624" i="13"/>
  <c r="AG624" i="13"/>
  <c r="AQ624" i="13"/>
  <c r="AW624" i="13"/>
  <c r="W624" i="13"/>
  <c r="AF624" i="13"/>
  <c r="AP624" i="13"/>
  <c r="AV624" i="13"/>
  <c r="U623" i="13"/>
  <c r="AB623" i="13"/>
  <c r="AK623" i="13"/>
  <c r="AO623" i="13"/>
  <c r="AU623" i="13"/>
  <c r="BA623" i="13"/>
  <c r="AA623" i="13"/>
  <c r="AJ623" i="13"/>
  <c r="AT623" i="13"/>
  <c r="AZ623" i="13"/>
  <c r="Z623" i="13"/>
  <c r="AI623" i="13"/>
  <c r="AS623" i="13"/>
  <c r="AY623" i="13"/>
  <c r="Y623" i="13"/>
  <c r="AH623" i="13"/>
  <c r="AR623" i="13"/>
  <c r="AX623" i="13"/>
  <c r="X623" i="13"/>
  <c r="AG623" i="13"/>
  <c r="AQ623" i="13"/>
  <c r="AW623" i="13"/>
  <c r="W623" i="13"/>
  <c r="AF623" i="13"/>
  <c r="AP623" i="13"/>
  <c r="AV623" i="13"/>
  <c r="U622" i="13"/>
  <c r="AB622" i="13"/>
  <c r="AK622" i="13"/>
  <c r="AO622" i="13"/>
  <c r="AU622" i="13"/>
  <c r="BA622" i="13"/>
  <c r="AA622" i="13"/>
  <c r="AJ622" i="13"/>
  <c r="AT622" i="13"/>
  <c r="AZ622" i="13"/>
  <c r="Z622" i="13"/>
  <c r="AI622" i="13"/>
  <c r="AS622" i="13"/>
  <c r="AY622" i="13"/>
  <c r="Y622" i="13"/>
  <c r="AH622" i="13"/>
  <c r="AR622" i="13"/>
  <c r="AX622" i="13"/>
  <c r="X622" i="13"/>
  <c r="AG622" i="13"/>
  <c r="AQ622" i="13"/>
  <c r="AW622" i="13"/>
  <c r="W622" i="13"/>
  <c r="AF622" i="13"/>
  <c r="AP622" i="13"/>
  <c r="AV622" i="13"/>
  <c r="U621" i="13"/>
  <c r="AB621" i="13"/>
  <c r="AK621" i="13"/>
  <c r="AO621" i="13"/>
  <c r="AU621" i="13"/>
  <c r="BA621" i="13"/>
  <c r="AA621" i="13"/>
  <c r="AJ621" i="13"/>
  <c r="AT621" i="13"/>
  <c r="AZ621" i="13"/>
  <c r="Z621" i="13"/>
  <c r="AI621" i="13"/>
  <c r="AS621" i="13"/>
  <c r="AY621" i="13"/>
  <c r="Y621" i="13"/>
  <c r="AH621" i="13"/>
  <c r="AR621" i="13"/>
  <c r="AX621" i="13"/>
  <c r="X621" i="13"/>
  <c r="AG621" i="13"/>
  <c r="AQ621" i="13"/>
  <c r="AW621" i="13"/>
  <c r="W621" i="13"/>
  <c r="AF621" i="13"/>
  <c r="AP621" i="13"/>
  <c r="AV621" i="13"/>
  <c r="U620" i="13"/>
  <c r="AB620" i="13"/>
  <c r="AK620" i="13"/>
  <c r="AO620" i="13"/>
  <c r="AU620" i="13"/>
  <c r="BA620" i="13"/>
  <c r="AA620" i="13"/>
  <c r="AJ620" i="13"/>
  <c r="AT620" i="13"/>
  <c r="AZ620" i="13"/>
  <c r="Z620" i="13"/>
  <c r="AI620" i="13"/>
  <c r="AS620" i="13"/>
  <c r="AY620" i="13"/>
  <c r="Y620" i="13"/>
  <c r="AH620" i="13"/>
  <c r="AR620" i="13"/>
  <c r="AX620" i="13"/>
  <c r="X620" i="13"/>
  <c r="AG620" i="13"/>
  <c r="AQ620" i="13"/>
  <c r="AW620" i="13"/>
  <c r="W620" i="13"/>
  <c r="AF620" i="13"/>
  <c r="AP620" i="13"/>
  <c r="AV620" i="13"/>
  <c r="U619" i="13"/>
  <c r="AB619" i="13"/>
  <c r="AK619" i="13"/>
  <c r="AO619" i="13"/>
  <c r="AU619" i="13"/>
  <c r="BA619" i="13"/>
  <c r="AA619" i="13"/>
  <c r="AJ619" i="13"/>
  <c r="AT619" i="13"/>
  <c r="AZ619" i="13"/>
  <c r="Z619" i="13"/>
  <c r="AI619" i="13"/>
  <c r="AS619" i="13"/>
  <c r="AY619" i="13"/>
  <c r="Y619" i="13"/>
  <c r="AH619" i="13"/>
  <c r="AR619" i="13"/>
  <c r="AX619" i="13"/>
  <c r="X619" i="13"/>
  <c r="AG619" i="13"/>
  <c r="AQ619" i="13"/>
  <c r="AW619" i="13"/>
  <c r="W619" i="13"/>
  <c r="AF619" i="13"/>
  <c r="AP619" i="13"/>
  <c r="AV619" i="13"/>
  <c r="U618" i="13"/>
  <c r="AB618" i="13"/>
  <c r="AK618" i="13"/>
  <c r="AO618" i="13"/>
  <c r="AU618" i="13"/>
  <c r="BA618" i="13"/>
  <c r="AA618" i="13"/>
  <c r="AJ618" i="13"/>
  <c r="AT618" i="13"/>
  <c r="AZ618" i="13"/>
  <c r="Z618" i="13"/>
  <c r="AI618" i="13"/>
  <c r="AS618" i="13"/>
  <c r="AY618" i="13"/>
  <c r="Y618" i="13"/>
  <c r="AH618" i="13"/>
  <c r="AR618" i="13"/>
  <c r="AX618" i="13"/>
  <c r="X618" i="13"/>
  <c r="AG618" i="13"/>
  <c r="AQ618" i="13"/>
  <c r="AW618" i="13"/>
  <c r="W618" i="13"/>
  <c r="AF618" i="13"/>
  <c r="AP618" i="13"/>
  <c r="AV618" i="13"/>
  <c r="U617" i="13"/>
  <c r="AB617" i="13"/>
  <c r="AK617" i="13"/>
  <c r="AO617" i="13"/>
  <c r="AU617" i="13"/>
  <c r="BA617" i="13"/>
  <c r="AA617" i="13"/>
  <c r="AJ617" i="13"/>
  <c r="AT617" i="13"/>
  <c r="AZ617" i="13"/>
  <c r="Z617" i="13"/>
  <c r="AI617" i="13"/>
  <c r="AS617" i="13"/>
  <c r="AY617" i="13"/>
  <c r="Y617" i="13"/>
  <c r="AH617" i="13"/>
  <c r="AR617" i="13"/>
  <c r="AX617" i="13"/>
  <c r="X617" i="13"/>
  <c r="AG617" i="13"/>
  <c r="AQ617" i="13"/>
  <c r="AW617" i="13"/>
  <c r="W617" i="13"/>
  <c r="AF617" i="13"/>
  <c r="AP617" i="13"/>
  <c r="AV617" i="13"/>
  <c r="U616" i="13"/>
  <c r="AB616" i="13"/>
  <c r="AK616" i="13"/>
  <c r="AO616" i="13"/>
  <c r="AU616" i="13"/>
  <c r="BA616" i="13"/>
  <c r="AA616" i="13"/>
  <c r="AJ616" i="13"/>
  <c r="AT616" i="13"/>
  <c r="AZ616" i="13"/>
  <c r="Z616" i="13"/>
  <c r="AI616" i="13"/>
  <c r="AS616" i="13"/>
  <c r="AY616" i="13"/>
  <c r="Y616" i="13"/>
  <c r="AH616" i="13"/>
  <c r="AR616" i="13"/>
  <c r="AX616" i="13"/>
  <c r="X616" i="13"/>
  <c r="AG616" i="13"/>
  <c r="AQ616" i="13"/>
  <c r="AW616" i="13"/>
  <c r="W616" i="13"/>
  <c r="AF616" i="13"/>
  <c r="AP616" i="13"/>
  <c r="AV616" i="13"/>
  <c r="U615" i="13"/>
  <c r="AB615" i="13"/>
  <c r="AK615" i="13"/>
  <c r="AO615" i="13"/>
  <c r="AU615" i="13"/>
  <c r="BA615" i="13"/>
  <c r="AA615" i="13"/>
  <c r="AJ615" i="13"/>
  <c r="AT615" i="13"/>
  <c r="AZ615" i="13"/>
  <c r="Z615" i="13"/>
  <c r="AI615" i="13"/>
  <c r="AS615" i="13"/>
  <c r="AY615" i="13"/>
  <c r="Y615" i="13"/>
  <c r="AH615" i="13"/>
  <c r="AR615" i="13"/>
  <c r="AX615" i="13"/>
  <c r="X615" i="13"/>
  <c r="AG615" i="13"/>
  <c r="AQ615" i="13"/>
  <c r="AW615" i="13"/>
  <c r="W615" i="13"/>
  <c r="AF615" i="13"/>
  <c r="AP615" i="13"/>
  <c r="AV615" i="13"/>
  <c r="U614" i="13"/>
  <c r="AB614" i="13"/>
  <c r="AK614" i="13"/>
  <c r="AO614" i="13"/>
  <c r="AU614" i="13"/>
  <c r="BA614" i="13"/>
  <c r="AA614" i="13"/>
  <c r="AJ614" i="13"/>
  <c r="AT614" i="13"/>
  <c r="AZ614" i="13"/>
  <c r="Z614" i="13"/>
  <c r="AI614" i="13"/>
  <c r="AS614" i="13"/>
  <c r="AY614" i="13"/>
  <c r="Y614" i="13"/>
  <c r="AH614" i="13"/>
  <c r="AR614" i="13"/>
  <c r="AX614" i="13"/>
  <c r="X614" i="13"/>
  <c r="AG614" i="13"/>
  <c r="AQ614" i="13"/>
  <c r="AW614" i="13"/>
  <c r="W614" i="13"/>
  <c r="AF614" i="13"/>
  <c r="AP614" i="13"/>
  <c r="AV614" i="13"/>
  <c r="U613" i="13"/>
  <c r="AB613" i="13"/>
  <c r="AK613" i="13"/>
  <c r="AO613" i="13"/>
  <c r="AU613" i="13"/>
  <c r="BA613" i="13"/>
  <c r="AA613" i="13"/>
  <c r="AJ613" i="13"/>
  <c r="AT613" i="13"/>
  <c r="AZ613" i="13"/>
  <c r="Z613" i="13"/>
  <c r="AI613" i="13"/>
  <c r="AS613" i="13"/>
  <c r="AY613" i="13"/>
  <c r="Y613" i="13"/>
  <c r="AH613" i="13"/>
  <c r="AR613" i="13"/>
  <c r="AX613" i="13"/>
  <c r="X613" i="13"/>
  <c r="AG613" i="13"/>
  <c r="AQ613" i="13"/>
  <c r="AW613" i="13"/>
  <c r="W613" i="13"/>
  <c r="AF613" i="13"/>
  <c r="AP613" i="13"/>
  <c r="AV613" i="13"/>
  <c r="U612" i="13"/>
  <c r="AB612" i="13"/>
  <c r="AK612" i="13"/>
  <c r="AO612" i="13"/>
  <c r="AU612" i="13"/>
  <c r="BA612" i="13"/>
  <c r="AA612" i="13"/>
  <c r="AJ612" i="13"/>
  <c r="AT612" i="13"/>
  <c r="AZ612" i="13"/>
  <c r="Z612" i="13"/>
  <c r="AI612" i="13"/>
  <c r="AS612" i="13"/>
  <c r="AY612" i="13"/>
  <c r="Y612" i="13"/>
  <c r="AH612" i="13"/>
  <c r="AR612" i="13"/>
  <c r="AX612" i="13"/>
  <c r="X612" i="13"/>
  <c r="AG612" i="13"/>
  <c r="AQ612" i="13"/>
  <c r="AW612" i="13"/>
  <c r="W612" i="13"/>
  <c r="AF612" i="13"/>
  <c r="AP612" i="13"/>
  <c r="AV612" i="13"/>
  <c r="U611" i="13"/>
  <c r="AB611" i="13"/>
  <c r="AK611" i="13"/>
  <c r="AO611" i="13"/>
  <c r="AU611" i="13"/>
  <c r="BA611" i="13"/>
  <c r="AA611" i="13"/>
  <c r="AJ611" i="13"/>
  <c r="AT611" i="13"/>
  <c r="AZ611" i="13"/>
  <c r="Z611" i="13"/>
  <c r="AI611" i="13"/>
  <c r="AS611" i="13"/>
  <c r="AY611" i="13"/>
  <c r="Y611" i="13"/>
  <c r="AH611" i="13"/>
  <c r="AR611" i="13"/>
  <c r="AX611" i="13"/>
  <c r="X611" i="13"/>
  <c r="AG611" i="13"/>
  <c r="AQ611" i="13"/>
  <c r="AW611" i="13"/>
  <c r="W611" i="13"/>
  <c r="AF611" i="13"/>
  <c r="AP611" i="13"/>
  <c r="AV611" i="13"/>
  <c r="U610" i="13"/>
  <c r="AB610" i="13"/>
  <c r="AK610" i="13"/>
  <c r="AO610" i="13"/>
  <c r="AU610" i="13"/>
  <c r="BA610" i="13"/>
  <c r="AA610" i="13"/>
  <c r="AJ610" i="13"/>
  <c r="AT610" i="13"/>
  <c r="AZ610" i="13"/>
  <c r="Z610" i="13"/>
  <c r="AI610" i="13"/>
  <c r="AS610" i="13"/>
  <c r="AY610" i="13"/>
  <c r="Y610" i="13"/>
  <c r="AH610" i="13"/>
  <c r="AR610" i="13"/>
  <c r="AX610" i="13"/>
  <c r="X610" i="13"/>
  <c r="AG610" i="13"/>
  <c r="AQ610" i="13"/>
  <c r="AW610" i="13"/>
  <c r="W610" i="13"/>
  <c r="AF610" i="13"/>
  <c r="AP610" i="13"/>
  <c r="AV610" i="13"/>
  <c r="U609" i="13"/>
  <c r="AB609" i="13"/>
  <c r="AK609" i="13"/>
  <c r="AO609" i="13"/>
  <c r="AU609" i="13"/>
  <c r="BA609" i="13"/>
  <c r="AA609" i="13"/>
  <c r="AJ609" i="13"/>
  <c r="AT609" i="13"/>
  <c r="AZ609" i="13"/>
  <c r="Z609" i="13"/>
  <c r="AI609" i="13"/>
  <c r="AS609" i="13"/>
  <c r="AY609" i="13"/>
  <c r="Y609" i="13"/>
  <c r="AH609" i="13"/>
  <c r="AR609" i="13"/>
  <c r="AX609" i="13"/>
  <c r="X609" i="13"/>
  <c r="AG609" i="13"/>
  <c r="AQ609" i="13"/>
  <c r="AW609" i="13"/>
  <c r="W609" i="13"/>
  <c r="AF609" i="13"/>
  <c r="AP609" i="13"/>
  <c r="AV609" i="13"/>
  <c r="U608" i="13"/>
  <c r="AB608" i="13"/>
  <c r="AK608" i="13"/>
  <c r="AO608" i="13"/>
  <c r="AU608" i="13"/>
  <c r="BA608" i="13"/>
  <c r="AA608" i="13"/>
  <c r="AJ608" i="13"/>
  <c r="AT608" i="13"/>
  <c r="AZ608" i="13"/>
  <c r="Z608" i="13"/>
  <c r="AI608" i="13"/>
  <c r="AS608" i="13"/>
  <c r="AY608" i="13"/>
  <c r="Y608" i="13"/>
  <c r="AH608" i="13"/>
  <c r="AR608" i="13"/>
  <c r="AX608" i="13"/>
  <c r="X608" i="13"/>
  <c r="AG608" i="13"/>
  <c r="AQ608" i="13"/>
  <c r="AW608" i="13"/>
  <c r="W608" i="13"/>
  <c r="AF608" i="13"/>
  <c r="AP608" i="13"/>
  <c r="AV608" i="13"/>
  <c r="U607" i="13"/>
  <c r="AB607" i="13"/>
  <c r="AK607" i="13"/>
  <c r="AO607" i="13"/>
  <c r="AU607" i="13"/>
  <c r="BA607" i="13"/>
  <c r="AA607" i="13"/>
  <c r="AJ607" i="13"/>
  <c r="AT607" i="13"/>
  <c r="AZ607" i="13"/>
  <c r="Z607" i="13"/>
  <c r="AI607" i="13"/>
  <c r="AS607" i="13"/>
  <c r="AY607" i="13"/>
  <c r="Y607" i="13"/>
  <c r="AH607" i="13"/>
  <c r="AR607" i="13"/>
  <c r="AX607" i="13"/>
  <c r="X607" i="13"/>
  <c r="AG607" i="13"/>
  <c r="AQ607" i="13"/>
  <c r="AW607" i="13"/>
  <c r="W607" i="13"/>
  <c r="AF607" i="13"/>
  <c r="AP607" i="13"/>
  <c r="AV607" i="13"/>
  <c r="AN611" i="13" l="1"/>
  <c r="AM625" i="13"/>
  <c r="AD610" i="13"/>
  <c r="AN609" i="13"/>
  <c r="AN622" i="13"/>
  <c r="AN618" i="13"/>
  <c r="AN620" i="13"/>
  <c r="AM614" i="13"/>
  <c r="AM619" i="13"/>
  <c r="AM623" i="13"/>
  <c r="AE611" i="13"/>
  <c r="AD613" i="13"/>
  <c r="AD615" i="13"/>
  <c r="AD617" i="13"/>
  <c r="AM607" i="13"/>
  <c r="AN608" i="13"/>
  <c r="AM616" i="13"/>
  <c r="AN610" i="13"/>
  <c r="AN612" i="13"/>
  <c r="AN616" i="13"/>
  <c r="AN621" i="13"/>
  <c r="AE623" i="13"/>
  <c r="AD618" i="13"/>
  <c r="AD625" i="13"/>
  <c r="AN625" i="13"/>
  <c r="AM608" i="13"/>
  <c r="AL608" i="13" s="1"/>
  <c r="AD607" i="13"/>
  <c r="AM609" i="13"/>
  <c r="AM613" i="13"/>
  <c r="AM615" i="13"/>
  <c r="AM617" i="13"/>
  <c r="AM618" i="13"/>
  <c r="AL618" i="13" s="1"/>
  <c r="AE620" i="13"/>
  <c r="BB623" i="13"/>
  <c r="AD624" i="13"/>
  <c r="AE609" i="13"/>
  <c r="AM611" i="13"/>
  <c r="AL611" i="13" s="1"/>
  <c r="AM612" i="13"/>
  <c r="AD616" i="13"/>
  <c r="AD619" i="13"/>
  <c r="AN619" i="13"/>
  <c r="AL619" i="13" s="1"/>
  <c r="AM621" i="13"/>
  <c r="AM622" i="13"/>
  <c r="AD623" i="13"/>
  <c r="AM624" i="13"/>
  <c r="AD608" i="13"/>
  <c r="BB607" i="13"/>
  <c r="AD621" i="13"/>
  <c r="AN613" i="13"/>
  <c r="AN615" i="13"/>
  <c r="AN623" i="13"/>
  <c r="AL623" i="13" s="1"/>
  <c r="AE624" i="13"/>
  <c r="AL616" i="13"/>
  <c r="AN607" i="13"/>
  <c r="AM610" i="13"/>
  <c r="AL610" i="13" s="1"/>
  <c r="AD612" i="13"/>
  <c r="AN617" i="13"/>
  <c r="AM620" i="13"/>
  <c r="AD622" i="13"/>
  <c r="AL609" i="13"/>
  <c r="BB609" i="13"/>
  <c r="AD620" i="13"/>
  <c r="BB621" i="13"/>
  <c r="AD609" i="13"/>
  <c r="AD611" i="13"/>
  <c r="BB612" i="13"/>
  <c r="AE608" i="13"/>
  <c r="AE610" i="13"/>
  <c r="AC610" i="13" s="1"/>
  <c r="AE612" i="13"/>
  <c r="AC612" i="13" s="1"/>
  <c r="AE616" i="13"/>
  <c r="AE618" i="13"/>
  <c r="AE622" i="13"/>
  <c r="BB624" i="13"/>
  <c r="AE625" i="13"/>
  <c r="BB613" i="13"/>
  <c r="BB617" i="13"/>
  <c r="AC623" i="13"/>
  <c r="BB611" i="13"/>
  <c r="BB615" i="13"/>
  <c r="BB619" i="13"/>
  <c r="AE607" i="13"/>
  <c r="AE613" i="13"/>
  <c r="AD614" i="13"/>
  <c r="AE615" i="13"/>
  <c r="AE617" i="13"/>
  <c r="AE619" i="13"/>
  <c r="AC619" i="13" s="1"/>
  <c r="AE621" i="13"/>
  <c r="AN624" i="13"/>
  <c r="AL625" i="13"/>
  <c r="BB608" i="13"/>
  <c r="BB610" i="13"/>
  <c r="BB614" i="13"/>
  <c r="BB616" i="13"/>
  <c r="BB618" i="13"/>
  <c r="BB620" i="13"/>
  <c r="BB622" i="13"/>
  <c r="BB625" i="13"/>
  <c r="BL626" i="13"/>
  <c r="BK625" i="13"/>
  <c r="BJ625" i="13"/>
  <c r="BK607" i="13"/>
  <c r="BI625" i="13"/>
  <c r="BI618" i="13"/>
  <c r="BI622" i="13"/>
  <c r="BI614" i="13"/>
  <c r="BI612" i="13"/>
  <c r="BI610" i="13"/>
  <c r="BI617" i="13"/>
  <c r="BI619" i="13"/>
  <c r="BI624" i="13"/>
  <c r="BI615" i="13"/>
  <c r="BI613" i="13"/>
  <c r="BI608" i="13"/>
  <c r="BI620" i="13"/>
  <c r="BK614" i="13"/>
  <c r="BI611" i="13"/>
  <c r="BI609" i="13"/>
  <c r="BI623" i="13"/>
  <c r="BI621" i="13"/>
  <c r="BI616" i="13"/>
  <c r="BK610" i="13"/>
  <c r="BK615" i="13"/>
  <c r="BK611" i="13"/>
  <c r="BJ607" i="13"/>
  <c r="BK612" i="13"/>
  <c r="BK608" i="13"/>
  <c r="BK613" i="13"/>
  <c r="BJ609" i="13"/>
  <c r="BI607" i="13"/>
  <c r="BJ624" i="13"/>
  <c r="BJ623" i="13"/>
  <c r="BJ622" i="13"/>
  <c r="BJ621" i="13"/>
  <c r="BJ620" i="13"/>
  <c r="BJ619" i="13"/>
  <c r="BJ618" i="13"/>
  <c r="BJ617" i="13"/>
  <c r="BJ616" i="13"/>
  <c r="BJ615" i="13"/>
  <c r="BJ614" i="13"/>
  <c r="BJ613" i="13"/>
  <c r="BJ612" i="13"/>
  <c r="BJ611" i="13"/>
  <c r="BJ610" i="13"/>
  <c r="BJ608" i="13"/>
  <c r="BK624" i="13"/>
  <c r="BK623" i="13"/>
  <c r="BK622" i="13"/>
  <c r="BK621" i="13"/>
  <c r="BK620" i="13"/>
  <c r="BL620" i="13" s="1"/>
  <c r="BK619" i="13"/>
  <c r="BK618" i="13"/>
  <c r="BK617" i="13"/>
  <c r="BK616" i="13"/>
  <c r="BK609" i="13"/>
  <c r="AN614" i="13"/>
  <c r="AL614" i="13" s="1"/>
  <c r="AE614" i="13"/>
  <c r="AC614" i="13" s="1"/>
  <c r="U578" i="13"/>
  <c r="W578" i="13"/>
  <c r="X578" i="13"/>
  <c r="Y578" i="13"/>
  <c r="Z578" i="13"/>
  <c r="AA578" i="13"/>
  <c r="AB578" i="13"/>
  <c r="AD578" i="13"/>
  <c r="AF578" i="13"/>
  <c r="AG578" i="13"/>
  <c r="AH578" i="13"/>
  <c r="AI578" i="13"/>
  <c r="AJ578" i="13"/>
  <c r="AK578" i="13"/>
  <c r="AO578" i="13"/>
  <c r="AP578" i="13"/>
  <c r="AQ578" i="13"/>
  <c r="AR578" i="13"/>
  <c r="AS578" i="13"/>
  <c r="AT578" i="13"/>
  <c r="AU578" i="13"/>
  <c r="AV578" i="13"/>
  <c r="AW578" i="13"/>
  <c r="AX578" i="13"/>
  <c r="AY578" i="13"/>
  <c r="AZ578" i="13"/>
  <c r="BA578" i="13"/>
  <c r="BC578" i="13"/>
  <c r="BD578" i="13"/>
  <c r="BE578" i="13"/>
  <c r="BF578" i="13"/>
  <c r="BG578" i="13"/>
  <c r="BH578" i="13"/>
  <c r="U579" i="13"/>
  <c r="W579" i="13"/>
  <c r="X579" i="13"/>
  <c r="Y579" i="13"/>
  <c r="Z579" i="13"/>
  <c r="AA579" i="13"/>
  <c r="AB579" i="13"/>
  <c r="AF579" i="13"/>
  <c r="AG579" i="13"/>
  <c r="AH579" i="13"/>
  <c r="AI579" i="13"/>
  <c r="AJ579" i="13"/>
  <c r="AK579" i="13"/>
  <c r="AO579" i="13"/>
  <c r="AP579" i="13"/>
  <c r="AQ579" i="13"/>
  <c r="AR579" i="13"/>
  <c r="AS579" i="13"/>
  <c r="AT579" i="13"/>
  <c r="AU579" i="13"/>
  <c r="AV579" i="13"/>
  <c r="AW579" i="13"/>
  <c r="AX579" i="13"/>
  <c r="AY579" i="13"/>
  <c r="AZ579" i="13"/>
  <c r="BA579" i="13"/>
  <c r="BC579" i="13"/>
  <c r="BD579" i="13"/>
  <c r="BE579" i="13"/>
  <c r="BF579" i="13"/>
  <c r="BG579" i="13"/>
  <c r="BH579" i="13"/>
  <c r="U580" i="13"/>
  <c r="W580" i="13"/>
  <c r="X580" i="13"/>
  <c r="Y580" i="13"/>
  <c r="Z580" i="13"/>
  <c r="AA580" i="13"/>
  <c r="AB580" i="13"/>
  <c r="AF580" i="13"/>
  <c r="AG580" i="13"/>
  <c r="AH580" i="13"/>
  <c r="AI580" i="13"/>
  <c r="AJ580" i="13"/>
  <c r="AK580" i="13"/>
  <c r="AO580" i="13"/>
  <c r="AP580" i="13"/>
  <c r="AQ580" i="13"/>
  <c r="AR580" i="13"/>
  <c r="AS580" i="13"/>
  <c r="AT580" i="13"/>
  <c r="AU580" i="13"/>
  <c r="AV580" i="13"/>
  <c r="AW580" i="13"/>
  <c r="AX580" i="13"/>
  <c r="AY580" i="13"/>
  <c r="AZ580" i="13"/>
  <c r="BA580" i="13"/>
  <c r="BC580" i="13"/>
  <c r="BD580" i="13"/>
  <c r="BE580" i="13"/>
  <c r="BF580" i="13"/>
  <c r="BG580" i="13"/>
  <c r="BH580" i="13"/>
  <c r="U581" i="13"/>
  <c r="W581" i="13"/>
  <c r="X581" i="13"/>
  <c r="Y581" i="13"/>
  <c r="Z581" i="13"/>
  <c r="AA581" i="13"/>
  <c r="AB581" i="13"/>
  <c r="AF581" i="13"/>
  <c r="AG581" i="13"/>
  <c r="AH581" i="13"/>
  <c r="AI581" i="13"/>
  <c r="AJ581" i="13"/>
  <c r="AK581" i="13"/>
  <c r="AO581" i="13"/>
  <c r="AP581" i="13"/>
  <c r="AQ581" i="13"/>
  <c r="AR581" i="13"/>
  <c r="AS581" i="13"/>
  <c r="AT581" i="13"/>
  <c r="AU581" i="13"/>
  <c r="AV581" i="13"/>
  <c r="AW581" i="13"/>
  <c r="AX581" i="13"/>
  <c r="AY581" i="13"/>
  <c r="AZ581" i="13"/>
  <c r="BA581" i="13"/>
  <c r="BC581" i="13"/>
  <c r="BD581" i="13"/>
  <c r="BE581" i="13"/>
  <c r="BF581" i="13"/>
  <c r="BG581" i="13"/>
  <c r="BH581" i="13"/>
  <c r="U582" i="13"/>
  <c r="W582" i="13"/>
  <c r="X582" i="13"/>
  <c r="Y582" i="13"/>
  <c r="Z582" i="13"/>
  <c r="AA582" i="13"/>
  <c r="AB582" i="13"/>
  <c r="AF582" i="13"/>
  <c r="AG582" i="13"/>
  <c r="AH582" i="13"/>
  <c r="AI582" i="13"/>
  <c r="AJ582" i="13"/>
  <c r="AK582" i="13"/>
  <c r="AO582" i="13"/>
  <c r="AP582" i="13"/>
  <c r="AQ582" i="13"/>
  <c r="AR582" i="13"/>
  <c r="AS582" i="13"/>
  <c r="AT582" i="13"/>
  <c r="AU582" i="13"/>
  <c r="AV582" i="13"/>
  <c r="AW582" i="13"/>
  <c r="AX582" i="13"/>
  <c r="AY582" i="13"/>
  <c r="AZ582" i="13"/>
  <c r="BA582" i="13"/>
  <c r="BC582" i="13"/>
  <c r="BD582" i="13"/>
  <c r="BE582" i="13"/>
  <c r="BF582" i="13"/>
  <c r="BG582" i="13"/>
  <c r="BH582" i="13"/>
  <c r="U583" i="13"/>
  <c r="W583" i="13"/>
  <c r="X583" i="13"/>
  <c r="Y583" i="13"/>
  <c r="Z583" i="13"/>
  <c r="AA583" i="13"/>
  <c r="AB583" i="13"/>
  <c r="AF583" i="13"/>
  <c r="AG583" i="13"/>
  <c r="AH583" i="13"/>
  <c r="AI583" i="13"/>
  <c r="AJ583" i="13"/>
  <c r="AK583" i="13"/>
  <c r="AO583" i="13"/>
  <c r="AP583" i="13"/>
  <c r="AQ583" i="13"/>
  <c r="AR583" i="13"/>
  <c r="AS583" i="13"/>
  <c r="AT583" i="13"/>
  <c r="AU583" i="13"/>
  <c r="AV583" i="13"/>
  <c r="AW583" i="13"/>
  <c r="AX583" i="13"/>
  <c r="AY583" i="13"/>
  <c r="AZ583" i="13"/>
  <c r="BA583" i="13"/>
  <c r="BC583" i="13"/>
  <c r="BD583" i="13"/>
  <c r="BE583" i="13"/>
  <c r="BF583" i="13"/>
  <c r="BG583" i="13"/>
  <c r="BH583" i="13"/>
  <c r="U584" i="13"/>
  <c r="W584" i="13"/>
  <c r="X584" i="13"/>
  <c r="Y584" i="13"/>
  <c r="Z584" i="13"/>
  <c r="AA584" i="13"/>
  <c r="AB584" i="13"/>
  <c r="AF584" i="13"/>
  <c r="AG584" i="13"/>
  <c r="AH584" i="13"/>
  <c r="AI584" i="13"/>
  <c r="AJ584" i="13"/>
  <c r="AK584" i="13"/>
  <c r="AO584" i="13"/>
  <c r="AP584" i="13"/>
  <c r="AQ584" i="13"/>
  <c r="AR584" i="13"/>
  <c r="AS584" i="13"/>
  <c r="AT584" i="13"/>
  <c r="AU584" i="13"/>
  <c r="AV584" i="13"/>
  <c r="AW584" i="13"/>
  <c r="AX584" i="13"/>
  <c r="AY584" i="13"/>
  <c r="AZ584" i="13"/>
  <c r="BA584" i="13"/>
  <c r="BC584" i="13"/>
  <c r="BD584" i="13"/>
  <c r="BE584" i="13"/>
  <c r="BF584" i="13"/>
  <c r="BG584" i="13"/>
  <c r="BH584" i="13"/>
  <c r="U585" i="13"/>
  <c r="W585" i="13"/>
  <c r="X585" i="13"/>
  <c r="Y585" i="13"/>
  <c r="Z585" i="13"/>
  <c r="AA585" i="13"/>
  <c r="AB585" i="13"/>
  <c r="AF585" i="13"/>
  <c r="AG585" i="13"/>
  <c r="AH585" i="13"/>
  <c r="AI585" i="13"/>
  <c r="AJ585" i="13"/>
  <c r="AK585" i="13"/>
  <c r="AO585" i="13"/>
  <c r="AP585" i="13"/>
  <c r="AQ585" i="13"/>
  <c r="AR585" i="13"/>
  <c r="AS585" i="13"/>
  <c r="AT585" i="13"/>
  <c r="AU585" i="13"/>
  <c r="AV585" i="13"/>
  <c r="AW585" i="13"/>
  <c r="AX585" i="13"/>
  <c r="AY585" i="13"/>
  <c r="AZ585" i="13"/>
  <c r="BA585" i="13"/>
  <c r="BC585" i="13"/>
  <c r="BD585" i="13"/>
  <c r="BE585" i="13"/>
  <c r="BF585" i="13"/>
  <c r="BG585" i="13"/>
  <c r="BH585" i="13"/>
  <c r="U586" i="13"/>
  <c r="W586" i="13"/>
  <c r="X586" i="13"/>
  <c r="Y586" i="13"/>
  <c r="Z586" i="13"/>
  <c r="AA586" i="13"/>
  <c r="AB586" i="13"/>
  <c r="AF586" i="13"/>
  <c r="AG586" i="13"/>
  <c r="AH586" i="13"/>
  <c r="AI586" i="13"/>
  <c r="AJ586" i="13"/>
  <c r="AK586" i="13"/>
  <c r="AO586" i="13"/>
  <c r="AP586" i="13"/>
  <c r="AQ586" i="13"/>
  <c r="AR586" i="13"/>
  <c r="AS586" i="13"/>
  <c r="AT586" i="13"/>
  <c r="AU586" i="13"/>
  <c r="AV586" i="13"/>
  <c r="AW586" i="13"/>
  <c r="AX586" i="13"/>
  <c r="AY586" i="13"/>
  <c r="AZ586" i="13"/>
  <c r="BA586" i="13"/>
  <c r="BC586" i="13"/>
  <c r="BD586" i="13"/>
  <c r="BE586" i="13"/>
  <c r="BF586" i="13"/>
  <c r="BG586" i="13"/>
  <c r="BH586" i="13"/>
  <c r="U587" i="13"/>
  <c r="W587" i="13"/>
  <c r="X587" i="13"/>
  <c r="Y587" i="13"/>
  <c r="Z587" i="13"/>
  <c r="AA587" i="13"/>
  <c r="AB587" i="13"/>
  <c r="AF587" i="13"/>
  <c r="AG587" i="13"/>
  <c r="AH587" i="13"/>
  <c r="AI587" i="13"/>
  <c r="AJ587" i="13"/>
  <c r="AK587" i="13"/>
  <c r="AO587" i="13"/>
  <c r="AP587" i="13"/>
  <c r="AQ587" i="13"/>
  <c r="AR587" i="13"/>
  <c r="AS587" i="13"/>
  <c r="AT587" i="13"/>
  <c r="AU587" i="13"/>
  <c r="AV587" i="13"/>
  <c r="AW587" i="13"/>
  <c r="AX587" i="13"/>
  <c r="AY587" i="13"/>
  <c r="AZ587" i="13"/>
  <c r="BA587" i="13"/>
  <c r="BC587" i="13"/>
  <c r="BD587" i="13"/>
  <c r="BE587" i="13"/>
  <c r="BF587" i="13"/>
  <c r="BG587" i="13"/>
  <c r="BH587" i="13"/>
  <c r="U588" i="13"/>
  <c r="W588" i="13"/>
  <c r="X588" i="13"/>
  <c r="Y588" i="13"/>
  <c r="Z588" i="13"/>
  <c r="AA588" i="13"/>
  <c r="AB588" i="13"/>
  <c r="AF588" i="13"/>
  <c r="AG588" i="13"/>
  <c r="AH588" i="13"/>
  <c r="AI588" i="13"/>
  <c r="AJ588" i="13"/>
  <c r="AK588" i="13"/>
  <c r="AO588" i="13"/>
  <c r="AP588" i="13"/>
  <c r="AQ588" i="13"/>
  <c r="AR588" i="13"/>
  <c r="AS588" i="13"/>
  <c r="AT588" i="13"/>
  <c r="AU588" i="13"/>
  <c r="AV588" i="13"/>
  <c r="AW588" i="13"/>
  <c r="AX588" i="13"/>
  <c r="AY588" i="13"/>
  <c r="AZ588" i="13"/>
  <c r="BA588" i="13"/>
  <c r="BC588" i="13"/>
  <c r="BD588" i="13"/>
  <c r="BE588" i="13"/>
  <c r="BF588" i="13"/>
  <c r="BG588" i="13"/>
  <c r="BH588" i="13"/>
  <c r="U589" i="13"/>
  <c r="W589" i="13"/>
  <c r="X589" i="13"/>
  <c r="Y589" i="13"/>
  <c r="Z589" i="13"/>
  <c r="AA589" i="13"/>
  <c r="AB589" i="13"/>
  <c r="AF589" i="13"/>
  <c r="AG589" i="13"/>
  <c r="AH589" i="13"/>
  <c r="AI589" i="13"/>
  <c r="AJ589" i="13"/>
  <c r="AK589" i="13"/>
  <c r="AO589" i="13"/>
  <c r="AP589" i="13"/>
  <c r="AQ589" i="13"/>
  <c r="AR589" i="13"/>
  <c r="AS589" i="13"/>
  <c r="AT589" i="13"/>
  <c r="AU589" i="13"/>
  <c r="AV589" i="13"/>
  <c r="AW589" i="13"/>
  <c r="AX589" i="13"/>
  <c r="AY589" i="13"/>
  <c r="AZ589" i="13"/>
  <c r="BA589" i="13"/>
  <c r="BC589" i="13"/>
  <c r="BD589" i="13"/>
  <c r="BE589" i="13"/>
  <c r="BF589" i="13"/>
  <c r="BG589" i="13"/>
  <c r="BH589" i="13"/>
  <c r="U590" i="13"/>
  <c r="W590" i="13"/>
  <c r="X590" i="13"/>
  <c r="Y590" i="13"/>
  <c r="Z590" i="13"/>
  <c r="AA590" i="13"/>
  <c r="AB590" i="13"/>
  <c r="AF590" i="13"/>
  <c r="AG590" i="13"/>
  <c r="AH590" i="13"/>
  <c r="AI590" i="13"/>
  <c r="AJ590" i="13"/>
  <c r="AK590" i="13"/>
  <c r="AO590" i="13"/>
  <c r="AP590" i="13"/>
  <c r="AQ590" i="13"/>
  <c r="AR590" i="13"/>
  <c r="AS590" i="13"/>
  <c r="AT590" i="13"/>
  <c r="AU590" i="13"/>
  <c r="AV590" i="13"/>
  <c r="AW590" i="13"/>
  <c r="AX590" i="13"/>
  <c r="AY590" i="13"/>
  <c r="AZ590" i="13"/>
  <c r="BA590" i="13"/>
  <c r="BC590" i="13"/>
  <c r="BD590" i="13"/>
  <c r="BE590" i="13"/>
  <c r="BF590" i="13"/>
  <c r="BG590" i="13"/>
  <c r="BH590" i="13"/>
  <c r="U591" i="13"/>
  <c r="W591" i="13"/>
  <c r="X591" i="13"/>
  <c r="Y591" i="13"/>
  <c r="Z591" i="13"/>
  <c r="AA591" i="13"/>
  <c r="AB591" i="13"/>
  <c r="AF591" i="13"/>
  <c r="AG591" i="13"/>
  <c r="AH591" i="13"/>
  <c r="AI591" i="13"/>
  <c r="AJ591" i="13"/>
  <c r="AK591" i="13"/>
  <c r="AO591" i="13"/>
  <c r="AP591" i="13"/>
  <c r="AQ591" i="13"/>
  <c r="AR591" i="13"/>
  <c r="AS591" i="13"/>
  <c r="AT591" i="13"/>
  <c r="AU591" i="13"/>
  <c r="AV591" i="13"/>
  <c r="AW591" i="13"/>
  <c r="AX591" i="13"/>
  <c r="AY591" i="13"/>
  <c r="AZ591" i="13"/>
  <c r="BA591" i="13"/>
  <c r="BC591" i="13"/>
  <c r="BD591" i="13"/>
  <c r="BE591" i="13"/>
  <c r="BF591" i="13"/>
  <c r="BG591" i="13"/>
  <c r="BH591" i="13"/>
  <c r="U592" i="13"/>
  <c r="W592" i="13"/>
  <c r="X592" i="13"/>
  <c r="Y592" i="13"/>
  <c r="Z592" i="13"/>
  <c r="AA592" i="13"/>
  <c r="AB592" i="13"/>
  <c r="AF592" i="13"/>
  <c r="AG592" i="13"/>
  <c r="AH592" i="13"/>
  <c r="AI592" i="13"/>
  <c r="AJ592" i="13"/>
  <c r="AK592" i="13"/>
  <c r="AO592" i="13"/>
  <c r="AP592" i="13"/>
  <c r="AQ592" i="13"/>
  <c r="AR592" i="13"/>
  <c r="AS592" i="13"/>
  <c r="AT592" i="13"/>
  <c r="AU592" i="13"/>
  <c r="AV592" i="13"/>
  <c r="AW592" i="13"/>
  <c r="AX592" i="13"/>
  <c r="AY592" i="13"/>
  <c r="AZ592" i="13"/>
  <c r="BA592" i="13"/>
  <c r="BC592" i="13"/>
  <c r="BD592" i="13"/>
  <c r="BE592" i="13"/>
  <c r="BF592" i="13"/>
  <c r="BG592" i="13"/>
  <c r="BH592" i="13"/>
  <c r="U593" i="13"/>
  <c r="W593" i="13"/>
  <c r="X593" i="13"/>
  <c r="Y593" i="13"/>
  <c r="Z593" i="13"/>
  <c r="AA593" i="13"/>
  <c r="AB593" i="13"/>
  <c r="AF593" i="13"/>
  <c r="AG593" i="13"/>
  <c r="AH593" i="13"/>
  <c r="AI593" i="13"/>
  <c r="AJ593" i="13"/>
  <c r="AK593" i="13"/>
  <c r="AO593" i="13"/>
  <c r="AP593" i="13"/>
  <c r="AQ593" i="13"/>
  <c r="AR593" i="13"/>
  <c r="AS593" i="13"/>
  <c r="AT593" i="13"/>
  <c r="AU593" i="13"/>
  <c r="AV593" i="13"/>
  <c r="AW593" i="13"/>
  <c r="AX593" i="13"/>
  <c r="AY593" i="13"/>
  <c r="AZ593" i="13"/>
  <c r="BA593" i="13"/>
  <c r="BC593" i="13"/>
  <c r="BD593" i="13"/>
  <c r="BE593" i="13"/>
  <c r="BF593" i="13"/>
  <c r="BG593" i="13"/>
  <c r="BH593" i="13"/>
  <c r="U594" i="13"/>
  <c r="W594" i="13"/>
  <c r="X594" i="13"/>
  <c r="Y594" i="13"/>
  <c r="Z594" i="13"/>
  <c r="AA594" i="13"/>
  <c r="AB594" i="13"/>
  <c r="AF594" i="13"/>
  <c r="AG594" i="13"/>
  <c r="AH594" i="13"/>
  <c r="AI594" i="13"/>
  <c r="AJ594" i="13"/>
  <c r="AK594" i="13"/>
  <c r="AO594" i="13"/>
  <c r="AP594" i="13"/>
  <c r="AQ594" i="13"/>
  <c r="AR594" i="13"/>
  <c r="AS594" i="13"/>
  <c r="AT594" i="13"/>
  <c r="AU594" i="13"/>
  <c r="AV594" i="13"/>
  <c r="AW594" i="13"/>
  <c r="AX594" i="13"/>
  <c r="AY594" i="13"/>
  <c r="AZ594" i="13"/>
  <c r="BA594" i="13"/>
  <c r="BC594" i="13"/>
  <c r="BD594" i="13"/>
  <c r="BE594" i="13"/>
  <c r="BF594" i="13"/>
  <c r="BG594" i="13"/>
  <c r="BH594" i="13"/>
  <c r="U595" i="13"/>
  <c r="W595" i="13"/>
  <c r="X595" i="13"/>
  <c r="Y595" i="13"/>
  <c r="Z595" i="13"/>
  <c r="AA595" i="13"/>
  <c r="AB595" i="13"/>
  <c r="AF595" i="13"/>
  <c r="AG595" i="13"/>
  <c r="AH595" i="13"/>
  <c r="AI595" i="13"/>
  <c r="AJ595" i="13"/>
  <c r="AK595" i="13"/>
  <c r="AO595" i="13"/>
  <c r="AP595" i="13"/>
  <c r="AQ595" i="13"/>
  <c r="AR595" i="13"/>
  <c r="AS595" i="13"/>
  <c r="AT595" i="13"/>
  <c r="AU595" i="13"/>
  <c r="AV595" i="13"/>
  <c r="AW595" i="13"/>
  <c r="AX595" i="13"/>
  <c r="AY595" i="13"/>
  <c r="AZ595" i="13"/>
  <c r="BA595" i="13"/>
  <c r="BC595" i="13"/>
  <c r="BD595" i="13"/>
  <c r="BE595" i="13"/>
  <c r="BF595" i="13"/>
  <c r="BG595" i="13"/>
  <c r="BH595" i="13"/>
  <c r="U596" i="13"/>
  <c r="W596" i="13"/>
  <c r="X596" i="13"/>
  <c r="Y596" i="13"/>
  <c r="Z596" i="13"/>
  <c r="AA596" i="13"/>
  <c r="AB596" i="13"/>
  <c r="AF596" i="13"/>
  <c r="AG596" i="13"/>
  <c r="AH596" i="13"/>
  <c r="AI596" i="13"/>
  <c r="AJ596" i="13"/>
  <c r="AK596" i="13"/>
  <c r="AO596" i="13"/>
  <c r="AP596" i="13"/>
  <c r="AQ596" i="13"/>
  <c r="AR596" i="13"/>
  <c r="AS596" i="13"/>
  <c r="AT596" i="13"/>
  <c r="AU596" i="13"/>
  <c r="AV596" i="13"/>
  <c r="AW596" i="13"/>
  <c r="AX596" i="13"/>
  <c r="AY596" i="13"/>
  <c r="AZ596" i="13"/>
  <c r="BA596" i="13"/>
  <c r="BC596" i="13"/>
  <c r="BD596" i="13"/>
  <c r="BE596" i="13"/>
  <c r="BF596" i="13"/>
  <c r="BG596" i="13"/>
  <c r="BH596" i="13"/>
  <c r="U597" i="13"/>
  <c r="W597" i="13"/>
  <c r="X597" i="13"/>
  <c r="Y597" i="13"/>
  <c r="Z597" i="13"/>
  <c r="AA597" i="13"/>
  <c r="AB597" i="13"/>
  <c r="AF597" i="13"/>
  <c r="AG597" i="13"/>
  <c r="AH597" i="13"/>
  <c r="AI597" i="13"/>
  <c r="AJ597" i="13"/>
  <c r="AK597" i="13"/>
  <c r="AO597" i="13"/>
  <c r="AP597" i="13"/>
  <c r="AQ597" i="13"/>
  <c r="AR597" i="13"/>
  <c r="AS597" i="13"/>
  <c r="AT597" i="13"/>
  <c r="AU597" i="13"/>
  <c r="AV597" i="13"/>
  <c r="AW597" i="13"/>
  <c r="AX597" i="13"/>
  <c r="AY597" i="13"/>
  <c r="AZ597" i="13"/>
  <c r="BA597" i="13"/>
  <c r="BC597" i="13"/>
  <c r="BD597" i="13"/>
  <c r="BE597" i="13"/>
  <c r="BF597" i="13"/>
  <c r="BG597" i="13"/>
  <c r="BH597" i="13"/>
  <c r="U598" i="13"/>
  <c r="W598" i="13"/>
  <c r="X598" i="13"/>
  <c r="Y598" i="13"/>
  <c r="Z598" i="13"/>
  <c r="AA598" i="13"/>
  <c r="AB598" i="13"/>
  <c r="AF598" i="13"/>
  <c r="AG598" i="13"/>
  <c r="AH598" i="13"/>
  <c r="AI598" i="13"/>
  <c r="AJ598" i="13"/>
  <c r="AK598" i="13"/>
  <c r="AO598" i="13"/>
  <c r="AP598" i="13"/>
  <c r="AQ598" i="13"/>
  <c r="AR598" i="13"/>
  <c r="AS598" i="13"/>
  <c r="AT598" i="13"/>
  <c r="AU598" i="13"/>
  <c r="AV598" i="13"/>
  <c r="AW598" i="13"/>
  <c r="AX598" i="13"/>
  <c r="AY598" i="13"/>
  <c r="AZ598" i="13"/>
  <c r="BA598" i="13"/>
  <c r="BC598" i="13"/>
  <c r="BD598" i="13"/>
  <c r="BE598" i="13"/>
  <c r="BF598" i="13"/>
  <c r="BG598" i="13"/>
  <c r="BH598" i="13"/>
  <c r="U599" i="13"/>
  <c r="W599" i="13"/>
  <c r="X599" i="13"/>
  <c r="Y599" i="13"/>
  <c r="Z599" i="13"/>
  <c r="AA599" i="13"/>
  <c r="AB599" i="13"/>
  <c r="AF599" i="13"/>
  <c r="AG599" i="13"/>
  <c r="AH599" i="13"/>
  <c r="AI599" i="13"/>
  <c r="AJ599" i="13"/>
  <c r="AK599" i="13"/>
  <c r="AO599" i="13"/>
  <c r="AP599" i="13"/>
  <c r="AQ599" i="13"/>
  <c r="AR599" i="13"/>
  <c r="AS599" i="13"/>
  <c r="AT599" i="13"/>
  <c r="AU599" i="13"/>
  <c r="AV599" i="13"/>
  <c r="AW599" i="13"/>
  <c r="AX599" i="13"/>
  <c r="AY599" i="13"/>
  <c r="AZ599" i="13"/>
  <c r="BA599" i="13"/>
  <c r="BC599" i="13"/>
  <c r="BD599" i="13"/>
  <c r="BE599" i="13"/>
  <c r="BF599" i="13"/>
  <c r="BG599" i="13"/>
  <c r="BH599" i="13"/>
  <c r="U600" i="13"/>
  <c r="W600" i="13"/>
  <c r="X600" i="13"/>
  <c r="Y600" i="13"/>
  <c r="Z600" i="13"/>
  <c r="AA600" i="13"/>
  <c r="AB600" i="13"/>
  <c r="AF600" i="13"/>
  <c r="AG600" i="13"/>
  <c r="AH600" i="13"/>
  <c r="AI600" i="13"/>
  <c r="AJ600" i="13"/>
  <c r="AK600" i="13"/>
  <c r="AO600" i="13"/>
  <c r="AP600" i="13"/>
  <c r="AQ600" i="13"/>
  <c r="AR600" i="13"/>
  <c r="AS600" i="13"/>
  <c r="AT600" i="13"/>
  <c r="AU600" i="13"/>
  <c r="AV600" i="13"/>
  <c r="AW600" i="13"/>
  <c r="AX600" i="13"/>
  <c r="AY600" i="13"/>
  <c r="AZ600" i="13"/>
  <c r="BA600" i="13"/>
  <c r="BC600" i="13"/>
  <c r="BD600" i="13"/>
  <c r="BE600" i="13"/>
  <c r="BF600" i="13"/>
  <c r="BG600" i="13"/>
  <c r="BH600" i="13"/>
  <c r="U601" i="13"/>
  <c r="W601" i="13"/>
  <c r="X601" i="13"/>
  <c r="Y601" i="13"/>
  <c r="Z601" i="13"/>
  <c r="AA601" i="13"/>
  <c r="AB601" i="13"/>
  <c r="AF601" i="13"/>
  <c r="AG601" i="13"/>
  <c r="AH601" i="13"/>
  <c r="AI601" i="13"/>
  <c r="AJ601" i="13"/>
  <c r="AK601" i="13"/>
  <c r="AO601" i="13"/>
  <c r="AP601" i="13"/>
  <c r="AQ601" i="13"/>
  <c r="AR601" i="13"/>
  <c r="AS601" i="13"/>
  <c r="AT601" i="13"/>
  <c r="AU601" i="13"/>
  <c r="AV601" i="13"/>
  <c r="AW601" i="13"/>
  <c r="AX601" i="13"/>
  <c r="AY601" i="13"/>
  <c r="AZ601" i="13"/>
  <c r="BA601" i="13"/>
  <c r="BC601" i="13"/>
  <c r="BD601" i="13"/>
  <c r="BE601" i="13"/>
  <c r="BF601" i="13"/>
  <c r="BG601" i="13"/>
  <c r="BH601" i="13"/>
  <c r="U602" i="13"/>
  <c r="W602" i="13"/>
  <c r="X602" i="13"/>
  <c r="Y602" i="13"/>
  <c r="Z602" i="13"/>
  <c r="AA602" i="13"/>
  <c r="AB602" i="13"/>
  <c r="AF602" i="13"/>
  <c r="AG602" i="13"/>
  <c r="AH602" i="13"/>
  <c r="AI602" i="13"/>
  <c r="AJ602" i="13"/>
  <c r="AK602" i="13"/>
  <c r="AO602" i="13"/>
  <c r="AP602" i="13"/>
  <c r="AQ602" i="13"/>
  <c r="AR602" i="13"/>
  <c r="AS602" i="13"/>
  <c r="AT602" i="13"/>
  <c r="AU602" i="13"/>
  <c r="AV602" i="13"/>
  <c r="AW602" i="13"/>
  <c r="AX602" i="13"/>
  <c r="AY602" i="13"/>
  <c r="AZ602" i="13"/>
  <c r="BA602" i="13"/>
  <c r="BC602" i="13"/>
  <c r="BD602" i="13"/>
  <c r="BE602" i="13"/>
  <c r="BF602" i="13"/>
  <c r="BG602" i="13"/>
  <c r="BH602" i="13"/>
  <c r="U603" i="13"/>
  <c r="W603" i="13"/>
  <c r="X603" i="13"/>
  <c r="Y603" i="13"/>
  <c r="Z603" i="13"/>
  <c r="AA603" i="13"/>
  <c r="AB603" i="13"/>
  <c r="AF603" i="13"/>
  <c r="AG603" i="13"/>
  <c r="AH603" i="13"/>
  <c r="AI603" i="13"/>
  <c r="AJ603" i="13"/>
  <c r="AK603" i="13"/>
  <c r="AO603" i="13"/>
  <c r="AP603" i="13"/>
  <c r="AQ603" i="13"/>
  <c r="AR603" i="13"/>
  <c r="AS603" i="13"/>
  <c r="AT603" i="13"/>
  <c r="AU603" i="13"/>
  <c r="AV603" i="13"/>
  <c r="AW603" i="13"/>
  <c r="AX603" i="13"/>
  <c r="AY603" i="13"/>
  <c r="AZ603" i="13"/>
  <c r="BA603" i="13"/>
  <c r="BC603" i="13"/>
  <c r="BD603" i="13"/>
  <c r="BE603" i="13"/>
  <c r="BF603" i="13"/>
  <c r="BG603" i="13"/>
  <c r="BH603" i="13"/>
  <c r="U604" i="13"/>
  <c r="W604" i="13"/>
  <c r="X604" i="13"/>
  <c r="Y604" i="13"/>
  <c r="Z604" i="13"/>
  <c r="AA604" i="13"/>
  <c r="AB604" i="13"/>
  <c r="AF604" i="13"/>
  <c r="AG604" i="13"/>
  <c r="AH604" i="13"/>
  <c r="AI604" i="13"/>
  <c r="AJ604" i="13"/>
  <c r="AK604" i="13"/>
  <c r="AO604" i="13"/>
  <c r="AP604" i="13"/>
  <c r="AQ604" i="13"/>
  <c r="AR604" i="13"/>
  <c r="AS604" i="13"/>
  <c r="AT604" i="13"/>
  <c r="AU604" i="13"/>
  <c r="AV604" i="13"/>
  <c r="AW604" i="13"/>
  <c r="AX604" i="13"/>
  <c r="AY604" i="13"/>
  <c r="AZ604" i="13"/>
  <c r="BA604" i="13"/>
  <c r="BC604" i="13"/>
  <c r="BD604" i="13"/>
  <c r="BE604" i="13"/>
  <c r="BF604" i="13"/>
  <c r="BG604" i="13"/>
  <c r="BH604" i="13"/>
  <c r="U605" i="13"/>
  <c r="W605" i="13"/>
  <c r="X605" i="13"/>
  <c r="Y605" i="13"/>
  <c r="Z605" i="13"/>
  <c r="AA605" i="13"/>
  <c r="AB605" i="13"/>
  <c r="AF605" i="13"/>
  <c r="AG605" i="13"/>
  <c r="AH605" i="13"/>
  <c r="AI605" i="13"/>
  <c r="AJ605" i="13"/>
  <c r="AK605" i="13"/>
  <c r="AO605" i="13"/>
  <c r="AP605" i="13"/>
  <c r="AQ605" i="13"/>
  <c r="AR605" i="13"/>
  <c r="AS605" i="13"/>
  <c r="AT605" i="13"/>
  <c r="AU605" i="13"/>
  <c r="AV605" i="13"/>
  <c r="AW605" i="13"/>
  <c r="AX605" i="13"/>
  <c r="AY605" i="13"/>
  <c r="AZ605" i="13"/>
  <c r="BA605" i="13"/>
  <c r="BC605" i="13"/>
  <c r="BD605" i="13"/>
  <c r="BE605" i="13"/>
  <c r="BF605" i="13"/>
  <c r="BG605" i="13"/>
  <c r="BH605" i="13"/>
  <c r="U606" i="13"/>
  <c r="W606" i="13"/>
  <c r="X606" i="13"/>
  <c r="Y606" i="13"/>
  <c r="Z606" i="13"/>
  <c r="AA606" i="13"/>
  <c r="AB606" i="13"/>
  <c r="AF606" i="13"/>
  <c r="AG606" i="13"/>
  <c r="AH606" i="13"/>
  <c r="AI606" i="13"/>
  <c r="AJ606" i="13"/>
  <c r="AK606" i="13"/>
  <c r="AO606" i="13"/>
  <c r="AP606" i="13"/>
  <c r="AQ606" i="13"/>
  <c r="AR606" i="13"/>
  <c r="AS606" i="13"/>
  <c r="AT606" i="13"/>
  <c r="AU606" i="13"/>
  <c r="AV606" i="13"/>
  <c r="AW606" i="13"/>
  <c r="AX606" i="13"/>
  <c r="AY606" i="13"/>
  <c r="AZ606" i="13"/>
  <c r="BA606" i="13"/>
  <c r="BC606" i="13"/>
  <c r="BD606" i="13"/>
  <c r="BE606" i="13"/>
  <c r="BF606" i="13"/>
  <c r="BG606" i="13"/>
  <c r="BH606" i="13"/>
  <c r="AC625" i="13" l="1"/>
  <c r="AL620" i="13"/>
  <c r="AM578" i="13"/>
  <c r="AL617" i="13"/>
  <c r="AL622" i="13"/>
  <c r="AC621" i="13"/>
  <c r="AC613" i="13"/>
  <c r="AC607" i="13"/>
  <c r="AC611" i="13"/>
  <c r="AL615" i="13"/>
  <c r="AC615" i="13"/>
  <c r="AC609" i="13"/>
  <c r="AC617" i="13"/>
  <c r="AC608" i="13"/>
  <c r="AE603" i="13"/>
  <c r="AC624" i="13"/>
  <c r="AL612" i="13"/>
  <c r="AC618" i="13"/>
  <c r="AC616" i="13"/>
  <c r="AL607" i="13"/>
  <c r="BL624" i="13"/>
  <c r="AE583" i="13"/>
  <c r="AE579" i="13"/>
  <c r="AM587" i="13"/>
  <c r="AM597" i="13"/>
  <c r="BB598" i="13"/>
  <c r="AD598" i="13"/>
  <c r="AC598" i="13" s="1"/>
  <c r="AN584" i="13"/>
  <c r="AN583" i="13"/>
  <c r="AM582" i="13"/>
  <c r="AE578" i="13"/>
  <c r="AC578" i="13" s="1"/>
  <c r="AL624" i="13"/>
  <c r="AC622" i="13"/>
  <c r="AN604" i="13"/>
  <c r="AM603" i="13"/>
  <c r="AM601" i="13"/>
  <c r="AD590" i="13"/>
  <c r="AN580" i="13"/>
  <c r="AN579" i="13"/>
  <c r="AN578" i="13"/>
  <c r="AL578" i="13" s="1"/>
  <c r="BB590" i="13"/>
  <c r="AC620" i="13"/>
  <c r="AL613" i="13"/>
  <c r="AL621" i="13"/>
  <c r="BL621" i="13"/>
  <c r="BL618" i="13"/>
  <c r="AN602" i="13"/>
  <c r="AM599" i="13"/>
  <c r="AD594" i="13"/>
  <c r="AN588" i="13"/>
  <c r="AD586" i="13"/>
  <c r="AE582" i="13"/>
  <c r="AC582" i="13" s="1"/>
  <c r="BB604" i="13"/>
  <c r="AN600" i="13"/>
  <c r="AM594" i="13"/>
  <c r="AE591" i="13"/>
  <c r="AD589" i="13"/>
  <c r="AE586" i="13"/>
  <c r="AM581" i="13"/>
  <c r="AM605" i="13"/>
  <c r="AE601" i="13"/>
  <c r="AN598" i="13"/>
  <c r="AM591" i="13"/>
  <c r="BB586" i="13"/>
  <c r="AD582" i="13"/>
  <c r="AN606" i="13"/>
  <c r="AD606" i="13"/>
  <c r="AE605" i="13"/>
  <c r="AE599" i="13"/>
  <c r="AM595" i="13"/>
  <c r="BB594" i="13"/>
  <c r="AN592" i="13"/>
  <c r="AE587" i="13"/>
  <c r="AM583" i="13"/>
  <c r="BB582" i="13"/>
  <c r="AN582" i="13"/>
  <c r="AM579" i="13"/>
  <c r="AL579" i="13" s="1"/>
  <c r="AM604" i="13"/>
  <c r="BB603" i="13"/>
  <c r="AN603" i="13"/>
  <c r="AD603" i="13"/>
  <c r="AD602" i="13"/>
  <c r="BB600" i="13"/>
  <c r="AE598" i="13"/>
  <c r="AE597" i="13"/>
  <c r="AE594" i="13"/>
  <c r="AC594" i="13" s="1"/>
  <c r="AM593" i="13"/>
  <c r="BB592" i="13"/>
  <c r="AN591" i="13"/>
  <c r="AD588" i="13"/>
  <c r="AM586" i="13"/>
  <c r="AM584" i="13"/>
  <c r="AL584" i="13" s="1"/>
  <c r="BB583" i="13"/>
  <c r="AD583" i="13"/>
  <c r="BB581" i="13"/>
  <c r="AM580" i="13"/>
  <c r="BB579" i="13"/>
  <c r="AD579" i="13"/>
  <c r="AM606" i="13"/>
  <c r="AL606" i="13" s="1"/>
  <c r="BB605" i="13"/>
  <c r="AN605" i="13"/>
  <c r="AD605" i="13"/>
  <c r="AC605" i="13" s="1"/>
  <c r="AD604" i="13"/>
  <c r="BB602" i="13"/>
  <c r="AM596" i="13"/>
  <c r="BB595" i="13"/>
  <c r="AD595" i="13"/>
  <c r="AD593" i="13"/>
  <c r="AE590" i="13"/>
  <c r="AC590" i="13" s="1"/>
  <c r="AM589" i="13"/>
  <c r="BB588" i="13"/>
  <c r="AN587" i="13"/>
  <c r="AD584" i="13"/>
  <c r="AD580" i="13"/>
  <c r="AM600" i="13"/>
  <c r="BB599" i="13"/>
  <c r="AN599" i="13"/>
  <c r="AD599" i="13"/>
  <c r="AM598" i="13"/>
  <c r="AD597" i="13"/>
  <c r="AD596" i="13"/>
  <c r="AM592" i="13"/>
  <c r="AL592" i="13" s="1"/>
  <c r="BB591" i="13"/>
  <c r="AD591" i="13"/>
  <c r="AC591" i="13" s="1"/>
  <c r="BB589" i="13"/>
  <c r="AM585" i="13"/>
  <c r="BB584" i="13"/>
  <c r="AN581" i="13"/>
  <c r="BB578" i="13"/>
  <c r="BB606" i="13"/>
  <c r="AM602" i="13"/>
  <c r="BB601" i="13"/>
  <c r="AN601" i="13"/>
  <c r="AD601" i="13"/>
  <c r="AD600" i="13"/>
  <c r="BB597" i="13"/>
  <c r="AN597" i="13"/>
  <c r="BB596" i="13"/>
  <c r="AN596" i="13"/>
  <c r="AN595" i="13"/>
  <c r="AL595" i="13" s="1"/>
  <c r="AE595" i="13"/>
  <c r="BB593" i="13"/>
  <c r="AD592" i="13"/>
  <c r="AM590" i="13"/>
  <c r="AM588" i="13"/>
  <c r="BB587" i="13"/>
  <c r="AD587" i="13"/>
  <c r="AC587" i="13" s="1"/>
  <c r="BB585" i="13"/>
  <c r="AD585" i="13"/>
  <c r="AD581" i="13"/>
  <c r="BB580" i="13"/>
  <c r="BL622" i="13"/>
  <c r="BL617" i="13"/>
  <c r="BL613" i="13"/>
  <c r="BL611" i="13"/>
  <c r="BL616" i="13"/>
  <c r="BL608" i="13"/>
  <c r="BL623" i="13"/>
  <c r="BL615" i="13"/>
  <c r="BL612" i="13"/>
  <c r="BL610" i="13"/>
  <c r="BL614" i="13"/>
  <c r="BL609" i="13"/>
  <c r="BL619" i="13"/>
  <c r="BL625" i="13"/>
  <c r="BL607" i="13"/>
  <c r="BJ604" i="13"/>
  <c r="BK605" i="13"/>
  <c r="BJ578" i="13"/>
  <c r="BK579" i="13"/>
  <c r="BK581" i="13"/>
  <c r="BK578" i="13"/>
  <c r="BI585" i="13"/>
  <c r="BJ594" i="13"/>
  <c r="BJ590" i="13"/>
  <c r="BK594" i="13"/>
  <c r="BJ581" i="13"/>
  <c r="BJ586" i="13"/>
  <c r="BJ606" i="13"/>
  <c r="BJ582" i="13"/>
  <c r="BJ597" i="13"/>
  <c r="BK591" i="13"/>
  <c r="BI589" i="13"/>
  <c r="BJ598" i="13"/>
  <c r="BK583" i="13"/>
  <c r="BI581" i="13"/>
  <c r="BK595" i="13"/>
  <c r="BI593" i="13"/>
  <c r="BK587" i="13"/>
  <c r="BJ585" i="13"/>
  <c r="BI606" i="13"/>
  <c r="BJ603" i="13"/>
  <c r="BI599" i="13"/>
  <c r="BK603" i="13"/>
  <c r="BJ602" i="13"/>
  <c r="BI600" i="13"/>
  <c r="BK597" i="13"/>
  <c r="BJ589" i="13"/>
  <c r="BI584" i="13"/>
  <c r="BK582" i="13"/>
  <c r="BI604" i="13"/>
  <c r="BI601" i="13"/>
  <c r="BJ605" i="13"/>
  <c r="BI603" i="13"/>
  <c r="BI602" i="13"/>
  <c r="BK601" i="13"/>
  <c r="BK599" i="13"/>
  <c r="BK598" i="13"/>
  <c r="BI597" i="13"/>
  <c r="BI594" i="13"/>
  <c r="BI590" i="13"/>
  <c r="BI586" i="13"/>
  <c r="BI579" i="13"/>
  <c r="BI578" i="13"/>
  <c r="BI598" i="13"/>
  <c r="BI595" i="13"/>
  <c r="BJ593" i="13"/>
  <c r="BI591" i="13"/>
  <c r="BK590" i="13"/>
  <c r="BK589" i="13"/>
  <c r="BI587" i="13"/>
  <c r="BK586" i="13"/>
  <c r="BK585" i="13"/>
  <c r="BI580" i="13"/>
  <c r="BI596" i="13"/>
  <c r="BI592" i="13"/>
  <c r="BI588" i="13"/>
  <c r="BI583" i="13"/>
  <c r="BI582" i="13"/>
  <c r="BJ580" i="13"/>
  <c r="AL587" i="13"/>
  <c r="AL603" i="13"/>
  <c r="AL601" i="13"/>
  <c r="AL597" i="13"/>
  <c r="AL583" i="13"/>
  <c r="BI605" i="13"/>
  <c r="BK604" i="13"/>
  <c r="AE604" i="13"/>
  <c r="BK600" i="13"/>
  <c r="AE600" i="13"/>
  <c r="BJ599" i="13"/>
  <c r="BK596" i="13"/>
  <c r="AE596" i="13"/>
  <c r="BJ595" i="13"/>
  <c r="AN593" i="13"/>
  <c r="BK592" i="13"/>
  <c r="AE592" i="13"/>
  <c r="BJ591" i="13"/>
  <c r="AN589" i="13"/>
  <c r="BK588" i="13"/>
  <c r="AE588" i="13"/>
  <c r="AC588" i="13" s="1"/>
  <c r="BJ587" i="13"/>
  <c r="AN585" i="13"/>
  <c r="BK584" i="13"/>
  <c r="AE584" i="13"/>
  <c r="BJ583" i="13"/>
  <c r="BK580" i="13"/>
  <c r="AE580" i="13"/>
  <c r="AC580" i="13" s="1"/>
  <c r="BJ579" i="13"/>
  <c r="BJ600" i="13"/>
  <c r="BJ596" i="13"/>
  <c r="AN594" i="13"/>
  <c r="AL594" i="13" s="1"/>
  <c r="BK593" i="13"/>
  <c r="AE593" i="13"/>
  <c r="AC593" i="13" s="1"/>
  <c r="BJ592" i="13"/>
  <c r="AN590" i="13"/>
  <c r="AL590" i="13" s="1"/>
  <c r="AE589" i="13"/>
  <c r="BJ588" i="13"/>
  <c r="AN586" i="13"/>
  <c r="AE585" i="13"/>
  <c r="BJ584" i="13"/>
  <c r="AE581" i="13"/>
  <c r="AC581" i="13" s="1"/>
  <c r="BK606" i="13"/>
  <c r="AE606" i="13"/>
  <c r="AC606" i="13" s="1"/>
  <c r="BK602" i="13"/>
  <c r="AE602" i="13"/>
  <c r="AC602" i="13" s="1"/>
  <c r="BJ601" i="13"/>
  <c r="BC577" i="13"/>
  <c r="BD577" i="13"/>
  <c r="BE577" i="13"/>
  <c r="BF577" i="13"/>
  <c r="BG577" i="13"/>
  <c r="BH577" i="13"/>
  <c r="U577" i="13"/>
  <c r="AB577" i="13"/>
  <c r="AK577" i="13"/>
  <c r="AO577" i="13"/>
  <c r="AU577" i="13"/>
  <c r="BA577" i="13"/>
  <c r="AA577" i="13"/>
  <c r="AJ577" i="13"/>
  <c r="AT577" i="13"/>
  <c r="AZ577" i="13"/>
  <c r="Z577" i="13"/>
  <c r="AI577" i="13"/>
  <c r="AS577" i="13"/>
  <c r="AY577" i="13"/>
  <c r="Y577" i="13"/>
  <c r="AH577" i="13"/>
  <c r="AR577" i="13"/>
  <c r="AX577" i="13"/>
  <c r="X577" i="13"/>
  <c r="AG577" i="13"/>
  <c r="AQ577" i="13"/>
  <c r="AW577" i="13"/>
  <c r="W577" i="13"/>
  <c r="AF577" i="13"/>
  <c r="AP577" i="13"/>
  <c r="AV577" i="13"/>
  <c r="AL593" i="13" l="1"/>
  <c r="AL591" i="13"/>
  <c r="AL598" i="13"/>
  <c r="AL599" i="13"/>
  <c r="AL600" i="13"/>
  <c r="AC585" i="13"/>
  <c r="AC604" i="13"/>
  <c r="AL581" i="13"/>
  <c r="AC579" i="13"/>
  <c r="AL605" i="13"/>
  <c r="AL586" i="13"/>
  <c r="AL585" i="13"/>
  <c r="AC603" i="13"/>
  <c r="AL589" i="13"/>
  <c r="AD577" i="13"/>
  <c r="AL602" i="13"/>
  <c r="AC601" i="13"/>
  <c r="AC597" i="13"/>
  <c r="AL580" i="13"/>
  <c r="AL582" i="13"/>
  <c r="AC600" i="13"/>
  <c r="AL588" i="13"/>
  <c r="AM577" i="13"/>
  <c r="AC589" i="13"/>
  <c r="AC584" i="13"/>
  <c r="AC592" i="13"/>
  <c r="AC596" i="13"/>
  <c r="AC599" i="13"/>
  <c r="AC583" i="13"/>
  <c r="AL604" i="13"/>
  <c r="BL597" i="13"/>
  <c r="BB577" i="13"/>
  <c r="AN577" i="13"/>
  <c r="AC586" i="13"/>
  <c r="AE577" i="13"/>
  <c r="AL596" i="13"/>
  <c r="AC595" i="13"/>
  <c r="BL606" i="13"/>
  <c r="BL594" i="13"/>
  <c r="BL605" i="13"/>
  <c r="BL582" i="13"/>
  <c r="BL591" i="13"/>
  <c r="BL601" i="13"/>
  <c r="BL595" i="13"/>
  <c r="BL586" i="13"/>
  <c r="BL578" i="13"/>
  <c r="BJ577" i="13"/>
  <c r="BL590" i="13"/>
  <c r="BL592" i="13"/>
  <c r="BL580" i="13"/>
  <c r="BL581" i="13"/>
  <c r="BL588" i="13"/>
  <c r="BL600" i="13"/>
  <c r="BL583" i="13"/>
  <c r="BL587" i="13"/>
  <c r="BL603" i="13"/>
  <c r="BL585" i="13"/>
  <c r="BL584" i="13"/>
  <c r="BI577" i="13"/>
  <c r="BL596" i="13"/>
  <c r="BL599" i="13"/>
  <c r="BL604" i="13"/>
  <c r="BL589" i="13"/>
  <c r="BK577" i="13"/>
  <c r="BL579" i="13"/>
  <c r="BL602" i="13"/>
  <c r="BL593" i="13"/>
  <c r="BL598" i="13"/>
  <c r="BC576" i="13"/>
  <c r="BD576" i="13"/>
  <c r="BE576" i="13"/>
  <c r="BF576" i="13"/>
  <c r="BG576" i="13"/>
  <c r="BH576" i="13"/>
  <c r="U576" i="13"/>
  <c r="AB576" i="13"/>
  <c r="AK576" i="13"/>
  <c r="AO576" i="13"/>
  <c r="AU576" i="13"/>
  <c r="BA576" i="13"/>
  <c r="AA576" i="13"/>
  <c r="AJ576" i="13"/>
  <c r="AT576" i="13"/>
  <c r="AZ576" i="13"/>
  <c r="Z576" i="13"/>
  <c r="AI576" i="13"/>
  <c r="AS576" i="13"/>
  <c r="AY576" i="13"/>
  <c r="Y576" i="13"/>
  <c r="AH576" i="13"/>
  <c r="AR576" i="13"/>
  <c r="AX576" i="13"/>
  <c r="X576" i="13"/>
  <c r="AG576" i="13"/>
  <c r="AQ576" i="13"/>
  <c r="AW576" i="13"/>
  <c r="W576" i="13"/>
  <c r="AF576" i="13"/>
  <c r="AP576" i="13"/>
  <c r="AV576" i="13"/>
  <c r="AC577" i="13" l="1"/>
  <c r="AN576" i="13"/>
  <c r="AL577" i="13"/>
  <c r="AD576" i="13"/>
  <c r="AM576" i="13"/>
  <c r="AL576" i="13" s="1"/>
  <c r="BB576" i="13"/>
  <c r="AE576" i="13"/>
  <c r="BL577" i="13"/>
  <c r="BK576" i="13"/>
  <c r="BJ576" i="13"/>
  <c r="BI576" i="13"/>
  <c r="BC575" i="13"/>
  <c r="BD575" i="13"/>
  <c r="BE575" i="13"/>
  <c r="BF575" i="13"/>
  <c r="BG575" i="13"/>
  <c r="BH575" i="13"/>
  <c r="U575" i="13"/>
  <c r="AB575" i="13"/>
  <c r="AK575" i="13"/>
  <c r="AO575" i="13"/>
  <c r="AU575" i="13"/>
  <c r="BA575" i="13"/>
  <c r="AA575" i="13"/>
  <c r="AJ575" i="13"/>
  <c r="AT575" i="13"/>
  <c r="AZ575" i="13"/>
  <c r="Z575" i="13"/>
  <c r="AI575" i="13"/>
  <c r="AS575" i="13"/>
  <c r="AY575" i="13"/>
  <c r="Y575" i="13"/>
  <c r="AH575" i="13"/>
  <c r="AR575" i="13"/>
  <c r="AX575" i="13"/>
  <c r="X575" i="13"/>
  <c r="AG575" i="13"/>
  <c r="AQ575" i="13"/>
  <c r="AW575" i="13"/>
  <c r="W575" i="13"/>
  <c r="AF575" i="13"/>
  <c r="AP575" i="13"/>
  <c r="AV575" i="13"/>
  <c r="AM575" i="13" l="1"/>
  <c r="BB575" i="13"/>
  <c r="AD575" i="13"/>
  <c r="AC576" i="13"/>
  <c r="AN575" i="13"/>
  <c r="AL575" i="13" s="1"/>
  <c r="BL576" i="13"/>
  <c r="BK575" i="13"/>
  <c r="BJ575" i="13"/>
  <c r="BI575" i="13"/>
  <c r="AE575" i="13"/>
  <c r="AC575" i="13" s="1"/>
  <c r="BC574" i="13"/>
  <c r="BD574" i="13"/>
  <c r="BE574" i="13"/>
  <c r="BF574" i="13"/>
  <c r="BG574" i="13"/>
  <c r="BH574" i="13"/>
  <c r="U574" i="13"/>
  <c r="AB574" i="13"/>
  <c r="AK574" i="13"/>
  <c r="AO574" i="13"/>
  <c r="AU574" i="13"/>
  <c r="BA574" i="13"/>
  <c r="AA574" i="13"/>
  <c r="AJ574" i="13"/>
  <c r="AT574" i="13"/>
  <c r="AZ574" i="13"/>
  <c r="Z574" i="13"/>
  <c r="AI574" i="13"/>
  <c r="AS574" i="13"/>
  <c r="AY574" i="13"/>
  <c r="Y574" i="13"/>
  <c r="AH574" i="13"/>
  <c r="AR574" i="13"/>
  <c r="AX574" i="13"/>
  <c r="X574" i="13"/>
  <c r="AG574" i="13"/>
  <c r="AQ574" i="13"/>
  <c r="AW574" i="13"/>
  <c r="W574" i="13"/>
  <c r="AF574" i="13"/>
  <c r="AP574" i="13"/>
  <c r="AV574" i="13"/>
  <c r="BC573" i="13"/>
  <c r="BD573" i="13"/>
  <c r="BE573" i="13"/>
  <c r="BF573" i="13"/>
  <c r="BG573" i="13"/>
  <c r="BH573" i="13"/>
  <c r="U573" i="13"/>
  <c r="AB573" i="13"/>
  <c r="AK573" i="13"/>
  <c r="AO573" i="13"/>
  <c r="AU573" i="13"/>
  <c r="BA573" i="13"/>
  <c r="AA573" i="13"/>
  <c r="AJ573" i="13"/>
  <c r="AT573" i="13"/>
  <c r="AZ573" i="13"/>
  <c r="Z573" i="13"/>
  <c r="AI573" i="13"/>
  <c r="AS573" i="13"/>
  <c r="AY573" i="13"/>
  <c r="Y573" i="13"/>
  <c r="AH573" i="13"/>
  <c r="AR573" i="13"/>
  <c r="AX573" i="13"/>
  <c r="X573" i="13"/>
  <c r="AG573" i="13"/>
  <c r="AQ573" i="13"/>
  <c r="AW573" i="13"/>
  <c r="W573" i="13"/>
  <c r="AF573" i="13"/>
  <c r="AP573" i="13"/>
  <c r="AV573" i="13"/>
  <c r="AM574" i="13" l="1"/>
  <c r="AM573" i="13"/>
  <c r="AE573" i="13"/>
  <c r="BI573" i="13"/>
  <c r="BK574" i="13"/>
  <c r="BL575" i="13"/>
  <c r="BJ574" i="13"/>
  <c r="BI574" i="13"/>
  <c r="AE574" i="13"/>
  <c r="BK573" i="13"/>
  <c r="BB573" i="13"/>
  <c r="AN573" i="13"/>
  <c r="AL573" i="13" s="1"/>
  <c r="AD573" i="13"/>
  <c r="AC573" i="13" s="1"/>
  <c r="BJ573" i="13"/>
  <c r="BB574" i="13"/>
  <c r="AN574" i="13"/>
  <c r="AL574" i="13" s="1"/>
  <c r="AD574" i="13"/>
  <c r="AC574" i="13" l="1"/>
  <c r="BL574" i="13"/>
  <c r="BL573" i="13"/>
  <c r="BC572" i="13" l="1"/>
  <c r="BD572" i="13"/>
  <c r="BE572" i="13"/>
  <c r="BF572" i="13"/>
  <c r="BG572" i="13"/>
  <c r="BH572" i="13"/>
  <c r="U572" i="13"/>
  <c r="AB572" i="13"/>
  <c r="AK572" i="13"/>
  <c r="AO572" i="13"/>
  <c r="AU572" i="13"/>
  <c r="BA572" i="13"/>
  <c r="AA572" i="13"/>
  <c r="AJ572" i="13"/>
  <c r="AT572" i="13"/>
  <c r="AZ572" i="13"/>
  <c r="Z572" i="13"/>
  <c r="AI572" i="13"/>
  <c r="AS572" i="13"/>
  <c r="AY572" i="13"/>
  <c r="Y572" i="13"/>
  <c r="AH572" i="13"/>
  <c r="AR572" i="13"/>
  <c r="AX572" i="13"/>
  <c r="X572" i="13"/>
  <c r="AG572" i="13"/>
  <c r="AQ572" i="13"/>
  <c r="AW572" i="13"/>
  <c r="W572" i="13"/>
  <c r="AF572" i="13"/>
  <c r="AM572" i="13" s="1"/>
  <c r="AP572" i="13"/>
  <c r="AV572" i="13"/>
  <c r="BJ572" i="13" l="1"/>
  <c r="BK572" i="13"/>
  <c r="AE572" i="13"/>
  <c r="BI572" i="13"/>
  <c r="BB572" i="13"/>
  <c r="AN572" i="13"/>
  <c r="AL572" i="13" s="1"/>
  <c r="AD572" i="13"/>
  <c r="AC572" i="13" s="1"/>
  <c r="BL572" i="13" l="1"/>
  <c r="BC571" i="13"/>
  <c r="BD571" i="13"/>
  <c r="BE571" i="13"/>
  <c r="BF571" i="13"/>
  <c r="BG571" i="13"/>
  <c r="BH571" i="13"/>
  <c r="U571" i="13"/>
  <c r="AB571" i="13"/>
  <c r="AK571" i="13"/>
  <c r="AO571" i="13"/>
  <c r="AU571" i="13"/>
  <c r="BA571" i="13"/>
  <c r="AA571" i="13"/>
  <c r="AJ571" i="13"/>
  <c r="AT571" i="13"/>
  <c r="AZ571" i="13"/>
  <c r="Z571" i="13"/>
  <c r="AI571" i="13"/>
  <c r="AS571" i="13"/>
  <c r="AY571" i="13"/>
  <c r="Y571" i="13"/>
  <c r="AH571" i="13"/>
  <c r="AR571" i="13"/>
  <c r="AX571" i="13"/>
  <c r="X571" i="13"/>
  <c r="AG571" i="13"/>
  <c r="AQ571" i="13"/>
  <c r="AW571" i="13"/>
  <c r="W571" i="13"/>
  <c r="AE571" i="13" s="1"/>
  <c r="AF571" i="13"/>
  <c r="AP571" i="13"/>
  <c r="AV571" i="13"/>
  <c r="AN571" i="13" l="1"/>
  <c r="BI571" i="13"/>
  <c r="BJ571" i="13"/>
  <c r="BK571" i="13"/>
  <c r="BB571" i="13"/>
  <c r="AM571" i="13"/>
  <c r="AL571" i="13" s="1"/>
  <c r="AD571" i="13"/>
  <c r="AC571" i="13" s="1"/>
  <c r="BL571" i="13" l="1"/>
  <c r="BC570" i="13" l="1"/>
  <c r="BD570" i="13"/>
  <c r="BE570" i="13"/>
  <c r="BF570" i="13"/>
  <c r="BG570" i="13"/>
  <c r="BH570" i="13"/>
  <c r="U570" i="13"/>
  <c r="AB570" i="13"/>
  <c r="AK570" i="13"/>
  <c r="AO570" i="13"/>
  <c r="AU570" i="13"/>
  <c r="BA570" i="13"/>
  <c r="AA570" i="13"/>
  <c r="AJ570" i="13"/>
  <c r="AT570" i="13"/>
  <c r="AZ570" i="13"/>
  <c r="Z570" i="13"/>
  <c r="AI570" i="13"/>
  <c r="AS570" i="13"/>
  <c r="AY570" i="13"/>
  <c r="Y570" i="13"/>
  <c r="AH570" i="13"/>
  <c r="AR570" i="13"/>
  <c r="AX570" i="13"/>
  <c r="X570" i="13"/>
  <c r="AG570" i="13"/>
  <c r="AQ570" i="13"/>
  <c r="AW570" i="13"/>
  <c r="W570" i="13"/>
  <c r="AF570" i="13"/>
  <c r="AP570" i="13"/>
  <c r="AV570" i="13"/>
  <c r="AE570" i="13" l="1"/>
  <c r="AM570" i="13"/>
  <c r="BK570" i="13"/>
  <c r="BI570" i="13"/>
  <c r="BJ570" i="13"/>
  <c r="BB570" i="13"/>
  <c r="AN570" i="13"/>
  <c r="AD570" i="13"/>
  <c r="AC570" i="13" s="1"/>
  <c r="AL570" i="13" l="1"/>
  <c r="BL570" i="13"/>
  <c r="BC569" i="13" l="1"/>
  <c r="BD569" i="13"/>
  <c r="BE569" i="13"/>
  <c r="BF569" i="13"/>
  <c r="BG569" i="13"/>
  <c r="BH569" i="13"/>
  <c r="U569" i="13"/>
  <c r="AB569" i="13"/>
  <c r="AK569" i="13"/>
  <c r="AO569" i="13"/>
  <c r="AU569" i="13"/>
  <c r="BA569" i="13"/>
  <c r="AA569" i="13"/>
  <c r="AJ569" i="13"/>
  <c r="AT569" i="13"/>
  <c r="AZ569" i="13"/>
  <c r="Z569" i="13"/>
  <c r="AI569" i="13"/>
  <c r="AS569" i="13"/>
  <c r="AY569" i="13"/>
  <c r="Y569" i="13"/>
  <c r="AH569" i="13"/>
  <c r="AR569" i="13"/>
  <c r="AX569" i="13"/>
  <c r="X569" i="13"/>
  <c r="AG569" i="13"/>
  <c r="AQ569" i="13"/>
  <c r="AW569" i="13"/>
  <c r="W569" i="13"/>
  <c r="AE569" i="13" s="1"/>
  <c r="AF569" i="13"/>
  <c r="AP569" i="13"/>
  <c r="AV569" i="13"/>
  <c r="AM569" i="13" l="1"/>
  <c r="BB569" i="13"/>
  <c r="AN569" i="13"/>
  <c r="AD569" i="13"/>
  <c r="AC569" i="13" s="1"/>
  <c r="BK569" i="13"/>
  <c r="BJ569" i="13"/>
  <c r="BI569" i="13"/>
  <c r="AL569" i="13" l="1"/>
  <c r="BL569" i="13"/>
  <c r="BC568" i="13" l="1"/>
  <c r="BD568" i="13"/>
  <c r="BE568" i="13"/>
  <c r="BF568" i="13"/>
  <c r="BG568" i="13"/>
  <c r="BH568" i="13"/>
  <c r="U568" i="13"/>
  <c r="AB568" i="13"/>
  <c r="AK568" i="13"/>
  <c r="AO568" i="13"/>
  <c r="AU568" i="13"/>
  <c r="BA568" i="13"/>
  <c r="AA568" i="13"/>
  <c r="AJ568" i="13"/>
  <c r="AT568" i="13"/>
  <c r="AZ568" i="13"/>
  <c r="Z568" i="13"/>
  <c r="AI568" i="13"/>
  <c r="AS568" i="13"/>
  <c r="AY568" i="13"/>
  <c r="Y568" i="13"/>
  <c r="AH568" i="13"/>
  <c r="AR568" i="13"/>
  <c r="AX568" i="13"/>
  <c r="X568" i="13"/>
  <c r="AG568" i="13"/>
  <c r="AQ568" i="13"/>
  <c r="AW568" i="13"/>
  <c r="W568" i="13"/>
  <c r="AF568" i="13"/>
  <c r="AP568" i="13"/>
  <c r="AV568" i="13"/>
  <c r="AD568" i="13" l="1"/>
  <c r="BJ568" i="13"/>
  <c r="BK568" i="13"/>
  <c r="AN568" i="13"/>
  <c r="BI568" i="13"/>
  <c r="AM568" i="13"/>
  <c r="AE568" i="13"/>
  <c r="AC568" i="13" s="1"/>
  <c r="BB568" i="13"/>
  <c r="AL568" i="13" l="1"/>
  <c r="BL568" i="13"/>
  <c r="BC567" i="13" l="1"/>
  <c r="BD567" i="13"/>
  <c r="BE567" i="13"/>
  <c r="BF567" i="13"/>
  <c r="BG567" i="13"/>
  <c r="BH567" i="13"/>
  <c r="U567" i="13"/>
  <c r="AB567" i="13"/>
  <c r="AK567" i="13"/>
  <c r="AO567" i="13"/>
  <c r="AU567" i="13"/>
  <c r="BA567" i="13"/>
  <c r="AA567" i="13"/>
  <c r="AJ567" i="13"/>
  <c r="AT567" i="13"/>
  <c r="AZ567" i="13"/>
  <c r="Z567" i="13"/>
  <c r="AI567" i="13"/>
  <c r="AS567" i="13"/>
  <c r="AY567" i="13"/>
  <c r="Y567" i="13"/>
  <c r="AH567" i="13"/>
  <c r="AR567" i="13"/>
  <c r="AX567" i="13"/>
  <c r="X567" i="13"/>
  <c r="AG567" i="13"/>
  <c r="AQ567" i="13"/>
  <c r="AW567" i="13"/>
  <c r="W567" i="13"/>
  <c r="AF567" i="13"/>
  <c r="AP567" i="13"/>
  <c r="AV567" i="13"/>
  <c r="AM567" i="13" l="1"/>
  <c r="AD567" i="13"/>
  <c r="BI567" i="13"/>
  <c r="AN567" i="13"/>
  <c r="AL567" i="13" s="1"/>
  <c r="BJ567" i="13"/>
  <c r="AE567" i="13"/>
  <c r="AC567" i="13" s="1"/>
  <c r="BK567" i="13"/>
  <c r="BB567" i="13"/>
  <c r="BL567" i="13" l="1"/>
  <c r="C44" i="10" l="1"/>
  <c r="D44" i="10"/>
  <c r="E44" i="10"/>
  <c r="F44" i="10"/>
  <c r="C45" i="10"/>
  <c r="D45" i="10"/>
  <c r="E45" i="10"/>
  <c r="F45" i="10"/>
  <c r="C46" i="10"/>
  <c r="D46" i="10"/>
  <c r="E46" i="10"/>
  <c r="F46" i="10"/>
  <c r="C47" i="10"/>
  <c r="D47" i="10"/>
  <c r="E47" i="10"/>
  <c r="F47" i="10"/>
  <c r="C48" i="10"/>
  <c r="D48" i="10"/>
  <c r="E48" i="10"/>
  <c r="F48" i="10"/>
  <c r="C49" i="10"/>
  <c r="D49" i="10"/>
  <c r="E49" i="10"/>
  <c r="F49" i="10"/>
  <c r="BC566" i="13" l="1"/>
  <c r="BD566" i="13"/>
  <c r="BE566" i="13"/>
  <c r="BF566" i="13"/>
  <c r="BG566" i="13"/>
  <c r="BH566" i="13"/>
  <c r="U566" i="13"/>
  <c r="AB566" i="13"/>
  <c r="AK566" i="13"/>
  <c r="AO566" i="13"/>
  <c r="AU566" i="13"/>
  <c r="BA566" i="13"/>
  <c r="AA566" i="13"/>
  <c r="AJ566" i="13"/>
  <c r="AT566" i="13"/>
  <c r="AZ566" i="13"/>
  <c r="Z566" i="13"/>
  <c r="AI566" i="13"/>
  <c r="AS566" i="13"/>
  <c r="AY566" i="13"/>
  <c r="Y566" i="13"/>
  <c r="AH566" i="13"/>
  <c r="AR566" i="13"/>
  <c r="AX566" i="13"/>
  <c r="X566" i="13"/>
  <c r="AG566" i="13"/>
  <c r="AQ566" i="13"/>
  <c r="AW566" i="13"/>
  <c r="W566" i="13"/>
  <c r="AF566" i="13"/>
  <c r="AN566" i="13" s="1"/>
  <c r="AP566" i="13"/>
  <c r="AV566" i="13"/>
  <c r="BK566" i="13" l="1"/>
  <c r="BB566" i="13"/>
  <c r="AE566" i="13"/>
  <c r="BI566" i="13"/>
  <c r="BJ566" i="13"/>
  <c r="AM566" i="13"/>
  <c r="AL566" i="13" s="1"/>
  <c r="AD566" i="13"/>
  <c r="AC566" i="13" s="1"/>
  <c r="BL566" i="13" l="1"/>
  <c r="BC565" i="13" l="1"/>
  <c r="BD565" i="13"/>
  <c r="BE565" i="13"/>
  <c r="BF565" i="13"/>
  <c r="BG565" i="13"/>
  <c r="BH565" i="13"/>
  <c r="U565" i="13"/>
  <c r="AB565" i="13"/>
  <c r="AK565" i="13"/>
  <c r="AO565" i="13"/>
  <c r="AU565" i="13"/>
  <c r="BA565" i="13"/>
  <c r="AA565" i="13"/>
  <c r="AJ565" i="13"/>
  <c r="AT565" i="13"/>
  <c r="AZ565" i="13"/>
  <c r="Z565" i="13"/>
  <c r="AI565" i="13"/>
  <c r="AS565" i="13"/>
  <c r="AY565" i="13"/>
  <c r="Y565" i="13"/>
  <c r="AH565" i="13"/>
  <c r="AR565" i="13"/>
  <c r="AX565" i="13"/>
  <c r="X565" i="13"/>
  <c r="AG565" i="13"/>
  <c r="AQ565" i="13"/>
  <c r="AW565" i="13"/>
  <c r="W565" i="13"/>
  <c r="AF565" i="13"/>
  <c r="AP565" i="13"/>
  <c r="AV565" i="13"/>
  <c r="AM565" i="13" l="1"/>
  <c r="BI565" i="13"/>
  <c r="AD565" i="13"/>
  <c r="BJ565" i="13"/>
  <c r="BB565" i="13"/>
  <c r="AN565" i="13"/>
  <c r="AL565" i="13" s="1"/>
  <c r="BK565" i="13"/>
  <c r="AE565" i="13"/>
  <c r="AC565" i="13" l="1"/>
  <c r="BL565" i="13"/>
  <c r="BC564" i="13" l="1"/>
  <c r="BD564" i="13"/>
  <c r="BE564" i="13"/>
  <c r="BF564" i="13"/>
  <c r="BG564" i="13"/>
  <c r="BH564" i="13"/>
  <c r="U564" i="13"/>
  <c r="AB564" i="13"/>
  <c r="AK564" i="13"/>
  <c r="AO564" i="13"/>
  <c r="AU564" i="13"/>
  <c r="BA564" i="13"/>
  <c r="AA564" i="13"/>
  <c r="AJ564" i="13"/>
  <c r="AT564" i="13"/>
  <c r="AZ564" i="13"/>
  <c r="Z564" i="13"/>
  <c r="AI564" i="13"/>
  <c r="AS564" i="13"/>
  <c r="AY564" i="13"/>
  <c r="Y564" i="13"/>
  <c r="AH564" i="13"/>
  <c r="AR564" i="13"/>
  <c r="AX564" i="13"/>
  <c r="X564" i="13"/>
  <c r="AG564" i="13"/>
  <c r="AQ564" i="13"/>
  <c r="AW564" i="13"/>
  <c r="W564" i="13"/>
  <c r="AF564" i="13"/>
  <c r="AP564" i="13"/>
  <c r="AV564" i="13"/>
  <c r="AL89" i="10"/>
  <c r="AM89" i="10"/>
  <c r="AN89" i="10"/>
  <c r="AO89" i="10"/>
  <c r="AP89" i="10"/>
  <c r="AQ89" i="10"/>
  <c r="AR89" i="10"/>
  <c r="AS89" i="10"/>
  <c r="AT89" i="10"/>
  <c r="AU89" i="10"/>
  <c r="AL90" i="10"/>
  <c r="AM90" i="10"/>
  <c r="AN90" i="10"/>
  <c r="AO90" i="10"/>
  <c r="AP90" i="10"/>
  <c r="AQ90" i="10"/>
  <c r="AR90" i="10"/>
  <c r="AS90" i="10"/>
  <c r="AT90" i="10"/>
  <c r="AU90" i="10"/>
  <c r="AL91" i="10"/>
  <c r="AM91" i="10"/>
  <c r="AN91" i="10"/>
  <c r="AO91" i="10"/>
  <c r="AP91" i="10"/>
  <c r="AQ91" i="10"/>
  <c r="AR91" i="10"/>
  <c r="AS91" i="10"/>
  <c r="AT91" i="10"/>
  <c r="AU91" i="10"/>
  <c r="AL92" i="10"/>
  <c r="AM92" i="10"/>
  <c r="AN92" i="10"/>
  <c r="AO92" i="10"/>
  <c r="AP92" i="10"/>
  <c r="AQ92" i="10"/>
  <c r="AR92" i="10"/>
  <c r="AS92" i="10"/>
  <c r="AT92" i="10"/>
  <c r="AU92" i="10"/>
  <c r="AL93" i="10"/>
  <c r="AM93" i="10"/>
  <c r="AN93" i="10"/>
  <c r="AO93" i="10"/>
  <c r="AP93" i="10"/>
  <c r="AQ93" i="10"/>
  <c r="AR93" i="10"/>
  <c r="AS93" i="10"/>
  <c r="AT93" i="10"/>
  <c r="AU93" i="10"/>
  <c r="AL94" i="10"/>
  <c r="AM94" i="10"/>
  <c r="AN94" i="10"/>
  <c r="AO94" i="10"/>
  <c r="AP94" i="10"/>
  <c r="AQ94" i="10"/>
  <c r="AR94" i="10"/>
  <c r="AS94" i="10"/>
  <c r="AT94" i="10"/>
  <c r="AU94" i="10"/>
  <c r="AL95" i="10"/>
  <c r="AM95" i="10"/>
  <c r="AN95" i="10"/>
  <c r="AO95" i="10"/>
  <c r="AP95" i="10"/>
  <c r="AQ95" i="10"/>
  <c r="AR95" i="10"/>
  <c r="AS95" i="10"/>
  <c r="AT95" i="10"/>
  <c r="AU95" i="10"/>
  <c r="AL96" i="10"/>
  <c r="AM96" i="10"/>
  <c r="AN96" i="10"/>
  <c r="AO96" i="10"/>
  <c r="AP96" i="10"/>
  <c r="AQ96" i="10"/>
  <c r="AR96" i="10"/>
  <c r="AS96" i="10"/>
  <c r="AT96" i="10"/>
  <c r="AU96" i="10"/>
  <c r="AL97" i="10"/>
  <c r="AM97" i="10"/>
  <c r="AN97" i="10"/>
  <c r="AO97" i="10"/>
  <c r="AP97" i="10"/>
  <c r="AQ97" i="10"/>
  <c r="AR97" i="10"/>
  <c r="AS97" i="10"/>
  <c r="AT97" i="10"/>
  <c r="AU97" i="10"/>
  <c r="AL98" i="10"/>
  <c r="AM98" i="10"/>
  <c r="AN98" i="10"/>
  <c r="AO98" i="10"/>
  <c r="AP98" i="10"/>
  <c r="AQ98" i="10"/>
  <c r="AR98" i="10"/>
  <c r="AS98" i="10"/>
  <c r="AT98" i="10"/>
  <c r="AU98" i="10"/>
  <c r="AL99" i="10"/>
  <c r="AM99" i="10"/>
  <c r="AN99" i="10"/>
  <c r="AO99" i="10"/>
  <c r="AP99" i="10"/>
  <c r="AQ99" i="10"/>
  <c r="AR99" i="10"/>
  <c r="AS99" i="10"/>
  <c r="AT99" i="10"/>
  <c r="AU99" i="10"/>
  <c r="AL100" i="10"/>
  <c r="AM100" i="10"/>
  <c r="AM101" i="10" s="1"/>
  <c r="AM205" i="10" s="1"/>
  <c r="AN100" i="10"/>
  <c r="AO100" i="10"/>
  <c r="AP100" i="10"/>
  <c r="AQ100" i="10"/>
  <c r="AR100" i="10"/>
  <c r="AS100" i="10"/>
  <c r="AT100" i="10"/>
  <c r="AU100" i="10"/>
  <c r="AL102" i="10"/>
  <c r="AM102" i="10"/>
  <c r="AN102" i="10"/>
  <c r="AO102" i="10"/>
  <c r="AP102" i="10"/>
  <c r="AQ102" i="10"/>
  <c r="AR102" i="10"/>
  <c r="AS102" i="10"/>
  <c r="AT102" i="10"/>
  <c r="AU102" i="10"/>
  <c r="AL103" i="10"/>
  <c r="AM103" i="10"/>
  <c r="AN103" i="10"/>
  <c r="AO103" i="10"/>
  <c r="AP103" i="10"/>
  <c r="AQ103" i="10"/>
  <c r="AR103" i="10"/>
  <c r="AS103" i="10"/>
  <c r="AT103" i="10"/>
  <c r="AU103" i="10"/>
  <c r="AL104" i="10"/>
  <c r="AM104" i="10"/>
  <c r="AN104" i="10"/>
  <c r="AO104" i="10"/>
  <c r="AP104" i="10"/>
  <c r="AQ104" i="10"/>
  <c r="AR104" i="10"/>
  <c r="AS104" i="10"/>
  <c r="AT104" i="10"/>
  <c r="AU104" i="10"/>
  <c r="AL105" i="10"/>
  <c r="AM105" i="10"/>
  <c r="AN105" i="10"/>
  <c r="AO105" i="10"/>
  <c r="AP105" i="10"/>
  <c r="AQ105" i="10"/>
  <c r="AR105" i="10"/>
  <c r="AS105" i="10"/>
  <c r="AT105" i="10"/>
  <c r="AU105" i="10"/>
  <c r="AL106" i="10"/>
  <c r="AM106" i="10"/>
  <c r="AN106" i="10"/>
  <c r="AO106" i="10"/>
  <c r="AP106" i="10"/>
  <c r="AQ106" i="10"/>
  <c r="AR106" i="10"/>
  <c r="AS106" i="10"/>
  <c r="AT106" i="10"/>
  <c r="AU106" i="10"/>
  <c r="AL107" i="10"/>
  <c r="AM107" i="10"/>
  <c r="AN107" i="10"/>
  <c r="AO107" i="10"/>
  <c r="AP107" i="10"/>
  <c r="AQ107" i="10"/>
  <c r="AR107" i="10"/>
  <c r="AS107" i="10"/>
  <c r="AT107" i="10"/>
  <c r="AU107" i="10"/>
  <c r="AL109" i="10"/>
  <c r="AM109" i="10"/>
  <c r="AN109" i="10"/>
  <c r="AO109" i="10"/>
  <c r="AP109" i="10"/>
  <c r="AQ109" i="10"/>
  <c r="AR109" i="10"/>
  <c r="AS109" i="10"/>
  <c r="AT109" i="10"/>
  <c r="AU109" i="10"/>
  <c r="AL110" i="10"/>
  <c r="AM110" i="10"/>
  <c r="AN110" i="10"/>
  <c r="AO110" i="10"/>
  <c r="AP110" i="10"/>
  <c r="AQ110" i="10"/>
  <c r="AR110" i="10"/>
  <c r="AS110" i="10"/>
  <c r="AT110" i="10"/>
  <c r="AU110" i="10"/>
  <c r="AL111" i="10"/>
  <c r="AM111" i="10"/>
  <c r="AN111" i="10"/>
  <c r="AO111" i="10"/>
  <c r="AP111" i="10"/>
  <c r="AQ111" i="10"/>
  <c r="AR111" i="10"/>
  <c r="AS111" i="10"/>
  <c r="AT111" i="10"/>
  <c r="AU111" i="10"/>
  <c r="AL112" i="10"/>
  <c r="AM112" i="10"/>
  <c r="AN112" i="10"/>
  <c r="AO112" i="10"/>
  <c r="AP112" i="10"/>
  <c r="AQ112" i="10"/>
  <c r="AR112" i="10"/>
  <c r="AS112" i="10"/>
  <c r="AT112" i="10"/>
  <c r="AU112" i="10"/>
  <c r="AL113" i="10"/>
  <c r="AM113" i="10"/>
  <c r="AN113" i="10"/>
  <c r="AO113" i="10"/>
  <c r="AP113" i="10"/>
  <c r="AQ113" i="10"/>
  <c r="AR113" i="10"/>
  <c r="AS113" i="10"/>
  <c r="AT113" i="10"/>
  <c r="AU113" i="10"/>
  <c r="AL114" i="10"/>
  <c r="AM114" i="10"/>
  <c r="AN114" i="10"/>
  <c r="AO114" i="10"/>
  <c r="AP114" i="10"/>
  <c r="AQ114" i="10"/>
  <c r="AR114" i="10"/>
  <c r="AS114" i="10"/>
  <c r="AT114" i="10"/>
  <c r="AU114" i="10"/>
  <c r="AL116" i="10"/>
  <c r="AM116" i="10"/>
  <c r="AN116" i="10"/>
  <c r="AO116" i="10"/>
  <c r="AP116" i="10"/>
  <c r="AQ116" i="10"/>
  <c r="AR116" i="10"/>
  <c r="AS116" i="10"/>
  <c r="AT116" i="10"/>
  <c r="AU116" i="10"/>
  <c r="AL117" i="10"/>
  <c r="AM117" i="10"/>
  <c r="AN117" i="10"/>
  <c r="AO117" i="10"/>
  <c r="AP117" i="10"/>
  <c r="AQ117" i="10"/>
  <c r="AR117" i="10"/>
  <c r="AS117" i="10"/>
  <c r="AT117" i="10"/>
  <c r="AU117" i="10"/>
  <c r="AL118" i="10"/>
  <c r="AM118" i="10"/>
  <c r="AN118" i="10"/>
  <c r="AO118" i="10"/>
  <c r="AP118" i="10"/>
  <c r="AQ118" i="10"/>
  <c r="AR118" i="10"/>
  <c r="AS118" i="10"/>
  <c r="AT118" i="10"/>
  <c r="AU118" i="10"/>
  <c r="AL119" i="10"/>
  <c r="AM119" i="10"/>
  <c r="AN119" i="10"/>
  <c r="AO119" i="10"/>
  <c r="AP119" i="10"/>
  <c r="AQ119" i="10"/>
  <c r="AR119" i="10"/>
  <c r="AS119" i="10"/>
  <c r="AT119" i="10"/>
  <c r="AU119" i="10"/>
  <c r="AL120" i="10"/>
  <c r="AM120" i="10"/>
  <c r="AN120" i="10"/>
  <c r="AO120" i="10"/>
  <c r="AP120" i="10"/>
  <c r="AQ120" i="10"/>
  <c r="AR120" i="10"/>
  <c r="AS120" i="10"/>
  <c r="AT120" i="10"/>
  <c r="AU120" i="10"/>
  <c r="AL121" i="10"/>
  <c r="AM121" i="10"/>
  <c r="AN121" i="10"/>
  <c r="AO121" i="10"/>
  <c r="AP121" i="10"/>
  <c r="AQ121" i="10"/>
  <c r="AR121" i="10"/>
  <c r="AS121" i="10"/>
  <c r="AT121" i="10"/>
  <c r="AU121" i="10"/>
  <c r="AL123" i="10"/>
  <c r="AM123" i="10"/>
  <c r="AN123" i="10"/>
  <c r="AO123" i="10"/>
  <c r="AP123" i="10"/>
  <c r="AQ123" i="10"/>
  <c r="AR123" i="10"/>
  <c r="AS123" i="10"/>
  <c r="AT123" i="10"/>
  <c r="AU123" i="10"/>
  <c r="AL124" i="10"/>
  <c r="AM124" i="10"/>
  <c r="AN124" i="10"/>
  <c r="AO124" i="10"/>
  <c r="AP124" i="10"/>
  <c r="AQ124" i="10"/>
  <c r="AR124" i="10"/>
  <c r="AS124" i="10"/>
  <c r="AT124" i="10"/>
  <c r="AU124" i="10"/>
  <c r="AL125" i="10"/>
  <c r="AM125" i="10"/>
  <c r="AN125" i="10"/>
  <c r="AO125" i="10"/>
  <c r="AP125" i="10"/>
  <c r="AQ125" i="10"/>
  <c r="AR125" i="10"/>
  <c r="AS125" i="10"/>
  <c r="AT125" i="10"/>
  <c r="AU125" i="10"/>
  <c r="AL126" i="10"/>
  <c r="AM126" i="10"/>
  <c r="AN126" i="10"/>
  <c r="AO126" i="10"/>
  <c r="AP126" i="10"/>
  <c r="AQ126" i="10"/>
  <c r="AR126" i="10"/>
  <c r="AS126" i="10"/>
  <c r="AT126" i="10"/>
  <c r="AU126" i="10"/>
  <c r="AL127" i="10"/>
  <c r="AM127" i="10"/>
  <c r="AN127" i="10"/>
  <c r="AO127" i="10"/>
  <c r="AP127" i="10"/>
  <c r="AQ127" i="10"/>
  <c r="AR127" i="10"/>
  <c r="AS127" i="10"/>
  <c r="AT127" i="10"/>
  <c r="AU127" i="10"/>
  <c r="AL128" i="10"/>
  <c r="AM128" i="10"/>
  <c r="AN128" i="10"/>
  <c r="AO128" i="10"/>
  <c r="AP128" i="10"/>
  <c r="AQ128" i="10"/>
  <c r="AR128" i="10"/>
  <c r="AS128" i="10"/>
  <c r="AT128" i="10"/>
  <c r="AU128" i="10"/>
  <c r="AL130" i="10"/>
  <c r="AM130" i="10"/>
  <c r="AN130" i="10"/>
  <c r="AO130" i="10"/>
  <c r="AP130" i="10"/>
  <c r="AQ130" i="10"/>
  <c r="AR130" i="10"/>
  <c r="AS130" i="10"/>
  <c r="AT130" i="10"/>
  <c r="AU130" i="10"/>
  <c r="AL131" i="10"/>
  <c r="AM131" i="10"/>
  <c r="AN131" i="10"/>
  <c r="AO131" i="10"/>
  <c r="AP131" i="10"/>
  <c r="AQ131" i="10"/>
  <c r="AR131" i="10"/>
  <c r="AS131" i="10"/>
  <c r="AT131" i="10"/>
  <c r="AU131" i="10"/>
  <c r="AL132" i="10"/>
  <c r="AM132" i="10"/>
  <c r="AN132" i="10"/>
  <c r="AO132" i="10"/>
  <c r="AP132" i="10"/>
  <c r="AQ132" i="10"/>
  <c r="AR132" i="10"/>
  <c r="AS132" i="10"/>
  <c r="AT132" i="10"/>
  <c r="AU132" i="10"/>
  <c r="AL133" i="10"/>
  <c r="AM133" i="10"/>
  <c r="AN133" i="10"/>
  <c r="AO133" i="10"/>
  <c r="AP133" i="10"/>
  <c r="AQ133" i="10"/>
  <c r="AR133" i="10"/>
  <c r="AS133" i="10"/>
  <c r="AT133" i="10"/>
  <c r="AU133" i="10"/>
  <c r="AL134" i="10"/>
  <c r="AM134" i="10"/>
  <c r="AN134" i="10"/>
  <c r="AO134" i="10"/>
  <c r="AP134" i="10"/>
  <c r="AQ134" i="10"/>
  <c r="AR134" i="10"/>
  <c r="AS134" i="10"/>
  <c r="AT134" i="10"/>
  <c r="AU134" i="10"/>
  <c r="AL135" i="10"/>
  <c r="AM135" i="10"/>
  <c r="AN135" i="10"/>
  <c r="AO135" i="10"/>
  <c r="AP135" i="10"/>
  <c r="AQ135" i="10"/>
  <c r="AR135" i="10"/>
  <c r="AS135" i="10"/>
  <c r="AT135" i="10"/>
  <c r="AU135" i="10"/>
  <c r="AL137" i="10"/>
  <c r="AM137" i="10"/>
  <c r="AN137" i="10"/>
  <c r="AO137" i="10"/>
  <c r="AP137" i="10"/>
  <c r="AQ137" i="10"/>
  <c r="AR137" i="10"/>
  <c r="AS137" i="10"/>
  <c r="AT137" i="10"/>
  <c r="AU137" i="10"/>
  <c r="AL138" i="10"/>
  <c r="AM138" i="10"/>
  <c r="AN138" i="10"/>
  <c r="AO138" i="10"/>
  <c r="AP138" i="10"/>
  <c r="AQ138" i="10"/>
  <c r="AR138" i="10"/>
  <c r="AS138" i="10"/>
  <c r="AT138" i="10"/>
  <c r="AU138" i="10"/>
  <c r="AL139" i="10"/>
  <c r="AM139" i="10"/>
  <c r="AN139" i="10"/>
  <c r="AO139" i="10"/>
  <c r="AP139" i="10"/>
  <c r="AQ139" i="10"/>
  <c r="AR139" i="10"/>
  <c r="AS139" i="10"/>
  <c r="AT139" i="10"/>
  <c r="AU139" i="10"/>
  <c r="AL140" i="10"/>
  <c r="AM140" i="10"/>
  <c r="AN140" i="10"/>
  <c r="AO140" i="10"/>
  <c r="AP140" i="10"/>
  <c r="AQ140" i="10"/>
  <c r="AR140" i="10"/>
  <c r="AS140" i="10"/>
  <c r="AT140" i="10"/>
  <c r="AU140" i="10"/>
  <c r="AL141" i="10"/>
  <c r="AM141" i="10"/>
  <c r="AN141" i="10"/>
  <c r="AO141" i="10"/>
  <c r="AP141" i="10"/>
  <c r="AQ141" i="10"/>
  <c r="AR141" i="10"/>
  <c r="AS141" i="10"/>
  <c r="AT141" i="10"/>
  <c r="AU141" i="10"/>
  <c r="AL142" i="10"/>
  <c r="AM142" i="10"/>
  <c r="AN142" i="10"/>
  <c r="AO142" i="10"/>
  <c r="AP142" i="10"/>
  <c r="AQ142" i="10"/>
  <c r="AR142" i="10"/>
  <c r="AS142" i="10"/>
  <c r="AT142" i="10"/>
  <c r="AU142" i="10"/>
  <c r="AL144" i="10"/>
  <c r="AM144" i="10"/>
  <c r="AN144" i="10"/>
  <c r="AO144" i="10"/>
  <c r="AP144" i="10"/>
  <c r="AQ144" i="10"/>
  <c r="AR144" i="10"/>
  <c r="AS144" i="10"/>
  <c r="AT144" i="10"/>
  <c r="AU144" i="10"/>
  <c r="AL145" i="10"/>
  <c r="AM145" i="10"/>
  <c r="AN145" i="10"/>
  <c r="AO145" i="10"/>
  <c r="AP145" i="10"/>
  <c r="AQ145" i="10"/>
  <c r="AR145" i="10"/>
  <c r="AS145" i="10"/>
  <c r="AT145" i="10"/>
  <c r="AU145" i="10"/>
  <c r="AL146" i="10"/>
  <c r="AM146" i="10"/>
  <c r="AN146" i="10"/>
  <c r="AO146" i="10"/>
  <c r="AP146" i="10"/>
  <c r="AQ146" i="10"/>
  <c r="AR146" i="10"/>
  <c r="AS146" i="10"/>
  <c r="AT146" i="10"/>
  <c r="AU146" i="10"/>
  <c r="AL147" i="10"/>
  <c r="AM147" i="10"/>
  <c r="AN147" i="10"/>
  <c r="AO147" i="10"/>
  <c r="AP147" i="10"/>
  <c r="AQ147" i="10"/>
  <c r="AR147" i="10"/>
  <c r="AS147" i="10"/>
  <c r="AT147" i="10"/>
  <c r="AU147" i="10"/>
  <c r="AL148" i="10"/>
  <c r="AM148" i="10"/>
  <c r="AN148" i="10"/>
  <c r="AO148" i="10"/>
  <c r="AP148" i="10"/>
  <c r="AQ148" i="10"/>
  <c r="AR148" i="10"/>
  <c r="AS148" i="10"/>
  <c r="AT148" i="10"/>
  <c r="AU148" i="10"/>
  <c r="AL149" i="10"/>
  <c r="AM149" i="10"/>
  <c r="AN149" i="10"/>
  <c r="AO149" i="10"/>
  <c r="AP149" i="10"/>
  <c r="AQ149" i="10"/>
  <c r="AR149" i="10"/>
  <c r="AS149" i="10"/>
  <c r="AT149" i="10"/>
  <c r="AU149" i="10"/>
  <c r="AL151" i="10"/>
  <c r="AM151" i="10"/>
  <c r="AN151" i="10"/>
  <c r="AO151" i="10"/>
  <c r="AP151" i="10"/>
  <c r="AQ151" i="10"/>
  <c r="AR151" i="10"/>
  <c r="AS151" i="10"/>
  <c r="AT151" i="10"/>
  <c r="AU151" i="10"/>
  <c r="AL152" i="10"/>
  <c r="AM152" i="10"/>
  <c r="AN152" i="10"/>
  <c r="AO152" i="10"/>
  <c r="AP152" i="10"/>
  <c r="AQ152" i="10"/>
  <c r="AR152" i="10"/>
  <c r="AS152" i="10"/>
  <c r="AT152" i="10"/>
  <c r="AU152" i="10"/>
  <c r="AL153" i="10"/>
  <c r="AM153" i="10"/>
  <c r="AN153" i="10"/>
  <c r="AO153" i="10"/>
  <c r="AP153" i="10"/>
  <c r="AQ153" i="10"/>
  <c r="AR153" i="10"/>
  <c r="AS153" i="10"/>
  <c r="AT153" i="10"/>
  <c r="AU153" i="10"/>
  <c r="AL154" i="10"/>
  <c r="AM154" i="10"/>
  <c r="AN154" i="10"/>
  <c r="AO154" i="10"/>
  <c r="AP154" i="10"/>
  <c r="AQ154" i="10"/>
  <c r="AR154" i="10"/>
  <c r="AS154" i="10"/>
  <c r="AT154" i="10"/>
  <c r="AU154" i="10"/>
  <c r="AL155" i="10"/>
  <c r="AM155" i="10"/>
  <c r="AN155" i="10"/>
  <c r="AO155" i="10"/>
  <c r="AP155" i="10"/>
  <c r="AQ155" i="10"/>
  <c r="AR155" i="10"/>
  <c r="AS155" i="10"/>
  <c r="AT155" i="10"/>
  <c r="AU155" i="10"/>
  <c r="AL156" i="10"/>
  <c r="AM156" i="10"/>
  <c r="AN156" i="10"/>
  <c r="AO156" i="10"/>
  <c r="AP156" i="10"/>
  <c r="AQ156" i="10"/>
  <c r="AR156" i="10"/>
  <c r="AS156" i="10"/>
  <c r="AT156" i="10"/>
  <c r="AU156" i="10"/>
  <c r="AL158" i="10"/>
  <c r="AM158" i="10"/>
  <c r="AN158" i="10"/>
  <c r="AO158" i="10"/>
  <c r="AP158" i="10"/>
  <c r="AQ158" i="10"/>
  <c r="AR158" i="10"/>
  <c r="AS158" i="10"/>
  <c r="AT158" i="10"/>
  <c r="AU158" i="10"/>
  <c r="AL159" i="10"/>
  <c r="AM159" i="10"/>
  <c r="AN159" i="10"/>
  <c r="AO159" i="10"/>
  <c r="AP159" i="10"/>
  <c r="AQ159" i="10"/>
  <c r="AR159" i="10"/>
  <c r="AS159" i="10"/>
  <c r="AT159" i="10"/>
  <c r="AU159" i="10"/>
  <c r="AL160" i="10"/>
  <c r="AM160" i="10"/>
  <c r="AN160" i="10"/>
  <c r="AO160" i="10"/>
  <c r="AP160" i="10"/>
  <c r="AQ160" i="10"/>
  <c r="AR160" i="10"/>
  <c r="AS160" i="10"/>
  <c r="AT160" i="10"/>
  <c r="AU160" i="10"/>
  <c r="AL161" i="10"/>
  <c r="AM161" i="10"/>
  <c r="AN161" i="10"/>
  <c r="AO161" i="10"/>
  <c r="AP161" i="10"/>
  <c r="AQ161" i="10"/>
  <c r="AR161" i="10"/>
  <c r="AS161" i="10"/>
  <c r="AT161" i="10"/>
  <c r="AU161" i="10"/>
  <c r="AL162" i="10"/>
  <c r="AM162" i="10"/>
  <c r="AN162" i="10"/>
  <c r="AO162" i="10"/>
  <c r="AP162" i="10"/>
  <c r="AQ162" i="10"/>
  <c r="AR162" i="10"/>
  <c r="AS162" i="10"/>
  <c r="AT162" i="10"/>
  <c r="AU162" i="10"/>
  <c r="AL163" i="10"/>
  <c r="AM163" i="10"/>
  <c r="AN163" i="10"/>
  <c r="AO163" i="10"/>
  <c r="AP163" i="10"/>
  <c r="AQ163" i="10"/>
  <c r="AR163" i="10"/>
  <c r="AS163" i="10"/>
  <c r="AT163" i="10"/>
  <c r="AU163" i="10"/>
  <c r="AL165" i="10"/>
  <c r="AM165" i="10"/>
  <c r="AN165" i="10"/>
  <c r="AO165" i="10"/>
  <c r="AP165" i="10"/>
  <c r="AQ165" i="10"/>
  <c r="AR165" i="10"/>
  <c r="AS165" i="10"/>
  <c r="AT165" i="10"/>
  <c r="AU165" i="10"/>
  <c r="AL166" i="10"/>
  <c r="AM166" i="10"/>
  <c r="AN166" i="10"/>
  <c r="AO166" i="10"/>
  <c r="AP166" i="10"/>
  <c r="AQ166" i="10"/>
  <c r="AR166" i="10"/>
  <c r="AS166" i="10"/>
  <c r="AT166" i="10"/>
  <c r="AU166" i="10"/>
  <c r="AL167" i="10"/>
  <c r="AM167" i="10"/>
  <c r="AN167" i="10"/>
  <c r="AO167" i="10"/>
  <c r="AP167" i="10"/>
  <c r="AQ167" i="10"/>
  <c r="AR167" i="10"/>
  <c r="AS167" i="10"/>
  <c r="AT167" i="10"/>
  <c r="AU167" i="10"/>
  <c r="AL168" i="10"/>
  <c r="AM168" i="10"/>
  <c r="AN168" i="10"/>
  <c r="AO168" i="10"/>
  <c r="AP168" i="10"/>
  <c r="AQ168" i="10"/>
  <c r="AR168" i="10"/>
  <c r="AS168" i="10"/>
  <c r="AT168" i="10"/>
  <c r="AU168" i="10"/>
  <c r="AL169" i="10"/>
  <c r="AM169" i="10"/>
  <c r="AN169" i="10"/>
  <c r="AO169" i="10"/>
  <c r="AP169" i="10"/>
  <c r="AQ169" i="10"/>
  <c r="AR169" i="10"/>
  <c r="AS169" i="10"/>
  <c r="AT169" i="10"/>
  <c r="AU169" i="10"/>
  <c r="AL170" i="10"/>
  <c r="AM170" i="10"/>
  <c r="AN170" i="10"/>
  <c r="AO170" i="10"/>
  <c r="AP170" i="10"/>
  <c r="AQ170" i="10"/>
  <c r="AR170" i="10"/>
  <c r="AS170" i="10"/>
  <c r="AT170" i="10"/>
  <c r="AU170" i="10"/>
  <c r="AL172" i="10"/>
  <c r="AM172" i="10"/>
  <c r="AN172" i="10"/>
  <c r="AO172" i="10"/>
  <c r="AP172" i="10"/>
  <c r="AQ172" i="10"/>
  <c r="AR172" i="10"/>
  <c r="AS172" i="10"/>
  <c r="AT172" i="10"/>
  <c r="AU172" i="10"/>
  <c r="AL173" i="10"/>
  <c r="AM173" i="10"/>
  <c r="AN173" i="10"/>
  <c r="AO173" i="10"/>
  <c r="AP173" i="10"/>
  <c r="AQ173" i="10"/>
  <c r="AR173" i="10"/>
  <c r="AS173" i="10"/>
  <c r="AT173" i="10"/>
  <c r="AU173" i="10"/>
  <c r="AL174" i="10"/>
  <c r="AM174" i="10"/>
  <c r="AN174" i="10"/>
  <c r="AO174" i="10"/>
  <c r="AP174" i="10"/>
  <c r="AQ174" i="10"/>
  <c r="AR174" i="10"/>
  <c r="AS174" i="10"/>
  <c r="AT174" i="10"/>
  <c r="AU174" i="10"/>
  <c r="AL175" i="10"/>
  <c r="AM175" i="10"/>
  <c r="AN175" i="10"/>
  <c r="AO175" i="10"/>
  <c r="AP175" i="10"/>
  <c r="AQ175" i="10"/>
  <c r="AR175" i="10"/>
  <c r="AS175" i="10"/>
  <c r="AT175" i="10"/>
  <c r="AU175" i="10"/>
  <c r="AL176" i="10"/>
  <c r="AM176" i="10"/>
  <c r="AN176" i="10"/>
  <c r="AO176" i="10"/>
  <c r="AP176" i="10"/>
  <c r="AQ176" i="10"/>
  <c r="AR176" i="10"/>
  <c r="AS176" i="10"/>
  <c r="AT176" i="10"/>
  <c r="AU176" i="10"/>
  <c r="AL177" i="10"/>
  <c r="AM177" i="10"/>
  <c r="AN177" i="10"/>
  <c r="AO177" i="10"/>
  <c r="AP177" i="10"/>
  <c r="AQ177" i="10"/>
  <c r="AR177" i="10"/>
  <c r="AS177" i="10"/>
  <c r="AT177" i="10"/>
  <c r="AU177" i="10"/>
  <c r="AL179" i="10"/>
  <c r="AM179" i="10"/>
  <c r="AN179" i="10"/>
  <c r="AO179" i="10"/>
  <c r="AP179" i="10"/>
  <c r="AQ179" i="10"/>
  <c r="AR179" i="10"/>
  <c r="AS179" i="10"/>
  <c r="AT179" i="10"/>
  <c r="AU179" i="10"/>
  <c r="AL180" i="10"/>
  <c r="AM180" i="10"/>
  <c r="AN180" i="10"/>
  <c r="AO180" i="10"/>
  <c r="AP180" i="10"/>
  <c r="AQ180" i="10"/>
  <c r="AR180" i="10"/>
  <c r="AS180" i="10"/>
  <c r="AT180" i="10"/>
  <c r="AU180" i="10"/>
  <c r="AL181" i="10"/>
  <c r="AM181" i="10"/>
  <c r="AN181" i="10"/>
  <c r="AO181" i="10"/>
  <c r="AP181" i="10"/>
  <c r="AQ181" i="10"/>
  <c r="AR181" i="10"/>
  <c r="AS181" i="10"/>
  <c r="AT181" i="10"/>
  <c r="AU181" i="10"/>
  <c r="AL182" i="10"/>
  <c r="AM182" i="10"/>
  <c r="AN182" i="10"/>
  <c r="AO182" i="10"/>
  <c r="AP182" i="10"/>
  <c r="AQ182" i="10"/>
  <c r="AR182" i="10"/>
  <c r="AS182" i="10"/>
  <c r="AT182" i="10"/>
  <c r="AU182" i="10"/>
  <c r="AL183" i="10"/>
  <c r="AM183" i="10"/>
  <c r="AN183" i="10"/>
  <c r="AO183" i="10"/>
  <c r="AP183" i="10"/>
  <c r="AQ183" i="10"/>
  <c r="AR183" i="10"/>
  <c r="AS183" i="10"/>
  <c r="AT183" i="10"/>
  <c r="AU183" i="10"/>
  <c r="AL184" i="10"/>
  <c r="AM184" i="10"/>
  <c r="AN184" i="10"/>
  <c r="AO184" i="10"/>
  <c r="AP184" i="10"/>
  <c r="AQ184" i="10"/>
  <c r="AR184" i="10"/>
  <c r="AS184" i="10"/>
  <c r="AT184" i="10"/>
  <c r="AU184" i="10"/>
  <c r="AL185" i="10"/>
  <c r="AM185" i="10"/>
  <c r="AN185" i="10"/>
  <c r="AO185" i="10"/>
  <c r="AP185" i="10"/>
  <c r="AQ185" i="10"/>
  <c r="AR185" i="10"/>
  <c r="AS185" i="10"/>
  <c r="AT185" i="10"/>
  <c r="AU185" i="10"/>
  <c r="AL186" i="10"/>
  <c r="AM186" i="10"/>
  <c r="AN186" i="10"/>
  <c r="AO186" i="10"/>
  <c r="AP186" i="10"/>
  <c r="AQ186" i="10"/>
  <c r="AR186" i="10"/>
  <c r="AS186" i="10"/>
  <c r="AT186" i="10"/>
  <c r="AU186" i="10"/>
  <c r="AL187" i="10"/>
  <c r="AM187" i="10"/>
  <c r="AN187" i="10"/>
  <c r="AO187" i="10"/>
  <c r="AP187" i="10"/>
  <c r="AQ187" i="10"/>
  <c r="AR187" i="10"/>
  <c r="AS187" i="10"/>
  <c r="AT187" i="10"/>
  <c r="AU187" i="10"/>
  <c r="AL188" i="10"/>
  <c r="AM188" i="10"/>
  <c r="AN188" i="10"/>
  <c r="AO188" i="10"/>
  <c r="AP188" i="10"/>
  <c r="AQ188" i="10"/>
  <c r="AR188" i="10"/>
  <c r="AS188" i="10"/>
  <c r="AT188" i="10"/>
  <c r="AU188" i="10"/>
  <c r="AL189" i="10"/>
  <c r="AM189" i="10"/>
  <c r="AN189" i="10"/>
  <c r="AO189" i="10"/>
  <c r="AP189" i="10"/>
  <c r="AQ189" i="10"/>
  <c r="AR189" i="10"/>
  <c r="AS189" i="10"/>
  <c r="AT189" i="10"/>
  <c r="AU189" i="10"/>
  <c r="AL190" i="10"/>
  <c r="AM190" i="10"/>
  <c r="AN190" i="10"/>
  <c r="AO190" i="10"/>
  <c r="AP190" i="10"/>
  <c r="AQ190" i="10"/>
  <c r="AR190" i="10"/>
  <c r="AS190" i="10"/>
  <c r="AT190" i="10"/>
  <c r="AU190" i="10"/>
  <c r="AL192" i="10"/>
  <c r="AM192" i="10"/>
  <c r="AN192" i="10"/>
  <c r="AO192" i="10"/>
  <c r="AP192" i="10"/>
  <c r="AQ192" i="10"/>
  <c r="AR192" i="10"/>
  <c r="AS192" i="10"/>
  <c r="AT192" i="10"/>
  <c r="AU192" i="10"/>
  <c r="AL193" i="10"/>
  <c r="AM193" i="10"/>
  <c r="AN193" i="10"/>
  <c r="AO193" i="10"/>
  <c r="AP193" i="10"/>
  <c r="AQ193" i="10"/>
  <c r="AR193" i="10"/>
  <c r="AS193" i="10"/>
  <c r="AT193" i="10"/>
  <c r="AU193" i="10"/>
  <c r="AL194" i="10"/>
  <c r="AM194" i="10"/>
  <c r="AN194" i="10"/>
  <c r="AO194" i="10"/>
  <c r="AP194" i="10"/>
  <c r="AQ194" i="10"/>
  <c r="AR194" i="10"/>
  <c r="AS194" i="10"/>
  <c r="AT194" i="10"/>
  <c r="AU194" i="10"/>
  <c r="AL195" i="10"/>
  <c r="AM195" i="10"/>
  <c r="AN195" i="10"/>
  <c r="AO195" i="10"/>
  <c r="AP195" i="10"/>
  <c r="AQ195" i="10"/>
  <c r="AR195" i="10"/>
  <c r="AS195" i="10"/>
  <c r="AT195" i="10"/>
  <c r="AU195" i="10"/>
  <c r="AL196" i="10"/>
  <c r="AM196" i="10"/>
  <c r="AN196" i="10"/>
  <c r="AO196" i="10"/>
  <c r="AP196" i="10"/>
  <c r="AQ196" i="10"/>
  <c r="AR196" i="10"/>
  <c r="AS196" i="10"/>
  <c r="AT196" i="10"/>
  <c r="AU196" i="10"/>
  <c r="AL197" i="10"/>
  <c r="AM197" i="10"/>
  <c r="AN197" i="10"/>
  <c r="AO197" i="10"/>
  <c r="AP197" i="10"/>
  <c r="AQ197" i="10"/>
  <c r="AR197" i="10"/>
  <c r="AS197" i="10"/>
  <c r="AT197" i="10"/>
  <c r="AU197" i="10"/>
  <c r="AL198" i="10"/>
  <c r="AM198" i="10"/>
  <c r="AN198" i="10"/>
  <c r="AO198" i="10"/>
  <c r="AP198" i="10"/>
  <c r="AQ198" i="10"/>
  <c r="AR198" i="10"/>
  <c r="AS198" i="10"/>
  <c r="AT198" i="10"/>
  <c r="AU198" i="10"/>
  <c r="AL199" i="10"/>
  <c r="AM199" i="10"/>
  <c r="AN199" i="10"/>
  <c r="AO199" i="10"/>
  <c r="AP199" i="10"/>
  <c r="AQ199" i="10"/>
  <c r="AR199" i="10"/>
  <c r="AS199" i="10"/>
  <c r="AT199" i="10"/>
  <c r="AU199" i="10"/>
  <c r="AL200" i="10"/>
  <c r="AM200" i="10"/>
  <c r="AN200" i="10"/>
  <c r="AO200" i="10"/>
  <c r="AP200" i="10"/>
  <c r="AQ200" i="10"/>
  <c r="AR200" i="10"/>
  <c r="AS200" i="10"/>
  <c r="AT200" i="10"/>
  <c r="AU200" i="10"/>
  <c r="AL201" i="10"/>
  <c r="AM201" i="10"/>
  <c r="AN201" i="10"/>
  <c r="AO201" i="10"/>
  <c r="AP201" i="10"/>
  <c r="AQ201" i="10"/>
  <c r="AR201" i="10"/>
  <c r="AS201" i="10"/>
  <c r="AT201" i="10"/>
  <c r="AU201" i="10"/>
  <c r="AL202" i="10"/>
  <c r="AM202" i="10"/>
  <c r="AN202" i="10"/>
  <c r="AO202" i="10"/>
  <c r="AP202" i="10"/>
  <c r="AQ202" i="10"/>
  <c r="AR202" i="10"/>
  <c r="AS202" i="10"/>
  <c r="AT202" i="10"/>
  <c r="AU202" i="10"/>
  <c r="AL203" i="10"/>
  <c r="AM203" i="10"/>
  <c r="AN203" i="10"/>
  <c r="AO203" i="10"/>
  <c r="AP203" i="10"/>
  <c r="AQ203" i="10"/>
  <c r="AR203" i="10"/>
  <c r="AS203" i="10"/>
  <c r="AT203" i="10"/>
  <c r="AU203" i="10"/>
  <c r="AL88" i="10"/>
  <c r="AL209" i="10" s="1"/>
  <c r="AL210" i="10" s="1"/>
  <c r="AM88" i="10"/>
  <c r="AM209" i="10" s="1"/>
  <c r="AM210" i="10" s="1"/>
  <c r="AN88" i="10"/>
  <c r="AN209" i="10" s="1"/>
  <c r="AN210" i="10" s="1"/>
  <c r="AO88" i="10"/>
  <c r="AO209" i="10" s="1"/>
  <c r="AO210" i="10" s="1"/>
  <c r="AP88" i="10"/>
  <c r="AP209" i="10" s="1"/>
  <c r="AP210" i="10" s="1"/>
  <c r="AQ88" i="10"/>
  <c r="AQ209" i="10" s="1"/>
  <c r="AQ210" i="10" s="1"/>
  <c r="AR88" i="10"/>
  <c r="AR209" i="10" s="1"/>
  <c r="AR210" i="10" s="1"/>
  <c r="AS88" i="10"/>
  <c r="AS209" i="10" s="1"/>
  <c r="AS210" i="10" s="1"/>
  <c r="AT88" i="10"/>
  <c r="AT209" i="10" s="1"/>
  <c r="AT210" i="10" s="1"/>
  <c r="AU88" i="10"/>
  <c r="AU209" i="10" s="1"/>
  <c r="AU210" i="10" s="1"/>
  <c r="AL66" i="10"/>
  <c r="AM66" i="10"/>
  <c r="AN66" i="10"/>
  <c r="AO66" i="10"/>
  <c r="AP66" i="10"/>
  <c r="AQ66" i="10"/>
  <c r="AR66" i="10"/>
  <c r="AS66" i="10"/>
  <c r="AT66" i="10"/>
  <c r="AU66" i="10"/>
  <c r="AL67" i="10"/>
  <c r="AM67" i="10"/>
  <c r="AN67" i="10"/>
  <c r="AO67" i="10"/>
  <c r="AP67" i="10"/>
  <c r="AQ67" i="10"/>
  <c r="AR67" i="10"/>
  <c r="AS67" i="10"/>
  <c r="AT67" i="10"/>
  <c r="AU67" i="10"/>
  <c r="AL68" i="10"/>
  <c r="AM68" i="10"/>
  <c r="AN68" i="10"/>
  <c r="AO68" i="10"/>
  <c r="AP68" i="10"/>
  <c r="AQ68" i="10"/>
  <c r="AR68" i="10"/>
  <c r="AS68" i="10"/>
  <c r="AT68" i="10"/>
  <c r="AU68" i="10"/>
  <c r="AL69" i="10"/>
  <c r="AM69" i="10"/>
  <c r="AN69" i="10"/>
  <c r="AO69" i="10"/>
  <c r="AP69" i="10"/>
  <c r="AQ69" i="10"/>
  <c r="AR69" i="10"/>
  <c r="AS69" i="10"/>
  <c r="AT69" i="10"/>
  <c r="AU69" i="10"/>
  <c r="AL70" i="10"/>
  <c r="AM70" i="10"/>
  <c r="AN70" i="10"/>
  <c r="AO70" i="10"/>
  <c r="AP70" i="10"/>
  <c r="AQ70" i="10"/>
  <c r="AR70" i="10"/>
  <c r="AS70" i="10"/>
  <c r="AT70" i="10"/>
  <c r="AU70" i="10"/>
  <c r="AL72" i="10"/>
  <c r="AM72" i="10"/>
  <c r="AN72" i="10"/>
  <c r="AO72" i="10"/>
  <c r="AP72" i="10"/>
  <c r="AQ72" i="10"/>
  <c r="AR72" i="10"/>
  <c r="AS72" i="10"/>
  <c r="AT72" i="10"/>
  <c r="AU72" i="10"/>
  <c r="AL73" i="10"/>
  <c r="AM73" i="10"/>
  <c r="AN73" i="10"/>
  <c r="AO73" i="10"/>
  <c r="AP73" i="10"/>
  <c r="AQ73" i="10"/>
  <c r="AR73" i="10"/>
  <c r="AS73" i="10"/>
  <c r="AT73" i="10"/>
  <c r="AU73" i="10"/>
  <c r="AL74" i="10"/>
  <c r="AM74" i="10"/>
  <c r="AN74" i="10"/>
  <c r="AO74" i="10"/>
  <c r="AP74" i="10"/>
  <c r="AQ74" i="10"/>
  <c r="AR74" i="10"/>
  <c r="AS74" i="10"/>
  <c r="AT74" i="10"/>
  <c r="AU74" i="10"/>
  <c r="AL75" i="10"/>
  <c r="AM75" i="10"/>
  <c r="AN75" i="10"/>
  <c r="AO75" i="10"/>
  <c r="AP75" i="10"/>
  <c r="AQ75" i="10"/>
  <c r="AR75" i="10"/>
  <c r="AS75" i="10"/>
  <c r="AT75" i="10"/>
  <c r="AU75" i="10"/>
  <c r="AL76" i="10"/>
  <c r="AM76" i="10"/>
  <c r="AN76" i="10"/>
  <c r="AO76" i="10"/>
  <c r="AP76" i="10"/>
  <c r="AQ76" i="10"/>
  <c r="AR76" i="10"/>
  <c r="AS76" i="10"/>
  <c r="AT76" i="10"/>
  <c r="AU76" i="10"/>
  <c r="AL77" i="10"/>
  <c r="AM77" i="10"/>
  <c r="AN77" i="10"/>
  <c r="AO77" i="10"/>
  <c r="AP77" i="10"/>
  <c r="AQ77" i="10"/>
  <c r="AR77" i="10"/>
  <c r="AS77" i="10"/>
  <c r="AT77" i="10"/>
  <c r="AU77" i="10"/>
  <c r="AL79" i="10"/>
  <c r="AM79" i="10"/>
  <c r="AN79" i="10"/>
  <c r="AO79" i="10"/>
  <c r="AP79" i="10"/>
  <c r="AQ79" i="10"/>
  <c r="AR79" i="10"/>
  <c r="AS79" i="10"/>
  <c r="AT79" i="10"/>
  <c r="AU79" i="10"/>
  <c r="AL80" i="10"/>
  <c r="AM80" i="10"/>
  <c r="AN80" i="10"/>
  <c r="AO80" i="10"/>
  <c r="AP80" i="10"/>
  <c r="AQ80" i="10"/>
  <c r="AR80" i="10"/>
  <c r="AS80" i="10"/>
  <c r="AT80" i="10"/>
  <c r="AU80" i="10"/>
  <c r="AL81" i="10"/>
  <c r="AM81" i="10"/>
  <c r="AN81" i="10"/>
  <c r="AO81" i="10"/>
  <c r="AP81" i="10"/>
  <c r="AQ81" i="10"/>
  <c r="AR81" i="10"/>
  <c r="AS81" i="10"/>
  <c r="AT81" i="10"/>
  <c r="AU81" i="10"/>
  <c r="AL82" i="10"/>
  <c r="AM82" i="10"/>
  <c r="AN82" i="10"/>
  <c r="AO82" i="10"/>
  <c r="AP82" i="10"/>
  <c r="AQ82" i="10"/>
  <c r="AR82" i="10"/>
  <c r="AS82" i="10"/>
  <c r="AT82" i="10"/>
  <c r="AU82" i="10"/>
  <c r="AL83" i="10"/>
  <c r="AM83" i="10"/>
  <c r="AN83" i="10"/>
  <c r="AO83" i="10"/>
  <c r="AP83" i="10"/>
  <c r="AQ83" i="10"/>
  <c r="AR83" i="10"/>
  <c r="AS83" i="10"/>
  <c r="AT83" i="10"/>
  <c r="AU83" i="10"/>
  <c r="AL84" i="10"/>
  <c r="AM84" i="10"/>
  <c r="AN84" i="10"/>
  <c r="AO84" i="10"/>
  <c r="AP84" i="10"/>
  <c r="AQ84" i="10"/>
  <c r="AR84" i="10"/>
  <c r="AS84" i="10"/>
  <c r="AT84" i="10"/>
  <c r="AU84" i="10"/>
  <c r="AL59" i="10"/>
  <c r="AM59" i="10"/>
  <c r="AN59" i="10"/>
  <c r="AO59" i="10"/>
  <c r="AP59" i="10"/>
  <c r="AQ59" i="10"/>
  <c r="AR59" i="10"/>
  <c r="AS59" i="10"/>
  <c r="AT59" i="10"/>
  <c r="AU59" i="10"/>
  <c r="AL60" i="10"/>
  <c r="AM60" i="10"/>
  <c r="AN60" i="10"/>
  <c r="AO60" i="10"/>
  <c r="AP60" i="10"/>
  <c r="AQ60" i="10"/>
  <c r="AR60" i="10"/>
  <c r="AS60" i="10"/>
  <c r="AT60" i="10"/>
  <c r="AU60" i="10"/>
  <c r="AL61" i="10"/>
  <c r="AM61" i="10"/>
  <c r="AN61" i="10"/>
  <c r="AO61" i="10"/>
  <c r="AP61" i="10"/>
  <c r="AQ61" i="10"/>
  <c r="AR61" i="10"/>
  <c r="AS61" i="10"/>
  <c r="AT61" i="10"/>
  <c r="AU61" i="10"/>
  <c r="AL62" i="10"/>
  <c r="AM62" i="10"/>
  <c r="AN62" i="10"/>
  <c r="AO62" i="10"/>
  <c r="AP62" i="10"/>
  <c r="AQ62" i="10"/>
  <c r="AR62" i="10"/>
  <c r="AS62" i="10"/>
  <c r="AT62" i="10"/>
  <c r="AU62" i="10"/>
  <c r="AL63" i="10"/>
  <c r="AM63" i="10"/>
  <c r="AN63" i="10"/>
  <c r="AO63" i="10"/>
  <c r="AP63" i="10"/>
  <c r="AQ63" i="10"/>
  <c r="AR63" i="10"/>
  <c r="AS63" i="10"/>
  <c r="AT63" i="10"/>
  <c r="AU63" i="10"/>
  <c r="AL64" i="10"/>
  <c r="AM64" i="10"/>
  <c r="AN64" i="10"/>
  <c r="AO64" i="10"/>
  <c r="AP64" i="10"/>
  <c r="AQ64" i="10"/>
  <c r="AR64" i="10"/>
  <c r="AS64" i="10"/>
  <c r="AT64" i="10"/>
  <c r="AU64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AI61" i="10"/>
  <c r="AJ61" i="10"/>
  <c r="AK61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AJ63" i="10"/>
  <c r="AK63" i="10"/>
  <c r="R64" i="10"/>
  <c r="S64" i="10"/>
  <c r="T64" i="10"/>
  <c r="U64" i="10"/>
  <c r="V64" i="10"/>
  <c r="W64" i="10"/>
  <c r="X64" i="10"/>
  <c r="Y64" i="10"/>
  <c r="Z64" i="10"/>
  <c r="AA64" i="10"/>
  <c r="AB64" i="10"/>
  <c r="AC64" i="10"/>
  <c r="AD64" i="10"/>
  <c r="AE64" i="10"/>
  <c r="AF64" i="10"/>
  <c r="AG64" i="10"/>
  <c r="AH64" i="10"/>
  <c r="AI64" i="10"/>
  <c r="AJ64" i="10"/>
  <c r="AK64" i="10"/>
  <c r="AL50" i="10"/>
  <c r="AM50" i="10"/>
  <c r="AN50" i="10"/>
  <c r="AO50" i="10"/>
  <c r="AP50" i="10"/>
  <c r="AQ50" i="10"/>
  <c r="AR50" i="10"/>
  <c r="AS50" i="10"/>
  <c r="AT50" i="10"/>
  <c r="AU50" i="10"/>
  <c r="AL51" i="10"/>
  <c r="AM51" i="10"/>
  <c r="AN51" i="10"/>
  <c r="AO51" i="10"/>
  <c r="AP51" i="10"/>
  <c r="AQ51" i="10"/>
  <c r="AR51" i="10"/>
  <c r="AS51" i="10"/>
  <c r="AT51" i="10"/>
  <c r="AU51" i="10"/>
  <c r="AL52" i="10"/>
  <c r="AM52" i="10"/>
  <c r="AN52" i="10"/>
  <c r="AO52" i="10"/>
  <c r="AP52" i="10"/>
  <c r="AQ52" i="10"/>
  <c r="AR52" i="10"/>
  <c r="AS52" i="10"/>
  <c r="AT52" i="10"/>
  <c r="AU52" i="10"/>
  <c r="AL53" i="10"/>
  <c r="AM53" i="10"/>
  <c r="AN53" i="10"/>
  <c r="AO53" i="10"/>
  <c r="AP53" i="10"/>
  <c r="AQ53" i="10"/>
  <c r="AR53" i="10"/>
  <c r="AS53" i="10"/>
  <c r="AT53" i="10"/>
  <c r="AU53" i="10"/>
  <c r="AL54" i="10"/>
  <c r="AM54" i="10"/>
  <c r="AN54" i="10"/>
  <c r="AO54" i="10"/>
  <c r="AP54" i="10"/>
  <c r="AQ54" i="10"/>
  <c r="AR54" i="10"/>
  <c r="AS54" i="10"/>
  <c r="AT54" i="10"/>
  <c r="AU54" i="10"/>
  <c r="AL55" i="10"/>
  <c r="AM55" i="10"/>
  <c r="AN55" i="10"/>
  <c r="AO55" i="10"/>
  <c r="AP55" i="10"/>
  <c r="AQ55" i="10"/>
  <c r="AR55" i="10"/>
  <c r="AS55" i="10"/>
  <c r="AT55" i="10"/>
  <c r="AU55" i="10"/>
  <c r="AL44" i="10"/>
  <c r="AM44" i="10"/>
  <c r="AN44" i="10"/>
  <c r="AO44" i="10"/>
  <c r="AP44" i="10"/>
  <c r="AQ44" i="10"/>
  <c r="AR44" i="10"/>
  <c r="AS44" i="10"/>
  <c r="AT44" i="10"/>
  <c r="AU44" i="10"/>
  <c r="AL45" i="10"/>
  <c r="AM45" i="10"/>
  <c r="AN45" i="10"/>
  <c r="AO45" i="10"/>
  <c r="AP45" i="10"/>
  <c r="AQ45" i="10"/>
  <c r="AR45" i="10"/>
  <c r="AS45" i="10"/>
  <c r="AT45" i="10"/>
  <c r="AU45" i="10"/>
  <c r="AL46" i="10"/>
  <c r="AM46" i="10"/>
  <c r="AN46" i="10"/>
  <c r="AO46" i="10"/>
  <c r="AP46" i="10"/>
  <c r="AQ46" i="10"/>
  <c r="AR46" i="10"/>
  <c r="AS46" i="10"/>
  <c r="AT46" i="10"/>
  <c r="AU46" i="10"/>
  <c r="AL47" i="10"/>
  <c r="AM47" i="10"/>
  <c r="AN47" i="10"/>
  <c r="AO47" i="10"/>
  <c r="AP47" i="10"/>
  <c r="AQ47" i="10"/>
  <c r="AR47" i="10"/>
  <c r="AS47" i="10"/>
  <c r="AT47" i="10"/>
  <c r="AU47" i="10"/>
  <c r="AL48" i="10"/>
  <c r="AM48" i="10"/>
  <c r="AN48" i="10"/>
  <c r="AO48" i="10"/>
  <c r="AP48" i="10"/>
  <c r="AQ48" i="10"/>
  <c r="AR48" i="10"/>
  <c r="AS48" i="10"/>
  <c r="AT48" i="10"/>
  <c r="AU48" i="10"/>
  <c r="AL49" i="10"/>
  <c r="AM49" i="10"/>
  <c r="AN49" i="10"/>
  <c r="AO49" i="10"/>
  <c r="AP49" i="10"/>
  <c r="AQ49" i="10"/>
  <c r="AR49" i="10"/>
  <c r="AS49" i="10"/>
  <c r="AT49" i="10"/>
  <c r="AU49" i="10"/>
  <c r="BC563" i="13"/>
  <c r="BD563" i="13"/>
  <c r="BE563" i="13"/>
  <c r="BF563" i="13"/>
  <c r="BG563" i="13"/>
  <c r="BH563" i="13"/>
  <c r="U563" i="13"/>
  <c r="AB563" i="13"/>
  <c r="AK563" i="13"/>
  <c r="AO563" i="13"/>
  <c r="AU563" i="13"/>
  <c r="BA563" i="13"/>
  <c r="AA563" i="13"/>
  <c r="AJ563" i="13"/>
  <c r="AT563" i="13"/>
  <c r="AZ563" i="13"/>
  <c r="Z563" i="13"/>
  <c r="AI563" i="13"/>
  <c r="AS563" i="13"/>
  <c r="AY563" i="13"/>
  <c r="Y563" i="13"/>
  <c r="AH563" i="13"/>
  <c r="AR563" i="13"/>
  <c r="AX563" i="13"/>
  <c r="X563" i="13"/>
  <c r="AG563" i="13"/>
  <c r="AQ563" i="13"/>
  <c r="AW563" i="13"/>
  <c r="W563" i="13"/>
  <c r="AF563" i="13"/>
  <c r="AP563" i="13"/>
  <c r="AV563" i="13"/>
  <c r="BS5" i="13"/>
  <c r="AU101" i="10" l="1"/>
  <c r="AU205" i="10" s="1"/>
  <c r="AQ101" i="10"/>
  <c r="AQ205" i="10" s="1"/>
  <c r="AL101" i="10"/>
  <c r="AL205" i="10" s="1"/>
  <c r="AP129" i="10"/>
  <c r="AT115" i="10"/>
  <c r="AL108" i="10"/>
  <c r="AO86" i="10"/>
  <c r="AM564" i="13"/>
  <c r="AT129" i="10"/>
  <c r="AT101" i="10"/>
  <c r="AT205" i="10" s="1"/>
  <c r="AL86" i="10"/>
  <c r="AP191" i="10"/>
  <c r="AP206" i="10" s="1"/>
  <c r="AU115" i="10"/>
  <c r="AT136" i="10"/>
  <c r="AL136" i="10"/>
  <c r="AL178" i="10"/>
  <c r="AL71" i="10"/>
  <c r="AP57" i="10"/>
  <c r="AP78" i="10"/>
  <c r="AR136" i="10"/>
  <c r="AN204" i="10"/>
  <c r="AN207" i="10" s="1"/>
  <c r="AN101" i="10"/>
  <c r="AN205" i="10" s="1"/>
  <c r="AR78" i="10"/>
  <c r="AQ115" i="10"/>
  <c r="AR86" i="10"/>
  <c r="AS191" i="10"/>
  <c r="AS206" i="10" s="1"/>
  <c r="AM143" i="10"/>
  <c r="AE564" i="13"/>
  <c r="AN564" i="13"/>
  <c r="AU129" i="10"/>
  <c r="AU71" i="10"/>
  <c r="AU56" i="10"/>
  <c r="AQ71" i="10"/>
  <c r="AM129" i="10"/>
  <c r="BI564" i="13"/>
  <c r="BJ564" i="13"/>
  <c r="AM71" i="10"/>
  <c r="BB564" i="13"/>
  <c r="AD564" i="13"/>
  <c r="AU57" i="10"/>
  <c r="AT86" i="10"/>
  <c r="AR85" i="10"/>
  <c r="AR87" i="10" s="1"/>
  <c r="AN78" i="10"/>
  <c r="AT78" i="10"/>
  <c r="AL78" i="10"/>
  <c r="AU204" i="10"/>
  <c r="AU207" i="10" s="1"/>
  <c r="BK564" i="13"/>
  <c r="AO164" i="10"/>
  <c r="AN129" i="10"/>
  <c r="AL122" i="10"/>
  <c r="AR71" i="10"/>
  <c r="AT204" i="10"/>
  <c r="AT207" i="10" s="1"/>
  <c r="AP204" i="10"/>
  <c r="AP207" i="10" s="1"/>
  <c r="AL204" i="10"/>
  <c r="AL207" i="10" s="1"/>
  <c r="AN136" i="10"/>
  <c r="AM85" i="10"/>
  <c r="AL150" i="10"/>
  <c r="AL129" i="10"/>
  <c r="AR129" i="10"/>
  <c r="AP101" i="10"/>
  <c r="AP205" i="10" s="1"/>
  <c r="AS78" i="10"/>
  <c r="AP71" i="10"/>
  <c r="AU143" i="10"/>
  <c r="AP136" i="10"/>
  <c r="AS86" i="10"/>
  <c r="AR101" i="10"/>
  <c r="AR205" i="10" s="1"/>
  <c r="AL164" i="10"/>
  <c r="AS150" i="10"/>
  <c r="AR150" i="10"/>
  <c r="AN150" i="10"/>
  <c r="AP150" i="10"/>
  <c r="AT150" i="10"/>
  <c r="AR108" i="10"/>
  <c r="AQ129" i="10"/>
  <c r="AE563" i="13"/>
  <c r="AM563" i="13"/>
  <c r="AQ57" i="10"/>
  <c r="AO56" i="10"/>
  <c r="AT85" i="10"/>
  <c r="AN85" i="10"/>
  <c r="AQ204" i="10"/>
  <c r="AQ207" i="10" s="1"/>
  <c r="AM204" i="10"/>
  <c r="AM207" i="10" s="1"/>
  <c r="AN563" i="13"/>
  <c r="AQ56" i="10"/>
  <c r="AO78" i="10"/>
  <c r="AT71" i="10"/>
  <c r="AN71" i="10"/>
  <c r="AO191" i="10"/>
  <c r="AO206" i="10" s="1"/>
  <c r="BB563" i="13"/>
  <c r="AD563" i="13"/>
  <c r="BI563" i="13"/>
  <c r="AM57" i="10"/>
  <c r="AS57" i="10"/>
  <c r="AM56" i="10"/>
  <c r="AN86" i="10"/>
  <c r="AU86" i="10"/>
  <c r="AQ86" i="10"/>
  <c r="AM86" i="10"/>
  <c r="AU85" i="10"/>
  <c r="AS71" i="10"/>
  <c r="AO71" i="10"/>
  <c r="AR204" i="10"/>
  <c r="AR207" i="10" s="1"/>
  <c r="AT191" i="10"/>
  <c r="AT206" i="10" s="1"/>
  <c r="AL191" i="10"/>
  <c r="AL206" i="10" s="1"/>
  <c r="AQ171" i="10"/>
  <c r="BK563" i="13"/>
  <c r="BJ563" i="13"/>
  <c r="AO57" i="10"/>
  <c r="AS56" i="10"/>
  <c r="AN56" i="10"/>
  <c r="AL57" i="10"/>
  <c r="AR56" i="10"/>
  <c r="AL85" i="10"/>
  <c r="AP85" i="10"/>
  <c r="AU78" i="10"/>
  <c r="AQ78" i="10"/>
  <c r="AM78" i="10"/>
  <c r="AN171" i="10"/>
  <c r="AT164" i="10"/>
  <c r="AO136" i="10"/>
  <c r="AU171" i="10"/>
  <c r="AM171" i="10"/>
  <c r="AR171" i="10"/>
  <c r="AT56" i="10"/>
  <c r="AP86" i="10"/>
  <c r="AR191" i="10"/>
  <c r="AR206" i="10" s="1"/>
  <c r="AN191" i="10"/>
  <c r="AN206" i="10" s="1"/>
  <c r="AT171" i="10"/>
  <c r="AP171" i="10"/>
  <c r="AL171" i="10"/>
  <c r="AQ157" i="10"/>
  <c r="AS101" i="10"/>
  <c r="AS205" i="10" s="1"/>
  <c r="AO101" i="10"/>
  <c r="AO205" i="10" s="1"/>
  <c r="AT57" i="10"/>
  <c r="AQ85" i="10"/>
  <c r="AP56" i="10"/>
  <c r="AL56" i="10"/>
  <c r="AR57" i="10"/>
  <c r="AN57" i="10"/>
  <c r="AS85" i="10"/>
  <c r="AO85" i="10"/>
  <c r="AS204" i="10"/>
  <c r="AS207" i="10" s="1"/>
  <c r="AO204" i="10"/>
  <c r="AO207" i="10" s="1"/>
  <c r="AO150" i="10"/>
  <c r="AM115" i="10"/>
  <c r="AU191" i="10"/>
  <c r="AU206" i="10" s="1"/>
  <c r="AQ191" i="10"/>
  <c r="AQ206" i="10" s="1"/>
  <c r="AM191" i="10"/>
  <c r="AM206" i="10" s="1"/>
  <c r="AS171" i="10"/>
  <c r="AO171" i="10"/>
  <c r="AS136" i="10"/>
  <c r="AN115" i="10"/>
  <c r="AS178" i="10"/>
  <c r="AT178" i="10"/>
  <c r="AO178" i="10"/>
  <c r="AP178" i="10"/>
  <c r="AU178" i="10"/>
  <c r="AQ178" i="10"/>
  <c r="AM178" i="10"/>
  <c r="AR178" i="10"/>
  <c r="AN178" i="10"/>
  <c r="AP164" i="10"/>
  <c r="AS164" i="10"/>
  <c r="AR164" i="10"/>
  <c r="AN164" i="10"/>
  <c r="AU164" i="10"/>
  <c r="AQ164" i="10"/>
  <c r="AM164" i="10"/>
  <c r="AT157" i="10"/>
  <c r="AR157" i="10"/>
  <c r="AN157" i="10"/>
  <c r="AU157" i="10"/>
  <c r="AM157" i="10"/>
  <c r="AS157" i="10"/>
  <c r="AO157" i="10"/>
  <c r="AP157" i="10"/>
  <c r="AL157" i="10"/>
  <c r="AU150" i="10"/>
  <c r="AQ150" i="10"/>
  <c r="AM150" i="10"/>
  <c r="AR143" i="10"/>
  <c r="AN143" i="10"/>
  <c r="AT143" i="10"/>
  <c r="AP143" i="10"/>
  <c r="AQ143" i="10"/>
  <c r="AL143" i="10"/>
  <c r="AS143" i="10"/>
  <c r="AO143" i="10"/>
  <c r="AU136" i="10"/>
  <c r="AQ136" i="10"/>
  <c r="AM136" i="10"/>
  <c r="AS129" i="10"/>
  <c r="AO129" i="10"/>
  <c r="AR122" i="10"/>
  <c r="AN122" i="10"/>
  <c r="AT122" i="10"/>
  <c r="AP122" i="10"/>
  <c r="AS122" i="10"/>
  <c r="AO122" i="10"/>
  <c r="AU122" i="10"/>
  <c r="AQ122" i="10"/>
  <c r="AM122" i="10"/>
  <c r="AP115" i="10"/>
  <c r="AL115" i="10"/>
  <c r="AR115" i="10"/>
  <c r="AS115" i="10"/>
  <c r="AO115" i="10"/>
  <c r="AS108" i="10"/>
  <c r="AO108" i="10"/>
  <c r="AN108" i="10"/>
  <c r="AT108" i="10"/>
  <c r="AP108" i="10"/>
  <c r="AU108" i="10"/>
  <c r="AQ108" i="10"/>
  <c r="AM108" i="10"/>
  <c r="BT5" i="13"/>
  <c r="AM31" i="10"/>
  <c r="AN31" i="10"/>
  <c r="AO31" i="10"/>
  <c r="AP31" i="10"/>
  <c r="AQ31" i="10"/>
  <c r="AR31" i="10"/>
  <c r="AS31" i="10"/>
  <c r="AT31" i="10"/>
  <c r="AU31" i="10"/>
  <c r="BC562" i="13"/>
  <c r="BD562" i="13"/>
  <c r="BE562" i="13"/>
  <c r="BF562" i="13"/>
  <c r="BG562" i="13"/>
  <c r="BH562" i="13"/>
  <c r="U562" i="13"/>
  <c r="AB562" i="13"/>
  <c r="AK562" i="13"/>
  <c r="AO562" i="13"/>
  <c r="AU562" i="13"/>
  <c r="BA562" i="13"/>
  <c r="AA562" i="13"/>
  <c r="AJ562" i="13"/>
  <c r="AT562" i="13"/>
  <c r="AZ562" i="13"/>
  <c r="Z562" i="13"/>
  <c r="AI562" i="13"/>
  <c r="AS562" i="13"/>
  <c r="AY562" i="13"/>
  <c r="Y562" i="13"/>
  <c r="AH562" i="13"/>
  <c r="AR562" i="13"/>
  <c r="AX562" i="13"/>
  <c r="X562" i="13"/>
  <c r="AG562" i="13"/>
  <c r="AQ562" i="13"/>
  <c r="AW562" i="13"/>
  <c r="W562" i="13"/>
  <c r="AF562" i="13"/>
  <c r="AP562" i="13"/>
  <c r="AV562" i="13"/>
  <c r="AO87" i="10" l="1"/>
  <c r="AM208" i="10"/>
  <c r="AM87" i="10"/>
  <c r="AL564" i="13"/>
  <c r="AR208" i="10"/>
  <c r="AT208" i="10"/>
  <c r="AT87" i="10"/>
  <c r="AP58" i="10"/>
  <c r="AU208" i="10"/>
  <c r="AQ87" i="10"/>
  <c r="AN208" i="10"/>
  <c r="AO58" i="10"/>
  <c r="AL208" i="10"/>
  <c r="AQ58" i="10"/>
  <c r="AL87" i="10"/>
  <c r="AC563" i="13"/>
  <c r="AR58" i="10"/>
  <c r="AN87" i="10"/>
  <c r="AQ208" i="10"/>
  <c r="AU58" i="10"/>
  <c r="AO208" i="10"/>
  <c r="AL58" i="10"/>
  <c r="AC564" i="13"/>
  <c r="AU87" i="10"/>
  <c r="BL564" i="13"/>
  <c r="AS208" i="10"/>
  <c r="AP208" i="10"/>
  <c r="AS87" i="10"/>
  <c r="AM58" i="10"/>
  <c r="AN58" i="10"/>
  <c r="AS58" i="10"/>
  <c r="AP87" i="10"/>
  <c r="AE562" i="13"/>
  <c r="AM562" i="13"/>
  <c r="AL563" i="13"/>
  <c r="AN562" i="13"/>
  <c r="BB562" i="13"/>
  <c r="AD562" i="13"/>
  <c r="AC562" i="13" s="1"/>
  <c r="BL563" i="13"/>
  <c r="AT58" i="10"/>
  <c r="BK562" i="13"/>
  <c r="BJ562" i="13"/>
  <c r="BI562" i="13"/>
  <c r="AL562" i="13" l="1"/>
  <c r="BL562" i="13"/>
  <c r="BC561" i="13"/>
  <c r="BD561" i="13"/>
  <c r="BE561" i="13"/>
  <c r="BF561" i="13"/>
  <c r="BG561" i="13"/>
  <c r="BH561" i="13"/>
  <c r="U561" i="13"/>
  <c r="AB561" i="13"/>
  <c r="AK561" i="13"/>
  <c r="AO561" i="13"/>
  <c r="AU561" i="13"/>
  <c r="BA561" i="13"/>
  <c r="AA561" i="13"/>
  <c r="AJ561" i="13"/>
  <c r="AT561" i="13"/>
  <c r="AZ561" i="13"/>
  <c r="Z561" i="13"/>
  <c r="AI561" i="13"/>
  <c r="AS561" i="13"/>
  <c r="AY561" i="13"/>
  <c r="Y561" i="13"/>
  <c r="AH561" i="13"/>
  <c r="AR561" i="13"/>
  <c r="AX561" i="13"/>
  <c r="X561" i="13"/>
  <c r="AG561" i="13"/>
  <c r="AQ561" i="13"/>
  <c r="AW561" i="13"/>
  <c r="W561" i="13"/>
  <c r="AF561" i="13"/>
  <c r="AP561" i="13"/>
  <c r="AV561" i="13"/>
  <c r="AM561" i="13" l="1"/>
  <c r="AE561" i="13"/>
  <c r="BK561" i="13"/>
  <c r="BI561" i="13"/>
  <c r="BJ561" i="13"/>
  <c r="BB561" i="13"/>
  <c r="AN561" i="13"/>
  <c r="AL561" i="13" s="1"/>
  <c r="AD561" i="13"/>
  <c r="BC560" i="13"/>
  <c r="BD560" i="13"/>
  <c r="BE560" i="13"/>
  <c r="BF560" i="13"/>
  <c r="BG560" i="13"/>
  <c r="BH560" i="13"/>
  <c r="U560" i="13"/>
  <c r="AB560" i="13"/>
  <c r="AK560" i="13"/>
  <c r="AO560" i="13"/>
  <c r="AU560" i="13"/>
  <c r="BA560" i="13"/>
  <c r="AA560" i="13"/>
  <c r="AJ560" i="13"/>
  <c r="AT560" i="13"/>
  <c r="AZ560" i="13"/>
  <c r="Z560" i="13"/>
  <c r="AI560" i="13"/>
  <c r="AS560" i="13"/>
  <c r="AY560" i="13"/>
  <c r="Y560" i="13"/>
  <c r="AH560" i="13"/>
  <c r="AR560" i="13"/>
  <c r="AX560" i="13"/>
  <c r="X560" i="13"/>
  <c r="AG560" i="13"/>
  <c r="AQ560" i="13"/>
  <c r="AW560" i="13"/>
  <c r="W560" i="13"/>
  <c r="AF560" i="13"/>
  <c r="AP560" i="13"/>
  <c r="AV560" i="13"/>
  <c r="AC561" i="13" l="1"/>
  <c r="BL561" i="13"/>
  <c r="AD560" i="13"/>
  <c r="AM560" i="13"/>
  <c r="AE560" i="13"/>
  <c r="BB560" i="13"/>
  <c r="AN560" i="13"/>
  <c r="BI560" i="13"/>
  <c r="BK560" i="13"/>
  <c r="BJ560" i="13"/>
  <c r="AC560" i="13" l="1"/>
  <c r="AL560" i="13"/>
  <c r="BL560" i="13"/>
  <c r="BC559" i="13"/>
  <c r="BD559" i="13"/>
  <c r="BE559" i="13"/>
  <c r="BF559" i="13"/>
  <c r="BG559" i="13"/>
  <c r="BH559" i="13"/>
  <c r="U559" i="13"/>
  <c r="AB559" i="13"/>
  <c r="AK559" i="13"/>
  <c r="AO559" i="13"/>
  <c r="AU559" i="13"/>
  <c r="BA559" i="13"/>
  <c r="AA559" i="13"/>
  <c r="AJ559" i="13"/>
  <c r="AT559" i="13"/>
  <c r="AZ559" i="13"/>
  <c r="Z559" i="13"/>
  <c r="AI559" i="13"/>
  <c r="AS559" i="13"/>
  <c r="AY559" i="13"/>
  <c r="Y559" i="13"/>
  <c r="AH559" i="13"/>
  <c r="AR559" i="13"/>
  <c r="AX559" i="13"/>
  <c r="X559" i="13"/>
  <c r="AG559" i="13"/>
  <c r="AQ559" i="13"/>
  <c r="AW559" i="13"/>
  <c r="W559" i="13"/>
  <c r="AF559" i="13"/>
  <c r="AP559" i="13"/>
  <c r="AV559" i="13"/>
  <c r="AD559" i="13" l="1"/>
  <c r="AN559" i="13"/>
  <c r="AE559" i="13"/>
  <c r="BK559" i="13"/>
  <c r="BJ559" i="13"/>
  <c r="BI559" i="13"/>
  <c r="AM559" i="13"/>
  <c r="BB559" i="13"/>
  <c r="S44" i="10"/>
  <c r="AC559" i="13" l="1"/>
  <c r="AL559" i="13"/>
  <c r="BL559" i="13"/>
  <c r="BC558" i="13"/>
  <c r="BD558" i="13"/>
  <c r="BE558" i="13"/>
  <c r="BF558" i="13"/>
  <c r="BG558" i="13"/>
  <c r="BH558" i="13"/>
  <c r="BC557" i="13"/>
  <c r="U558" i="13"/>
  <c r="AB558" i="13"/>
  <c r="AK558" i="13"/>
  <c r="AO558" i="13"/>
  <c r="AU558" i="13"/>
  <c r="BA558" i="13"/>
  <c r="AA558" i="13"/>
  <c r="AJ558" i="13"/>
  <c r="AT558" i="13"/>
  <c r="AZ558" i="13"/>
  <c r="Z558" i="13"/>
  <c r="AI558" i="13"/>
  <c r="AS558" i="13"/>
  <c r="AY558" i="13"/>
  <c r="Y558" i="13"/>
  <c r="AH558" i="13"/>
  <c r="AR558" i="13"/>
  <c r="AX558" i="13"/>
  <c r="X558" i="13"/>
  <c r="AG558" i="13"/>
  <c r="AQ558" i="13"/>
  <c r="AW558" i="13"/>
  <c r="W558" i="13"/>
  <c r="AF558" i="13"/>
  <c r="AP558" i="13"/>
  <c r="AV558" i="13"/>
  <c r="AE558" i="13" l="1"/>
  <c r="AN558" i="13"/>
  <c r="AM558" i="13"/>
  <c r="BJ558" i="13"/>
  <c r="BI558" i="13"/>
  <c r="BK558" i="13"/>
  <c r="AD558" i="13"/>
  <c r="AC558" i="13" s="1"/>
  <c r="BB558" i="13"/>
  <c r="AL558" i="13" l="1"/>
  <c r="BL558" i="13"/>
  <c r="BD557" i="13"/>
  <c r="BE557" i="13"/>
  <c r="BF557" i="13"/>
  <c r="BG557" i="13"/>
  <c r="BH557" i="13"/>
  <c r="U557" i="13"/>
  <c r="AB557" i="13"/>
  <c r="AK557" i="13"/>
  <c r="AO557" i="13"/>
  <c r="AU557" i="13"/>
  <c r="BA557" i="13"/>
  <c r="AA557" i="13"/>
  <c r="AJ557" i="13"/>
  <c r="AT557" i="13"/>
  <c r="AZ557" i="13"/>
  <c r="Z557" i="13"/>
  <c r="AI557" i="13"/>
  <c r="AS557" i="13"/>
  <c r="AY557" i="13"/>
  <c r="Y557" i="13"/>
  <c r="AH557" i="13"/>
  <c r="AR557" i="13"/>
  <c r="AX557" i="13"/>
  <c r="X557" i="13"/>
  <c r="AG557" i="13"/>
  <c r="AQ557" i="13"/>
  <c r="AW557" i="13"/>
  <c r="W557" i="13"/>
  <c r="AF557" i="13"/>
  <c r="AP557" i="13"/>
  <c r="AV557" i="13"/>
  <c r="AN557" i="13" l="1"/>
  <c r="AD557" i="13"/>
  <c r="AE557" i="13"/>
  <c r="BI557" i="13"/>
  <c r="AM557" i="13"/>
  <c r="BJ557" i="13"/>
  <c r="BB557" i="13"/>
  <c r="BK557" i="13"/>
  <c r="AL557" i="13" l="1"/>
  <c r="AC557" i="13"/>
  <c r="BL557" i="13"/>
  <c r="BC556" i="13" l="1"/>
  <c r="BD556" i="13"/>
  <c r="BE556" i="13"/>
  <c r="BF556" i="13"/>
  <c r="BG556" i="13"/>
  <c r="BH556" i="13"/>
  <c r="U556" i="13"/>
  <c r="AB556" i="13"/>
  <c r="AK556" i="13"/>
  <c r="AO556" i="13"/>
  <c r="AU556" i="13"/>
  <c r="BA556" i="13"/>
  <c r="AA556" i="13"/>
  <c r="AJ556" i="13"/>
  <c r="AT556" i="13"/>
  <c r="AZ556" i="13"/>
  <c r="Z556" i="13"/>
  <c r="AI556" i="13"/>
  <c r="AS556" i="13"/>
  <c r="AY556" i="13"/>
  <c r="Y556" i="13"/>
  <c r="AH556" i="13"/>
  <c r="AR556" i="13"/>
  <c r="AX556" i="13"/>
  <c r="X556" i="13"/>
  <c r="AG556" i="13"/>
  <c r="AQ556" i="13"/>
  <c r="AW556" i="13"/>
  <c r="W556" i="13"/>
  <c r="AF556" i="13"/>
  <c r="AP556" i="13"/>
  <c r="AV556" i="13"/>
  <c r="AD556" i="13" l="1"/>
  <c r="AM556" i="13"/>
  <c r="BK556" i="13"/>
  <c r="BB556" i="13"/>
  <c r="AN556" i="13"/>
  <c r="BJ556" i="13"/>
  <c r="BI556" i="13"/>
  <c r="AE556" i="13"/>
  <c r="AC556" i="13" s="1"/>
  <c r="AL556" i="13" l="1"/>
  <c r="BL556" i="13"/>
  <c r="BC555" i="13" l="1"/>
  <c r="BD555" i="13"/>
  <c r="BE555" i="13"/>
  <c r="BF555" i="13"/>
  <c r="BG555" i="13"/>
  <c r="BH555" i="13"/>
  <c r="U555" i="13"/>
  <c r="AB555" i="13"/>
  <c r="AK555" i="13"/>
  <c r="AO555" i="13"/>
  <c r="AU555" i="13"/>
  <c r="BA555" i="13"/>
  <c r="AA555" i="13"/>
  <c r="AJ555" i="13"/>
  <c r="AT555" i="13"/>
  <c r="AZ555" i="13"/>
  <c r="Z555" i="13"/>
  <c r="AI555" i="13"/>
  <c r="AS555" i="13"/>
  <c r="AY555" i="13"/>
  <c r="Y555" i="13"/>
  <c r="AH555" i="13"/>
  <c r="AR555" i="13"/>
  <c r="AX555" i="13"/>
  <c r="X555" i="13"/>
  <c r="AG555" i="13"/>
  <c r="AQ555" i="13"/>
  <c r="AW555" i="13"/>
  <c r="W555" i="13"/>
  <c r="AF555" i="13"/>
  <c r="AP555" i="13"/>
  <c r="AV555" i="13"/>
  <c r="AE555" i="13" l="1"/>
  <c r="BJ555" i="13"/>
  <c r="BK555" i="13"/>
  <c r="BI555" i="13"/>
  <c r="AN555" i="13"/>
  <c r="AM555" i="13"/>
  <c r="AD555" i="13"/>
  <c r="BB555" i="13"/>
  <c r="AC555" i="13" l="1"/>
  <c r="BL555" i="13"/>
  <c r="AL555" i="13"/>
  <c r="BC554" i="13" l="1"/>
  <c r="BD554" i="13"/>
  <c r="BE554" i="13"/>
  <c r="BF554" i="13"/>
  <c r="BG554" i="13"/>
  <c r="BH554" i="13"/>
  <c r="U554" i="13"/>
  <c r="AB554" i="13"/>
  <c r="AK554" i="13"/>
  <c r="AO554" i="13"/>
  <c r="AU554" i="13"/>
  <c r="BA554" i="13"/>
  <c r="AA554" i="13"/>
  <c r="AJ554" i="13"/>
  <c r="AT554" i="13"/>
  <c r="AZ554" i="13"/>
  <c r="Z554" i="13"/>
  <c r="AI554" i="13"/>
  <c r="AS554" i="13"/>
  <c r="AY554" i="13"/>
  <c r="Y554" i="13"/>
  <c r="AH554" i="13"/>
  <c r="AR554" i="13"/>
  <c r="AX554" i="13"/>
  <c r="X554" i="13"/>
  <c r="AG554" i="13"/>
  <c r="AQ554" i="13"/>
  <c r="AW554" i="13"/>
  <c r="W554" i="13"/>
  <c r="AF554" i="13"/>
  <c r="AP554" i="13"/>
  <c r="AV554" i="13"/>
  <c r="BC553" i="13"/>
  <c r="BD553" i="13"/>
  <c r="BE553" i="13"/>
  <c r="BF553" i="13"/>
  <c r="BG553" i="13"/>
  <c r="BH553" i="13"/>
  <c r="U553" i="13"/>
  <c r="AB553" i="13"/>
  <c r="AK553" i="13"/>
  <c r="AO553" i="13"/>
  <c r="AU553" i="13"/>
  <c r="BA553" i="13"/>
  <c r="AA553" i="13"/>
  <c r="AJ553" i="13"/>
  <c r="AT553" i="13"/>
  <c r="AZ553" i="13"/>
  <c r="Z553" i="13"/>
  <c r="AI553" i="13"/>
  <c r="AS553" i="13"/>
  <c r="AY553" i="13"/>
  <c r="Y553" i="13"/>
  <c r="AH553" i="13"/>
  <c r="AR553" i="13"/>
  <c r="AX553" i="13"/>
  <c r="X553" i="13"/>
  <c r="AG553" i="13"/>
  <c r="AQ553" i="13"/>
  <c r="AW553" i="13"/>
  <c r="W553" i="13"/>
  <c r="AF553" i="13"/>
  <c r="AP553" i="13"/>
  <c r="AV553" i="13"/>
  <c r="BC552" i="13"/>
  <c r="BD552" i="13"/>
  <c r="BE552" i="13"/>
  <c r="BF552" i="13"/>
  <c r="BG552" i="13"/>
  <c r="BH552" i="13"/>
  <c r="U552" i="13"/>
  <c r="AB552" i="13"/>
  <c r="AK552" i="13"/>
  <c r="AO552" i="13"/>
  <c r="AU552" i="13"/>
  <c r="BA552" i="13"/>
  <c r="AA552" i="13"/>
  <c r="AJ552" i="13"/>
  <c r="AT552" i="13"/>
  <c r="AZ552" i="13"/>
  <c r="Z552" i="13"/>
  <c r="AI552" i="13"/>
  <c r="AS552" i="13"/>
  <c r="AY552" i="13"/>
  <c r="Y552" i="13"/>
  <c r="AH552" i="13"/>
  <c r="AR552" i="13"/>
  <c r="AX552" i="13"/>
  <c r="X552" i="13"/>
  <c r="AG552" i="13"/>
  <c r="AQ552" i="13"/>
  <c r="AW552" i="13"/>
  <c r="W552" i="13"/>
  <c r="AF552" i="13"/>
  <c r="AP552" i="13"/>
  <c r="AV552" i="13"/>
  <c r="BC551" i="13"/>
  <c r="BD551" i="13"/>
  <c r="BE551" i="13"/>
  <c r="BF551" i="13"/>
  <c r="BG551" i="13"/>
  <c r="BH551" i="13"/>
  <c r="U551" i="13"/>
  <c r="AB551" i="13"/>
  <c r="AK551" i="13"/>
  <c r="AO551" i="13"/>
  <c r="AU551" i="13"/>
  <c r="BA551" i="13"/>
  <c r="AA551" i="13"/>
  <c r="AJ551" i="13"/>
  <c r="AT551" i="13"/>
  <c r="AZ551" i="13"/>
  <c r="Z551" i="13"/>
  <c r="AI551" i="13"/>
  <c r="AS551" i="13"/>
  <c r="AY551" i="13"/>
  <c r="Y551" i="13"/>
  <c r="AH551" i="13"/>
  <c r="AR551" i="13"/>
  <c r="AX551" i="13"/>
  <c r="X551" i="13"/>
  <c r="AG551" i="13"/>
  <c r="AQ551" i="13"/>
  <c r="AW551" i="13"/>
  <c r="W551" i="13"/>
  <c r="AF551" i="13"/>
  <c r="AP551" i="13"/>
  <c r="AV551" i="13"/>
  <c r="AE552" i="13" l="1"/>
  <c r="AE553" i="13"/>
  <c r="AN551" i="13"/>
  <c r="AD551" i="13"/>
  <c r="AM553" i="13"/>
  <c r="AD554" i="13"/>
  <c r="AN554" i="13"/>
  <c r="AM552" i="13"/>
  <c r="AE554" i="13"/>
  <c r="AN553" i="13"/>
  <c r="AE551" i="13"/>
  <c r="AN552" i="13"/>
  <c r="AL552" i="13" s="1"/>
  <c r="BB552" i="13"/>
  <c r="AD552" i="13"/>
  <c r="BB553" i="13"/>
  <c r="AD553" i="13"/>
  <c r="AM554" i="13"/>
  <c r="BJ554" i="13"/>
  <c r="BB554" i="13"/>
  <c r="BB551" i="13"/>
  <c r="BI554" i="13"/>
  <c r="AM551" i="13"/>
  <c r="AL551" i="13" s="1"/>
  <c r="BK554" i="13"/>
  <c r="BJ553" i="13"/>
  <c r="BK553" i="13"/>
  <c r="BI553" i="13"/>
  <c r="BJ552" i="13"/>
  <c r="BI552" i="13"/>
  <c r="BK552" i="13"/>
  <c r="BJ551" i="13"/>
  <c r="BK551" i="13"/>
  <c r="BI551" i="13"/>
  <c r="AC553" i="13" l="1"/>
  <c r="AL553" i="13"/>
  <c r="AC554" i="13"/>
  <c r="AL554" i="13"/>
  <c r="AC552" i="13"/>
  <c r="AC551" i="13"/>
  <c r="BL554" i="13"/>
  <c r="BL553" i="13"/>
  <c r="BL552" i="13"/>
  <c r="BL551" i="13"/>
  <c r="BC550" i="13" l="1"/>
  <c r="BD550" i="13"/>
  <c r="BE550" i="13"/>
  <c r="BF550" i="13"/>
  <c r="BG550" i="13"/>
  <c r="BH550" i="13"/>
  <c r="U550" i="13"/>
  <c r="AB550" i="13"/>
  <c r="AK550" i="13"/>
  <c r="AO550" i="13"/>
  <c r="AU550" i="13"/>
  <c r="BA550" i="13"/>
  <c r="AA550" i="13"/>
  <c r="AJ550" i="13"/>
  <c r="AT550" i="13"/>
  <c r="AZ550" i="13"/>
  <c r="Z550" i="13"/>
  <c r="AI550" i="13"/>
  <c r="AS550" i="13"/>
  <c r="AY550" i="13"/>
  <c r="Y550" i="13"/>
  <c r="AH550" i="13"/>
  <c r="AR550" i="13"/>
  <c r="AX550" i="13"/>
  <c r="X550" i="13"/>
  <c r="AG550" i="13"/>
  <c r="AQ550" i="13"/>
  <c r="AW550" i="13"/>
  <c r="W550" i="13"/>
  <c r="AF550" i="13"/>
  <c r="AP550" i="13"/>
  <c r="AV550" i="13"/>
  <c r="BC549" i="13"/>
  <c r="BD549" i="13"/>
  <c r="BE549" i="13"/>
  <c r="BF549" i="13"/>
  <c r="BG549" i="13"/>
  <c r="BH549" i="13"/>
  <c r="U549" i="13"/>
  <c r="AB549" i="13"/>
  <c r="AK549" i="13"/>
  <c r="AO549" i="13"/>
  <c r="AU549" i="13"/>
  <c r="BA549" i="13"/>
  <c r="AA549" i="13"/>
  <c r="AJ549" i="13"/>
  <c r="AT549" i="13"/>
  <c r="AZ549" i="13"/>
  <c r="Z549" i="13"/>
  <c r="AI549" i="13"/>
  <c r="AS549" i="13"/>
  <c r="AY549" i="13"/>
  <c r="Y549" i="13"/>
  <c r="AH549" i="13"/>
  <c r="AR549" i="13"/>
  <c r="AX549" i="13"/>
  <c r="X549" i="13"/>
  <c r="AG549" i="13"/>
  <c r="AQ549" i="13"/>
  <c r="AW549" i="13"/>
  <c r="W549" i="13"/>
  <c r="AF549" i="13"/>
  <c r="AP549" i="13"/>
  <c r="AV549" i="13"/>
  <c r="AE550" i="13" l="1"/>
  <c r="AE549" i="13"/>
  <c r="AM550" i="13"/>
  <c r="AM549" i="13"/>
  <c r="AN550" i="13"/>
  <c r="AN549" i="13"/>
  <c r="BB549" i="13"/>
  <c r="BB550" i="13"/>
  <c r="AD549" i="13"/>
  <c r="AC549" i="13" s="1"/>
  <c r="AD550" i="13"/>
  <c r="BI550" i="13"/>
  <c r="BK550" i="13"/>
  <c r="BJ550" i="13"/>
  <c r="BJ549" i="13"/>
  <c r="BI549" i="13"/>
  <c r="BK549" i="13"/>
  <c r="AC550" i="13" l="1"/>
  <c r="AL550" i="13"/>
  <c r="AL549" i="13"/>
  <c r="BL550" i="13"/>
  <c r="BL549" i="13"/>
  <c r="BC548" i="13" l="1"/>
  <c r="BD548" i="13"/>
  <c r="BE548" i="13"/>
  <c r="BF548" i="13"/>
  <c r="BG548" i="13"/>
  <c r="BH548" i="13"/>
  <c r="U548" i="13"/>
  <c r="AB548" i="13"/>
  <c r="AK548" i="13"/>
  <c r="AO548" i="13"/>
  <c r="AU548" i="13"/>
  <c r="BA548" i="13"/>
  <c r="AA548" i="13"/>
  <c r="AJ548" i="13"/>
  <c r="AT548" i="13"/>
  <c r="AZ548" i="13"/>
  <c r="Z548" i="13"/>
  <c r="AI548" i="13"/>
  <c r="AS548" i="13"/>
  <c r="AY548" i="13"/>
  <c r="Y548" i="13"/>
  <c r="AH548" i="13"/>
  <c r="AR548" i="13"/>
  <c r="AX548" i="13"/>
  <c r="X548" i="13"/>
  <c r="AG548" i="13"/>
  <c r="AQ548" i="13"/>
  <c r="AW548" i="13"/>
  <c r="W548" i="13"/>
  <c r="AF548" i="13"/>
  <c r="AP548" i="13"/>
  <c r="AV548" i="13"/>
  <c r="AE548" i="13" l="1"/>
  <c r="AN548" i="13"/>
  <c r="BI548" i="13"/>
  <c r="AM548" i="13"/>
  <c r="AD548" i="13"/>
  <c r="AC548" i="13" s="1"/>
  <c r="BJ548" i="13"/>
  <c r="BK548" i="13"/>
  <c r="BB548" i="13"/>
  <c r="AL548" i="13" l="1"/>
  <c r="BL548" i="13"/>
  <c r="BC547" i="13" l="1"/>
  <c r="BD547" i="13"/>
  <c r="BE547" i="13"/>
  <c r="BF547" i="13"/>
  <c r="BG547" i="13"/>
  <c r="BH547" i="13"/>
  <c r="U547" i="13"/>
  <c r="AB547" i="13"/>
  <c r="AK547" i="13"/>
  <c r="AO547" i="13"/>
  <c r="AU547" i="13"/>
  <c r="BA547" i="13"/>
  <c r="AA547" i="13"/>
  <c r="AJ547" i="13"/>
  <c r="AT547" i="13"/>
  <c r="AZ547" i="13"/>
  <c r="Z547" i="13"/>
  <c r="AI547" i="13"/>
  <c r="AS547" i="13"/>
  <c r="AY547" i="13"/>
  <c r="Y547" i="13"/>
  <c r="AH547" i="13"/>
  <c r="AR547" i="13"/>
  <c r="AX547" i="13"/>
  <c r="X547" i="13"/>
  <c r="AG547" i="13"/>
  <c r="AQ547" i="13"/>
  <c r="AW547" i="13"/>
  <c r="W547" i="13"/>
  <c r="AF547" i="13"/>
  <c r="AP547" i="13"/>
  <c r="AV547" i="13"/>
  <c r="AE547" i="13" l="1"/>
  <c r="AM547" i="13"/>
  <c r="AN547" i="13"/>
  <c r="AD547" i="13"/>
  <c r="BB547" i="13"/>
  <c r="BI547" i="13"/>
  <c r="BK547" i="13"/>
  <c r="BJ547" i="13"/>
  <c r="AC547" i="13" l="1"/>
  <c r="AL547" i="13"/>
  <c r="BL547" i="13"/>
  <c r="BC546" i="13" l="1"/>
  <c r="BD546" i="13"/>
  <c r="BE546" i="13"/>
  <c r="BF546" i="13"/>
  <c r="BG546" i="13"/>
  <c r="BH546" i="13"/>
  <c r="U546" i="13"/>
  <c r="AB546" i="13"/>
  <c r="AK546" i="13"/>
  <c r="AO546" i="13"/>
  <c r="AU546" i="13"/>
  <c r="BA546" i="13"/>
  <c r="AA546" i="13"/>
  <c r="AJ546" i="13"/>
  <c r="AT546" i="13"/>
  <c r="AZ546" i="13"/>
  <c r="Z546" i="13"/>
  <c r="AI546" i="13"/>
  <c r="AS546" i="13"/>
  <c r="AY546" i="13"/>
  <c r="Y546" i="13"/>
  <c r="AH546" i="13"/>
  <c r="AR546" i="13"/>
  <c r="AX546" i="13"/>
  <c r="X546" i="13"/>
  <c r="AG546" i="13"/>
  <c r="AQ546" i="13"/>
  <c r="AW546" i="13"/>
  <c r="W546" i="13"/>
  <c r="AF546" i="13"/>
  <c r="AP546" i="13"/>
  <c r="AV546" i="13"/>
  <c r="AM546" i="13" l="1"/>
  <c r="AE546" i="13"/>
  <c r="AN546" i="13"/>
  <c r="AD546" i="13"/>
  <c r="BB546" i="13"/>
  <c r="BK546" i="13"/>
  <c r="BJ546" i="13"/>
  <c r="BI546" i="13"/>
  <c r="AL546" i="13" l="1"/>
  <c r="AC546" i="13"/>
  <c r="BL546" i="13"/>
  <c r="BC545" i="13"/>
  <c r="BD545" i="13"/>
  <c r="BE545" i="13"/>
  <c r="BF545" i="13"/>
  <c r="BG545" i="13"/>
  <c r="BH545" i="13"/>
  <c r="U545" i="13"/>
  <c r="AB545" i="13"/>
  <c r="AK545" i="13"/>
  <c r="AO545" i="13"/>
  <c r="AU545" i="13"/>
  <c r="BA545" i="13"/>
  <c r="AA545" i="13"/>
  <c r="AJ545" i="13"/>
  <c r="AT545" i="13"/>
  <c r="AZ545" i="13"/>
  <c r="Z545" i="13"/>
  <c r="AI545" i="13"/>
  <c r="AS545" i="13"/>
  <c r="AY545" i="13"/>
  <c r="Y545" i="13"/>
  <c r="AH545" i="13"/>
  <c r="AR545" i="13"/>
  <c r="AX545" i="13"/>
  <c r="X545" i="13"/>
  <c r="AG545" i="13"/>
  <c r="AQ545" i="13"/>
  <c r="AW545" i="13"/>
  <c r="W545" i="13"/>
  <c r="AF545" i="13"/>
  <c r="AP545" i="13"/>
  <c r="AV545" i="13"/>
  <c r="AM545" i="13" l="1"/>
  <c r="AD545" i="13"/>
  <c r="AN545" i="13"/>
  <c r="BI545" i="13"/>
  <c r="AE545" i="13"/>
  <c r="BB545" i="13"/>
  <c r="BJ545" i="13"/>
  <c r="BK545" i="13"/>
  <c r="AL545" i="13" l="1"/>
  <c r="AC545" i="13"/>
  <c r="BL545" i="13"/>
  <c r="BC544" i="13" l="1"/>
  <c r="BD544" i="13"/>
  <c r="BE544" i="13"/>
  <c r="BF544" i="13"/>
  <c r="BG544" i="13"/>
  <c r="BH544" i="13"/>
  <c r="U544" i="13"/>
  <c r="AB544" i="13"/>
  <c r="AK544" i="13"/>
  <c r="AO544" i="13"/>
  <c r="AU544" i="13"/>
  <c r="BA544" i="13"/>
  <c r="AA544" i="13"/>
  <c r="AJ544" i="13"/>
  <c r="AT544" i="13"/>
  <c r="AZ544" i="13"/>
  <c r="Z544" i="13"/>
  <c r="AI544" i="13"/>
  <c r="AS544" i="13"/>
  <c r="AY544" i="13"/>
  <c r="Y544" i="13"/>
  <c r="AH544" i="13"/>
  <c r="AR544" i="13"/>
  <c r="AX544" i="13"/>
  <c r="X544" i="13"/>
  <c r="AG544" i="13"/>
  <c r="AQ544" i="13"/>
  <c r="AW544" i="13"/>
  <c r="W544" i="13"/>
  <c r="AF544" i="13"/>
  <c r="AP544" i="13"/>
  <c r="AV544" i="13"/>
  <c r="AE544" i="13" l="1"/>
  <c r="AM544" i="13"/>
  <c r="AD544" i="13"/>
  <c r="BB544" i="13"/>
  <c r="AN544" i="13"/>
  <c r="BI544" i="13"/>
  <c r="BJ544" i="13"/>
  <c r="BK544" i="13"/>
  <c r="AL544" i="13" l="1"/>
  <c r="AC544" i="13"/>
  <c r="BL544" i="13"/>
  <c r="DB31" i="10" l="1"/>
  <c r="AL31" i="10" s="1"/>
  <c r="U543" i="13" l="1"/>
  <c r="AB543" i="13"/>
  <c r="AK543" i="13"/>
  <c r="AO543" i="13"/>
  <c r="AU543" i="13"/>
  <c r="BA543" i="13"/>
  <c r="AA543" i="13"/>
  <c r="AJ543" i="13"/>
  <c r="AT543" i="13"/>
  <c r="AZ543" i="13"/>
  <c r="Z543" i="13"/>
  <c r="AI543" i="13"/>
  <c r="AS543" i="13"/>
  <c r="AY543" i="13"/>
  <c r="Y543" i="13"/>
  <c r="AH543" i="13"/>
  <c r="AR543" i="13"/>
  <c r="AX543" i="13"/>
  <c r="X543" i="13"/>
  <c r="AG543" i="13"/>
  <c r="AQ543" i="13"/>
  <c r="AW543" i="13"/>
  <c r="W543" i="13"/>
  <c r="AF543" i="13"/>
  <c r="AP543" i="13"/>
  <c r="AV543" i="13"/>
  <c r="AM543" i="13" l="1"/>
  <c r="AE543" i="13"/>
  <c r="AN543" i="13"/>
  <c r="AD543" i="13"/>
  <c r="BB543" i="13"/>
  <c r="AL543" i="13" l="1"/>
  <c r="AC543" i="13"/>
  <c r="AI44" i="10" l="1"/>
  <c r="AJ44" i="10"/>
  <c r="AK44" i="10"/>
  <c r="AI45" i="10"/>
  <c r="AJ45" i="10"/>
  <c r="AK45" i="10"/>
  <c r="AI46" i="10"/>
  <c r="AJ46" i="10"/>
  <c r="AK46" i="10"/>
  <c r="AI47" i="10"/>
  <c r="AJ47" i="10"/>
  <c r="AK47" i="10"/>
  <c r="AI48" i="10"/>
  <c r="AJ48" i="10"/>
  <c r="AK48" i="10"/>
  <c r="AI49" i="10"/>
  <c r="AJ49" i="10"/>
  <c r="AK49" i="10"/>
  <c r="R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M44" i="10"/>
  <c r="N44" i="10"/>
  <c r="O44" i="10"/>
  <c r="P44" i="10"/>
  <c r="M45" i="10"/>
  <c r="N45" i="10"/>
  <c r="O45" i="10"/>
  <c r="P45" i="10"/>
  <c r="Q45" i="10"/>
  <c r="M46" i="10"/>
  <c r="N46" i="10"/>
  <c r="O46" i="10"/>
  <c r="P46" i="10"/>
  <c r="Q46" i="10"/>
  <c r="M47" i="10"/>
  <c r="N47" i="10"/>
  <c r="O47" i="10"/>
  <c r="P47" i="10"/>
  <c r="Q47" i="10"/>
  <c r="M48" i="10"/>
  <c r="N48" i="10"/>
  <c r="O48" i="10"/>
  <c r="P48" i="10"/>
  <c r="Q48" i="10"/>
  <c r="M49" i="10"/>
  <c r="N49" i="10"/>
  <c r="O49" i="10"/>
  <c r="P49" i="10"/>
  <c r="Q49" i="10"/>
  <c r="BC542" i="13" l="1"/>
  <c r="BD542" i="13"/>
  <c r="BE542" i="13"/>
  <c r="BF542" i="13"/>
  <c r="BG542" i="13"/>
  <c r="BH542" i="13"/>
  <c r="BC543" i="13"/>
  <c r="BD543" i="13"/>
  <c r="BE543" i="13"/>
  <c r="BF543" i="13"/>
  <c r="BG543" i="13"/>
  <c r="BH543" i="13"/>
  <c r="U542" i="13"/>
  <c r="AB542" i="13"/>
  <c r="AK542" i="13"/>
  <c r="AO542" i="13"/>
  <c r="AU542" i="13"/>
  <c r="BA542" i="13"/>
  <c r="AA542" i="13"/>
  <c r="AJ542" i="13"/>
  <c r="AT542" i="13"/>
  <c r="AZ542" i="13"/>
  <c r="Z542" i="13"/>
  <c r="AI542" i="13"/>
  <c r="AS542" i="13"/>
  <c r="AY542" i="13"/>
  <c r="Y542" i="13"/>
  <c r="AH542" i="13"/>
  <c r="AR542" i="13"/>
  <c r="AX542" i="13"/>
  <c r="X542" i="13"/>
  <c r="AG542" i="13"/>
  <c r="AQ542" i="13"/>
  <c r="AW542" i="13"/>
  <c r="W542" i="13"/>
  <c r="AF542" i="13"/>
  <c r="AP542" i="13"/>
  <c r="AV542" i="13"/>
  <c r="AM542" i="13" l="1"/>
  <c r="BJ542" i="13"/>
  <c r="AN542" i="13"/>
  <c r="AD542" i="13"/>
  <c r="BB542" i="13"/>
  <c r="AE542" i="13"/>
  <c r="BI543" i="13"/>
  <c r="BK543" i="13"/>
  <c r="BJ543" i="13"/>
  <c r="BK542" i="13"/>
  <c r="BI542" i="13"/>
  <c r="AC542" i="13" l="1"/>
  <c r="AL542" i="13"/>
  <c r="BL542" i="13"/>
  <c r="BL543" i="13"/>
  <c r="BC541" i="13" l="1"/>
  <c r="BD541" i="13"/>
  <c r="BE541" i="13"/>
  <c r="BF541" i="13"/>
  <c r="BG541" i="13"/>
  <c r="BH541" i="13"/>
  <c r="U541" i="13"/>
  <c r="AB541" i="13"/>
  <c r="AK541" i="13"/>
  <c r="AO541" i="13"/>
  <c r="AU541" i="13"/>
  <c r="BA541" i="13"/>
  <c r="AA541" i="13"/>
  <c r="AJ541" i="13"/>
  <c r="AT541" i="13"/>
  <c r="AZ541" i="13"/>
  <c r="Z541" i="13"/>
  <c r="AI541" i="13"/>
  <c r="AS541" i="13"/>
  <c r="AY541" i="13"/>
  <c r="Y541" i="13"/>
  <c r="AH541" i="13"/>
  <c r="AR541" i="13"/>
  <c r="AX541" i="13"/>
  <c r="X541" i="13"/>
  <c r="AG541" i="13"/>
  <c r="AQ541" i="13"/>
  <c r="AW541" i="13"/>
  <c r="W541" i="13"/>
  <c r="AF541" i="13"/>
  <c r="AP541" i="13"/>
  <c r="AV541" i="13"/>
  <c r="AD541" i="13" l="1"/>
  <c r="AM541" i="13"/>
  <c r="BB541" i="13"/>
  <c r="AE541" i="13"/>
  <c r="AN541" i="13"/>
  <c r="BJ541" i="13"/>
  <c r="BI541" i="13"/>
  <c r="BK541" i="13"/>
  <c r="AC541" i="13" l="1"/>
  <c r="AL541" i="13"/>
  <c r="BL541" i="13"/>
  <c r="BH540" i="13" l="1"/>
  <c r="BG540" i="13"/>
  <c r="BF540" i="13"/>
  <c r="BE540" i="13"/>
  <c r="BD540" i="13"/>
  <c r="BC540" i="13"/>
  <c r="U540" i="13"/>
  <c r="AB540" i="13"/>
  <c r="AK540" i="13"/>
  <c r="AO540" i="13"/>
  <c r="AU540" i="13"/>
  <c r="BA540" i="13"/>
  <c r="AA540" i="13"/>
  <c r="AJ540" i="13"/>
  <c r="AT540" i="13"/>
  <c r="AZ540" i="13"/>
  <c r="Z540" i="13"/>
  <c r="AI540" i="13"/>
  <c r="AS540" i="13"/>
  <c r="AY540" i="13"/>
  <c r="Y540" i="13"/>
  <c r="AH540" i="13"/>
  <c r="AR540" i="13"/>
  <c r="AX540" i="13"/>
  <c r="X540" i="13"/>
  <c r="AG540" i="13"/>
  <c r="AQ540" i="13"/>
  <c r="AW540" i="13"/>
  <c r="W540" i="13"/>
  <c r="AF540" i="13"/>
  <c r="AP540" i="13"/>
  <c r="AV540" i="13"/>
  <c r="AD540" i="13" l="1"/>
  <c r="AN540" i="13"/>
  <c r="BK540" i="13"/>
  <c r="AM540" i="13"/>
  <c r="BI540" i="13"/>
  <c r="BB540" i="13"/>
  <c r="BJ540" i="13"/>
  <c r="AE540" i="13"/>
  <c r="AC540" i="13" s="1"/>
  <c r="AL540" i="13" l="1"/>
  <c r="BL540" i="13"/>
  <c r="BC539" i="13" l="1"/>
  <c r="BD539" i="13"/>
  <c r="BE539" i="13"/>
  <c r="BF539" i="13"/>
  <c r="BG539" i="13"/>
  <c r="BH539" i="13"/>
  <c r="U539" i="13"/>
  <c r="AB539" i="13"/>
  <c r="AK539" i="13"/>
  <c r="AO539" i="13"/>
  <c r="AU539" i="13"/>
  <c r="BA539" i="13"/>
  <c r="AA539" i="13"/>
  <c r="AJ539" i="13"/>
  <c r="AT539" i="13"/>
  <c r="AZ539" i="13"/>
  <c r="Z539" i="13"/>
  <c r="AI539" i="13"/>
  <c r="AS539" i="13"/>
  <c r="AY539" i="13"/>
  <c r="Y539" i="13"/>
  <c r="AH539" i="13"/>
  <c r="AR539" i="13"/>
  <c r="AX539" i="13"/>
  <c r="X539" i="13"/>
  <c r="AG539" i="13"/>
  <c r="AQ539" i="13"/>
  <c r="AW539" i="13"/>
  <c r="W539" i="13"/>
  <c r="AF539" i="13"/>
  <c r="AP539" i="13"/>
  <c r="AV539" i="13"/>
  <c r="AD539" i="13" l="1"/>
  <c r="AM539" i="13"/>
  <c r="AN539" i="13"/>
  <c r="BB539" i="13"/>
  <c r="AE539" i="13"/>
  <c r="BJ539" i="13"/>
  <c r="BI539" i="13"/>
  <c r="BK539" i="13"/>
  <c r="AC539" i="13" l="1"/>
  <c r="AL539" i="13"/>
  <c r="BL539" i="13"/>
  <c r="BC538" i="13" l="1"/>
  <c r="BD538" i="13"/>
  <c r="BE538" i="13"/>
  <c r="BF538" i="13"/>
  <c r="BG538" i="13"/>
  <c r="BH538" i="13"/>
  <c r="U538" i="13"/>
  <c r="AB538" i="13"/>
  <c r="AK538" i="13"/>
  <c r="AO538" i="13"/>
  <c r="AU538" i="13"/>
  <c r="BA538" i="13"/>
  <c r="AA538" i="13"/>
  <c r="AJ538" i="13"/>
  <c r="AT538" i="13"/>
  <c r="AZ538" i="13"/>
  <c r="Z538" i="13"/>
  <c r="AI538" i="13"/>
  <c r="AS538" i="13"/>
  <c r="AY538" i="13"/>
  <c r="Y538" i="13"/>
  <c r="AH538" i="13"/>
  <c r="AR538" i="13"/>
  <c r="AX538" i="13"/>
  <c r="X538" i="13"/>
  <c r="AG538" i="13"/>
  <c r="AQ538" i="13"/>
  <c r="AW538" i="13"/>
  <c r="W538" i="13"/>
  <c r="AF538" i="13"/>
  <c r="AP538" i="13"/>
  <c r="AV538" i="13"/>
  <c r="AD538" i="13" l="1"/>
  <c r="BI538" i="13"/>
  <c r="BJ538" i="13"/>
  <c r="BK538" i="13"/>
  <c r="AM538" i="13"/>
  <c r="AE538" i="13"/>
  <c r="AN538" i="13"/>
  <c r="BB538" i="13"/>
  <c r="AC538" i="13" l="1"/>
  <c r="BL538" i="13"/>
  <c r="AL538" i="13"/>
  <c r="BC537" i="13" l="1"/>
  <c r="BD537" i="13"/>
  <c r="BE537" i="13"/>
  <c r="BF537" i="13"/>
  <c r="BG537" i="13"/>
  <c r="BH537" i="13"/>
  <c r="U537" i="13"/>
  <c r="AB537" i="13"/>
  <c r="AK537" i="13"/>
  <c r="AO537" i="13"/>
  <c r="AU537" i="13"/>
  <c r="BA537" i="13"/>
  <c r="AA537" i="13"/>
  <c r="AJ537" i="13"/>
  <c r="AT537" i="13"/>
  <c r="AZ537" i="13"/>
  <c r="Z537" i="13"/>
  <c r="AI537" i="13"/>
  <c r="AS537" i="13"/>
  <c r="AY537" i="13"/>
  <c r="Y537" i="13"/>
  <c r="AH537" i="13"/>
  <c r="AR537" i="13"/>
  <c r="AX537" i="13"/>
  <c r="X537" i="13"/>
  <c r="AG537" i="13"/>
  <c r="AQ537" i="13"/>
  <c r="AW537" i="13"/>
  <c r="W537" i="13"/>
  <c r="AF537" i="13"/>
  <c r="AP537" i="13"/>
  <c r="AV537" i="13"/>
  <c r="AM537" i="13" l="1"/>
  <c r="AD537" i="13"/>
  <c r="AE537" i="13"/>
  <c r="BJ537" i="13"/>
  <c r="BK537" i="13"/>
  <c r="AN537" i="13"/>
  <c r="BB537" i="13"/>
  <c r="BI537" i="13"/>
  <c r="AL537" i="13" l="1"/>
  <c r="AC537" i="13"/>
  <c r="BL537" i="13"/>
  <c r="BC536" i="13" l="1"/>
  <c r="BD536" i="13"/>
  <c r="BE536" i="13"/>
  <c r="BF536" i="13"/>
  <c r="BG536" i="13"/>
  <c r="BH536" i="13"/>
  <c r="U536" i="13"/>
  <c r="AB536" i="13"/>
  <c r="AK536" i="13"/>
  <c r="AO536" i="13"/>
  <c r="AU536" i="13"/>
  <c r="BA536" i="13"/>
  <c r="AA536" i="13"/>
  <c r="AJ536" i="13"/>
  <c r="AT536" i="13"/>
  <c r="AZ536" i="13"/>
  <c r="Z536" i="13"/>
  <c r="AI536" i="13"/>
  <c r="AS536" i="13"/>
  <c r="AY536" i="13"/>
  <c r="Y536" i="13"/>
  <c r="AH536" i="13"/>
  <c r="AR536" i="13"/>
  <c r="AX536" i="13"/>
  <c r="X536" i="13"/>
  <c r="AG536" i="13"/>
  <c r="AQ536" i="13"/>
  <c r="AW536" i="13"/>
  <c r="W536" i="13"/>
  <c r="AF536" i="13"/>
  <c r="AP536" i="13"/>
  <c r="AV536" i="13"/>
  <c r="AE536" i="13" l="1"/>
  <c r="AM536" i="13"/>
  <c r="BI536" i="13"/>
  <c r="BK536" i="13"/>
  <c r="BJ536" i="13"/>
  <c r="AN536" i="13"/>
  <c r="AD536" i="13"/>
  <c r="BB536" i="13"/>
  <c r="AC536" i="13" l="1"/>
  <c r="AL536" i="13"/>
  <c r="BL536" i="13"/>
  <c r="BC535" i="13" l="1"/>
  <c r="BD535" i="13"/>
  <c r="BE535" i="13"/>
  <c r="BF535" i="13"/>
  <c r="BG535" i="13"/>
  <c r="BH535" i="13"/>
  <c r="U535" i="13"/>
  <c r="AB535" i="13"/>
  <c r="AK535" i="13"/>
  <c r="AO535" i="13"/>
  <c r="AU535" i="13"/>
  <c r="BA535" i="13"/>
  <c r="AA535" i="13"/>
  <c r="AJ535" i="13"/>
  <c r="AT535" i="13"/>
  <c r="AZ535" i="13"/>
  <c r="Z535" i="13"/>
  <c r="AI535" i="13"/>
  <c r="AS535" i="13"/>
  <c r="AY535" i="13"/>
  <c r="Y535" i="13"/>
  <c r="AH535" i="13"/>
  <c r="AR535" i="13"/>
  <c r="AX535" i="13"/>
  <c r="X535" i="13"/>
  <c r="AG535" i="13"/>
  <c r="AQ535" i="13"/>
  <c r="AW535" i="13"/>
  <c r="W535" i="13"/>
  <c r="AF535" i="13"/>
  <c r="AP535" i="13"/>
  <c r="AV535" i="13"/>
  <c r="AM535" i="13" l="1"/>
  <c r="AE535" i="13"/>
  <c r="AN535" i="13"/>
  <c r="AD535" i="13"/>
  <c r="BB535" i="13"/>
  <c r="BK535" i="13"/>
  <c r="BI535" i="13"/>
  <c r="BJ535" i="13"/>
  <c r="AL535" i="13" l="1"/>
  <c r="AC535" i="13"/>
  <c r="BL535" i="13"/>
  <c r="BC534" i="13" l="1"/>
  <c r="BD534" i="13"/>
  <c r="BE534" i="13"/>
  <c r="BF534" i="13"/>
  <c r="BG534" i="13"/>
  <c r="BH534" i="13"/>
  <c r="U534" i="13"/>
  <c r="AB534" i="13"/>
  <c r="AK534" i="13"/>
  <c r="AO534" i="13"/>
  <c r="AU534" i="13"/>
  <c r="BA534" i="13"/>
  <c r="AA534" i="13"/>
  <c r="AJ534" i="13"/>
  <c r="AT534" i="13"/>
  <c r="AZ534" i="13"/>
  <c r="Z534" i="13"/>
  <c r="AI534" i="13"/>
  <c r="AS534" i="13"/>
  <c r="AY534" i="13"/>
  <c r="Y534" i="13"/>
  <c r="AH534" i="13"/>
  <c r="AR534" i="13"/>
  <c r="AX534" i="13"/>
  <c r="X534" i="13"/>
  <c r="AG534" i="13"/>
  <c r="AQ534" i="13"/>
  <c r="AW534" i="13"/>
  <c r="W534" i="13"/>
  <c r="AF534" i="13"/>
  <c r="AP534" i="13"/>
  <c r="AV534" i="13"/>
  <c r="AN534" i="13" l="1"/>
  <c r="AD534" i="13"/>
  <c r="AM534" i="13"/>
  <c r="BB534" i="13"/>
  <c r="AE534" i="13"/>
  <c r="BJ534" i="13"/>
  <c r="BI534" i="13"/>
  <c r="BK534" i="13"/>
  <c r="AL534" i="13" l="1"/>
  <c r="AC534" i="13"/>
  <c r="BL534" i="13"/>
  <c r="BC533" i="13" l="1"/>
  <c r="BD533" i="13"/>
  <c r="BE533" i="13"/>
  <c r="BF533" i="13"/>
  <c r="BG533" i="13"/>
  <c r="BH533" i="13"/>
  <c r="U533" i="13"/>
  <c r="AB533" i="13"/>
  <c r="AK533" i="13"/>
  <c r="AO533" i="13"/>
  <c r="AU533" i="13"/>
  <c r="BA533" i="13"/>
  <c r="AA533" i="13"/>
  <c r="AJ533" i="13"/>
  <c r="AT533" i="13"/>
  <c r="AZ533" i="13"/>
  <c r="Z533" i="13"/>
  <c r="AI533" i="13"/>
  <c r="AS533" i="13"/>
  <c r="AY533" i="13"/>
  <c r="Y533" i="13"/>
  <c r="AH533" i="13"/>
  <c r="AR533" i="13"/>
  <c r="AX533" i="13"/>
  <c r="X533" i="13"/>
  <c r="AG533" i="13"/>
  <c r="AQ533" i="13"/>
  <c r="AW533" i="13"/>
  <c r="W533" i="13"/>
  <c r="AF533" i="13"/>
  <c r="AP533" i="13"/>
  <c r="AV533" i="13"/>
  <c r="AN533" i="13" l="1"/>
  <c r="AD533" i="13"/>
  <c r="AM533" i="13"/>
  <c r="BJ533" i="13"/>
  <c r="BK533" i="13"/>
  <c r="BI533" i="13"/>
  <c r="BB533" i="13"/>
  <c r="AE533" i="13"/>
  <c r="AL533" i="13" l="1"/>
  <c r="AC533" i="13"/>
  <c r="BL533" i="13"/>
  <c r="AP433" i="13" l="1"/>
  <c r="AQ434" i="13"/>
  <c r="BC532" i="13" l="1"/>
  <c r="BD532" i="13"/>
  <c r="BE532" i="13"/>
  <c r="BF532" i="13"/>
  <c r="BG532" i="13"/>
  <c r="BH532" i="13"/>
  <c r="U532" i="13"/>
  <c r="AB532" i="13"/>
  <c r="AK532" i="13"/>
  <c r="AO532" i="13"/>
  <c r="AU532" i="13"/>
  <c r="BA532" i="13"/>
  <c r="AA532" i="13"/>
  <c r="AJ532" i="13"/>
  <c r="AT532" i="13"/>
  <c r="AZ532" i="13"/>
  <c r="Z532" i="13"/>
  <c r="AI532" i="13"/>
  <c r="AS532" i="13"/>
  <c r="AY532" i="13"/>
  <c r="Y532" i="13"/>
  <c r="AH532" i="13"/>
  <c r="AR532" i="13"/>
  <c r="AX532" i="13"/>
  <c r="X532" i="13"/>
  <c r="AG532" i="13"/>
  <c r="AQ532" i="13"/>
  <c r="AW532" i="13"/>
  <c r="W532" i="13"/>
  <c r="AF532" i="13"/>
  <c r="AP532" i="13"/>
  <c r="AV532" i="13"/>
  <c r="AN532" i="13" l="1"/>
  <c r="AD532" i="13"/>
  <c r="BB532" i="13"/>
  <c r="AM532" i="13"/>
  <c r="AL532" i="13" s="1"/>
  <c r="AE532" i="13"/>
  <c r="BJ532" i="13"/>
  <c r="BI532" i="13"/>
  <c r="BK532" i="13"/>
  <c r="AC532" i="13" l="1"/>
  <c r="BL532" i="13"/>
  <c r="BC531" i="13"/>
  <c r="BD531" i="13"/>
  <c r="BE531" i="13"/>
  <c r="BF531" i="13"/>
  <c r="BG531" i="13"/>
  <c r="BH531" i="13"/>
  <c r="U531" i="13"/>
  <c r="AB531" i="13"/>
  <c r="AK531" i="13"/>
  <c r="AO531" i="13"/>
  <c r="AU531" i="13"/>
  <c r="BA531" i="13"/>
  <c r="AA531" i="13"/>
  <c r="AJ531" i="13"/>
  <c r="AT531" i="13"/>
  <c r="AZ531" i="13"/>
  <c r="Z531" i="13"/>
  <c r="AI531" i="13"/>
  <c r="AS531" i="13"/>
  <c r="AY531" i="13"/>
  <c r="Y531" i="13"/>
  <c r="AH531" i="13"/>
  <c r="AR531" i="13"/>
  <c r="AX531" i="13"/>
  <c r="X531" i="13"/>
  <c r="AG531" i="13"/>
  <c r="AQ531" i="13"/>
  <c r="AW531" i="13"/>
  <c r="W531" i="13"/>
  <c r="AF531" i="13"/>
  <c r="AP531" i="13"/>
  <c r="AV531" i="13"/>
  <c r="AE531" i="13" l="1"/>
  <c r="AM531" i="13"/>
  <c r="BJ531" i="13"/>
  <c r="BI531" i="13"/>
  <c r="BK531" i="13"/>
  <c r="AN531" i="13"/>
  <c r="AD531" i="13"/>
  <c r="BB531" i="13"/>
  <c r="AC531" i="13" l="1"/>
  <c r="AL531" i="13"/>
  <c r="BL531" i="13"/>
  <c r="BC40" i="13" l="1"/>
  <c r="AS208" i="13"/>
  <c r="BC194" i="13"/>
  <c r="W530" i="13" l="1"/>
  <c r="X530" i="13"/>
  <c r="Y530" i="13"/>
  <c r="Z530" i="13"/>
  <c r="AA530" i="13"/>
  <c r="AB530" i="13"/>
  <c r="AF530" i="13"/>
  <c r="AG530" i="13"/>
  <c r="AH530" i="13"/>
  <c r="AI530" i="13"/>
  <c r="AJ530" i="13"/>
  <c r="AK530" i="13"/>
  <c r="AO530" i="13"/>
  <c r="AP530" i="13"/>
  <c r="AQ530" i="13"/>
  <c r="AR530" i="13"/>
  <c r="AS530" i="13"/>
  <c r="AT530" i="13"/>
  <c r="AU530" i="13"/>
  <c r="AV530" i="13"/>
  <c r="AW530" i="13"/>
  <c r="AX530" i="13"/>
  <c r="AY530" i="13"/>
  <c r="AZ530" i="13"/>
  <c r="BA530" i="13"/>
  <c r="BC530" i="13"/>
  <c r="BD530" i="13"/>
  <c r="BE530" i="13"/>
  <c r="BF530" i="13"/>
  <c r="BG530" i="13"/>
  <c r="BH530" i="13"/>
  <c r="U530" i="13"/>
  <c r="AE530" i="13" l="1"/>
  <c r="AM530" i="13"/>
  <c r="AD530" i="13"/>
  <c r="AN530" i="13"/>
  <c r="BB530" i="13"/>
  <c r="BI530" i="13"/>
  <c r="BK530" i="13"/>
  <c r="BJ530" i="13"/>
  <c r="AC530" i="13" l="1"/>
  <c r="AL530" i="13"/>
  <c r="BL530" i="13"/>
  <c r="W529" i="13" l="1"/>
  <c r="X529" i="13"/>
  <c r="Y529" i="13"/>
  <c r="Z529" i="13"/>
  <c r="AA529" i="13"/>
  <c r="AB529" i="13"/>
  <c r="AF529" i="13"/>
  <c r="AG529" i="13"/>
  <c r="AH529" i="13"/>
  <c r="AI529" i="13"/>
  <c r="AJ529" i="13"/>
  <c r="AK529" i="13"/>
  <c r="AO529" i="13"/>
  <c r="AP529" i="13"/>
  <c r="AQ529" i="13"/>
  <c r="AR529" i="13"/>
  <c r="AS529" i="13"/>
  <c r="AT529" i="13"/>
  <c r="AU529" i="13"/>
  <c r="AV529" i="13"/>
  <c r="AW529" i="13"/>
  <c r="AX529" i="13"/>
  <c r="AY529" i="13"/>
  <c r="AZ529" i="13"/>
  <c r="BA529" i="13"/>
  <c r="BC529" i="13"/>
  <c r="BD529" i="13"/>
  <c r="BE529" i="13"/>
  <c r="BF529" i="13"/>
  <c r="BG529" i="13"/>
  <c r="BH529" i="13"/>
  <c r="U529" i="13"/>
  <c r="AM529" i="13" l="1"/>
  <c r="AD529" i="13"/>
  <c r="AN529" i="13"/>
  <c r="AE529" i="13"/>
  <c r="BB529" i="13"/>
  <c r="BI529" i="13"/>
  <c r="BK529" i="13"/>
  <c r="BJ529" i="13"/>
  <c r="AL529" i="13" l="1"/>
  <c r="AC529" i="13"/>
  <c r="BL529" i="13"/>
  <c r="BS6" i="13" l="1"/>
  <c r="BS20" i="13"/>
  <c r="U239" i="13"/>
  <c r="U238" i="13"/>
  <c r="U237" i="13"/>
  <c r="U236" i="13"/>
  <c r="U235" i="13"/>
  <c r="U234" i="13"/>
  <c r="U233" i="13"/>
  <c r="U232" i="13"/>
  <c r="U231" i="13"/>
  <c r="U230" i="13"/>
  <c r="U229" i="13"/>
  <c r="U228" i="13"/>
  <c r="U227" i="13"/>
  <c r="U226" i="13"/>
  <c r="U225" i="13"/>
  <c r="U224" i="13"/>
  <c r="U223" i="13"/>
  <c r="U222" i="13"/>
  <c r="U221" i="13"/>
  <c r="U220" i="13"/>
  <c r="U219" i="13"/>
  <c r="U218" i="13"/>
  <c r="U217" i="13"/>
  <c r="U216" i="13"/>
  <c r="U215" i="13"/>
  <c r="U214" i="13"/>
  <c r="U213" i="13"/>
  <c r="U212" i="13"/>
  <c r="U211" i="13"/>
  <c r="U210" i="13"/>
  <c r="U209" i="13"/>
  <c r="U208" i="13"/>
  <c r="U207" i="13"/>
  <c r="U206" i="13"/>
  <c r="U205" i="13"/>
  <c r="U204" i="13"/>
  <c r="U203" i="13"/>
  <c r="U202" i="13"/>
  <c r="U201" i="13"/>
  <c r="U200" i="13"/>
  <c r="U199" i="13"/>
  <c r="U198" i="13"/>
  <c r="U197" i="13"/>
  <c r="U196" i="13"/>
  <c r="U195" i="13"/>
  <c r="U194" i="13"/>
  <c r="U193" i="13"/>
  <c r="U192" i="13"/>
  <c r="U191" i="13"/>
  <c r="U190" i="13"/>
  <c r="U189" i="13"/>
  <c r="U188" i="13"/>
  <c r="U187" i="13"/>
  <c r="U186" i="13"/>
  <c r="U185" i="13"/>
  <c r="U184" i="13"/>
  <c r="U183" i="13"/>
  <c r="U182" i="13"/>
  <c r="U181" i="13"/>
  <c r="U180" i="13"/>
  <c r="U179" i="13"/>
  <c r="U178" i="13"/>
  <c r="U177" i="13"/>
  <c r="U176" i="13"/>
  <c r="U175" i="13"/>
  <c r="U174" i="13"/>
  <c r="U173" i="13"/>
  <c r="U172" i="13"/>
  <c r="U171" i="13"/>
  <c r="U170" i="13"/>
  <c r="U169" i="13"/>
  <c r="U168" i="13"/>
  <c r="U167" i="13"/>
  <c r="U166" i="13"/>
  <c r="U165" i="13"/>
  <c r="U164" i="13"/>
  <c r="U163" i="13"/>
  <c r="U162" i="13"/>
  <c r="U161" i="13"/>
  <c r="U160" i="13"/>
  <c r="U159" i="13"/>
  <c r="U158" i="13"/>
  <c r="U157" i="13"/>
  <c r="U156" i="13"/>
  <c r="U155" i="13"/>
  <c r="U154" i="13"/>
  <c r="U153" i="13"/>
  <c r="U152" i="13"/>
  <c r="U151" i="13"/>
  <c r="U150" i="13"/>
  <c r="U149" i="13"/>
  <c r="U148" i="13"/>
  <c r="U147" i="13"/>
  <c r="U146" i="13"/>
  <c r="U145" i="13"/>
  <c r="U144" i="13"/>
  <c r="U143" i="13"/>
  <c r="U142" i="13"/>
  <c r="U141" i="13"/>
  <c r="U140" i="13"/>
  <c r="U139" i="13"/>
  <c r="U138" i="13"/>
  <c r="U137" i="13"/>
  <c r="U136" i="13"/>
  <c r="U135" i="13"/>
  <c r="U134" i="13"/>
  <c r="U133" i="13"/>
  <c r="U132" i="13"/>
  <c r="U131" i="13"/>
  <c r="U130" i="13"/>
  <c r="U129" i="13"/>
  <c r="U128" i="13"/>
  <c r="U127" i="13"/>
  <c r="U126" i="13"/>
  <c r="U125" i="13"/>
  <c r="U124" i="13"/>
  <c r="U123" i="13"/>
  <c r="U122" i="13"/>
  <c r="U121" i="13"/>
  <c r="U120" i="13"/>
  <c r="U119" i="13"/>
  <c r="U118" i="13"/>
  <c r="U117" i="13"/>
  <c r="U116" i="13"/>
  <c r="U115" i="13"/>
  <c r="U114" i="13"/>
  <c r="U113" i="13"/>
  <c r="U112" i="13"/>
  <c r="U111" i="13"/>
  <c r="U110" i="13"/>
  <c r="U109" i="13"/>
  <c r="U108" i="13"/>
  <c r="U107" i="13"/>
  <c r="U106" i="13"/>
  <c r="U105" i="13"/>
  <c r="U104" i="13"/>
  <c r="U103" i="13"/>
  <c r="U102" i="13"/>
  <c r="U101" i="13"/>
  <c r="U100" i="13"/>
  <c r="U99" i="13"/>
  <c r="U98" i="13"/>
  <c r="U97" i="13"/>
  <c r="U96" i="13"/>
  <c r="U95" i="13"/>
  <c r="U94" i="13"/>
  <c r="U93" i="13"/>
  <c r="U92" i="13"/>
  <c r="U91" i="13"/>
  <c r="U90" i="13"/>
  <c r="U89" i="13"/>
  <c r="U88" i="13"/>
  <c r="U87" i="13"/>
  <c r="U86" i="13"/>
  <c r="U85" i="13"/>
  <c r="U84" i="13"/>
  <c r="U83" i="13"/>
  <c r="U82" i="13"/>
  <c r="U81" i="13"/>
  <c r="U80" i="13"/>
  <c r="U79" i="13"/>
  <c r="U78" i="13"/>
  <c r="U77" i="13"/>
  <c r="U76" i="13"/>
  <c r="U75" i="13"/>
  <c r="U74" i="13"/>
  <c r="U73" i="13"/>
  <c r="U72" i="13"/>
  <c r="U71" i="13"/>
  <c r="U70" i="13"/>
  <c r="U69" i="13"/>
  <c r="U68" i="13"/>
  <c r="U67" i="13"/>
  <c r="U66" i="13"/>
  <c r="U65" i="13"/>
  <c r="U64" i="13"/>
  <c r="U63" i="13"/>
  <c r="U62" i="13"/>
  <c r="U61" i="13"/>
  <c r="U60" i="13"/>
  <c r="U59" i="13"/>
  <c r="U58" i="13"/>
  <c r="U57" i="13"/>
  <c r="U56" i="13"/>
  <c r="U55" i="13"/>
  <c r="U54" i="13"/>
  <c r="U53" i="13"/>
  <c r="U52" i="13"/>
  <c r="U51" i="13"/>
  <c r="U50" i="13"/>
  <c r="U49" i="13"/>
  <c r="U48" i="13"/>
  <c r="U47" i="13"/>
  <c r="U46" i="13"/>
  <c r="U45" i="13"/>
  <c r="U44" i="13"/>
  <c r="U43" i="13"/>
  <c r="U42" i="13"/>
  <c r="U41" i="13"/>
  <c r="U40" i="13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U8" i="13"/>
  <c r="U7" i="13"/>
  <c r="U6" i="13"/>
  <c r="U5" i="13"/>
  <c r="W507" i="13" l="1"/>
  <c r="X507" i="13"/>
  <c r="Y507" i="13"/>
  <c r="Z507" i="13"/>
  <c r="AA507" i="13"/>
  <c r="AB507" i="13"/>
  <c r="AF507" i="13"/>
  <c r="AG507" i="13"/>
  <c r="AH507" i="13"/>
  <c r="AI507" i="13"/>
  <c r="AJ507" i="13"/>
  <c r="AK507" i="13"/>
  <c r="AO507" i="13"/>
  <c r="AP507" i="13"/>
  <c r="AQ507" i="13"/>
  <c r="AR507" i="13"/>
  <c r="AS507" i="13"/>
  <c r="AT507" i="13"/>
  <c r="AU507" i="13"/>
  <c r="AV507" i="13"/>
  <c r="AW507" i="13"/>
  <c r="AX507" i="13"/>
  <c r="AY507" i="13"/>
  <c r="AZ507" i="13"/>
  <c r="BA507" i="13"/>
  <c r="BC507" i="13"/>
  <c r="BD507" i="13"/>
  <c r="BE507" i="13"/>
  <c r="BF507" i="13"/>
  <c r="BG507" i="13"/>
  <c r="BH507" i="13"/>
  <c r="W508" i="13"/>
  <c r="X508" i="13"/>
  <c r="Y508" i="13"/>
  <c r="Z508" i="13"/>
  <c r="AA508" i="13"/>
  <c r="AB508" i="13"/>
  <c r="AF508" i="13"/>
  <c r="AG508" i="13"/>
  <c r="AH508" i="13"/>
  <c r="AI508" i="13"/>
  <c r="AJ508" i="13"/>
  <c r="AK508" i="13"/>
  <c r="AO508" i="13"/>
  <c r="AP508" i="13"/>
  <c r="AQ508" i="13"/>
  <c r="AR508" i="13"/>
  <c r="AS508" i="13"/>
  <c r="AT508" i="13"/>
  <c r="AU508" i="13"/>
  <c r="AV508" i="13"/>
  <c r="AW508" i="13"/>
  <c r="AX508" i="13"/>
  <c r="AY508" i="13"/>
  <c r="AZ508" i="13"/>
  <c r="BA508" i="13"/>
  <c r="BC508" i="13"/>
  <c r="BD508" i="13"/>
  <c r="BE508" i="13"/>
  <c r="BF508" i="13"/>
  <c r="BG508" i="13"/>
  <c r="BH508" i="13"/>
  <c r="W509" i="13"/>
  <c r="X509" i="13"/>
  <c r="Y509" i="13"/>
  <c r="Z509" i="13"/>
  <c r="AA509" i="13"/>
  <c r="AB509" i="13"/>
  <c r="AF509" i="13"/>
  <c r="AG509" i="13"/>
  <c r="AH509" i="13"/>
  <c r="AI509" i="13"/>
  <c r="AJ509" i="13"/>
  <c r="AK509" i="13"/>
  <c r="AO509" i="13"/>
  <c r="AP509" i="13"/>
  <c r="AQ509" i="13"/>
  <c r="AR509" i="13"/>
  <c r="AS509" i="13"/>
  <c r="AT509" i="13"/>
  <c r="AU509" i="13"/>
  <c r="AV509" i="13"/>
  <c r="AW509" i="13"/>
  <c r="AX509" i="13"/>
  <c r="AY509" i="13"/>
  <c r="AZ509" i="13"/>
  <c r="BA509" i="13"/>
  <c r="BC509" i="13"/>
  <c r="BD509" i="13"/>
  <c r="BE509" i="13"/>
  <c r="BF509" i="13"/>
  <c r="BG509" i="13"/>
  <c r="BH509" i="13"/>
  <c r="W510" i="13"/>
  <c r="X510" i="13"/>
  <c r="Y510" i="13"/>
  <c r="Z510" i="13"/>
  <c r="AA510" i="13"/>
  <c r="AB510" i="13"/>
  <c r="AF510" i="13"/>
  <c r="AG510" i="13"/>
  <c r="AH510" i="13"/>
  <c r="AI510" i="13"/>
  <c r="AJ510" i="13"/>
  <c r="AK510" i="13"/>
  <c r="AO510" i="13"/>
  <c r="AP510" i="13"/>
  <c r="AQ510" i="13"/>
  <c r="AR510" i="13"/>
  <c r="AS510" i="13"/>
  <c r="AT510" i="13"/>
  <c r="AU510" i="13"/>
  <c r="AV510" i="13"/>
  <c r="AW510" i="13"/>
  <c r="AX510" i="13"/>
  <c r="AY510" i="13"/>
  <c r="AZ510" i="13"/>
  <c r="BA510" i="13"/>
  <c r="BC510" i="13"/>
  <c r="BD510" i="13"/>
  <c r="BE510" i="13"/>
  <c r="BF510" i="13"/>
  <c r="BG510" i="13"/>
  <c r="BH510" i="13"/>
  <c r="W511" i="13"/>
  <c r="X511" i="13"/>
  <c r="Y511" i="13"/>
  <c r="Z511" i="13"/>
  <c r="AA511" i="13"/>
  <c r="AB511" i="13"/>
  <c r="AF511" i="13"/>
  <c r="AG511" i="13"/>
  <c r="AH511" i="13"/>
  <c r="AI511" i="13"/>
  <c r="AJ511" i="13"/>
  <c r="AK511" i="13"/>
  <c r="AO511" i="13"/>
  <c r="AP511" i="13"/>
  <c r="AQ511" i="13"/>
  <c r="AR511" i="13"/>
  <c r="AS511" i="13"/>
  <c r="AT511" i="13"/>
  <c r="AU511" i="13"/>
  <c r="AV511" i="13"/>
  <c r="AW511" i="13"/>
  <c r="AX511" i="13"/>
  <c r="AY511" i="13"/>
  <c r="AZ511" i="13"/>
  <c r="BA511" i="13"/>
  <c r="BC511" i="13"/>
  <c r="BD511" i="13"/>
  <c r="BE511" i="13"/>
  <c r="BF511" i="13"/>
  <c r="BG511" i="13"/>
  <c r="BH511" i="13"/>
  <c r="W512" i="13"/>
  <c r="X512" i="13"/>
  <c r="Y512" i="13"/>
  <c r="Z512" i="13"/>
  <c r="AA512" i="13"/>
  <c r="AB512" i="13"/>
  <c r="AF512" i="13"/>
  <c r="AG512" i="13"/>
  <c r="AH512" i="13"/>
  <c r="AI512" i="13"/>
  <c r="AJ512" i="13"/>
  <c r="AK512" i="13"/>
  <c r="AO512" i="13"/>
  <c r="AP512" i="13"/>
  <c r="AQ512" i="13"/>
  <c r="AR512" i="13"/>
  <c r="AS512" i="13"/>
  <c r="AT512" i="13"/>
  <c r="AU512" i="13"/>
  <c r="AV512" i="13"/>
  <c r="AW512" i="13"/>
  <c r="AX512" i="13"/>
  <c r="AY512" i="13"/>
  <c r="AZ512" i="13"/>
  <c r="BA512" i="13"/>
  <c r="BC512" i="13"/>
  <c r="BD512" i="13"/>
  <c r="BE512" i="13"/>
  <c r="BF512" i="13"/>
  <c r="BG512" i="13"/>
  <c r="BH512" i="13"/>
  <c r="W513" i="13"/>
  <c r="X513" i="13"/>
  <c r="Y513" i="13"/>
  <c r="Z513" i="13"/>
  <c r="AA513" i="13"/>
  <c r="AB513" i="13"/>
  <c r="AF513" i="13"/>
  <c r="AG513" i="13"/>
  <c r="AH513" i="13"/>
  <c r="AI513" i="13"/>
  <c r="AJ513" i="13"/>
  <c r="AK513" i="13"/>
  <c r="AO513" i="13"/>
  <c r="AP513" i="13"/>
  <c r="AQ513" i="13"/>
  <c r="AR513" i="13"/>
  <c r="AS513" i="13"/>
  <c r="AT513" i="13"/>
  <c r="AU513" i="13"/>
  <c r="AV513" i="13"/>
  <c r="AW513" i="13"/>
  <c r="AX513" i="13"/>
  <c r="AY513" i="13"/>
  <c r="AZ513" i="13"/>
  <c r="BA513" i="13"/>
  <c r="BC513" i="13"/>
  <c r="BD513" i="13"/>
  <c r="BE513" i="13"/>
  <c r="BF513" i="13"/>
  <c r="BG513" i="13"/>
  <c r="BH513" i="13"/>
  <c r="W514" i="13"/>
  <c r="X514" i="13"/>
  <c r="Y514" i="13"/>
  <c r="Z514" i="13"/>
  <c r="AA514" i="13"/>
  <c r="AB514" i="13"/>
  <c r="AF514" i="13"/>
  <c r="AG514" i="13"/>
  <c r="AH514" i="13"/>
  <c r="AI514" i="13"/>
  <c r="AJ514" i="13"/>
  <c r="AK514" i="13"/>
  <c r="AO514" i="13"/>
  <c r="AP514" i="13"/>
  <c r="AQ514" i="13"/>
  <c r="AR514" i="13"/>
  <c r="AS514" i="13"/>
  <c r="AT514" i="13"/>
  <c r="AU514" i="13"/>
  <c r="AV514" i="13"/>
  <c r="AW514" i="13"/>
  <c r="AX514" i="13"/>
  <c r="AY514" i="13"/>
  <c r="AZ514" i="13"/>
  <c r="BA514" i="13"/>
  <c r="BC514" i="13"/>
  <c r="BD514" i="13"/>
  <c r="BE514" i="13"/>
  <c r="BF514" i="13"/>
  <c r="BG514" i="13"/>
  <c r="BH514" i="13"/>
  <c r="W515" i="13"/>
  <c r="X515" i="13"/>
  <c r="Y515" i="13"/>
  <c r="Z515" i="13"/>
  <c r="AA515" i="13"/>
  <c r="AB515" i="13"/>
  <c r="AF515" i="13"/>
  <c r="AG515" i="13"/>
  <c r="AH515" i="13"/>
  <c r="AI515" i="13"/>
  <c r="AJ515" i="13"/>
  <c r="AK515" i="13"/>
  <c r="AO515" i="13"/>
  <c r="AP515" i="13"/>
  <c r="AQ515" i="13"/>
  <c r="AR515" i="13"/>
  <c r="AS515" i="13"/>
  <c r="AT515" i="13"/>
  <c r="AU515" i="13"/>
  <c r="AV515" i="13"/>
  <c r="AW515" i="13"/>
  <c r="AX515" i="13"/>
  <c r="AY515" i="13"/>
  <c r="AZ515" i="13"/>
  <c r="BA515" i="13"/>
  <c r="BC515" i="13"/>
  <c r="BD515" i="13"/>
  <c r="BE515" i="13"/>
  <c r="BF515" i="13"/>
  <c r="BG515" i="13"/>
  <c r="BH515" i="13"/>
  <c r="W516" i="13"/>
  <c r="X516" i="13"/>
  <c r="Y516" i="13"/>
  <c r="Z516" i="13"/>
  <c r="AA516" i="13"/>
  <c r="AB516" i="13"/>
  <c r="AF516" i="13"/>
  <c r="AG516" i="13"/>
  <c r="AH516" i="13"/>
  <c r="AI516" i="13"/>
  <c r="AJ516" i="13"/>
  <c r="AK516" i="13"/>
  <c r="AO516" i="13"/>
  <c r="AP516" i="13"/>
  <c r="AQ516" i="13"/>
  <c r="AR516" i="13"/>
  <c r="AS516" i="13"/>
  <c r="AT516" i="13"/>
  <c r="AU516" i="13"/>
  <c r="AV516" i="13"/>
  <c r="AW516" i="13"/>
  <c r="AX516" i="13"/>
  <c r="AY516" i="13"/>
  <c r="AZ516" i="13"/>
  <c r="BA516" i="13"/>
  <c r="BC516" i="13"/>
  <c r="BD516" i="13"/>
  <c r="BE516" i="13"/>
  <c r="BF516" i="13"/>
  <c r="BG516" i="13"/>
  <c r="BH516" i="13"/>
  <c r="W517" i="13"/>
  <c r="X517" i="13"/>
  <c r="Y517" i="13"/>
  <c r="Z517" i="13"/>
  <c r="AA517" i="13"/>
  <c r="AB517" i="13"/>
  <c r="AF517" i="13"/>
  <c r="AG517" i="13"/>
  <c r="AH517" i="13"/>
  <c r="AI517" i="13"/>
  <c r="AJ517" i="13"/>
  <c r="AK517" i="13"/>
  <c r="AO517" i="13"/>
  <c r="AP517" i="13"/>
  <c r="AQ517" i="13"/>
  <c r="AR517" i="13"/>
  <c r="AS517" i="13"/>
  <c r="AT517" i="13"/>
  <c r="AU517" i="13"/>
  <c r="AV517" i="13"/>
  <c r="AW517" i="13"/>
  <c r="AX517" i="13"/>
  <c r="AY517" i="13"/>
  <c r="AZ517" i="13"/>
  <c r="BA517" i="13"/>
  <c r="BC517" i="13"/>
  <c r="BD517" i="13"/>
  <c r="BE517" i="13"/>
  <c r="BF517" i="13"/>
  <c r="BG517" i="13"/>
  <c r="BH517" i="13"/>
  <c r="W518" i="13"/>
  <c r="X518" i="13"/>
  <c r="Y518" i="13"/>
  <c r="Z518" i="13"/>
  <c r="AA518" i="13"/>
  <c r="AB518" i="13"/>
  <c r="AF518" i="13"/>
  <c r="AG518" i="13"/>
  <c r="AH518" i="13"/>
  <c r="AI518" i="13"/>
  <c r="AJ518" i="13"/>
  <c r="AK518" i="13"/>
  <c r="AO518" i="13"/>
  <c r="AP518" i="13"/>
  <c r="AQ518" i="13"/>
  <c r="AR518" i="13"/>
  <c r="AS518" i="13"/>
  <c r="AT518" i="13"/>
  <c r="AU518" i="13"/>
  <c r="AV518" i="13"/>
  <c r="AW518" i="13"/>
  <c r="AX518" i="13"/>
  <c r="AY518" i="13"/>
  <c r="AZ518" i="13"/>
  <c r="BA518" i="13"/>
  <c r="BC518" i="13"/>
  <c r="BD518" i="13"/>
  <c r="BE518" i="13"/>
  <c r="BF518" i="13"/>
  <c r="BG518" i="13"/>
  <c r="BH518" i="13"/>
  <c r="W519" i="13"/>
  <c r="X519" i="13"/>
  <c r="Y519" i="13"/>
  <c r="Z519" i="13"/>
  <c r="AA519" i="13"/>
  <c r="AB519" i="13"/>
  <c r="AF519" i="13"/>
  <c r="AG519" i="13"/>
  <c r="AH519" i="13"/>
  <c r="AI519" i="13"/>
  <c r="AJ519" i="13"/>
  <c r="AK519" i="13"/>
  <c r="AO519" i="13"/>
  <c r="AP519" i="13"/>
  <c r="AQ519" i="13"/>
  <c r="AR519" i="13"/>
  <c r="AS519" i="13"/>
  <c r="AT519" i="13"/>
  <c r="AU519" i="13"/>
  <c r="AV519" i="13"/>
  <c r="AW519" i="13"/>
  <c r="AX519" i="13"/>
  <c r="AY519" i="13"/>
  <c r="AZ519" i="13"/>
  <c r="BA519" i="13"/>
  <c r="BC519" i="13"/>
  <c r="BD519" i="13"/>
  <c r="BE519" i="13"/>
  <c r="BF519" i="13"/>
  <c r="BG519" i="13"/>
  <c r="BH519" i="13"/>
  <c r="W520" i="13"/>
  <c r="X520" i="13"/>
  <c r="Y520" i="13"/>
  <c r="Z520" i="13"/>
  <c r="AA520" i="13"/>
  <c r="AB520" i="13"/>
  <c r="AF520" i="13"/>
  <c r="AG520" i="13"/>
  <c r="AH520" i="13"/>
  <c r="AI520" i="13"/>
  <c r="AJ520" i="13"/>
  <c r="AK520" i="13"/>
  <c r="AO520" i="13"/>
  <c r="AP520" i="13"/>
  <c r="AQ520" i="13"/>
  <c r="AR520" i="13"/>
  <c r="AS520" i="13"/>
  <c r="AT520" i="13"/>
  <c r="AU520" i="13"/>
  <c r="AV520" i="13"/>
  <c r="AW520" i="13"/>
  <c r="AX520" i="13"/>
  <c r="AY520" i="13"/>
  <c r="AZ520" i="13"/>
  <c r="BA520" i="13"/>
  <c r="BC520" i="13"/>
  <c r="BD520" i="13"/>
  <c r="BE520" i="13"/>
  <c r="BF520" i="13"/>
  <c r="BG520" i="13"/>
  <c r="BH520" i="13"/>
  <c r="W521" i="13"/>
  <c r="X521" i="13"/>
  <c r="Y521" i="13"/>
  <c r="Z521" i="13"/>
  <c r="AA521" i="13"/>
  <c r="AB521" i="13"/>
  <c r="AF521" i="13"/>
  <c r="AG521" i="13"/>
  <c r="AH521" i="13"/>
  <c r="AI521" i="13"/>
  <c r="AJ521" i="13"/>
  <c r="AK521" i="13"/>
  <c r="AO521" i="13"/>
  <c r="AP521" i="13"/>
  <c r="AQ521" i="13"/>
  <c r="AR521" i="13"/>
  <c r="AS521" i="13"/>
  <c r="AT521" i="13"/>
  <c r="AU521" i="13"/>
  <c r="AV521" i="13"/>
  <c r="AW521" i="13"/>
  <c r="AX521" i="13"/>
  <c r="AY521" i="13"/>
  <c r="AZ521" i="13"/>
  <c r="BA521" i="13"/>
  <c r="BC521" i="13"/>
  <c r="BD521" i="13"/>
  <c r="BE521" i="13"/>
  <c r="BF521" i="13"/>
  <c r="BG521" i="13"/>
  <c r="BH521" i="13"/>
  <c r="W522" i="13"/>
  <c r="X522" i="13"/>
  <c r="Y522" i="13"/>
  <c r="Z522" i="13"/>
  <c r="AA522" i="13"/>
  <c r="AB522" i="13"/>
  <c r="AF522" i="13"/>
  <c r="AG522" i="13"/>
  <c r="AH522" i="13"/>
  <c r="AI522" i="13"/>
  <c r="AJ522" i="13"/>
  <c r="AK522" i="13"/>
  <c r="AO522" i="13"/>
  <c r="AP522" i="13"/>
  <c r="AQ522" i="13"/>
  <c r="AR522" i="13"/>
  <c r="AS522" i="13"/>
  <c r="AT522" i="13"/>
  <c r="AU522" i="13"/>
  <c r="AV522" i="13"/>
  <c r="AW522" i="13"/>
  <c r="AX522" i="13"/>
  <c r="AY522" i="13"/>
  <c r="AZ522" i="13"/>
  <c r="BA522" i="13"/>
  <c r="BC522" i="13"/>
  <c r="BD522" i="13"/>
  <c r="BE522" i="13"/>
  <c r="BF522" i="13"/>
  <c r="BG522" i="13"/>
  <c r="BH522" i="13"/>
  <c r="W523" i="13"/>
  <c r="X523" i="13"/>
  <c r="Y523" i="13"/>
  <c r="Z523" i="13"/>
  <c r="AA523" i="13"/>
  <c r="AB523" i="13"/>
  <c r="AF523" i="13"/>
  <c r="AG523" i="13"/>
  <c r="AH523" i="13"/>
  <c r="AI523" i="13"/>
  <c r="AJ523" i="13"/>
  <c r="AK523" i="13"/>
  <c r="AO523" i="13"/>
  <c r="AP523" i="13"/>
  <c r="AQ523" i="13"/>
  <c r="AR523" i="13"/>
  <c r="AS523" i="13"/>
  <c r="AT523" i="13"/>
  <c r="AU523" i="13"/>
  <c r="AV523" i="13"/>
  <c r="AW523" i="13"/>
  <c r="AX523" i="13"/>
  <c r="AY523" i="13"/>
  <c r="AZ523" i="13"/>
  <c r="BA523" i="13"/>
  <c r="BC523" i="13"/>
  <c r="BD523" i="13"/>
  <c r="BE523" i="13"/>
  <c r="BF523" i="13"/>
  <c r="BG523" i="13"/>
  <c r="BH523" i="13"/>
  <c r="W524" i="13"/>
  <c r="X524" i="13"/>
  <c r="Y524" i="13"/>
  <c r="Z524" i="13"/>
  <c r="AA524" i="13"/>
  <c r="AB524" i="13"/>
  <c r="AF524" i="13"/>
  <c r="AG524" i="13"/>
  <c r="AH524" i="13"/>
  <c r="AI524" i="13"/>
  <c r="AJ524" i="13"/>
  <c r="AK524" i="13"/>
  <c r="AO524" i="13"/>
  <c r="AP524" i="13"/>
  <c r="AQ524" i="13"/>
  <c r="AR524" i="13"/>
  <c r="AS524" i="13"/>
  <c r="AT524" i="13"/>
  <c r="AU524" i="13"/>
  <c r="AV524" i="13"/>
  <c r="AW524" i="13"/>
  <c r="AX524" i="13"/>
  <c r="AY524" i="13"/>
  <c r="AZ524" i="13"/>
  <c r="BA524" i="13"/>
  <c r="BC524" i="13"/>
  <c r="BD524" i="13"/>
  <c r="BE524" i="13"/>
  <c r="BF524" i="13"/>
  <c r="BG524" i="13"/>
  <c r="BH524" i="13"/>
  <c r="W525" i="13"/>
  <c r="X525" i="13"/>
  <c r="Y525" i="13"/>
  <c r="Z525" i="13"/>
  <c r="AA525" i="13"/>
  <c r="AB525" i="13"/>
  <c r="AF525" i="13"/>
  <c r="AG525" i="13"/>
  <c r="AH525" i="13"/>
  <c r="AI525" i="13"/>
  <c r="AJ525" i="13"/>
  <c r="AK525" i="13"/>
  <c r="AO525" i="13"/>
  <c r="AP525" i="13"/>
  <c r="AQ525" i="13"/>
  <c r="AR525" i="13"/>
  <c r="AS525" i="13"/>
  <c r="AT525" i="13"/>
  <c r="AU525" i="13"/>
  <c r="AV525" i="13"/>
  <c r="AW525" i="13"/>
  <c r="AX525" i="13"/>
  <c r="AY525" i="13"/>
  <c r="AZ525" i="13"/>
  <c r="BA525" i="13"/>
  <c r="BC525" i="13"/>
  <c r="BD525" i="13"/>
  <c r="BE525" i="13"/>
  <c r="BF525" i="13"/>
  <c r="BG525" i="13"/>
  <c r="BH525" i="13"/>
  <c r="W526" i="13"/>
  <c r="X526" i="13"/>
  <c r="Y526" i="13"/>
  <c r="Z526" i="13"/>
  <c r="AA526" i="13"/>
  <c r="AB526" i="13"/>
  <c r="AF526" i="13"/>
  <c r="AG526" i="13"/>
  <c r="AH526" i="13"/>
  <c r="AI526" i="13"/>
  <c r="AJ526" i="13"/>
  <c r="AK526" i="13"/>
  <c r="AO526" i="13"/>
  <c r="AP526" i="13"/>
  <c r="AQ526" i="13"/>
  <c r="AR526" i="13"/>
  <c r="AS526" i="13"/>
  <c r="AT526" i="13"/>
  <c r="AU526" i="13"/>
  <c r="AV526" i="13"/>
  <c r="AW526" i="13"/>
  <c r="AX526" i="13"/>
  <c r="AY526" i="13"/>
  <c r="AZ526" i="13"/>
  <c r="BA526" i="13"/>
  <c r="BC526" i="13"/>
  <c r="BD526" i="13"/>
  <c r="BE526" i="13"/>
  <c r="BF526" i="13"/>
  <c r="BG526" i="13"/>
  <c r="BH526" i="13"/>
  <c r="W527" i="13"/>
  <c r="X527" i="13"/>
  <c r="Y527" i="13"/>
  <c r="Z527" i="13"/>
  <c r="AA527" i="13"/>
  <c r="AB527" i="13"/>
  <c r="AF527" i="13"/>
  <c r="AG527" i="13"/>
  <c r="AH527" i="13"/>
  <c r="AI527" i="13"/>
  <c r="AJ527" i="13"/>
  <c r="AK527" i="13"/>
  <c r="AO527" i="13"/>
  <c r="AP527" i="13"/>
  <c r="AQ527" i="13"/>
  <c r="AR527" i="13"/>
  <c r="AS527" i="13"/>
  <c r="AT527" i="13"/>
  <c r="AU527" i="13"/>
  <c r="AV527" i="13"/>
  <c r="AW527" i="13"/>
  <c r="AX527" i="13"/>
  <c r="AY527" i="13"/>
  <c r="AZ527" i="13"/>
  <c r="BA527" i="13"/>
  <c r="BC527" i="13"/>
  <c r="BD527" i="13"/>
  <c r="BE527" i="13"/>
  <c r="BF527" i="13"/>
  <c r="BG527" i="13"/>
  <c r="BH527" i="13"/>
  <c r="W528" i="13"/>
  <c r="X528" i="13"/>
  <c r="Y528" i="13"/>
  <c r="Z528" i="13"/>
  <c r="AA528" i="13"/>
  <c r="AB528" i="13"/>
  <c r="AF528" i="13"/>
  <c r="AG528" i="13"/>
  <c r="AH528" i="13"/>
  <c r="AI528" i="13"/>
  <c r="AJ528" i="13"/>
  <c r="AK528" i="13"/>
  <c r="AO528" i="13"/>
  <c r="AP528" i="13"/>
  <c r="AQ528" i="13"/>
  <c r="AR528" i="13"/>
  <c r="AS528" i="13"/>
  <c r="AT528" i="13"/>
  <c r="AU528" i="13"/>
  <c r="AV528" i="13"/>
  <c r="AW528" i="13"/>
  <c r="AX528" i="13"/>
  <c r="AY528" i="13"/>
  <c r="AZ528" i="13"/>
  <c r="BA528" i="13"/>
  <c r="BC528" i="13"/>
  <c r="BD528" i="13"/>
  <c r="BE528" i="13"/>
  <c r="BF528" i="13"/>
  <c r="BG528" i="13"/>
  <c r="BH528" i="13"/>
  <c r="U528" i="13"/>
  <c r="U527" i="13"/>
  <c r="U526" i="13"/>
  <c r="U525" i="13"/>
  <c r="U524" i="13"/>
  <c r="U523" i="13"/>
  <c r="U522" i="13"/>
  <c r="U521" i="13"/>
  <c r="U520" i="13"/>
  <c r="U519" i="13"/>
  <c r="U518" i="13"/>
  <c r="U517" i="13"/>
  <c r="U516" i="13"/>
  <c r="U515" i="13"/>
  <c r="U514" i="13"/>
  <c r="U513" i="13"/>
  <c r="U512" i="13"/>
  <c r="U511" i="13"/>
  <c r="U510" i="13"/>
  <c r="U509" i="13"/>
  <c r="U508" i="13"/>
  <c r="U507" i="13"/>
  <c r="U506" i="13"/>
  <c r="AD507" i="13" l="1"/>
  <c r="AE511" i="13"/>
  <c r="AD526" i="13"/>
  <c r="BB526" i="13"/>
  <c r="AM507" i="13"/>
  <c r="AE526" i="13"/>
  <c r="AE507" i="13"/>
  <c r="AC507" i="13" s="1"/>
  <c r="BB524" i="13"/>
  <c r="AM521" i="13"/>
  <c r="AM517" i="13"/>
  <c r="AM513" i="13"/>
  <c r="AN511" i="13"/>
  <c r="AM509" i="13"/>
  <c r="AD528" i="13"/>
  <c r="AN525" i="13"/>
  <c r="AM525" i="13"/>
  <c r="BB528" i="13"/>
  <c r="AE527" i="13"/>
  <c r="AD524" i="13"/>
  <c r="AM523" i="13"/>
  <c r="AM519" i="13"/>
  <c r="AM515" i="13"/>
  <c r="AM511" i="13"/>
  <c r="BB523" i="13"/>
  <c r="AE528" i="13"/>
  <c r="AM527" i="13"/>
  <c r="BB525" i="13"/>
  <c r="AM524" i="13"/>
  <c r="BB522" i="13"/>
  <c r="BB520" i="13"/>
  <c r="BB518" i="13"/>
  <c r="BB516" i="13"/>
  <c r="BB514" i="13"/>
  <c r="BB512" i="13"/>
  <c r="BB510" i="13"/>
  <c r="BB508" i="13"/>
  <c r="AD523" i="13"/>
  <c r="AM522" i="13"/>
  <c r="BB521" i="13"/>
  <c r="AD521" i="13"/>
  <c r="AM520" i="13"/>
  <c r="BB519" i="13"/>
  <c r="AD519" i="13"/>
  <c r="AM518" i="13"/>
  <c r="BB517" i="13"/>
  <c r="AD517" i="13"/>
  <c r="AM516" i="13"/>
  <c r="BB515" i="13"/>
  <c r="AD515" i="13"/>
  <c r="AM514" i="13"/>
  <c r="BB513" i="13"/>
  <c r="AD513" i="13"/>
  <c r="AM512" i="13"/>
  <c r="BB511" i="13"/>
  <c r="AD511" i="13"/>
  <c r="AM510" i="13"/>
  <c r="BB509" i="13"/>
  <c r="AD509" i="13"/>
  <c r="AN508" i="13"/>
  <c r="BK507" i="13"/>
  <c r="BB507" i="13"/>
  <c r="AM528" i="13"/>
  <c r="AN527" i="13"/>
  <c r="AD527" i="13"/>
  <c r="AE525" i="13"/>
  <c r="AE524" i="13"/>
  <c r="AD522" i="13"/>
  <c r="AD520" i="13"/>
  <c r="AD518" i="13"/>
  <c r="AD516" i="13"/>
  <c r="AD514" i="13"/>
  <c r="AD512" i="13"/>
  <c r="AD510" i="13"/>
  <c r="AM508" i="13"/>
  <c r="AD508" i="13"/>
  <c r="BB527" i="13"/>
  <c r="AM526" i="13"/>
  <c r="AD525" i="13"/>
  <c r="AN523" i="13"/>
  <c r="AE523" i="13"/>
  <c r="AN521" i="13"/>
  <c r="AE521" i="13"/>
  <c r="AN519" i="13"/>
  <c r="AE519" i="13"/>
  <c r="AN517" i="13"/>
  <c r="AE517" i="13"/>
  <c r="AN515" i="13"/>
  <c r="AE515" i="13"/>
  <c r="AN513" i="13"/>
  <c r="AE513" i="13"/>
  <c r="AE510" i="13"/>
  <c r="AN509" i="13"/>
  <c r="AE509" i="13"/>
  <c r="AE508" i="13"/>
  <c r="AN507" i="13"/>
  <c r="BI508" i="13"/>
  <c r="BI528" i="13"/>
  <c r="BI527" i="13"/>
  <c r="BI522" i="13"/>
  <c r="BI518" i="13"/>
  <c r="BI514" i="13"/>
  <c r="BI510" i="13"/>
  <c r="BI524" i="13"/>
  <c r="BK521" i="13"/>
  <c r="BI520" i="13"/>
  <c r="BK517" i="13"/>
  <c r="BI516" i="13"/>
  <c r="BK513" i="13"/>
  <c r="BI512" i="13"/>
  <c r="BJ526" i="13"/>
  <c r="BJ508" i="13"/>
  <c r="BK509" i="13"/>
  <c r="BJ528" i="13"/>
  <c r="BK525" i="13"/>
  <c r="BK524" i="13"/>
  <c r="BI523" i="13"/>
  <c r="BJ522" i="13"/>
  <c r="BI519" i="13"/>
  <c r="BJ518" i="13"/>
  <c r="BI515" i="13"/>
  <c r="BJ514" i="13"/>
  <c r="BI511" i="13"/>
  <c r="BJ510" i="13"/>
  <c r="BK508" i="13"/>
  <c r="BK528" i="13"/>
  <c r="BJ524" i="13"/>
  <c r="BI526" i="13"/>
  <c r="BI525" i="13"/>
  <c r="BI507" i="13"/>
  <c r="BK527" i="13"/>
  <c r="BK526" i="13"/>
  <c r="BK523" i="13"/>
  <c r="BI521" i="13"/>
  <c r="BJ520" i="13"/>
  <c r="BK519" i="13"/>
  <c r="BI517" i="13"/>
  <c r="BJ516" i="13"/>
  <c r="BK515" i="13"/>
  <c r="BI513" i="13"/>
  <c r="BJ512" i="13"/>
  <c r="BK511" i="13"/>
  <c r="BI509" i="13"/>
  <c r="AL517" i="13"/>
  <c r="AN528" i="13"/>
  <c r="BJ527" i="13"/>
  <c r="AN526" i="13"/>
  <c r="BJ525" i="13"/>
  <c r="AN524" i="13"/>
  <c r="BJ523" i="13"/>
  <c r="AN522" i="13"/>
  <c r="BJ521" i="13"/>
  <c r="AN520" i="13"/>
  <c r="BJ519" i="13"/>
  <c r="AN518" i="13"/>
  <c r="BJ517" i="13"/>
  <c r="AN516" i="13"/>
  <c r="BJ515" i="13"/>
  <c r="AN514" i="13"/>
  <c r="BJ513" i="13"/>
  <c r="AN512" i="13"/>
  <c r="BJ511" i="13"/>
  <c r="AN510" i="13"/>
  <c r="BJ509" i="13"/>
  <c r="BJ507" i="13"/>
  <c r="BK522" i="13"/>
  <c r="AE522" i="13"/>
  <c r="BK520" i="13"/>
  <c r="AE520" i="13"/>
  <c r="BK518" i="13"/>
  <c r="AE518" i="13"/>
  <c r="BK516" i="13"/>
  <c r="AE516" i="13"/>
  <c r="BK514" i="13"/>
  <c r="AE514" i="13"/>
  <c r="BK512" i="13"/>
  <c r="AE512" i="13"/>
  <c r="BK510" i="13"/>
  <c r="AL509" i="13" l="1"/>
  <c r="AL523" i="13"/>
  <c r="AC516" i="13"/>
  <c r="AL528" i="13"/>
  <c r="AC518" i="13"/>
  <c r="AL512" i="13"/>
  <c r="AL516" i="13"/>
  <c r="AL520" i="13"/>
  <c r="AL524" i="13"/>
  <c r="AL526" i="13"/>
  <c r="AL521" i="13"/>
  <c r="AL510" i="13"/>
  <c r="AL518" i="13"/>
  <c r="AC528" i="13"/>
  <c r="AL511" i="13"/>
  <c r="AL519" i="13"/>
  <c r="AC520" i="13"/>
  <c r="AC512" i="13"/>
  <c r="AL514" i="13"/>
  <c r="AL522" i="13"/>
  <c r="AC511" i="13"/>
  <c r="AL507" i="13"/>
  <c r="AL515" i="13"/>
  <c r="AL508" i="13"/>
  <c r="AC514" i="13"/>
  <c r="AL513" i="13"/>
  <c r="AC522" i="13"/>
  <c r="AC527" i="13"/>
  <c r="AL525" i="13"/>
  <c r="AC526" i="13"/>
  <c r="AC525" i="13"/>
  <c r="AC524" i="13"/>
  <c r="BL527" i="13"/>
  <c r="BL508" i="13"/>
  <c r="BL510" i="13"/>
  <c r="BL518" i="13"/>
  <c r="BL519" i="13"/>
  <c r="BL513" i="13"/>
  <c r="BL507" i="13"/>
  <c r="BL515" i="13"/>
  <c r="BL523" i="13"/>
  <c r="BL512" i="13"/>
  <c r="BL516" i="13"/>
  <c r="BL514" i="13"/>
  <c r="BL522" i="13"/>
  <c r="BL511" i="13"/>
  <c r="AC508" i="13"/>
  <c r="AC513" i="13"/>
  <c r="AC521" i="13"/>
  <c r="AC519" i="13"/>
  <c r="AC510" i="13"/>
  <c r="AC509" i="13"/>
  <c r="AC517" i="13"/>
  <c r="AC515" i="13"/>
  <c r="AC523" i="13"/>
  <c r="AL527" i="13"/>
  <c r="BL517" i="13"/>
  <c r="BL521" i="13"/>
  <c r="BL525" i="13"/>
  <c r="BL528" i="13"/>
  <c r="BL526" i="13"/>
  <c r="BL524" i="13"/>
  <c r="BL520" i="13"/>
  <c r="BL509" i="13"/>
  <c r="AB506" i="13" l="1"/>
  <c r="AK506" i="13"/>
  <c r="AO506" i="13"/>
  <c r="AU506" i="13"/>
  <c r="BA506" i="13"/>
  <c r="AA506" i="13"/>
  <c r="AJ506" i="13"/>
  <c r="AT506" i="13"/>
  <c r="AZ506" i="13"/>
  <c r="Z506" i="13"/>
  <c r="AI506" i="13"/>
  <c r="AS506" i="13"/>
  <c r="AY506" i="13"/>
  <c r="Y506" i="13"/>
  <c r="AH506" i="13"/>
  <c r="AR506" i="13"/>
  <c r="AX506" i="13"/>
  <c r="X506" i="13"/>
  <c r="AG506" i="13"/>
  <c r="AQ506" i="13"/>
  <c r="AW506" i="13"/>
  <c r="W506" i="13"/>
  <c r="AF506" i="13"/>
  <c r="AP506" i="13"/>
  <c r="AV506" i="13"/>
  <c r="U505" i="13"/>
  <c r="AB505" i="13"/>
  <c r="AK505" i="13"/>
  <c r="AO505" i="13"/>
  <c r="AU505" i="13"/>
  <c r="BA505" i="13"/>
  <c r="AA505" i="13"/>
  <c r="AJ505" i="13"/>
  <c r="AT505" i="13"/>
  <c r="AZ505" i="13"/>
  <c r="Z505" i="13"/>
  <c r="AI505" i="13"/>
  <c r="AS505" i="13"/>
  <c r="AY505" i="13"/>
  <c r="Y505" i="13"/>
  <c r="AH505" i="13"/>
  <c r="AR505" i="13"/>
  <c r="AX505" i="13"/>
  <c r="X505" i="13"/>
  <c r="AG505" i="13"/>
  <c r="AQ505" i="13"/>
  <c r="AW505" i="13"/>
  <c r="W505" i="13"/>
  <c r="AF505" i="13"/>
  <c r="AP505" i="13"/>
  <c r="AV505" i="13"/>
  <c r="U504" i="13"/>
  <c r="AB504" i="13"/>
  <c r="AK504" i="13"/>
  <c r="AO504" i="13"/>
  <c r="AU504" i="13"/>
  <c r="BA504" i="13"/>
  <c r="AA504" i="13"/>
  <c r="AJ504" i="13"/>
  <c r="AT504" i="13"/>
  <c r="AZ504" i="13"/>
  <c r="Z504" i="13"/>
  <c r="AI504" i="13"/>
  <c r="AS504" i="13"/>
  <c r="AY504" i="13"/>
  <c r="Y504" i="13"/>
  <c r="AH504" i="13"/>
  <c r="AR504" i="13"/>
  <c r="AX504" i="13"/>
  <c r="X504" i="13"/>
  <c r="AG504" i="13"/>
  <c r="AQ504" i="13"/>
  <c r="AW504" i="13"/>
  <c r="W504" i="13"/>
  <c r="AF504" i="13"/>
  <c r="AP504" i="13"/>
  <c r="AV504" i="13"/>
  <c r="U503" i="13"/>
  <c r="AB503" i="13"/>
  <c r="AK503" i="13"/>
  <c r="AO503" i="13"/>
  <c r="AU503" i="13"/>
  <c r="BA503" i="13"/>
  <c r="AA503" i="13"/>
  <c r="AJ503" i="13"/>
  <c r="AT503" i="13"/>
  <c r="AZ503" i="13"/>
  <c r="Z503" i="13"/>
  <c r="AI503" i="13"/>
  <c r="AS503" i="13"/>
  <c r="AY503" i="13"/>
  <c r="Y503" i="13"/>
  <c r="AH503" i="13"/>
  <c r="AR503" i="13"/>
  <c r="AX503" i="13"/>
  <c r="X503" i="13"/>
  <c r="AG503" i="13"/>
  <c r="AQ503" i="13"/>
  <c r="AW503" i="13"/>
  <c r="W503" i="13"/>
  <c r="AF503" i="13"/>
  <c r="AP503" i="13"/>
  <c r="AV503" i="13"/>
  <c r="U502" i="13"/>
  <c r="AB502" i="13"/>
  <c r="AK502" i="13"/>
  <c r="AO502" i="13"/>
  <c r="AU502" i="13"/>
  <c r="BA502" i="13"/>
  <c r="AA502" i="13"/>
  <c r="AJ502" i="13"/>
  <c r="AT502" i="13"/>
  <c r="AZ502" i="13"/>
  <c r="Z502" i="13"/>
  <c r="AI502" i="13"/>
  <c r="AS502" i="13"/>
  <c r="AY502" i="13"/>
  <c r="Y502" i="13"/>
  <c r="AH502" i="13"/>
  <c r="AR502" i="13"/>
  <c r="AX502" i="13"/>
  <c r="X502" i="13"/>
  <c r="AG502" i="13"/>
  <c r="AQ502" i="13"/>
  <c r="AW502" i="13"/>
  <c r="W502" i="13"/>
  <c r="AF502" i="13"/>
  <c r="AP502" i="13"/>
  <c r="AV502" i="13"/>
  <c r="U501" i="13"/>
  <c r="AB501" i="13"/>
  <c r="AK501" i="13"/>
  <c r="AO501" i="13"/>
  <c r="AU501" i="13"/>
  <c r="BA501" i="13"/>
  <c r="AA501" i="13"/>
  <c r="AJ501" i="13"/>
  <c r="AT501" i="13"/>
  <c r="AZ501" i="13"/>
  <c r="Z501" i="13"/>
  <c r="AI501" i="13"/>
  <c r="AS501" i="13"/>
  <c r="AY501" i="13"/>
  <c r="Y501" i="13"/>
  <c r="AH501" i="13"/>
  <c r="AR501" i="13"/>
  <c r="AX501" i="13"/>
  <c r="X501" i="13"/>
  <c r="AG501" i="13"/>
  <c r="AQ501" i="13"/>
  <c r="AW501" i="13"/>
  <c r="W501" i="13"/>
  <c r="AF501" i="13"/>
  <c r="AP501" i="13"/>
  <c r="AV501" i="13"/>
  <c r="U500" i="13"/>
  <c r="AB500" i="13"/>
  <c r="AK500" i="13"/>
  <c r="AO500" i="13"/>
  <c r="AU500" i="13"/>
  <c r="BA500" i="13"/>
  <c r="AA500" i="13"/>
  <c r="AJ500" i="13"/>
  <c r="AT500" i="13"/>
  <c r="AZ500" i="13"/>
  <c r="Z500" i="13"/>
  <c r="AI500" i="13"/>
  <c r="AS500" i="13"/>
  <c r="AY500" i="13"/>
  <c r="Y500" i="13"/>
  <c r="AH500" i="13"/>
  <c r="AR500" i="13"/>
  <c r="AX500" i="13"/>
  <c r="X500" i="13"/>
  <c r="AG500" i="13"/>
  <c r="AQ500" i="13"/>
  <c r="AW500" i="13"/>
  <c r="W500" i="13"/>
  <c r="AF500" i="13"/>
  <c r="AP500" i="13"/>
  <c r="AV500" i="13"/>
  <c r="AN506" i="13" l="1"/>
  <c r="AM503" i="13"/>
  <c r="AM505" i="13"/>
  <c r="AD503" i="13"/>
  <c r="AM500" i="13"/>
  <c r="AM504" i="13"/>
  <c r="AM502" i="13"/>
  <c r="AE500" i="13"/>
  <c r="AD502" i="13"/>
  <c r="AN502" i="13"/>
  <c r="AN504" i="13"/>
  <c r="AM501" i="13"/>
  <c r="AD504" i="13"/>
  <c r="AE506" i="13"/>
  <c r="BB501" i="13"/>
  <c r="AN500" i="13"/>
  <c r="AD501" i="13"/>
  <c r="AD505" i="13"/>
  <c r="AE501" i="13"/>
  <c r="BB502" i="13"/>
  <c r="AE503" i="13"/>
  <c r="BB504" i="13"/>
  <c r="AE505" i="13"/>
  <c r="AM506" i="13"/>
  <c r="AD500" i="13"/>
  <c r="AN501" i="13"/>
  <c r="AN503" i="13"/>
  <c r="AN505" i="13"/>
  <c r="BB500" i="13"/>
  <c r="AE502" i="13"/>
  <c r="AE504" i="13"/>
  <c r="BB503" i="13"/>
  <c r="BB505" i="13"/>
  <c r="AD506" i="13"/>
  <c r="BB506" i="13"/>
  <c r="AL502" i="13" l="1"/>
  <c r="AC503" i="13"/>
  <c r="AL506" i="13"/>
  <c r="AC504" i="13"/>
  <c r="AC502" i="13"/>
  <c r="AL501" i="13"/>
  <c r="AL503" i="13"/>
  <c r="AL500" i="13"/>
  <c r="AL505" i="13"/>
  <c r="AC500" i="13"/>
  <c r="AC505" i="13"/>
  <c r="AL504" i="13"/>
  <c r="AC506" i="13"/>
  <c r="AC501" i="13"/>
  <c r="CP19" i="13"/>
  <c r="CP15" i="13"/>
  <c r="CP17" i="13"/>
  <c r="CP13" i="13"/>
  <c r="CP12" i="13"/>
  <c r="CP10" i="13"/>
  <c r="CP8" i="13"/>
  <c r="CP5" i="13"/>
  <c r="CP6" i="13"/>
  <c r="CP9" i="13"/>
  <c r="CP7" i="13"/>
  <c r="CP11" i="13"/>
  <c r="CP14" i="13"/>
  <c r="CP16" i="13"/>
  <c r="CP18" i="13"/>
  <c r="CP21" i="13"/>
  <c r="CP22" i="13"/>
  <c r="CP20" i="13"/>
  <c r="BC9" i="13"/>
  <c r="BD9" i="13"/>
  <c r="BE9" i="13"/>
  <c r="BF9" i="13"/>
  <c r="BG9" i="13"/>
  <c r="BH9" i="13"/>
  <c r="BC10" i="13"/>
  <c r="BD10" i="13"/>
  <c r="BE10" i="13"/>
  <c r="BF10" i="13"/>
  <c r="BG10" i="13"/>
  <c r="BH10" i="13"/>
  <c r="BC11" i="13"/>
  <c r="BD11" i="13"/>
  <c r="BE11" i="13"/>
  <c r="BF11" i="13"/>
  <c r="BG11" i="13"/>
  <c r="BH11" i="13"/>
  <c r="BC12" i="13"/>
  <c r="BD12" i="13"/>
  <c r="BE12" i="13"/>
  <c r="BF12" i="13"/>
  <c r="BG12" i="13"/>
  <c r="BH12" i="13"/>
  <c r="BC13" i="13"/>
  <c r="BD13" i="13"/>
  <c r="BE13" i="13"/>
  <c r="BF13" i="13"/>
  <c r="BG13" i="13"/>
  <c r="BH13" i="13"/>
  <c r="BC14" i="13"/>
  <c r="BD14" i="13"/>
  <c r="BE14" i="13"/>
  <c r="BF14" i="13"/>
  <c r="BG14" i="13"/>
  <c r="BH14" i="13"/>
  <c r="BC15" i="13"/>
  <c r="BD15" i="13"/>
  <c r="BE15" i="13"/>
  <c r="BF15" i="13"/>
  <c r="BG15" i="13"/>
  <c r="BH15" i="13"/>
  <c r="BC16" i="13"/>
  <c r="BD16" i="13"/>
  <c r="BE16" i="13"/>
  <c r="BF16" i="13"/>
  <c r="BG16" i="13"/>
  <c r="BH16" i="13"/>
  <c r="BC17" i="13"/>
  <c r="BD17" i="13"/>
  <c r="BE17" i="13"/>
  <c r="BF17" i="13"/>
  <c r="BG17" i="13"/>
  <c r="BH17" i="13"/>
  <c r="BC18" i="13"/>
  <c r="BD18" i="13"/>
  <c r="BE18" i="13"/>
  <c r="BF18" i="13"/>
  <c r="BG18" i="13"/>
  <c r="BH18" i="13"/>
  <c r="BC19" i="13"/>
  <c r="BD19" i="13"/>
  <c r="BE19" i="13"/>
  <c r="BF19" i="13"/>
  <c r="BG19" i="13"/>
  <c r="BH19" i="13"/>
  <c r="BC20" i="13"/>
  <c r="BD20" i="13"/>
  <c r="BE20" i="13"/>
  <c r="BF20" i="13"/>
  <c r="BG20" i="13"/>
  <c r="BH20" i="13"/>
  <c r="BC21" i="13"/>
  <c r="BD21" i="13"/>
  <c r="BE21" i="13"/>
  <c r="BF21" i="13"/>
  <c r="BG21" i="13"/>
  <c r="BH21" i="13"/>
  <c r="BC22" i="13"/>
  <c r="BD22" i="13"/>
  <c r="BE22" i="13"/>
  <c r="BF22" i="13"/>
  <c r="BG22" i="13"/>
  <c r="BH22" i="13"/>
  <c r="BC23" i="13"/>
  <c r="BD23" i="13"/>
  <c r="BE23" i="13"/>
  <c r="BF23" i="13"/>
  <c r="BG23" i="13"/>
  <c r="BH23" i="13"/>
  <c r="BC24" i="13"/>
  <c r="BD24" i="13"/>
  <c r="BE24" i="13"/>
  <c r="BF24" i="13"/>
  <c r="BG24" i="13"/>
  <c r="BH24" i="13"/>
  <c r="BC25" i="13"/>
  <c r="BD25" i="13"/>
  <c r="BE25" i="13"/>
  <c r="BF25" i="13"/>
  <c r="BG25" i="13"/>
  <c r="BH25" i="13"/>
  <c r="BC26" i="13"/>
  <c r="BD26" i="13"/>
  <c r="BE26" i="13"/>
  <c r="BF26" i="13"/>
  <c r="BG26" i="13"/>
  <c r="BH26" i="13"/>
  <c r="BC27" i="13"/>
  <c r="BD27" i="13"/>
  <c r="BE27" i="13"/>
  <c r="BF27" i="13"/>
  <c r="BG27" i="13"/>
  <c r="BH27" i="13"/>
  <c r="BC28" i="13"/>
  <c r="BD28" i="13"/>
  <c r="BE28" i="13"/>
  <c r="BF28" i="13"/>
  <c r="BG28" i="13"/>
  <c r="BH28" i="13"/>
  <c r="BC29" i="13"/>
  <c r="BD29" i="13"/>
  <c r="BE29" i="13"/>
  <c r="BF29" i="13"/>
  <c r="BG29" i="13"/>
  <c r="BH29" i="13"/>
  <c r="BC30" i="13"/>
  <c r="BD30" i="13"/>
  <c r="BE30" i="13"/>
  <c r="BF30" i="13"/>
  <c r="BG30" i="13"/>
  <c r="BH30" i="13"/>
  <c r="BC31" i="13"/>
  <c r="BD31" i="13"/>
  <c r="BE31" i="13"/>
  <c r="BF31" i="13"/>
  <c r="BG31" i="13"/>
  <c r="BH31" i="13"/>
  <c r="BC32" i="13"/>
  <c r="BD32" i="13"/>
  <c r="BE32" i="13"/>
  <c r="BF32" i="13"/>
  <c r="BG32" i="13"/>
  <c r="BH32" i="13"/>
  <c r="BC33" i="13"/>
  <c r="BD33" i="13"/>
  <c r="BE33" i="13"/>
  <c r="BF33" i="13"/>
  <c r="BG33" i="13"/>
  <c r="BH33" i="13"/>
  <c r="BC34" i="13"/>
  <c r="BD34" i="13"/>
  <c r="BE34" i="13"/>
  <c r="BF34" i="13"/>
  <c r="BG34" i="13"/>
  <c r="BH34" i="13"/>
  <c r="BC35" i="13"/>
  <c r="BD35" i="13"/>
  <c r="BE35" i="13"/>
  <c r="BF35" i="13"/>
  <c r="BG35" i="13"/>
  <c r="BH35" i="13"/>
  <c r="BC36" i="13"/>
  <c r="BD36" i="13"/>
  <c r="BE36" i="13"/>
  <c r="BF36" i="13"/>
  <c r="BG36" i="13"/>
  <c r="BH36" i="13"/>
  <c r="BC37" i="13"/>
  <c r="BD37" i="13"/>
  <c r="BE37" i="13"/>
  <c r="BF37" i="13"/>
  <c r="BG37" i="13"/>
  <c r="BH37" i="13"/>
  <c r="BC38" i="13"/>
  <c r="BD38" i="13"/>
  <c r="BE38" i="13"/>
  <c r="BF38" i="13"/>
  <c r="BG38" i="13"/>
  <c r="BH38" i="13"/>
  <c r="BC39" i="13"/>
  <c r="BD39" i="13"/>
  <c r="BE39" i="13"/>
  <c r="BF39" i="13"/>
  <c r="BG39" i="13"/>
  <c r="BH39" i="13"/>
  <c r="BD40" i="13"/>
  <c r="BE40" i="13"/>
  <c r="BF40" i="13"/>
  <c r="BG40" i="13"/>
  <c r="BH40" i="13"/>
  <c r="BC41" i="13"/>
  <c r="BD41" i="13"/>
  <c r="BE41" i="13"/>
  <c r="BF41" i="13"/>
  <c r="BG41" i="13"/>
  <c r="BH41" i="13"/>
  <c r="BC42" i="13"/>
  <c r="BD42" i="13"/>
  <c r="BE42" i="13"/>
  <c r="BF42" i="13"/>
  <c r="BG42" i="13"/>
  <c r="BH42" i="13"/>
  <c r="BC43" i="13"/>
  <c r="BD43" i="13"/>
  <c r="BE43" i="13"/>
  <c r="BF43" i="13"/>
  <c r="BG43" i="13"/>
  <c r="BH43" i="13"/>
  <c r="BC44" i="13"/>
  <c r="BD44" i="13"/>
  <c r="BE44" i="13"/>
  <c r="BF44" i="13"/>
  <c r="BG44" i="13"/>
  <c r="BH44" i="13"/>
  <c r="BC45" i="13"/>
  <c r="BD45" i="13"/>
  <c r="BE45" i="13"/>
  <c r="BF45" i="13"/>
  <c r="BG45" i="13"/>
  <c r="BH45" i="13"/>
  <c r="BC46" i="13"/>
  <c r="BD46" i="13"/>
  <c r="BE46" i="13"/>
  <c r="BF46" i="13"/>
  <c r="BG46" i="13"/>
  <c r="BH46" i="13"/>
  <c r="BC47" i="13"/>
  <c r="BD47" i="13"/>
  <c r="BE47" i="13"/>
  <c r="BF47" i="13"/>
  <c r="BG47" i="13"/>
  <c r="BH47" i="13"/>
  <c r="BC48" i="13"/>
  <c r="BD48" i="13"/>
  <c r="BE48" i="13"/>
  <c r="BF48" i="13"/>
  <c r="BG48" i="13"/>
  <c r="BH48" i="13"/>
  <c r="BC49" i="13"/>
  <c r="BD49" i="13"/>
  <c r="BE49" i="13"/>
  <c r="BF49" i="13"/>
  <c r="BG49" i="13"/>
  <c r="BH49" i="13"/>
  <c r="BC50" i="13"/>
  <c r="BD50" i="13"/>
  <c r="BE50" i="13"/>
  <c r="BF50" i="13"/>
  <c r="BG50" i="13"/>
  <c r="BH50" i="13"/>
  <c r="BC51" i="13"/>
  <c r="BD51" i="13"/>
  <c r="BE51" i="13"/>
  <c r="BF51" i="13"/>
  <c r="BG51" i="13"/>
  <c r="BH51" i="13"/>
  <c r="BC52" i="13"/>
  <c r="BD52" i="13"/>
  <c r="BE52" i="13"/>
  <c r="BF52" i="13"/>
  <c r="BG52" i="13"/>
  <c r="BH52" i="13"/>
  <c r="BC53" i="13"/>
  <c r="BD53" i="13"/>
  <c r="BE53" i="13"/>
  <c r="BF53" i="13"/>
  <c r="BG53" i="13"/>
  <c r="BH53" i="13"/>
  <c r="BC54" i="13"/>
  <c r="BD54" i="13"/>
  <c r="BE54" i="13"/>
  <c r="BF54" i="13"/>
  <c r="BG54" i="13"/>
  <c r="BH54" i="13"/>
  <c r="BC55" i="13"/>
  <c r="BD55" i="13"/>
  <c r="BE55" i="13"/>
  <c r="BF55" i="13"/>
  <c r="BG55" i="13"/>
  <c r="BH55" i="13"/>
  <c r="BC56" i="13"/>
  <c r="BD56" i="13"/>
  <c r="BE56" i="13"/>
  <c r="BF56" i="13"/>
  <c r="BG56" i="13"/>
  <c r="BH56" i="13"/>
  <c r="BC57" i="13"/>
  <c r="BD57" i="13"/>
  <c r="BE57" i="13"/>
  <c r="BF57" i="13"/>
  <c r="BG57" i="13"/>
  <c r="BH57" i="13"/>
  <c r="BC58" i="13"/>
  <c r="BD58" i="13"/>
  <c r="BE58" i="13"/>
  <c r="BF58" i="13"/>
  <c r="BG58" i="13"/>
  <c r="BH58" i="13"/>
  <c r="BC59" i="13"/>
  <c r="BD59" i="13"/>
  <c r="BE59" i="13"/>
  <c r="BF59" i="13"/>
  <c r="BG59" i="13"/>
  <c r="BH59" i="13"/>
  <c r="BC60" i="13"/>
  <c r="BD60" i="13"/>
  <c r="BE60" i="13"/>
  <c r="BF60" i="13"/>
  <c r="BG60" i="13"/>
  <c r="BH60" i="13"/>
  <c r="BC61" i="13"/>
  <c r="BD61" i="13"/>
  <c r="BE61" i="13"/>
  <c r="BF61" i="13"/>
  <c r="BG61" i="13"/>
  <c r="BH61" i="13"/>
  <c r="BC62" i="13"/>
  <c r="BD62" i="13"/>
  <c r="BE62" i="13"/>
  <c r="BF62" i="13"/>
  <c r="BG62" i="13"/>
  <c r="BH62" i="13"/>
  <c r="BC63" i="13"/>
  <c r="BD63" i="13"/>
  <c r="BE63" i="13"/>
  <c r="BF63" i="13"/>
  <c r="BG63" i="13"/>
  <c r="BH63" i="13"/>
  <c r="BC64" i="13"/>
  <c r="BD64" i="13"/>
  <c r="BE64" i="13"/>
  <c r="BF64" i="13"/>
  <c r="BG64" i="13"/>
  <c r="BH64" i="13"/>
  <c r="BC65" i="13"/>
  <c r="BD65" i="13"/>
  <c r="BE65" i="13"/>
  <c r="BF65" i="13"/>
  <c r="BG65" i="13"/>
  <c r="BH65" i="13"/>
  <c r="BC66" i="13"/>
  <c r="BD66" i="13"/>
  <c r="BE66" i="13"/>
  <c r="BF66" i="13"/>
  <c r="BG66" i="13"/>
  <c r="BH66" i="13"/>
  <c r="BC67" i="13"/>
  <c r="BD67" i="13"/>
  <c r="BE67" i="13"/>
  <c r="BF67" i="13"/>
  <c r="BG67" i="13"/>
  <c r="BH67" i="13"/>
  <c r="BC68" i="13"/>
  <c r="BD68" i="13"/>
  <c r="BE68" i="13"/>
  <c r="BF68" i="13"/>
  <c r="BG68" i="13"/>
  <c r="BH68" i="13"/>
  <c r="BC69" i="13"/>
  <c r="BD69" i="13"/>
  <c r="BE69" i="13"/>
  <c r="BF69" i="13"/>
  <c r="BG69" i="13"/>
  <c r="BH69" i="13"/>
  <c r="BC70" i="13"/>
  <c r="BD70" i="13"/>
  <c r="BE70" i="13"/>
  <c r="BF70" i="13"/>
  <c r="BG70" i="13"/>
  <c r="BH70" i="13"/>
  <c r="BC71" i="13"/>
  <c r="BD71" i="13"/>
  <c r="BE71" i="13"/>
  <c r="BF71" i="13"/>
  <c r="BG71" i="13"/>
  <c r="BH71" i="13"/>
  <c r="BC72" i="13"/>
  <c r="BD72" i="13"/>
  <c r="BE72" i="13"/>
  <c r="BF72" i="13"/>
  <c r="BG72" i="13"/>
  <c r="BH72" i="13"/>
  <c r="BC73" i="13"/>
  <c r="BD73" i="13"/>
  <c r="BE73" i="13"/>
  <c r="BF73" i="13"/>
  <c r="BG73" i="13"/>
  <c r="BH73" i="13"/>
  <c r="BC74" i="13"/>
  <c r="BD74" i="13"/>
  <c r="BE74" i="13"/>
  <c r="BF74" i="13"/>
  <c r="BG74" i="13"/>
  <c r="BH74" i="13"/>
  <c r="BC75" i="13"/>
  <c r="BD75" i="13"/>
  <c r="BE75" i="13"/>
  <c r="BF75" i="13"/>
  <c r="BG75" i="13"/>
  <c r="BH75" i="13"/>
  <c r="BC76" i="13"/>
  <c r="BD76" i="13"/>
  <c r="BE76" i="13"/>
  <c r="BF76" i="13"/>
  <c r="BG76" i="13"/>
  <c r="BH76" i="13"/>
  <c r="BC77" i="13"/>
  <c r="BD77" i="13"/>
  <c r="BE77" i="13"/>
  <c r="BF77" i="13"/>
  <c r="BG77" i="13"/>
  <c r="BH77" i="13"/>
  <c r="BC78" i="13"/>
  <c r="BD78" i="13"/>
  <c r="BE78" i="13"/>
  <c r="BF78" i="13"/>
  <c r="BG78" i="13"/>
  <c r="BH78" i="13"/>
  <c r="BC79" i="13"/>
  <c r="BD79" i="13"/>
  <c r="BE79" i="13"/>
  <c r="BF79" i="13"/>
  <c r="BG79" i="13"/>
  <c r="BH79" i="13"/>
  <c r="BC80" i="13"/>
  <c r="BD80" i="13"/>
  <c r="BE80" i="13"/>
  <c r="BF80" i="13"/>
  <c r="BG80" i="13"/>
  <c r="BH80" i="13"/>
  <c r="BC81" i="13"/>
  <c r="BD81" i="13"/>
  <c r="BE81" i="13"/>
  <c r="BF81" i="13"/>
  <c r="BG81" i="13"/>
  <c r="BH81" i="13"/>
  <c r="BC82" i="13"/>
  <c r="BD82" i="13"/>
  <c r="BE82" i="13"/>
  <c r="BF82" i="13"/>
  <c r="BG82" i="13"/>
  <c r="BH82" i="13"/>
  <c r="BC83" i="13"/>
  <c r="BD83" i="13"/>
  <c r="BE83" i="13"/>
  <c r="BF83" i="13"/>
  <c r="BG83" i="13"/>
  <c r="BH83" i="13"/>
  <c r="BC84" i="13"/>
  <c r="BD84" i="13"/>
  <c r="BE84" i="13"/>
  <c r="BF84" i="13"/>
  <c r="BG84" i="13"/>
  <c r="BH84" i="13"/>
  <c r="BC85" i="13"/>
  <c r="BD85" i="13"/>
  <c r="BE85" i="13"/>
  <c r="BF85" i="13"/>
  <c r="BG85" i="13"/>
  <c r="BH85" i="13"/>
  <c r="BC86" i="13"/>
  <c r="BD86" i="13"/>
  <c r="BE86" i="13"/>
  <c r="BF86" i="13"/>
  <c r="BG86" i="13"/>
  <c r="BH86" i="13"/>
  <c r="BC87" i="13"/>
  <c r="BD87" i="13"/>
  <c r="BE87" i="13"/>
  <c r="BF87" i="13"/>
  <c r="BG87" i="13"/>
  <c r="BH87" i="13"/>
  <c r="BC88" i="13"/>
  <c r="BD88" i="13"/>
  <c r="BE88" i="13"/>
  <c r="BF88" i="13"/>
  <c r="BG88" i="13"/>
  <c r="BH88" i="13"/>
  <c r="BC89" i="13"/>
  <c r="BD89" i="13"/>
  <c r="BE89" i="13"/>
  <c r="BF89" i="13"/>
  <c r="BG89" i="13"/>
  <c r="BH89" i="13"/>
  <c r="BC90" i="13"/>
  <c r="BD90" i="13"/>
  <c r="BE90" i="13"/>
  <c r="BF90" i="13"/>
  <c r="BG90" i="13"/>
  <c r="BH90" i="13"/>
  <c r="BC91" i="13"/>
  <c r="BD91" i="13"/>
  <c r="BE91" i="13"/>
  <c r="BF91" i="13"/>
  <c r="BG91" i="13"/>
  <c r="BH91" i="13"/>
  <c r="BC92" i="13"/>
  <c r="BD92" i="13"/>
  <c r="BE92" i="13"/>
  <c r="BF92" i="13"/>
  <c r="BG92" i="13"/>
  <c r="BH92" i="13"/>
  <c r="BC93" i="13"/>
  <c r="BD93" i="13"/>
  <c r="BE93" i="13"/>
  <c r="BF93" i="13"/>
  <c r="BG93" i="13"/>
  <c r="BH93" i="13"/>
  <c r="BC94" i="13"/>
  <c r="BD94" i="13"/>
  <c r="BE94" i="13"/>
  <c r="BF94" i="13"/>
  <c r="BG94" i="13"/>
  <c r="BH94" i="13"/>
  <c r="BC95" i="13"/>
  <c r="BD95" i="13"/>
  <c r="BE95" i="13"/>
  <c r="BF95" i="13"/>
  <c r="BG95" i="13"/>
  <c r="BH95" i="13"/>
  <c r="BC96" i="13"/>
  <c r="BD96" i="13"/>
  <c r="BE96" i="13"/>
  <c r="BF96" i="13"/>
  <c r="BG96" i="13"/>
  <c r="BH96" i="13"/>
  <c r="BC97" i="13"/>
  <c r="BD97" i="13"/>
  <c r="BE97" i="13"/>
  <c r="BF97" i="13"/>
  <c r="BG97" i="13"/>
  <c r="BH97" i="13"/>
  <c r="BC98" i="13"/>
  <c r="BD98" i="13"/>
  <c r="BE98" i="13"/>
  <c r="BF98" i="13"/>
  <c r="BG98" i="13"/>
  <c r="BH98" i="13"/>
  <c r="BC99" i="13"/>
  <c r="BD99" i="13"/>
  <c r="BE99" i="13"/>
  <c r="BF99" i="13"/>
  <c r="BG99" i="13"/>
  <c r="BH99" i="13"/>
  <c r="BC100" i="13"/>
  <c r="BD100" i="13"/>
  <c r="BE100" i="13"/>
  <c r="BF100" i="13"/>
  <c r="BG100" i="13"/>
  <c r="BH100" i="13"/>
  <c r="BC101" i="13"/>
  <c r="BD101" i="13"/>
  <c r="BE101" i="13"/>
  <c r="BF101" i="13"/>
  <c r="BG101" i="13"/>
  <c r="BH101" i="13"/>
  <c r="BC102" i="13"/>
  <c r="BD102" i="13"/>
  <c r="BE102" i="13"/>
  <c r="BF102" i="13"/>
  <c r="BG102" i="13"/>
  <c r="BH102" i="13"/>
  <c r="BC103" i="13"/>
  <c r="BD103" i="13"/>
  <c r="BE103" i="13"/>
  <c r="BF103" i="13"/>
  <c r="BG103" i="13"/>
  <c r="BH103" i="13"/>
  <c r="BC104" i="13"/>
  <c r="BD104" i="13"/>
  <c r="BE104" i="13"/>
  <c r="BF104" i="13"/>
  <c r="BG104" i="13"/>
  <c r="BH104" i="13"/>
  <c r="BC105" i="13"/>
  <c r="BD105" i="13"/>
  <c r="BE105" i="13"/>
  <c r="BF105" i="13"/>
  <c r="BG105" i="13"/>
  <c r="BH105" i="13"/>
  <c r="BC106" i="13"/>
  <c r="BD106" i="13"/>
  <c r="BE106" i="13"/>
  <c r="BF106" i="13"/>
  <c r="BG106" i="13"/>
  <c r="BH106" i="13"/>
  <c r="BC107" i="13"/>
  <c r="BD107" i="13"/>
  <c r="BE107" i="13"/>
  <c r="BF107" i="13"/>
  <c r="BG107" i="13"/>
  <c r="BH107" i="13"/>
  <c r="BC108" i="13"/>
  <c r="BD108" i="13"/>
  <c r="BE108" i="13"/>
  <c r="BF108" i="13"/>
  <c r="BG108" i="13"/>
  <c r="BH108" i="13"/>
  <c r="BC109" i="13"/>
  <c r="BD109" i="13"/>
  <c r="BE109" i="13"/>
  <c r="BF109" i="13"/>
  <c r="BG109" i="13"/>
  <c r="BH109" i="13"/>
  <c r="BC110" i="13"/>
  <c r="BD110" i="13"/>
  <c r="BE110" i="13"/>
  <c r="BF110" i="13"/>
  <c r="BG110" i="13"/>
  <c r="BH110" i="13"/>
  <c r="BC111" i="13"/>
  <c r="BD111" i="13"/>
  <c r="BE111" i="13"/>
  <c r="BF111" i="13"/>
  <c r="BG111" i="13"/>
  <c r="BH111" i="13"/>
  <c r="BC112" i="13"/>
  <c r="BD112" i="13"/>
  <c r="BE112" i="13"/>
  <c r="BF112" i="13"/>
  <c r="BG112" i="13"/>
  <c r="BH112" i="13"/>
  <c r="BC113" i="13"/>
  <c r="BD113" i="13"/>
  <c r="BE113" i="13"/>
  <c r="BF113" i="13"/>
  <c r="BG113" i="13"/>
  <c r="BH113" i="13"/>
  <c r="BC114" i="13"/>
  <c r="BD114" i="13"/>
  <c r="BE114" i="13"/>
  <c r="BF114" i="13"/>
  <c r="BG114" i="13"/>
  <c r="BH114" i="13"/>
  <c r="BC115" i="13"/>
  <c r="BD115" i="13"/>
  <c r="BE115" i="13"/>
  <c r="BF115" i="13"/>
  <c r="BG115" i="13"/>
  <c r="BH115" i="13"/>
  <c r="BC116" i="13"/>
  <c r="BD116" i="13"/>
  <c r="BE116" i="13"/>
  <c r="BF116" i="13"/>
  <c r="BG116" i="13"/>
  <c r="BH116" i="13"/>
  <c r="BC117" i="13"/>
  <c r="BD117" i="13"/>
  <c r="BE117" i="13"/>
  <c r="BF117" i="13"/>
  <c r="BG117" i="13"/>
  <c r="BH117" i="13"/>
  <c r="BC118" i="13"/>
  <c r="BD118" i="13"/>
  <c r="BE118" i="13"/>
  <c r="BF118" i="13"/>
  <c r="BG118" i="13"/>
  <c r="BH118" i="13"/>
  <c r="BC119" i="13"/>
  <c r="BD119" i="13"/>
  <c r="BE119" i="13"/>
  <c r="BF119" i="13"/>
  <c r="BG119" i="13"/>
  <c r="BH119" i="13"/>
  <c r="BC120" i="13"/>
  <c r="BD120" i="13"/>
  <c r="BE120" i="13"/>
  <c r="BF120" i="13"/>
  <c r="BG120" i="13"/>
  <c r="BH120" i="13"/>
  <c r="BC121" i="13"/>
  <c r="BD121" i="13"/>
  <c r="BE121" i="13"/>
  <c r="BF121" i="13"/>
  <c r="BG121" i="13"/>
  <c r="BH121" i="13"/>
  <c r="BC122" i="13"/>
  <c r="BD122" i="13"/>
  <c r="BE122" i="13"/>
  <c r="BF122" i="13"/>
  <c r="BG122" i="13"/>
  <c r="BH122" i="13"/>
  <c r="BC123" i="13"/>
  <c r="BD123" i="13"/>
  <c r="BE123" i="13"/>
  <c r="BF123" i="13"/>
  <c r="BG123" i="13"/>
  <c r="BH123" i="13"/>
  <c r="BC124" i="13"/>
  <c r="BD124" i="13"/>
  <c r="BE124" i="13"/>
  <c r="BF124" i="13"/>
  <c r="BG124" i="13"/>
  <c r="BH124" i="13"/>
  <c r="BC125" i="13"/>
  <c r="BD125" i="13"/>
  <c r="BE125" i="13"/>
  <c r="BF125" i="13"/>
  <c r="BG125" i="13"/>
  <c r="BH125" i="13"/>
  <c r="BC126" i="13"/>
  <c r="BD126" i="13"/>
  <c r="BE126" i="13"/>
  <c r="BF126" i="13"/>
  <c r="BG126" i="13"/>
  <c r="BH126" i="13"/>
  <c r="BC127" i="13"/>
  <c r="BD127" i="13"/>
  <c r="BE127" i="13"/>
  <c r="BF127" i="13"/>
  <c r="BG127" i="13"/>
  <c r="BH127" i="13"/>
  <c r="BC128" i="13"/>
  <c r="BD128" i="13"/>
  <c r="BE128" i="13"/>
  <c r="BF128" i="13"/>
  <c r="BG128" i="13"/>
  <c r="BH128" i="13"/>
  <c r="BC129" i="13"/>
  <c r="BD129" i="13"/>
  <c r="BE129" i="13"/>
  <c r="BF129" i="13"/>
  <c r="BG129" i="13"/>
  <c r="BH129" i="13"/>
  <c r="BC130" i="13"/>
  <c r="BD130" i="13"/>
  <c r="BE130" i="13"/>
  <c r="BF130" i="13"/>
  <c r="BG130" i="13"/>
  <c r="BH130" i="13"/>
  <c r="BC131" i="13"/>
  <c r="BD131" i="13"/>
  <c r="BE131" i="13"/>
  <c r="BF131" i="13"/>
  <c r="BG131" i="13"/>
  <c r="BH131" i="13"/>
  <c r="BC132" i="13"/>
  <c r="BD132" i="13"/>
  <c r="BE132" i="13"/>
  <c r="BF132" i="13"/>
  <c r="BG132" i="13"/>
  <c r="BH132" i="13"/>
  <c r="BC133" i="13"/>
  <c r="BD133" i="13"/>
  <c r="BE133" i="13"/>
  <c r="BF133" i="13"/>
  <c r="BG133" i="13"/>
  <c r="BH133" i="13"/>
  <c r="BC134" i="13"/>
  <c r="BD134" i="13"/>
  <c r="BE134" i="13"/>
  <c r="BF134" i="13"/>
  <c r="BG134" i="13"/>
  <c r="BH134" i="13"/>
  <c r="BC135" i="13"/>
  <c r="BD135" i="13"/>
  <c r="BE135" i="13"/>
  <c r="BF135" i="13"/>
  <c r="BG135" i="13"/>
  <c r="BH135" i="13"/>
  <c r="BC136" i="13"/>
  <c r="BD136" i="13"/>
  <c r="BE136" i="13"/>
  <c r="BF136" i="13"/>
  <c r="BG136" i="13"/>
  <c r="BH136" i="13"/>
  <c r="BC137" i="13"/>
  <c r="BD137" i="13"/>
  <c r="BE137" i="13"/>
  <c r="BF137" i="13"/>
  <c r="BG137" i="13"/>
  <c r="BH137" i="13"/>
  <c r="BC138" i="13"/>
  <c r="BD138" i="13"/>
  <c r="BE138" i="13"/>
  <c r="BF138" i="13"/>
  <c r="BG138" i="13"/>
  <c r="BH138" i="13"/>
  <c r="BC139" i="13"/>
  <c r="BD139" i="13"/>
  <c r="BE139" i="13"/>
  <c r="BF139" i="13"/>
  <c r="BG139" i="13"/>
  <c r="BH139" i="13"/>
  <c r="BC140" i="13"/>
  <c r="BD140" i="13"/>
  <c r="BE140" i="13"/>
  <c r="BF140" i="13"/>
  <c r="BG140" i="13"/>
  <c r="BH140" i="13"/>
  <c r="BC141" i="13"/>
  <c r="BD141" i="13"/>
  <c r="BE141" i="13"/>
  <c r="BF141" i="13"/>
  <c r="BG141" i="13"/>
  <c r="BH141" i="13"/>
  <c r="BC142" i="13"/>
  <c r="BD142" i="13"/>
  <c r="BE142" i="13"/>
  <c r="BF142" i="13"/>
  <c r="BG142" i="13"/>
  <c r="BH142" i="13"/>
  <c r="BC143" i="13"/>
  <c r="BD143" i="13"/>
  <c r="BE143" i="13"/>
  <c r="BF143" i="13"/>
  <c r="BG143" i="13"/>
  <c r="BH143" i="13"/>
  <c r="BC144" i="13"/>
  <c r="BD144" i="13"/>
  <c r="BE144" i="13"/>
  <c r="BF144" i="13"/>
  <c r="BG144" i="13"/>
  <c r="BH144" i="13"/>
  <c r="BC145" i="13"/>
  <c r="BD145" i="13"/>
  <c r="BE145" i="13"/>
  <c r="BF145" i="13"/>
  <c r="BG145" i="13"/>
  <c r="BH145" i="13"/>
  <c r="BC146" i="13"/>
  <c r="BD146" i="13"/>
  <c r="BE146" i="13"/>
  <c r="BF146" i="13"/>
  <c r="BG146" i="13"/>
  <c r="BH146" i="13"/>
  <c r="BC147" i="13"/>
  <c r="BD147" i="13"/>
  <c r="BE147" i="13"/>
  <c r="BF147" i="13"/>
  <c r="BG147" i="13"/>
  <c r="BH147" i="13"/>
  <c r="BC148" i="13"/>
  <c r="BD148" i="13"/>
  <c r="BE148" i="13"/>
  <c r="BF148" i="13"/>
  <c r="BG148" i="13"/>
  <c r="BH148" i="13"/>
  <c r="BC149" i="13"/>
  <c r="BD149" i="13"/>
  <c r="BE149" i="13"/>
  <c r="BF149" i="13"/>
  <c r="BG149" i="13"/>
  <c r="BH149" i="13"/>
  <c r="BC150" i="13"/>
  <c r="BD150" i="13"/>
  <c r="BE150" i="13"/>
  <c r="BF150" i="13"/>
  <c r="BG150" i="13"/>
  <c r="BH150" i="13"/>
  <c r="BC151" i="13"/>
  <c r="BD151" i="13"/>
  <c r="BE151" i="13"/>
  <c r="BF151" i="13"/>
  <c r="BG151" i="13"/>
  <c r="BH151" i="13"/>
  <c r="BC152" i="13"/>
  <c r="BD152" i="13"/>
  <c r="BE152" i="13"/>
  <c r="BF152" i="13"/>
  <c r="BG152" i="13"/>
  <c r="BH152" i="13"/>
  <c r="BC153" i="13"/>
  <c r="BD153" i="13"/>
  <c r="BE153" i="13"/>
  <c r="BF153" i="13"/>
  <c r="BG153" i="13"/>
  <c r="BH153" i="13"/>
  <c r="BC154" i="13"/>
  <c r="BD154" i="13"/>
  <c r="BE154" i="13"/>
  <c r="BF154" i="13"/>
  <c r="BG154" i="13"/>
  <c r="BH154" i="13"/>
  <c r="BC155" i="13"/>
  <c r="BD155" i="13"/>
  <c r="BE155" i="13"/>
  <c r="BF155" i="13"/>
  <c r="BG155" i="13"/>
  <c r="BH155" i="13"/>
  <c r="BC156" i="13"/>
  <c r="BD156" i="13"/>
  <c r="BE156" i="13"/>
  <c r="BF156" i="13"/>
  <c r="BG156" i="13"/>
  <c r="BH156" i="13"/>
  <c r="BC157" i="13"/>
  <c r="BD157" i="13"/>
  <c r="BE157" i="13"/>
  <c r="BF157" i="13"/>
  <c r="BG157" i="13"/>
  <c r="BH157" i="13"/>
  <c r="BC158" i="13"/>
  <c r="BD158" i="13"/>
  <c r="BE158" i="13"/>
  <c r="BF158" i="13"/>
  <c r="BG158" i="13"/>
  <c r="BH158" i="13"/>
  <c r="BC159" i="13"/>
  <c r="BD159" i="13"/>
  <c r="BE159" i="13"/>
  <c r="BF159" i="13"/>
  <c r="BG159" i="13"/>
  <c r="BH159" i="13"/>
  <c r="BC160" i="13"/>
  <c r="BD160" i="13"/>
  <c r="BE160" i="13"/>
  <c r="BF160" i="13"/>
  <c r="BG160" i="13"/>
  <c r="BH160" i="13"/>
  <c r="BC161" i="13"/>
  <c r="BD161" i="13"/>
  <c r="BE161" i="13"/>
  <c r="BF161" i="13"/>
  <c r="BG161" i="13"/>
  <c r="BH161" i="13"/>
  <c r="BC162" i="13"/>
  <c r="BD162" i="13"/>
  <c r="BE162" i="13"/>
  <c r="BF162" i="13"/>
  <c r="BG162" i="13"/>
  <c r="BH162" i="13"/>
  <c r="BC163" i="13"/>
  <c r="BD163" i="13"/>
  <c r="BE163" i="13"/>
  <c r="BF163" i="13"/>
  <c r="BG163" i="13"/>
  <c r="BH163" i="13"/>
  <c r="BC164" i="13"/>
  <c r="BD164" i="13"/>
  <c r="BE164" i="13"/>
  <c r="BF164" i="13"/>
  <c r="BG164" i="13"/>
  <c r="BH164" i="13"/>
  <c r="BC165" i="13"/>
  <c r="BD165" i="13"/>
  <c r="BE165" i="13"/>
  <c r="BF165" i="13"/>
  <c r="BG165" i="13"/>
  <c r="BH165" i="13"/>
  <c r="BC166" i="13"/>
  <c r="BD166" i="13"/>
  <c r="BE166" i="13"/>
  <c r="BF166" i="13"/>
  <c r="BG166" i="13"/>
  <c r="BH166" i="13"/>
  <c r="BC167" i="13"/>
  <c r="BD167" i="13"/>
  <c r="BE167" i="13"/>
  <c r="BF167" i="13"/>
  <c r="BG167" i="13"/>
  <c r="BH167" i="13"/>
  <c r="BC168" i="13"/>
  <c r="BD168" i="13"/>
  <c r="BE168" i="13"/>
  <c r="BF168" i="13"/>
  <c r="BG168" i="13"/>
  <c r="BH168" i="13"/>
  <c r="BC169" i="13"/>
  <c r="BD169" i="13"/>
  <c r="BE169" i="13"/>
  <c r="BF169" i="13"/>
  <c r="BG169" i="13"/>
  <c r="BH169" i="13"/>
  <c r="BC170" i="13"/>
  <c r="BD170" i="13"/>
  <c r="BE170" i="13"/>
  <c r="BF170" i="13"/>
  <c r="BG170" i="13"/>
  <c r="BH170" i="13"/>
  <c r="BC171" i="13"/>
  <c r="BD171" i="13"/>
  <c r="BE171" i="13"/>
  <c r="BF171" i="13"/>
  <c r="BG171" i="13"/>
  <c r="BH171" i="13"/>
  <c r="BC172" i="13"/>
  <c r="BD172" i="13"/>
  <c r="BE172" i="13"/>
  <c r="BF172" i="13"/>
  <c r="BG172" i="13"/>
  <c r="BH172" i="13"/>
  <c r="BC173" i="13"/>
  <c r="BD173" i="13"/>
  <c r="BE173" i="13"/>
  <c r="BF173" i="13"/>
  <c r="BG173" i="13"/>
  <c r="BH173" i="13"/>
  <c r="BC174" i="13"/>
  <c r="BD174" i="13"/>
  <c r="BE174" i="13"/>
  <c r="BF174" i="13"/>
  <c r="BG174" i="13"/>
  <c r="BH174" i="13"/>
  <c r="BC175" i="13"/>
  <c r="BD175" i="13"/>
  <c r="BE175" i="13"/>
  <c r="BF175" i="13"/>
  <c r="BG175" i="13"/>
  <c r="BH175" i="13"/>
  <c r="BC176" i="13"/>
  <c r="BD176" i="13"/>
  <c r="BE176" i="13"/>
  <c r="BF176" i="13"/>
  <c r="BG176" i="13"/>
  <c r="BH176" i="13"/>
  <c r="BC177" i="13"/>
  <c r="BD177" i="13"/>
  <c r="BE177" i="13"/>
  <c r="BF177" i="13"/>
  <c r="BG177" i="13"/>
  <c r="BH177" i="13"/>
  <c r="BC178" i="13"/>
  <c r="BD178" i="13"/>
  <c r="BE178" i="13"/>
  <c r="BF178" i="13"/>
  <c r="BG178" i="13"/>
  <c r="BH178" i="13"/>
  <c r="BC179" i="13"/>
  <c r="BD179" i="13"/>
  <c r="BE179" i="13"/>
  <c r="BF179" i="13"/>
  <c r="BG179" i="13"/>
  <c r="BH179" i="13"/>
  <c r="BC180" i="13"/>
  <c r="BD180" i="13"/>
  <c r="BE180" i="13"/>
  <c r="BF180" i="13"/>
  <c r="BG180" i="13"/>
  <c r="BH180" i="13"/>
  <c r="BC181" i="13"/>
  <c r="BD181" i="13"/>
  <c r="BE181" i="13"/>
  <c r="BF181" i="13"/>
  <c r="BG181" i="13"/>
  <c r="BH181" i="13"/>
  <c r="BC182" i="13"/>
  <c r="BD182" i="13"/>
  <c r="BE182" i="13"/>
  <c r="BF182" i="13"/>
  <c r="BG182" i="13"/>
  <c r="BH182" i="13"/>
  <c r="BC183" i="13"/>
  <c r="BD183" i="13"/>
  <c r="BE183" i="13"/>
  <c r="BF183" i="13"/>
  <c r="BG183" i="13"/>
  <c r="BH183" i="13"/>
  <c r="BC184" i="13"/>
  <c r="BD184" i="13"/>
  <c r="BE184" i="13"/>
  <c r="BF184" i="13"/>
  <c r="BG184" i="13"/>
  <c r="BH184" i="13"/>
  <c r="BC185" i="13"/>
  <c r="BD185" i="13"/>
  <c r="BE185" i="13"/>
  <c r="BF185" i="13"/>
  <c r="BG185" i="13"/>
  <c r="BH185" i="13"/>
  <c r="BC186" i="13"/>
  <c r="BD186" i="13"/>
  <c r="BE186" i="13"/>
  <c r="BF186" i="13"/>
  <c r="BG186" i="13"/>
  <c r="BH186" i="13"/>
  <c r="BC187" i="13"/>
  <c r="BD187" i="13"/>
  <c r="BE187" i="13"/>
  <c r="BF187" i="13"/>
  <c r="BG187" i="13"/>
  <c r="BH187" i="13"/>
  <c r="BC188" i="13"/>
  <c r="BD188" i="13"/>
  <c r="BE188" i="13"/>
  <c r="BF188" i="13"/>
  <c r="BG188" i="13"/>
  <c r="BH188" i="13"/>
  <c r="BC189" i="13"/>
  <c r="BD189" i="13"/>
  <c r="BE189" i="13"/>
  <c r="BF189" i="13"/>
  <c r="BG189" i="13"/>
  <c r="BH189" i="13"/>
  <c r="BC190" i="13"/>
  <c r="BD190" i="13"/>
  <c r="BE190" i="13"/>
  <c r="BF190" i="13"/>
  <c r="BG190" i="13"/>
  <c r="BH190" i="13"/>
  <c r="BC191" i="13"/>
  <c r="BD191" i="13"/>
  <c r="BE191" i="13"/>
  <c r="BF191" i="13"/>
  <c r="BG191" i="13"/>
  <c r="BH191" i="13"/>
  <c r="BC192" i="13"/>
  <c r="BD192" i="13"/>
  <c r="BE192" i="13"/>
  <c r="BF192" i="13"/>
  <c r="BG192" i="13"/>
  <c r="BH192" i="13"/>
  <c r="BC193" i="13"/>
  <c r="BD193" i="13"/>
  <c r="BE193" i="13"/>
  <c r="BF193" i="13"/>
  <c r="BG193" i="13"/>
  <c r="BH193" i="13"/>
  <c r="BD194" i="13"/>
  <c r="BE194" i="13"/>
  <c r="BF194" i="13"/>
  <c r="BG194" i="13"/>
  <c r="BH194" i="13"/>
  <c r="BC195" i="13"/>
  <c r="BD195" i="13"/>
  <c r="BE195" i="13"/>
  <c r="BF195" i="13"/>
  <c r="BG195" i="13"/>
  <c r="BH195" i="13"/>
  <c r="BC196" i="13"/>
  <c r="BD196" i="13"/>
  <c r="BE196" i="13"/>
  <c r="BF196" i="13"/>
  <c r="BG196" i="13"/>
  <c r="BH196" i="13"/>
  <c r="BC197" i="13"/>
  <c r="BD197" i="13"/>
  <c r="BE197" i="13"/>
  <c r="BF197" i="13"/>
  <c r="BG197" i="13"/>
  <c r="BH197" i="13"/>
  <c r="BC198" i="13"/>
  <c r="BD198" i="13"/>
  <c r="BE198" i="13"/>
  <c r="BF198" i="13"/>
  <c r="BG198" i="13"/>
  <c r="BH198" i="13"/>
  <c r="BC199" i="13"/>
  <c r="BD199" i="13"/>
  <c r="BE199" i="13"/>
  <c r="BF199" i="13"/>
  <c r="BG199" i="13"/>
  <c r="BH199" i="13"/>
  <c r="BC200" i="13"/>
  <c r="BD200" i="13"/>
  <c r="BE200" i="13"/>
  <c r="BF200" i="13"/>
  <c r="BG200" i="13"/>
  <c r="BH200" i="13"/>
  <c r="BC201" i="13"/>
  <c r="BD201" i="13"/>
  <c r="BE201" i="13"/>
  <c r="BF201" i="13"/>
  <c r="BG201" i="13"/>
  <c r="BH201" i="13"/>
  <c r="BC202" i="13"/>
  <c r="BD202" i="13"/>
  <c r="BE202" i="13"/>
  <c r="BF202" i="13"/>
  <c r="BG202" i="13"/>
  <c r="BH202" i="13"/>
  <c r="BC203" i="13"/>
  <c r="BD203" i="13"/>
  <c r="BE203" i="13"/>
  <c r="BF203" i="13"/>
  <c r="BG203" i="13"/>
  <c r="BH203" i="13"/>
  <c r="BC204" i="13"/>
  <c r="BD204" i="13"/>
  <c r="BE204" i="13"/>
  <c r="BF204" i="13"/>
  <c r="BG204" i="13"/>
  <c r="BH204" i="13"/>
  <c r="BC205" i="13"/>
  <c r="BD205" i="13"/>
  <c r="BE205" i="13"/>
  <c r="BF205" i="13"/>
  <c r="BG205" i="13"/>
  <c r="BH205" i="13"/>
  <c r="BC206" i="13"/>
  <c r="BD206" i="13"/>
  <c r="BE206" i="13"/>
  <c r="BF206" i="13"/>
  <c r="BG206" i="13"/>
  <c r="BH206" i="13"/>
  <c r="BC207" i="13"/>
  <c r="BD207" i="13"/>
  <c r="BE207" i="13"/>
  <c r="BF207" i="13"/>
  <c r="BG207" i="13"/>
  <c r="BH207" i="13"/>
  <c r="BC208" i="13"/>
  <c r="BD208" i="13"/>
  <c r="BE208" i="13"/>
  <c r="BF208" i="13"/>
  <c r="BG208" i="13"/>
  <c r="BH208" i="13"/>
  <c r="BC209" i="13"/>
  <c r="BD209" i="13"/>
  <c r="BE209" i="13"/>
  <c r="BF209" i="13"/>
  <c r="BG209" i="13"/>
  <c r="BH209" i="13"/>
  <c r="BC210" i="13"/>
  <c r="BD210" i="13"/>
  <c r="BE210" i="13"/>
  <c r="BF210" i="13"/>
  <c r="BG210" i="13"/>
  <c r="BH210" i="13"/>
  <c r="BC211" i="13"/>
  <c r="BD211" i="13"/>
  <c r="BE211" i="13"/>
  <c r="BF211" i="13"/>
  <c r="BG211" i="13"/>
  <c r="BH211" i="13"/>
  <c r="BC212" i="13"/>
  <c r="BD212" i="13"/>
  <c r="BE212" i="13"/>
  <c r="BF212" i="13"/>
  <c r="BG212" i="13"/>
  <c r="BH212" i="13"/>
  <c r="BC213" i="13"/>
  <c r="BD213" i="13"/>
  <c r="BE213" i="13"/>
  <c r="BF213" i="13"/>
  <c r="BG213" i="13"/>
  <c r="BH213" i="13"/>
  <c r="BC214" i="13"/>
  <c r="BD214" i="13"/>
  <c r="BE214" i="13"/>
  <c r="BF214" i="13"/>
  <c r="BG214" i="13"/>
  <c r="BH214" i="13"/>
  <c r="BC215" i="13"/>
  <c r="BD215" i="13"/>
  <c r="BE215" i="13"/>
  <c r="BF215" i="13"/>
  <c r="BG215" i="13"/>
  <c r="BH215" i="13"/>
  <c r="BC216" i="13"/>
  <c r="BD216" i="13"/>
  <c r="BE216" i="13"/>
  <c r="BF216" i="13"/>
  <c r="BG216" i="13"/>
  <c r="BH216" i="13"/>
  <c r="BC217" i="13"/>
  <c r="BD217" i="13"/>
  <c r="BE217" i="13"/>
  <c r="BF217" i="13"/>
  <c r="BG217" i="13"/>
  <c r="BH217" i="13"/>
  <c r="BC218" i="13"/>
  <c r="BD218" i="13"/>
  <c r="BE218" i="13"/>
  <c r="BF218" i="13"/>
  <c r="BG218" i="13"/>
  <c r="BH218" i="13"/>
  <c r="BC219" i="13"/>
  <c r="BD219" i="13"/>
  <c r="BE219" i="13"/>
  <c r="BF219" i="13"/>
  <c r="BG219" i="13"/>
  <c r="BH219" i="13"/>
  <c r="BC220" i="13"/>
  <c r="BD220" i="13"/>
  <c r="BE220" i="13"/>
  <c r="BF220" i="13"/>
  <c r="BG220" i="13"/>
  <c r="BH220" i="13"/>
  <c r="BC221" i="13"/>
  <c r="BD221" i="13"/>
  <c r="BE221" i="13"/>
  <c r="BF221" i="13"/>
  <c r="BG221" i="13"/>
  <c r="BH221" i="13"/>
  <c r="BC222" i="13"/>
  <c r="BD222" i="13"/>
  <c r="BE222" i="13"/>
  <c r="BF222" i="13"/>
  <c r="BG222" i="13"/>
  <c r="BH222" i="13"/>
  <c r="BC223" i="13"/>
  <c r="BD223" i="13"/>
  <c r="BE223" i="13"/>
  <c r="BF223" i="13"/>
  <c r="BG223" i="13"/>
  <c r="BH223" i="13"/>
  <c r="BC224" i="13"/>
  <c r="BD224" i="13"/>
  <c r="BE224" i="13"/>
  <c r="BF224" i="13"/>
  <c r="BG224" i="13"/>
  <c r="BH224" i="13"/>
  <c r="BC225" i="13"/>
  <c r="BD225" i="13"/>
  <c r="BE225" i="13"/>
  <c r="BF225" i="13"/>
  <c r="BG225" i="13"/>
  <c r="BH225" i="13"/>
  <c r="BC226" i="13"/>
  <c r="BD226" i="13"/>
  <c r="BE226" i="13"/>
  <c r="BF226" i="13"/>
  <c r="BG226" i="13"/>
  <c r="BH226" i="13"/>
  <c r="BC227" i="13"/>
  <c r="BD227" i="13"/>
  <c r="BE227" i="13"/>
  <c r="BF227" i="13"/>
  <c r="BG227" i="13"/>
  <c r="BH227" i="13"/>
  <c r="BC228" i="13"/>
  <c r="BD228" i="13"/>
  <c r="BE228" i="13"/>
  <c r="BF228" i="13"/>
  <c r="BG228" i="13"/>
  <c r="BH228" i="13"/>
  <c r="BC229" i="13"/>
  <c r="BD229" i="13"/>
  <c r="BE229" i="13"/>
  <c r="BF229" i="13"/>
  <c r="BG229" i="13"/>
  <c r="BH229" i="13"/>
  <c r="BC230" i="13"/>
  <c r="BD230" i="13"/>
  <c r="BE230" i="13"/>
  <c r="BF230" i="13"/>
  <c r="BG230" i="13"/>
  <c r="BH230" i="13"/>
  <c r="BC231" i="13"/>
  <c r="BD231" i="13"/>
  <c r="BE231" i="13"/>
  <c r="BF231" i="13"/>
  <c r="BG231" i="13"/>
  <c r="BH231" i="13"/>
  <c r="BC232" i="13"/>
  <c r="BD232" i="13"/>
  <c r="BE232" i="13"/>
  <c r="BF232" i="13"/>
  <c r="BG232" i="13"/>
  <c r="BH232" i="13"/>
  <c r="BC233" i="13"/>
  <c r="BD233" i="13"/>
  <c r="BE233" i="13"/>
  <c r="BF233" i="13"/>
  <c r="BG233" i="13"/>
  <c r="BH233" i="13"/>
  <c r="BC234" i="13"/>
  <c r="BD234" i="13"/>
  <c r="BE234" i="13"/>
  <c r="BF234" i="13"/>
  <c r="BG234" i="13"/>
  <c r="BH234" i="13"/>
  <c r="BC235" i="13"/>
  <c r="BD235" i="13"/>
  <c r="BE235" i="13"/>
  <c r="BF235" i="13"/>
  <c r="BG235" i="13"/>
  <c r="BH235" i="13"/>
  <c r="BC236" i="13"/>
  <c r="BD236" i="13"/>
  <c r="BE236" i="13"/>
  <c r="BF236" i="13"/>
  <c r="BG236" i="13"/>
  <c r="BH236" i="13"/>
  <c r="BC237" i="13"/>
  <c r="BD237" i="13"/>
  <c r="BE237" i="13"/>
  <c r="BF237" i="13"/>
  <c r="BG237" i="13"/>
  <c r="BH237" i="13"/>
  <c r="BC238" i="13"/>
  <c r="BD238" i="13"/>
  <c r="BE238" i="13"/>
  <c r="BF238" i="13"/>
  <c r="BG238" i="13"/>
  <c r="BH238" i="13"/>
  <c r="BC239" i="13"/>
  <c r="BD239" i="13"/>
  <c r="BE239" i="13"/>
  <c r="BF239" i="13"/>
  <c r="BG239" i="13"/>
  <c r="BH239" i="13"/>
  <c r="BC240" i="13"/>
  <c r="BD240" i="13"/>
  <c r="BE240" i="13"/>
  <c r="BF240" i="13"/>
  <c r="BG240" i="13"/>
  <c r="BH240" i="13"/>
  <c r="BC241" i="13"/>
  <c r="BD241" i="13"/>
  <c r="BE241" i="13"/>
  <c r="BF241" i="13"/>
  <c r="BG241" i="13"/>
  <c r="BH241" i="13"/>
  <c r="BC242" i="13"/>
  <c r="BD242" i="13"/>
  <c r="BE242" i="13"/>
  <c r="BF242" i="13"/>
  <c r="BG242" i="13"/>
  <c r="BH242" i="13"/>
  <c r="BC243" i="13"/>
  <c r="BD243" i="13"/>
  <c r="BE243" i="13"/>
  <c r="BF243" i="13"/>
  <c r="BG243" i="13"/>
  <c r="BH243" i="13"/>
  <c r="BC244" i="13"/>
  <c r="BD244" i="13"/>
  <c r="BE244" i="13"/>
  <c r="BF244" i="13"/>
  <c r="BG244" i="13"/>
  <c r="BH244" i="13"/>
  <c r="BC245" i="13"/>
  <c r="BD245" i="13"/>
  <c r="BE245" i="13"/>
  <c r="BF245" i="13"/>
  <c r="BG245" i="13"/>
  <c r="BH245" i="13"/>
  <c r="BC246" i="13"/>
  <c r="BD246" i="13"/>
  <c r="BE246" i="13"/>
  <c r="BF246" i="13"/>
  <c r="BG246" i="13"/>
  <c r="BH246" i="13"/>
  <c r="BC247" i="13"/>
  <c r="BD247" i="13"/>
  <c r="BE247" i="13"/>
  <c r="BF247" i="13"/>
  <c r="BG247" i="13"/>
  <c r="BH247" i="13"/>
  <c r="BC248" i="13"/>
  <c r="BD248" i="13"/>
  <c r="BE248" i="13"/>
  <c r="BF248" i="13"/>
  <c r="BG248" i="13"/>
  <c r="BH248" i="13"/>
  <c r="BC249" i="13"/>
  <c r="BD249" i="13"/>
  <c r="BE249" i="13"/>
  <c r="BF249" i="13"/>
  <c r="BG249" i="13"/>
  <c r="BH249" i="13"/>
  <c r="BC250" i="13"/>
  <c r="BD250" i="13"/>
  <c r="BE250" i="13"/>
  <c r="BF250" i="13"/>
  <c r="BG250" i="13"/>
  <c r="BH250" i="13"/>
  <c r="BC251" i="13"/>
  <c r="BD251" i="13"/>
  <c r="BE251" i="13"/>
  <c r="BF251" i="13"/>
  <c r="BG251" i="13"/>
  <c r="BH251" i="13"/>
  <c r="BC252" i="13"/>
  <c r="BD252" i="13"/>
  <c r="BE252" i="13"/>
  <c r="BF252" i="13"/>
  <c r="BG252" i="13"/>
  <c r="BH252" i="13"/>
  <c r="BC253" i="13"/>
  <c r="BD253" i="13"/>
  <c r="BE253" i="13"/>
  <c r="BF253" i="13"/>
  <c r="BG253" i="13"/>
  <c r="BH253" i="13"/>
  <c r="BC254" i="13"/>
  <c r="BD254" i="13"/>
  <c r="BE254" i="13"/>
  <c r="BF254" i="13"/>
  <c r="BG254" i="13"/>
  <c r="BH254" i="13"/>
  <c r="BC255" i="13"/>
  <c r="BD255" i="13"/>
  <c r="BE255" i="13"/>
  <c r="BF255" i="13"/>
  <c r="BG255" i="13"/>
  <c r="BH255" i="13"/>
  <c r="BC256" i="13"/>
  <c r="BD256" i="13"/>
  <c r="BE256" i="13"/>
  <c r="BF256" i="13"/>
  <c r="BG256" i="13"/>
  <c r="BH256" i="13"/>
  <c r="BC257" i="13"/>
  <c r="BD257" i="13"/>
  <c r="BE257" i="13"/>
  <c r="BF257" i="13"/>
  <c r="BG257" i="13"/>
  <c r="BH257" i="13"/>
  <c r="BC258" i="13"/>
  <c r="BD258" i="13"/>
  <c r="BE258" i="13"/>
  <c r="BF258" i="13"/>
  <c r="BG258" i="13"/>
  <c r="BH258" i="13"/>
  <c r="BC259" i="13"/>
  <c r="BD259" i="13"/>
  <c r="BE259" i="13"/>
  <c r="BF259" i="13"/>
  <c r="BG259" i="13"/>
  <c r="BH259" i="13"/>
  <c r="BC260" i="13"/>
  <c r="BD260" i="13"/>
  <c r="BE260" i="13"/>
  <c r="BF260" i="13"/>
  <c r="BG260" i="13"/>
  <c r="BH260" i="13"/>
  <c r="BC261" i="13"/>
  <c r="BD261" i="13"/>
  <c r="BE261" i="13"/>
  <c r="BF261" i="13"/>
  <c r="BG261" i="13"/>
  <c r="BH261" i="13"/>
  <c r="BC262" i="13"/>
  <c r="BD262" i="13"/>
  <c r="BE262" i="13"/>
  <c r="BF262" i="13"/>
  <c r="BG262" i="13"/>
  <c r="BH262" i="13"/>
  <c r="BC263" i="13"/>
  <c r="BD263" i="13"/>
  <c r="BE263" i="13"/>
  <c r="BF263" i="13"/>
  <c r="BG263" i="13"/>
  <c r="BH263" i="13"/>
  <c r="BC264" i="13"/>
  <c r="BD264" i="13"/>
  <c r="BE264" i="13"/>
  <c r="BF264" i="13"/>
  <c r="BG264" i="13"/>
  <c r="BH264" i="13"/>
  <c r="BC265" i="13"/>
  <c r="BD265" i="13"/>
  <c r="BE265" i="13"/>
  <c r="BF265" i="13"/>
  <c r="BG265" i="13"/>
  <c r="BH265" i="13"/>
  <c r="BC266" i="13"/>
  <c r="BD266" i="13"/>
  <c r="BE266" i="13"/>
  <c r="BF266" i="13"/>
  <c r="BG266" i="13"/>
  <c r="BH266" i="13"/>
  <c r="BC267" i="13"/>
  <c r="BD267" i="13"/>
  <c r="BE267" i="13"/>
  <c r="BF267" i="13"/>
  <c r="BG267" i="13"/>
  <c r="BH267" i="13"/>
  <c r="BC268" i="13"/>
  <c r="BD268" i="13"/>
  <c r="BE268" i="13"/>
  <c r="BF268" i="13"/>
  <c r="BG268" i="13"/>
  <c r="BH268" i="13"/>
  <c r="BC269" i="13"/>
  <c r="BD269" i="13"/>
  <c r="BE269" i="13"/>
  <c r="BF269" i="13"/>
  <c r="BG269" i="13"/>
  <c r="BH269" i="13"/>
  <c r="BC270" i="13"/>
  <c r="BD270" i="13"/>
  <c r="BE270" i="13"/>
  <c r="BF270" i="13"/>
  <c r="BG270" i="13"/>
  <c r="BH270" i="13"/>
  <c r="BC271" i="13"/>
  <c r="BD271" i="13"/>
  <c r="BE271" i="13"/>
  <c r="BF271" i="13"/>
  <c r="BG271" i="13"/>
  <c r="BH271" i="13"/>
  <c r="BC272" i="13"/>
  <c r="BD272" i="13"/>
  <c r="BE272" i="13"/>
  <c r="BF272" i="13"/>
  <c r="BG272" i="13"/>
  <c r="BH272" i="13"/>
  <c r="BC273" i="13"/>
  <c r="BD273" i="13"/>
  <c r="BE273" i="13"/>
  <c r="BF273" i="13"/>
  <c r="BG273" i="13"/>
  <c r="BH273" i="13"/>
  <c r="BC274" i="13"/>
  <c r="BD274" i="13"/>
  <c r="BE274" i="13"/>
  <c r="BF274" i="13"/>
  <c r="BG274" i="13"/>
  <c r="BH274" i="13"/>
  <c r="BC275" i="13"/>
  <c r="BD275" i="13"/>
  <c r="BE275" i="13"/>
  <c r="BF275" i="13"/>
  <c r="BG275" i="13"/>
  <c r="BH275" i="13"/>
  <c r="BC276" i="13"/>
  <c r="BD276" i="13"/>
  <c r="BE276" i="13"/>
  <c r="BF276" i="13"/>
  <c r="BG276" i="13"/>
  <c r="BH276" i="13"/>
  <c r="BC277" i="13"/>
  <c r="BD277" i="13"/>
  <c r="BE277" i="13"/>
  <c r="BF277" i="13"/>
  <c r="BG277" i="13"/>
  <c r="BH277" i="13"/>
  <c r="BC278" i="13"/>
  <c r="BD278" i="13"/>
  <c r="BE278" i="13"/>
  <c r="BF278" i="13"/>
  <c r="BG278" i="13"/>
  <c r="BH278" i="13"/>
  <c r="BC279" i="13"/>
  <c r="BD279" i="13"/>
  <c r="BE279" i="13"/>
  <c r="BF279" i="13"/>
  <c r="BG279" i="13"/>
  <c r="BH279" i="13"/>
  <c r="BC280" i="13"/>
  <c r="BD280" i="13"/>
  <c r="BE280" i="13"/>
  <c r="BF280" i="13"/>
  <c r="BG280" i="13"/>
  <c r="BH280" i="13"/>
  <c r="BC281" i="13"/>
  <c r="BD281" i="13"/>
  <c r="BE281" i="13"/>
  <c r="BF281" i="13"/>
  <c r="BG281" i="13"/>
  <c r="BH281" i="13"/>
  <c r="BC282" i="13"/>
  <c r="BD282" i="13"/>
  <c r="BE282" i="13"/>
  <c r="BF282" i="13"/>
  <c r="BG282" i="13"/>
  <c r="BH282" i="13"/>
  <c r="BC283" i="13"/>
  <c r="BD283" i="13"/>
  <c r="BE283" i="13"/>
  <c r="BF283" i="13"/>
  <c r="BG283" i="13"/>
  <c r="BH283" i="13"/>
  <c r="BC284" i="13"/>
  <c r="BD284" i="13"/>
  <c r="BE284" i="13"/>
  <c r="BF284" i="13"/>
  <c r="BG284" i="13"/>
  <c r="BH284" i="13"/>
  <c r="BC285" i="13"/>
  <c r="BD285" i="13"/>
  <c r="BE285" i="13"/>
  <c r="BF285" i="13"/>
  <c r="BG285" i="13"/>
  <c r="BH285" i="13"/>
  <c r="BC286" i="13"/>
  <c r="BD286" i="13"/>
  <c r="BE286" i="13"/>
  <c r="BF286" i="13"/>
  <c r="BG286" i="13"/>
  <c r="BH286" i="13"/>
  <c r="BC287" i="13"/>
  <c r="BD287" i="13"/>
  <c r="BE287" i="13"/>
  <c r="BF287" i="13"/>
  <c r="BG287" i="13"/>
  <c r="BH287" i="13"/>
  <c r="BC288" i="13"/>
  <c r="BD288" i="13"/>
  <c r="BE288" i="13"/>
  <c r="BF288" i="13"/>
  <c r="BG288" i="13"/>
  <c r="BH288" i="13"/>
  <c r="BC289" i="13"/>
  <c r="BD289" i="13"/>
  <c r="BE289" i="13"/>
  <c r="BF289" i="13"/>
  <c r="BG289" i="13"/>
  <c r="BH289" i="13"/>
  <c r="BC290" i="13"/>
  <c r="BD290" i="13"/>
  <c r="BE290" i="13"/>
  <c r="BF290" i="13"/>
  <c r="BG290" i="13"/>
  <c r="BH290" i="13"/>
  <c r="BC291" i="13"/>
  <c r="BD291" i="13"/>
  <c r="BE291" i="13"/>
  <c r="BF291" i="13"/>
  <c r="BG291" i="13"/>
  <c r="BH291" i="13"/>
  <c r="BC292" i="13"/>
  <c r="BD292" i="13"/>
  <c r="BE292" i="13"/>
  <c r="BF292" i="13"/>
  <c r="BG292" i="13"/>
  <c r="BH292" i="13"/>
  <c r="BC293" i="13"/>
  <c r="BD293" i="13"/>
  <c r="BE293" i="13"/>
  <c r="BF293" i="13"/>
  <c r="BG293" i="13"/>
  <c r="BH293" i="13"/>
  <c r="BC294" i="13"/>
  <c r="BD294" i="13"/>
  <c r="BE294" i="13"/>
  <c r="BF294" i="13"/>
  <c r="BG294" i="13"/>
  <c r="BH294" i="13"/>
  <c r="BC295" i="13"/>
  <c r="BD295" i="13"/>
  <c r="BE295" i="13"/>
  <c r="BF295" i="13"/>
  <c r="BG295" i="13"/>
  <c r="BH295" i="13"/>
  <c r="BC296" i="13"/>
  <c r="BD296" i="13"/>
  <c r="BE296" i="13"/>
  <c r="BF296" i="13"/>
  <c r="BG296" i="13"/>
  <c r="BH296" i="13"/>
  <c r="BC297" i="13"/>
  <c r="BD297" i="13"/>
  <c r="BE297" i="13"/>
  <c r="BF297" i="13"/>
  <c r="BG297" i="13"/>
  <c r="BH297" i="13"/>
  <c r="BC298" i="13"/>
  <c r="BD298" i="13"/>
  <c r="BE298" i="13"/>
  <c r="BF298" i="13"/>
  <c r="BG298" i="13"/>
  <c r="BH298" i="13"/>
  <c r="BC299" i="13"/>
  <c r="BD299" i="13"/>
  <c r="BE299" i="13"/>
  <c r="BF299" i="13"/>
  <c r="BG299" i="13"/>
  <c r="BH299" i="13"/>
  <c r="BC300" i="13"/>
  <c r="BD300" i="13"/>
  <c r="BE300" i="13"/>
  <c r="BF300" i="13"/>
  <c r="BG300" i="13"/>
  <c r="BH300" i="13"/>
  <c r="BC301" i="13"/>
  <c r="BD301" i="13"/>
  <c r="BE301" i="13"/>
  <c r="BF301" i="13"/>
  <c r="BG301" i="13"/>
  <c r="BH301" i="13"/>
  <c r="BC302" i="13"/>
  <c r="BD302" i="13"/>
  <c r="BE302" i="13"/>
  <c r="BF302" i="13"/>
  <c r="BG302" i="13"/>
  <c r="BH302" i="13"/>
  <c r="BC303" i="13"/>
  <c r="BD303" i="13"/>
  <c r="BE303" i="13"/>
  <c r="BF303" i="13"/>
  <c r="BG303" i="13"/>
  <c r="BH303" i="13"/>
  <c r="BC304" i="13"/>
  <c r="BD304" i="13"/>
  <c r="BE304" i="13"/>
  <c r="BF304" i="13"/>
  <c r="BG304" i="13"/>
  <c r="BH304" i="13"/>
  <c r="BC305" i="13"/>
  <c r="BD305" i="13"/>
  <c r="BE305" i="13"/>
  <c r="BF305" i="13"/>
  <c r="BG305" i="13"/>
  <c r="BH305" i="13"/>
  <c r="BC306" i="13"/>
  <c r="BD306" i="13"/>
  <c r="BE306" i="13"/>
  <c r="BF306" i="13"/>
  <c r="BG306" i="13"/>
  <c r="BH306" i="13"/>
  <c r="BC307" i="13"/>
  <c r="BD307" i="13"/>
  <c r="BE307" i="13"/>
  <c r="BF307" i="13"/>
  <c r="BG307" i="13"/>
  <c r="BH307" i="13"/>
  <c r="BC308" i="13"/>
  <c r="BD308" i="13"/>
  <c r="BE308" i="13"/>
  <c r="BF308" i="13"/>
  <c r="BG308" i="13"/>
  <c r="BH308" i="13"/>
  <c r="BC309" i="13"/>
  <c r="BD309" i="13"/>
  <c r="BE309" i="13"/>
  <c r="BF309" i="13"/>
  <c r="BG309" i="13"/>
  <c r="BH309" i="13"/>
  <c r="BC310" i="13"/>
  <c r="BD310" i="13"/>
  <c r="BE310" i="13"/>
  <c r="BF310" i="13"/>
  <c r="BG310" i="13"/>
  <c r="BH310" i="13"/>
  <c r="BC311" i="13"/>
  <c r="BD311" i="13"/>
  <c r="BE311" i="13"/>
  <c r="BF311" i="13"/>
  <c r="BG311" i="13"/>
  <c r="BH311" i="13"/>
  <c r="BC312" i="13"/>
  <c r="BD312" i="13"/>
  <c r="BE312" i="13"/>
  <c r="BF312" i="13"/>
  <c r="BG312" i="13"/>
  <c r="BH312" i="13"/>
  <c r="BC313" i="13"/>
  <c r="BD313" i="13"/>
  <c r="BE313" i="13"/>
  <c r="BF313" i="13"/>
  <c r="BG313" i="13"/>
  <c r="BH313" i="13"/>
  <c r="BC314" i="13"/>
  <c r="BD314" i="13"/>
  <c r="BE314" i="13"/>
  <c r="BF314" i="13"/>
  <c r="BG314" i="13"/>
  <c r="BH314" i="13"/>
  <c r="BC315" i="13"/>
  <c r="BD315" i="13"/>
  <c r="BE315" i="13"/>
  <c r="BF315" i="13"/>
  <c r="BG315" i="13"/>
  <c r="BH315" i="13"/>
  <c r="BC316" i="13"/>
  <c r="BD316" i="13"/>
  <c r="BE316" i="13"/>
  <c r="BF316" i="13"/>
  <c r="BG316" i="13"/>
  <c r="BH316" i="13"/>
  <c r="BC317" i="13"/>
  <c r="BD317" i="13"/>
  <c r="BE317" i="13"/>
  <c r="BF317" i="13"/>
  <c r="BG317" i="13"/>
  <c r="BH317" i="13"/>
  <c r="BC318" i="13"/>
  <c r="BD318" i="13"/>
  <c r="BE318" i="13"/>
  <c r="BF318" i="13"/>
  <c r="BG318" i="13"/>
  <c r="BH318" i="13"/>
  <c r="BC319" i="13"/>
  <c r="BD319" i="13"/>
  <c r="BE319" i="13"/>
  <c r="BF319" i="13"/>
  <c r="BG319" i="13"/>
  <c r="BH319" i="13"/>
  <c r="BC320" i="13"/>
  <c r="BD320" i="13"/>
  <c r="BE320" i="13"/>
  <c r="BF320" i="13"/>
  <c r="BG320" i="13"/>
  <c r="BH320" i="13"/>
  <c r="BC321" i="13"/>
  <c r="BD321" i="13"/>
  <c r="BE321" i="13"/>
  <c r="BF321" i="13"/>
  <c r="BG321" i="13"/>
  <c r="BH321" i="13"/>
  <c r="BC322" i="13"/>
  <c r="BD322" i="13"/>
  <c r="BE322" i="13"/>
  <c r="BF322" i="13"/>
  <c r="BG322" i="13"/>
  <c r="BH322" i="13"/>
  <c r="BC323" i="13"/>
  <c r="BD323" i="13"/>
  <c r="BE323" i="13"/>
  <c r="BF323" i="13"/>
  <c r="BG323" i="13"/>
  <c r="BH323" i="13"/>
  <c r="BC324" i="13"/>
  <c r="BD324" i="13"/>
  <c r="BE324" i="13"/>
  <c r="BF324" i="13"/>
  <c r="BG324" i="13"/>
  <c r="BH324" i="13"/>
  <c r="BC325" i="13"/>
  <c r="BD325" i="13"/>
  <c r="BE325" i="13"/>
  <c r="BF325" i="13"/>
  <c r="BG325" i="13"/>
  <c r="BH325" i="13"/>
  <c r="BC326" i="13"/>
  <c r="BD326" i="13"/>
  <c r="BE326" i="13"/>
  <c r="BF326" i="13"/>
  <c r="BG326" i="13"/>
  <c r="BH326" i="13"/>
  <c r="BC327" i="13"/>
  <c r="BD327" i="13"/>
  <c r="BE327" i="13"/>
  <c r="BF327" i="13"/>
  <c r="BG327" i="13"/>
  <c r="BH327" i="13"/>
  <c r="BC328" i="13"/>
  <c r="BD328" i="13"/>
  <c r="BE328" i="13"/>
  <c r="BF328" i="13"/>
  <c r="BG328" i="13"/>
  <c r="BH328" i="13"/>
  <c r="BC329" i="13"/>
  <c r="BD329" i="13"/>
  <c r="BE329" i="13"/>
  <c r="BF329" i="13"/>
  <c r="BG329" i="13"/>
  <c r="BH329" i="13"/>
  <c r="BC330" i="13"/>
  <c r="BD330" i="13"/>
  <c r="BE330" i="13"/>
  <c r="BF330" i="13"/>
  <c r="BG330" i="13"/>
  <c r="BH330" i="13"/>
  <c r="BC331" i="13"/>
  <c r="BD331" i="13"/>
  <c r="BE331" i="13"/>
  <c r="BF331" i="13"/>
  <c r="BG331" i="13"/>
  <c r="BH331" i="13"/>
  <c r="BC332" i="13"/>
  <c r="BD332" i="13"/>
  <c r="BE332" i="13"/>
  <c r="BF332" i="13"/>
  <c r="BG332" i="13"/>
  <c r="BH332" i="13"/>
  <c r="BC333" i="13"/>
  <c r="BD333" i="13"/>
  <c r="BE333" i="13"/>
  <c r="BF333" i="13"/>
  <c r="BG333" i="13"/>
  <c r="BH333" i="13"/>
  <c r="BC334" i="13"/>
  <c r="BD334" i="13"/>
  <c r="BE334" i="13"/>
  <c r="BF334" i="13"/>
  <c r="BG334" i="13"/>
  <c r="BH334" i="13"/>
  <c r="BC335" i="13"/>
  <c r="BD335" i="13"/>
  <c r="BE335" i="13"/>
  <c r="BF335" i="13"/>
  <c r="BG335" i="13"/>
  <c r="BH335" i="13"/>
  <c r="BC336" i="13"/>
  <c r="BD336" i="13"/>
  <c r="BE336" i="13"/>
  <c r="BF336" i="13"/>
  <c r="BG336" i="13"/>
  <c r="BH336" i="13"/>
  <c r="BC337" i="13"/>
  <c r="BD337" i="13"/>
  <c r="BE337" i="13"/>
  <c r="BF337" i="13"/>
  <c r="BG337" i="13"/>
  <c r="BH337" i="13"/>
  <c r="BC338" i="13"/>
  <c r="BD338" i="13"/>
  <c r="BE338" i="13"/>
  <c r="BF338" i="13"/>
  <c r="BG338" i="13"/>
  <c r="BH338" i="13"/>
  <c r="BC339" i="13"/>
  <c r="BD339" i="13"/>
  <c r="BE339" i="13"/>
  <c r="BF339" i="13"/>
  <c r="BG339" i="13"/>
  <c r="BH339" i="13"/>
  <c r="BC340" i="13"/>
  <c r="BD340" i="13"/>
  <c r="BE340" i="13"/>
  <c r="BF340" i="13"/>
  <c r="BG340" i="13"/>
  <c r="BH340" i="13"/>
  <c r="BC341" i="13"/>
  <c r="BD341" i="13"/>
  <c r="BE341" i="13"/>
  <c r="BF341" i="13"/>
  <c r="BG341" i="13"/>
  <c r="BH341" i="13"/>
  <c r="BC342" i="13"/>
  <c r="BD342" i="13"/>
  <c r="BE342" i="13"/>
  <c r="BF342" i="13"/>
  <c r="BG342" i="13"/>
  <c r="BH342" i="13"/>
  <c r="BC343" i="13"/>
  <c r="BD343" i="13"/>
  <c r="BE343" i="13"/>
  <c r="BF343" i="13"/>
  <c r="BG343" i="13"/>
  <c r="BH343" i="13"/>
  <c r="BC344" i="13"/>
  <c r="BD344" i="13"/>
  <c r="BE344" i="13"/>
  <c r="BF344" i="13"/>
  <c r="BG344" i="13"/>
  <c r="BH344" i="13"/>
  <c r="BC345" i="13"/>
  <c r="BD345" i="13"/>
  <c r="BE345" i="13"/>
  <c r="BF345" i="13"/>
  <c r="BG345" i="13"/>
  <c r="BH345" i="13"/>
  <c r="BC346" i="13"/>
  <c r="BD346" i="13"/>
  <c r="BE346" i="13"/>
  <c r="BF346" i="13"/>
  <c r="BG346" i="13"/>
  <c r="BH346" i="13"/>
  <c r="BC347" i="13"/>
  <c r="BD347" i="13"/>
  <c r="BE347" i="13"/>
  <c r="BF347" i="13"/>
  <c r="BG347" i="13"/>
  <c r="BH347" i="13"/>
  <c r="BC348" i="13"/>
  <c r="BD348" i="13"/>
  <c r="BE348" i="13"/>
  <c r="BF348" i="13"/>
  <c r="BG348" i="13"/>
  <c r="BH348" i="13"/>
  <c r="BC349" i="13"/>
  <c r="BD349" i="13"/>
  <c r="BE349" i="13"/>
  <c r="BF349" i="13"/>
  <c r="BG349" i="13"/>
  <c r="BH349" i="13"/>
  <c r="BC350" i="13"/>
  <c r="BD350" i="13"/>
  <c r="BE350" i="13"/>
  <c r="BF350" i="13"/>
  <c r="BG350" i="13"/>
  <c r="BH350" i="13"/>
  <c r="BC351" i="13"/>
  <c r="BD351" i="13"/>
  <c r="BE351" i="13"/>
  <c r="BF351" i="13"/>
  <c r="BG351" i="13"/>
  <c r="BH351" i="13"/>
  <c r="BC352" i="13"/>
  <c r="BD352" i="13"/>
  <c r="BE352" i="13"/>
  <c r="BF352" i="13"/>
  <c r="BG352" i="13"/>
  <c r="BH352" i="13"/>
  <c r="BC353" i="13"/>
  <c r="BD353" i="13"/>
  <c r="BE353" i="13"/>
  <c r="BF353" i="13"/>
  <c r="BG353" i="13"/>
  <c r="BH353" i="13"/>
  <c r="BC354" i="13"/>
  <c r="BD354" i="13"/>
  <c r="BE354" i="13"/>
  <c r="BF354" i="13"/>
  <c r="BG354" i="13"/>
  <c r="BH354" i="13"/>
  <c r="BC355" i="13"/>
  <c r="BD355" i="13"/>
  <c r="BE355" i="13"/>
  <c r="BF355" i="13"/>
  <c r="BG355" i="13"/>
  <c r="BH355" i="13"/>
  <c r="BC356" i="13"/>
  <c r="BD356" i="13"/>
  <c r="BE356" i="13"/>
  <c r="BF356" i="13"/>
  <c r="BG356" i="13"/>
  <c r="BH356" i="13"/>
  <c r="BC357" i="13"/>
  <c r="BD357" i="13"/>
  <c r="BE357" i="13"/>
  <c r="BF357" i="13"/>
  <c r="BG357" i="13"/>
  <c r="BH357" i="13"/>
  <c r="BC358" i="13"/>
  <c r="BD358" i="13"/>
  <c r="BE358" i="13"/>
  <c r="BF358" i="13"/>
  <c r="BG358" i="13"/>
  <c r="BH358" i="13"/>
  <c r="BC359" i="13"/>
  <c r="BD359" i="13"/>
  <c r="BE359" i="13"/>
  <c r="BF359" i="13"/>
  <c r="BG359" i="13"/>
  <c r="BH359" i="13"/>
  <c r="BC360" i="13"/>
  <c r="BD360" i="13"/>
  <c r="BE360" i="13"/>
  <c r="BF360" i="13"/>
  <c r="BG360" i="13"/>
  <c r="BH360" i="13"/>
  <c r="BC361" i="13"/>
  <c r="BD361" i="13"/>
  <c r="BE361" i="13"/>
  <c r="BF361" i="13"/>
  <c r="BG361" i="13"/>
  <c r="BH361" i="13"/>
  <c r="BC362" i="13"/>
  <c r="BD362" i="13"/>
  <c r="BE362" i="13"/>
  <c r="BF362" i="13"/>
  <c r="BG362" i="13"/>
  <c r="BH362" i="13"/>
  <c r="BC363" i="13"/>
  <c r="BD363" i="13"/>
  <c r="BE363" i="13"/>
  <c r="BF363" i="13"/>
  <c r="BG363" i="13"/>
  <c r="BH363" i="13"/>
  <c r="BC364" i="13"/>
  <c r="BD364" i="13"/>
  <c r="BE364" i="13"/>
  <c r="BF364" i="13"/>
  <c r="BG364" i="13"/>
  <c r="BH364" i="13"/>
  <c r="BC365" i="13"/>
  <c r="BD365" i="13"/>
  <c r="BE365" i="13"/>
  <c r="BF365" i="13"/>
  <c r="BG365" i="13"/>
  <c r="BH365" i="13"/>
  <c r="BC366" i="13"/>
  <c r="BD366" i="13"/>
  <c r="BE366" i="13"/>
  <c r="BF366" i="13"/>
  <c r="BG366" i="13"/>
  <c r="BH366" i="13"/>
  <c r="BC367" i="13"/>
  <c r="BD367" i="13"/>
  <c r="BE367" i="13"/>
  <c r="BF367" i="13"/>
  <c r="BG367" i="13"/>
  <c r="BH367" i="13"/>
  <c r="BC368" i="13"/>
  <c r="BD368" i="13"/>
  <c r="BE368" i="13"/>
  <c r="BF368" i="13"/>
  <c r="BG368" i="13"/>
  <c r="BH368" i="13"/>
  <c r="BC369" i="13"/>
  <c r="BD369" i="13"/>
  <c r="BE369" i="13"/>
  <c r="BF369" i="13"/>
  <c r="BG369" i="13"/>
  <c r="BH369" i="13"/>
  <c r="BC370" i="13"/>
  <c r="BD370" i="13"/>
  <c r="BE370" i="13"/>
  <c r="BF370" i="13"/>
  <c r="BG370" i="13"/>
  <c r="BH370" i="13"/>
  <c r="BC371" i="13"/>
  <c r="BD371" i="13"/>
  <c r="BE371" i="13"/>
  <c r="BF371" i="13"/>
  <c r="BG371" i="13"/>
  <c r="BH371" i="13"/>
  <c r="BC372" i="13"/>
  <c r="BD372" i="13"/>
  <c r="BE372" i="13"/>
  <c r="BF372" i="13"/>
  <c r="BG372" i="13"/>
  <c r="BH372" i="13"/>
  <c r="BC373" i="13"/>
  <c r="BD373" i="13"/>
  <c r="BE373" i="13"/>
  <c r="BF373" i="13"/>
  <c r="BG373" i="13"/>
  <c r="BH373" i="13"/>
  <c r="BC374" i="13"/>
  <c r="BD374" i="13"/>
  <c r="BE374" i="13"/>
  <c r="BF374" i="13"/>
  <c r="BG374" i="13"/>
  <c r="BH374" i="13"/>
  <c r="BC375" i="13"/>
  <c r="BD375" i="13"/>
  <c r="BE375" i="13"/>
  <c r="BF375" i="13"/>
  <c r="BG375" i="13"/>
  <c r="BH375" i="13"/>
  <c r="BC376" i="13"/>
  <c r="BD376" i="13"/>
  <c r="BE376" i="13"/>
  <c r="BF376" i="13"/>
  <c r="BG376" i="13"/>
  <c r="BH376" i="13"/>
  <c r="BC377" i="13"/>
  <c r="BD377" i="13"/>
  <c r="BE377" i="13"/>
  <c r="BF377" i="13"/>
  <c r="BG377" i="13"/>
  <c r="BH377" i="13"/>
  <c r="BC378" i="13"/>
  <c r="BD378" i="13"/>
  <c r="BE378" i="13"/>
  <c r="BF378" i="13"/>
  <c r="BG378" i="13"/>
  <c r="BH378" i="13"/>
  <c r="BC379" i="13"/>
  <c r="BD379" i="13"/>
  <c r="BE379" i="13"/>
  <c r="BF379" i="13"/>
  <c r="BG379" i="13"/>
  <c r="BH379" i="13"/>
  <c r="BC380" i="13"/>
  <c r="BD380" i="13"/>
  <c r="BE380" i="13"/>
  <c r="BF380" i="13"/>
  <c r="BG380" i="13"/>
  <c r="BH380" i="13"/>
  <c r="BC381" i="13"/>
  <c r="BD381" i="13"/>
  <c r="BE381" i="13"/>
  <c r="BF381" i="13"/>
  <c r="BG381" i="13"/>
  <c r="BH381" i="13"/>
  <c r="BC382" i="13"/>
  <c r="BD382" i="13"/>
  <c r="BE382" i="13"/>
  <c r="BF382" i="13"/>
  <c r="BG382" i="13"/>
  <c r="BH382" i="13"/>
  <c r="BC383" i="13"/>
  <c r="BD383" i="13"/>
  <c r="BE383" i="13"/>
  <c r="BF383" i="13"/>
  <c r="BG383" i="13"/>
  <c r="BH383" i="13"/>
  <c r="BC384" i="13"/>
  <c r="BD384" i="13"/>
  <c r="BE384" i="13"/>
  <c r="BF384" i="13"/>
  <c r="BG384" i="13"/>
  <c r="BH384" i="13"/>
  <c r="BC385" i="13"/>
  <c r="BD385" i="13"/>
  <c r="BE385" i="13"/>
  <c r="BF385" i="13"/>
  <c r="BG385" i="13"/>
  <c r="BH385" i="13"/>
  <c r="BC386" i="13"/>
  <c r="BD386" i="13"/>
  <c r="BE386" i="13"/>
  <c r="BF386" i="13"/>
  <c r="BG386" i="13"/>
  <c r="BH386" i="13"/>
  <c r="BC387" i="13"/>
  <c r="BD387" i="13"/>
  <c r="BE387" i="13"/>
  <c r="BF387" i="13"/>
  <c r="BG387" i="13"/>
  <c r="BH387" i="13"/>
  <c r="BC388" i="13"/>
  <c r="BD388" i="13"/>
  <c r="BE388" i="13"/>
  <c r="BF388" i="13"/>
  <c r="BG388" i="13"/>
  <c r="BH388" i="13"/>
  <c r="BC389" i="13"/>
  <c r="BD389" i="13"/>
  <c r="BE389" i="13"/>
  <c r="BF389" i="13"/>
  <c r="BG389" i="13"/>
  <c r="BH389" i="13"/>
  <c r="BC390" i="13"/>
  <c r="BD390" i="13"/>
  <c r="BE390" i="13"/>
  <c r="BF390" i="13"/>
  <c r="BG390" i="13"/>
  <c r="BH390" i="13"/>
  <c r="BC391" i="13"/>
  <c r="BD391" i="13"/>
  <c r="BE391" i="13"/>
  <c r="BF391" i="13"/>
  <c r="BG391" i="13"/>
  <c r="BH391" i="13"/>
  <c r="BC392" i="13"/>
  <c r="BD392" i="13"/>
  <c r="BE392" i="13"/>
  <c r="BF392" i="13"/>
  <c r="BG392" i="13"/>
  <c r="BH392" i="13"/>
  <c r="BC393" i="13"/>
  <c r="BD393" i="13"/>
  <c r="BE393" i="13"/>
  <c r="BF393" i="13"/>
  <c r="BG393" i="13"/>
  <c r="BH393" i="13"/>
  <c r="BC394" i="13"/>
  <c r="BD394" i="13"/>
  <c r="BE394" i="13"/>
  <c r="BF394" i="13"/>
  <c r="BG394" i="13"/>
  <c r="BH394" i="13"/>
  <c r="BC395" i="13"/>
  <c r="BD395" i="13"/>
  <c r="BE395" i="13"/>
  <c r="BF395" i="13"/>
  <c r="BG395" i="13"/>
  <c r="BH395" i="13"/>
  <c r="BC396" i="13"/>
  <c r="BD396" i="13"/>
  <c r="BE396" i="13"/>
  <c r="BF396" i="13"/>
  <c r="BG396" i="13"/>
  <c r="BH396" i="13"/>
  <c r="BC397" i="13"/>
  <c r="BD397" i="13"/>
  <c r="BE397" i="13"/>
  <c r="BF397" i="13"/>
  <c r="BG397" i="13"/>
  <c r="BH397" i="13"/>
  <c r="BC398" i="13"/>
  <c r="BD398" i="13"/>
  <c r="BE398" i="13"/>
  <c r="BF398" i="13"/>
  <c r="BG398" i="13"/>
  <c r="BH398" i="13"/>
  <c r="BC399" i="13"/>
  <c r="BD399" i="13"/>
  <c r="BE399" i="13"/>
  <c r="BF399" i="13"/>
  <c r="BG399" i="13"/>
  <c r="BH399" i="13"/>
  <c r="BC400" i="13"/>
  <c r="BD400" i="13"/>
  <c r="BE400" i="13"/>
  <c r="BF400" i="13"/>
  <c r="BG400" i="13"/>
  <c r="BH400" i="13"/>
  <c r="BC401" i="13"/>
  <c r="BD401" i="13"/>
  <c r="BE401" i="13"/>
  <c r="BF401" i="13"/>
  <c r="BG401" i="13"/>
  <c r="BH401" i="13"/>
  <c r="BC402" i="13"/>
  <c r="BD402" i="13"/>
  <c r="BE402" i="13"/>
  <c r="BF402" i="13"/>
  <c r="BG402" i="13"/>
  <c r="BH402" i="13"/>
  <c r="BC403" i="13"/>
  <c r="BD403" i="13"/>
  <c r="BE403" i="13"/>
  <c r="BF403" i="13"/>
  <c r="BG403" i="13"/>
  <c r="BH403" i="13"/>
  <c r="BC404" i="13"/>
  <c r="BD404" i="13"/>
  <c r="BE404" i="13"/>
  <c r="BF404" i="13"/>
  <c r="BG404" i="13"/>
  <c r="BH404" i="13"/>
  <c r="BC405" i="13"/>
  <c r="BD405" i="13"/>
  <c r="BE405" i="13"/>
  <c r="BF405" i="13"/>
  <c r="BG405" i="13"/>
  <c r="BH405" i="13"/>
  <c r="BC406" i="13"/>
  <c r="BD406" i="13"/>
  <c r="BE406" i="13"/>
  <c r="BF406" i="13"/>
  <c r="BG406" i="13"/>
  <c r="BH406" i="13"/>
  <c r="BC407" i="13"/>
  <c r="BD407" i="13"/>
  <c r="BE407" i="13"/>
  <c r="BF407" i="13"/>
  <c r="BG407" i="13"/>
  <c r="BH407" i="13"/>
  <c r="BC408" i="13"/>
  <c r="BD408" i="13"/>
  <c r="BE408" i="13"/>
  <c r="BF408" i="13"/>
  <c r="BG408" i="13"/>
  <c r="BH408" i="13"/>
  <c r="BC409" i="13"/>
  <c r="BD409" i="13"/>
  <c r="BE409" i="13"/>
  <c r="BF409" i="13"/>
  <c r="BG409" i="13"/>
  <c r="BH409" i="13"/>
  <c r="BC410" i="13"/>
  <c r="BD410" i="13"/>
  <c r="BE410" i="13"/>
  <c r="BF410" i="13"/>
  <c r="BG410" i="13"/>
  <c r="BH410" i="13"/>
  <c r="BC411" i="13"/>
  <c r="BD411" i="13"/>
  <c r="BE411" i="13"/>
  <c r="BF411" i="13"/>
  <c r="BG411" i="13"/>
  <c r="BH411" i="13"/>
  <c r="BC412" i="13"/>
  <c r="BD412" i="13"/>
  <c r="BE412" i="13"/>
  <c r="BF412" i="13"/>
  <c r="BG412" i="13"/>
  <c r="BH412" i="13"/>
  <c r="BC413" i="13"/>
  <c r="BD413" i="13"/>
  <c r="BE413" i="13"/>
  <c r="BF413" i="13"/>
  <c r="BG413" i="13"/>
  <c r="BH413" i="13"/>
  <c r="BC414" i="13"/>
  <c r="BD414" i="13"/>
  <c r="BE414" i="13"/>
  <c r="BF414" i="13"/>
  <c r="BG414" i="13"/>
  <c r="BH414" i="13"/>
  <c r="BC415" i="13"/>
  <c r="BD415" i="13"/>
  <c r="BE415" i="13"/>
  <c r="BF415" i="13"/>
  <c r="BG415" i="13"/>
  <c r="BH415" i="13"/>
  <c r="BC416" i="13"/>
  <c r="BD416" i="13"/>
  <c r="BE416" i="13"/>
  <c r="BF416" i="13"/>
  <c r="BG416" i="13"/>
  <c r="BH416" i="13"/>
  <c r="BC417" i="13"/>
  <c r="BD417" i="13"/>
  <c r="BE417" i="13"/>
  <c r="BF417" i="13"/>
  <c r="BG417" i="13"/>
  <c r="BH417" i="13"/>
  <c r="BC418" i="13"/>
  <c r="BD418" i="13"/>
  <c r="BE418" i="13"/>
  <c r="BF418" i="13"/>
  <c r="BG418" i="13"/>
  <c r="BH418" i="13"/>
  <c r="BC419" i="13"/>
  <c r="BD419" i="13"/>
  <c r="BE419" i="13"/>
  <c r="BF419" i="13"/>
  <c r="BG419" i="13"/>
  <c r="BH419" i="13"/>
  <c r="BC420" i="13"/>
  <c r="BD420" i="13"/>
  <c r="BE420" i="13"/>
  <c r="BF420" i="13"/>
  <c r="BG420" i="13"/>
  <c r="BH420" i="13"/>
  <c r="BC421" i="13"/>
  <c r="BD421" i="13"/>
  <c r="BE421" i="13"/>
  <c r="BF421" i="13"/>
  <c r="BG421" i="13"/>
  <c r="BH421" i="13"/>
  <c r="BC422" i="13"/>
  <c r="BD422" i="13"/>
  <c r="BE422" i="13"/>
  <c r="BF422" i="13"/>
  <c r="BG422" i="13"/>
  <c r="BH422" i="13"/>
  <c r="BC423" i="13"/>
  <c r="BD423" i="13"/>
  <c r="BE423" i="13"/>
  <c r="BF423" i="13"/>
  <c r="BG423" i="13"/>
  <c r="BH423" i="13"/>
  <c r="BC424" i="13"/>
  <c r="BD424" i="13"/>
  <c r="BE424" i="13"/>
  <c r="BF424" i="13"/>
  <c r="BG424" i="13"/>
  <c r="BH424" i="13"/>
  <c r="BC425" i="13"/>
  <c r="BD425" i="13"/>
  <c r="BE425" i="13"/>
  <c r="BF425" i="13"/>
  <c r="BG425" i="13"/>
  <c r="BH425" i="13"/>
  <c r="BC426" i="13"/>
  <c r="BD426" i="13"/>
  <c r="BE426" i="13"/>
  <c r="BF426" i="13"/>
  <c r="BG426" i="13"/>
  <c r="BH426" i="13"/>
  <c r="BC427" i="13"/>
  <c r="BD427" i="13"/>
  <c r="BE427" i="13"/>
  <c r="BF427" i="13"/>
  <c r="BG427" i="13"/>
  <c r="BH427" i="13"/>
  <c r="BC428" i="13"/>
  <c r="BD428" i="13"/>
  <c r="BE428" i="13"/>
  <c r="BF428" i="13"/>
  <c r="BG428" i="13"/>
  <c r="BH428" i="13"/>
  <c r="BC429" i="13"/>
  <c r="BD429" i="13"/>
  <c r="BE429" i="13"/>
  <c r="BF429" i="13"/>
  <c r="BG429" i="13"/>
  <c r="BH429" i="13"/>
  <c r="BC430" i="13"/>
  <c r="BD430" i="13"/>
  <c r="BE430" i="13"/>
  <c r="BF430" i="13"/>
  <c r="BG430" i="13"/>
  <c r="BH430" i="13"/>
  <c r="BC431" i="13"/>
  <c r="BD431" i="13"/>
  <c r="BE431" i="13"/>
  <c r="BF431" i="13"/>
  <c r="BG431" i="13"/>
  <c r="BH431" i="13"/>
  <c r="BC432" i="13"/>
  <c r="BD432" i="13"/>
  <c r="BE432" i="13"/>
  <c r="BF432" i="13"/>
  <c r="BG432" i="13"/>
  <c r="BH432" i="13"/>
  <c r="BC433" i="13"/>
  <c r="BD433" i="13"/>
  <c r="BE433" i="13"/>
  <c r="BF433" i="13"/>
  <c r="BG433" i="13"/>
  <c r="BH433" i="13"/>
  <c r="BC434" i="13"/>
  <c r="BD434" i="13"/>
  <c r="BE434" i="13"/>
  <c r="BF434" i="13"/>
  <c r="BG434" i="13"/>
  <c r="BH434" i="13"/>
  <c r="BC435" i="13"/>
  <c r="BD435" i="13"/>
  <c r="BE435" i="13"/>
  <c r="BF435" i="13"/>
  <c r="BG435" i="13"/>
  <c r="BH435" i="13"/>
  <c r="BC436" i="13"/>
  <c r="BD436" i="13"/>
  <c r="BE436" i="13"/>
  <c r="BF436" i="13"/>
  <c r="BG436" i="13"/>
  <c r="BH436" i="13"/>
  <c r="BC437" i="13"/>
  <c r="BD437" i="13"/>
  <c r="BE437" i="13"/>
  <c r="BF437" i="13"/>
  <c r="BG437" i="13"/>
  <c r="BH437" i="13"/>
  <c r="BC438" i="13"/>
  <c r="BD438" i="13"/>
  <c r="BE438" i="13"/>
  <c r="BF438" i="13"/>
  <c r="BG438" i="13"/>
  <c r="BH438" i="13"/>
  <c r="BC439" i="13"/>
  <c r="BD439" i="13"/>
  <c r="BE439" i="13"/>
  <c r="BF439" i="13"/>
  <c r="BG439" i="13"/>
  <c r="BH439" i="13"/>
  <c r="BC440" i="13"/>
  <c r="BD440" i="13"/>
  <c r="BE440" i="13"/>
  <c r="BF440" i="13"/>
  <c r="BG440" i="13"/>
  <c r="BH440" i="13"/>
  <c r="BC441" i="13"/>
  <c r="BD441" i="13"/>
  <c r="BE441" i="13"/>
  <c r="BF441" i="13"/>
  <c r="BG441" i="13"/>
  <c r="BH441" i="13"/>
  <c r="BC442" i="13"/>
  <c r="BD442" i="13"/>
  <c r="BE442" i="13"/>
  <c r="BF442" i="13"/>
  <c r="BG442" i="13"/>
  <c r="BH442" i="13"/>
  <c r="BC443" i="13"/>
  <c r="BD443" i="13"/>
  <c r="BE443" i="13"/>
  <c r="BF443" i="13"/>
  <c r="BG443" i="13"/>
  <c r="BH443" i="13"/>
  <c r="BC444" i="13"/>
  <c r="BD444" i="13"/>
  <c r="BE444" i="13"/>
  <c r="BF444" i="13"/>
  <c r="BG444" i="13"/>
  <c r="BH444" i="13"/>
  <c r="BC445" i="13"/>
  <c r="BD445" i="13"/>
  <c r="BE445" i="13"/>
  <c r="BF445" i="13"/>
  <c r="BG445" i="13"/>
  <c r="BH445" i="13"/>
  <c r="BC446" i="13"/>
  <c r="BD446" i="13"/>
  <c r="BE446" i="13"/>
  <c r="BF446" i="13"/>
  <c r="BG446" i="13"/>
  <c r="BH446" i="13"/>
  <c r="BC447" i="13"/>
  <c r="BD447" i="13"/>
  <c r="BE447" i="13"/>
  <c r="BF447" i="13"/>
  <c r="BG447" i="13"/>
  <c r="BH447" i="13"/>
  <c r="BC448" i="13"/>
  <c r="BD448" i="13"/>
  <c r="BE448" i="13"/>
  <c r="BF448" i="13"/>
  <c r="BG448" i="13"/>
  <c r="BH448" i="13"/>
  <c r="BC449" i="13"/>
  <c r="BD449" i="13"/>
  <c r="BE449" i="13"/>
  <c r="BF449" i="13"/>
  <c r="BG449" i="13"/>
  <c r="BH449" i="13"/>
  <c r="BC450" i="13"/>
  <c r="BD450" i="13"/>
  <c r="BE450" i="13"/>
  <c r="BF450" i="13"/>
  <c r="BG450" i="13"/>
  <c r="BH450" i="13"/>
  <c r="BC451" i="13"/>
  <c r="BD451" i="13"/>
  <c r="BE451" i="13"/>
  <c r="BF451" i="13"/>
  <c r="BG451" i="13"/>
  <c r="BH451" i="13"/>
  <c r="BC452" i="13"/>
  <c r="BD452" i="13"/>
  <c r="BE452" i="13"/>
  <c r="BF452" i="13"/>
  <c r="BG452" i="13"/>
  <c r="BH452" i="13"/>
  <c r="BC453" i="13"/>
  <c r="BD453" i="13"/>
  <c r="BE453" i="13"/>
  <c r="BF453" i="13"/>
  <c r="BG453" i="13"/>
  <c r="BH453" i="13"/>
  <c r="BC454" i="13"/>
  <c r="BD454" i="13"/>
  <c r="BE454" i="13"/>
  <c r="BF454" i="13"/>
  <c r="BG454" i="13"/>
  <c r="BH454" i="13"/>
  <c r="BC455" i="13"/>
  <c r="BD455" i="13"/>
  <c r="BE455" i="13"/>
  <c r="BF455" i="13"/>
  <c r="BG455" i="13"/>
  <c r="BH455" i="13"/>
  <c r="BC456" i="13"/>
  <c r="BD456" i="13"/>
  <c r="BE456" i="13"/>
  <c r="BF456" i="13"/>
  <c r="BG456" i="13"/>
  <c r="BH456" i="13"/>
  <c r="BC457" i="13"/>
  <c r="BD457" i="13"/>
  <c r="BE457" i="13"/>
  <c r="BF457" i="13"/>
  <c r="BG457" i="13"/>
  <c r="BH457" i="13"/>
  <c r="BC458" i="13"/>
  <c r="BD458" i="13"/>
  <c r="BE458" i="13"/>
  <c r="BF458" i="13"/>
  <c r="BG458" i="13"/>
  <c r="BH458" i="13"/>
  <c r="BC459" i="13"/>
  <c r="BD459" i="13"/>
  <c r="BE459" i="13"/>
  <c r="BF459" i="13"/>
  <c r="BG459" i="13"/>
  <c r="BH459" i="13"/>
  <c r="BC460" i="13"/>
  <c r="BD460" i="13"/>
  <c r="BE460" i="13"/>
  <c r="BF460" i="13"/>
  <c r="BG460" i="13"/>
  <c r="BH460" i="13"/>
  <c r="BC461" i="13"/>
  <c r="BD461" i="13"/>
  <c r="BE461" i="13"/>
  <c r="BF461" i="13"/>
  <c r="BG461" i="13"/>
  <c r="BH461" i="13"/>
  <c r="BC462" i="13"/>
  <c r="BD462" i="13"/>
  <c r="BE462" i="13"/>
  <c r="BF462" i="13"/>
  <c r="BG462" i="13"/>
  <c r="BH462" i="13"/>
  <c r="BC463" i="13"/>
  <c r="BD463" i="13"/>
  <c r="BE463" i="13"/>
  <c r="BF463" i="13"/>
  <c r="BG463" i="13"/>
  <c r="BH463" i="13"/>
  <c r="BC464" i="13"/>
  <c r="BD464" i="13"/>
  <c r="BE464" i="13"/>
  <c r="BF464" i="13"/>
  <c r="BG464" i="13"/>
  <c r="BH464" i="13"/>
  <c r="BC465" i="13"/>
  <c r="BD465" i="13"/>
  <c r="BE465" i="13"/>
  <c r="BF465" i="13"/>
  <c r="BG465" i="13"/>
  <c r="BH465" i="13"/>
  <c r="BC466" i="13"/>
  <c r="BD466" i="13"/>
  <c r="BE466" i="13"/>
  <c r="BF466" i="13"/>
  <c r="BG466" i="13"/>
  <c r="BH466" i="13"/>
  <c r="BC467" i="13"/>
  <c r="BD467" i="13"/>
  <c r="BE467" i="13"/>
  <c r="BF467" i="13"/>
  <c r="BG467" i="13"/>
  <c r="BH467" i="13"/>
  <c r="BC468" i="13"/>
  <c r="BD468" i="13"/>
  <c r="BE468" i="13"/>
  <c r="BF468" i="13"/>
  <c r="BG468" i="13"/>
  <c r="BH468" i="13"/>
  <c r="BC469" i="13"/>
  <c r="BD469" i="13"/>
  <c r="BE469" i="13"/>
  <c r="BF469" i="13"/>
  <c r="BG469" i="13"/>
  <c r="BH469" i="13"/>
  <c r="BC470" i="13"/>
  <c r="BD470" i="13"/>
  <c r="BE470" i="13"/>
  <c r="BF470" i="13"/>
  <c r="BG470" i="13"/>
  <c r="BH470" i="13"/>
  <c r="BC471" i="13"/>
  <c r="BD471" i="13"/>
  <c r="BE471" i="13"/>
  <c r="BF471" i="13"/>
  <c r="BG471" i="13"/>
  <c r="BH471" i="13"/>
  <c r="BC472" i="13"/>
  <c r="BD472" i="13"/>
  <c r="BE472" i="13"/>
  <c r="BF472" i="13"/>
  <c r="BG472" i="13"/>
  <c r="BH472" i="13"/>
  <c r="BC473" i="13"/>
  <c r="BD473" i="13"/>
  <c r="BE473" i="13"/>
  <c r="BF473" i="13"/>
  <c r="BG473" i="13"/>
  <c r="BH473" i="13"/>
  <c r="BC474" i="13"/>
  <c r="BD474" i="13"/>
  <c r="BE474" i="13"/>
  <c r="BF474" i="13"/>
  <c r="BG474" i="13"/>
  <c r="BH474" i="13"/>
  <c r="BC475" i="13"/>
  <c r="BD475" i="13"/>
  <c r="BE475" i="13"/>
  <c r="BF475" i="13"/>
  <c r="BG475" i="13"/>
  <c r="BH475" i="13"/>
  <c r="BC476" i="13"/>
  <c r="BD476" i="13"/>
  <c r="BE476" i="13"/>
  <c r="BF476" i="13"/>
  <c r="BG476" i="13"/>
  <c r="BH476" i="13"/>
  <c r="BC477" i="13"/>
  <c r="BD477" i="13"/>
  <c r="BE477" i="13"/>
  <c r="BF477" i="13"/>
  <c r="BG477" i="13"/>
  <c r="BH477" i="13"/>
  <c r="BC478" i="13"/>
  <c r="BD478" i="13"/>
  <c r="BE478" i="13"/>
  <c r="BF478" i="13"/>
  <c r="BG478" i="13"/>
  <c r="BH478" i="13"/>
  <c r="BC479" i="13"/>
  <c r="BD479" i="13"/>
  <c r="BE479" i="13"/>
  <c r="BF479" i="13"/>
  <c r="BG479" i="13"/>
  <c r="BH479" i="13"/>
  <c r="BC480" i="13"/>
  <c r="BD480" i="13"/>
  <c r="BE480" i="13"/>
  <c r="BF480" i="13"/>
  <c r="BG480" i="13"/>
  <c r="BH480" i="13"/>
  <c r="BC481" i="13"/>
  <c r="BD481" i="13"/>
  <c r="BE481" i="13"/>
  <c r="BF481" i="13"/>
  <c r="BG481" i="13"/>
  <c r="BH481" i="13"/>
  <c r="BC482" i="13"/>
  <c r="BD482" i="13"/>
  <c r="BE482" i="13"/>
  <c r="BF482" i="13"/>
  <c r="BG482" i="13"/>
  <c r="BH482" i="13"/>
  <c r="BC483" i="13"/>
  <c r="BD483" i="13"/>
  <c r="BE483" i="13"/>
  <c r="BF483" i="13"/>
  <c r="BG483" i="13"/>
  <c r="BH483" i="13"/>
  <c r="BC484" i="13"/>
  <c r="BD484" i="13"/>
  <c r="BE484" i="13"/>
  <c r="BF484" i="13"/>
  <c r="BG484" i="13"/>
  <c r="BH484" i="13"/>
  <c r="BC485" i="13"/>
  <c r="BD485" i="13"/>
  <c r="BE485" i="13"/>
  <c r="BF485" i="13"/>
  <c r="BG485" i="13"/>
  <c r="BH485" i="13"/>
  <c r="BC486" i="13"/>
  <c r="BD486" i="13"/>
  <c r="BE486" i="13"/>
  <c r="BF486" i="13"/>
  <c r="BG486" i="13"/>
  <c r="BH486" i="13"/>
  <c r="BC487" i="13"/>
  <c r="BD487" i="13"/>
  <c r="BE487" i="13"/>
  <c r="BF487" i="13"/>
  <c r="BG487" i="13"/>
  <c r="BH487" i="13"/>
  <c r="BC488" i="13"/>
  <c r="BD488" i="13"/>
  <c r="BE488" i="13"/>
  <c r="BF488" i="13"/>
  <c r="BG488" i="13"/>
  <c r="BH488" i="13"/>
  <c r="BC489" i="13"/>
  <c r="BD489" i="13"/>
  <c r="BE489" i="13"/>
  <c r="BF489" i="13"/>
  <c r="BG489" i="13"/>
  <c r="BH489" i="13"/>
  <c r="BC490" i="13"/>
  <c r="BD490" i="13"/>
  <c r="BE490" i="13"/>
  <c r="BF490" i="13"/>
  <c r="BG490" i="13"/>
  <c r="BH490" i="13"/>
  <c r="BC491" i="13"/>
  <c r="BD491" i="13"/>
  <c r="BE491" i="13"/>
  <c r="BF491" i="13"/>
  <c r="BG491" i="13"/>
  <c r="BH491" i="13"/>
  <c r="BC492" i="13"/>
  <c r="BD492" i="13"/>
  <c r="BE492" i="13"/>
  <c r="BF492" i="13"/>
  <c r="BG492" i="13"/>
  <c r="BH492" i="13"/>
  <c r="BC493" i="13"/>
  <c r="BD493" i="13"/>
  <c r="BE493" i="13"/>
  <c r="BF493" i="13"/>
  <c r="BG493" i="13"/>
  <c r="BH493" i="13"/>
  <c r="BC494" i="13"/>
  <c r="BD494" i="13"/>
  <c r="BE494" i="13"/>
  <c r="BF494" i="13"/>
  <c r="BG494" i="13"/>
  <c r="BH494" i="13"/>
  <c r="BC495" i="13"/>
  <c r="BD495" i="13"/>
  <c r="BE495" i="13"/>
  <c r="BF495" i="13"/>
  <c r="BG495" i="13"/>
  <c r="BH495" i="13"/>
  <c r="BC496" i="13"/>
  <c r="BD496" i="13"/>
  <c r="BE496" i="13"/>
  <c r="BF496" i="13"/>
  <c r="BG496" i="13"/>
  <c r="BH496" i="13"/>
  <c r="BC497" i="13"/>
  <c r="BD497" i="13"/>
  <c r="BE497" i="13"/>
  <c r="BF497" i="13"/>
  <c r="BG497" i="13"/>
  <c r="BH497" i="13"/>
  <c r="BC498" i="13"/>
  <c r="BD498" i="13"/>
  <c r="BE498" i="13"/>
  <c r="BF498" i="13"/>
  <c r="BG498" i="13"/>
  <c r="BH498" i="13"/>
  <c r="BC499" i="13"/>
  <c r="BD499" i="13"/>
  <c r="BE499" i="13"/>
  <c r="BF499" i="13"/>
  <c r="BG499" i="13"/>
  <c r="BH499" i="13"/>
  <c r="BC500" i="13"/>
  <c r="BD500" i="13"/>
  <c r="BE500" i="13"/>
  <c r="BF500" i="13"/>
  <c r="BG500" i="13"/>
  <c r="BH500" i="13"/>
  <c r="BC501" i="13"/>
  <c r="BD501" i="13"/>
  <c r="BE501" i="13"/>
  <c r="BF501" i="13"/>
  <c r="BG501" i="13"/>
  <c r="BH501" i="13"/>
  <c r="BC502" i="13"/>
  <c r="BD502" i="13"/>
  <c r="BE502" i="13"/>
  <c r="BF502" i="13"/>
  <c r="BG502" i="13"/>
  <c r="BH502" i="13"/>
  <c r="BC503" i="13"/>
  <c r="BD503" i="13"/>
  <c r="BE503" i="13"/>
  <c r="BF503" i="13"/>
  <c r="BG503" i="13"/>
  <c r="BH503" i="13"/>
  <c r="BC504" i="13"/>
  <c r="BD504" i="13"/>
  <c r="BE504" i="13"/>
  <c r="BF504" i="13"/>
  <c r="BG504" i="13"/>
  <c r="BH504" i="13"/>
  <c r="BC505" i="13"/>
  <c r="BD505" i="13"/>
  <c r="BE505" i="13"/>
  <c r="BF505" i="13"/>
  <c r="BG505" i="13"/>
  <c r="BH505" i="13"/>
  <c r="BC506" i="13"/>
  <c r="BD506" i="13"/>
  <c r="BE506" i="13"/>
  <c r="BF506" i="13"/>
  <c r="BG506" i="13"/>
  <c r="BH506" i="13"/>
  <c r="BC6" i="13"/>
  <c r="BD6" i="13"/>
  <c r="BE6" i="13"/>
  <c r="BF6" i="13"/>
  <c r="BG6" i="13"/>
  <c r="BH6" i="13"/>
  <c r="BC7" i="13"/>
  <c r="BD7" i="13"/>
  <c r="BE7" i="13"/>
  <c r="BF7" i="13"/>
  <c r="BG7" i="13"/>
  <c r="BH7" i="13"/>
  <c r="BC8" i="13"/>
  <c r="BD8" i="13"/>
  <c r="BE8" i="13"/>
  <c r="BF8" i="13"/>
  <c r="BG8" i="13"/>
  <c r="BH8" i="13"/>
  <c r="BH5" i="13"/>
  <c r="BG5" i="13"/>
  <c r="BF5" i="13"/>
  <c r="BE5" i="13"/>
  <c r="BD5" i="13"/>
  <c r="BC5" i="13"/>
  <c r="U499" i="13"/>
  <c r="AB499" i="13"/>
  <c r="AK499" i="13"/>
  <c r="AO499" i="13"/>
  <c r="AU499" i="13"/>
  <c r="BA499" i="13"/>
  <c r="AA499" i="13"/>
  <c r="AJ499" i="13"/>
  <c r="AT499" i="13"/>
  <c r="AZ499" i="13"/>
  <c r="Z499" i="13"/>
  <c r="AI499" i="13"/>
  <c r="AS499" i="13"/>
  <c r="AY499" i="13"/>
  <c r="Y499" i="13"/>
  <c r="AH499" i="13"/>
  <c r="AR499" i="13"/>
  <c r="AX499" i="13"/>
  <c r="X499" i="13"/>
  <c r="AG499" i="13"/>
  <c r="AQ499" i="13"/>
  <c r="AW499" i="13"/>
  <c r="W499" i="13"/>
  <c r="AF499" i="13"/>
  <c r="AP499" i="13"/>
  <c r="AV499" i="13"/>
  <c r="U498" i="13"/>
  <c r="AB498" i="13"/>
  <c r="AK498" i="13"/>
  <c r="AO498" i="13"/>
  <c r="AU498" i="13"/>
  <c r="BA498" i="13"/>
  <c r="AA498" i="13"/>
  <c r="AJ498" i="13"/>
  <c r="AT498" i="13"/>
  <c r="AZ498" i="13"/>
  <c r="Z498" i="13"/>
  <c r="AI498" i="13"/>
  <c r="AS498" i="13"/>
  <c r="AY498" i="13"/>
  <c r="Y498" i="13"/>
  <c r="AH498" i="13"/>
  <c r="AR498" i="13"/>
  <c r="AX498" i="13"/>
  <c r="X498" i="13"/>
  <c r="AG498" i="13"/>
  <c r="AQ498" i="13"/>
  <c r="AW498" i="13"/>
  <c r="W498" i="13"/>
  <c r="AF498" i="13"/>
  <c r="AP498" i="13"/>
  <c r="AV498" i="13"/>
  <c r="U497" i="13"/>
  <c r="AB497" i="13"/>
  <c r="AK497" i="13"/>
  <c r="AO497" i="13"/>
  <c r="AU497" i="13"/>
  <c r="BA497" i="13"/>
  <c r="AA497" i="13"/>
  <c r="AJ497" i="13"/>
  <c r="AT497" i="13"/>
  <c r="AZ497" i="13"/>
  <c r="Z497" i="13"/>
  <c r="AI497" i="13"/>
  <c r="AS497" i="13"/>
  <c r="AY497" i="13"/>
  <c r="Y497" i="13"/>
  <c r="AH497" i="13"/>
  <c r="AR497" i="13"/>
  <c r="AX497" i="13"/>
  <c r="X497" i="13"/>
  <c r="AG497" i="13"/>
  <c r="AQ497" i="13"/>
  <c r="AW497" i="13"/>
  <c r="W497" i="13"/>
  <c r="AF497" i="13"/>
  <c r="AP497" i="13"/>
  <c r="AV497" i="13"/>
  <c r="U496" i="13"/>
  <c r="AB496" i="13"/>
  <c r="AK496" i="13"/>
  <c r="AO496" i="13"/>
  <c r="AU496" i="13"/>
  <c r="BA496" i="13"/>
  <c r="AA496" i="13"/>
  <c r="AJ496" i="13"/>
  <c r="AT496" i="13"/>
  <c r="AZ496" i="13"/>
  <c r="Z496" i="13"/>
  <c r="AI496" i="13"/>
  <c r="AS496" i="13"/>
  <c r="AY496" i="13"/>
  <c r="Y496" i="13"/>
  <c r="AH496" i="13"/>
  <c r="AR496" i="13"/>
  <c r="AX496" i="13"/>
  <c r="X496" i="13"/>
  <c r="AG496" i="13"/>
  <c r="AQ496" i="13"/>
  <c r="AW496" i="13"/>
  <c r="W496" i="13"/>
  <c r="AF496" i="13"/>
  <c r="AP496" i="13"/>
  <c r="AV496" i="13"/>
  <c r="AM497" i="13" l="1"/>
  <c r="AM499" i="13"/>
  <c r="BB496" i="13"/>
  <c r="AD496" i="13"/>
  <c r="CP23" i="13"/>
  <c r="CQ23" i="13" s="1"/>
  <c r="BB497" i="13"/>
  <c r="AD497" i="13"/>
  <c r="AN498" i="13"/>
  <c r="BB499" i="13"/>
  <c r="AE499" i="13"/>
  <c r="AN496" i="13"/>
  <c r="AM496" i="13"/>
  <c r="AE497" i="13"/>
  <c r="AD498" i="13"/>
  <c r="AD499" i="13"/>
  <c r="AC499" i="13" s="1"/>
  <c r="AE496" i="13"/>
  <c r="AN497" i="13"/>
  <c r="AE498" i="13"/>
  <c r="AN499" i="13"/>
  <c r="BB498" i="13"/>
  <c r="AM498" i="13"/>
  <c r="BJ5" i="13"/>
  <c r="BK5" i="13"/>
  <c r="BI5" i="13"/>
  <c r="BJ8" i="13"/>
  <c r="BI8" i="13"/>
  <c r="BK8" i="13"/>
  <c r="BI7" i="13"/>
  <c r="BK7" i="13"/>
  <c r="BJ7" i="13"/>
  <c r="BJ6" i="13"/>
  <c r="BI6" i="13"/>
  <c r="BK6" i="13"/>
  <c r="BI506" i="13"/>
  <c r="BK506" i="13"/>
  <c r="BJ506" i="13"/>
  <c r="BJ505" i="13"/>
  <c r="BI505" i="13"/>
  <c r="BK505" i="13"/>
  <c r="BI504" i="13"/>
  <c r="BK504" i="13"/>
  <c r="BJ504" i="13"/>
  <c r="BJ503" i="13"/>
  <c r="BI503" i="13"/>
  <c r="BK503" i="13"/>
  <c r="BI502" i="13"/>
  <c r="BK502" i="13"/>
  <c r="BJ502" i="13"/>
  <c r="BJ501" i="13"/>
  <c r="BI501" i="13"/>
  <c r="BK501" i="13"/>
  <c r="BI500" i="13"/>
  <c r="BK500" i="13"/>
  <c r="BJ500" i="13"/>
  <c r="BJ499" i="13"/>
  <c r="BI499" i="13"/>
  <c r="BK499" i="13"/>
  <c r="BI498" i="13"/>
  <c r="BK498" i="13"/>
  <c r="BJ498" i="13"/>
  <c r="BJ497" i="13"/>
  <c r="BI497" i="13"/>
  <c r="BK497" i="13"/>
  <c r="BI496" i="13"/>
  <c r="BK496" i="13"/>
  <c r="BJ496" i="13"/>
  <c r="BJ495" i="13"/>
  <c r="BI495" i="13"/>
  <c r="BK495" i="13"/>
  <c r="BI494" i="13"/>
  <c r="BK494" i="13"/>
  <c r="BJ494" i="13"/>
  <c r="BJ493" i="13"/>
  <c r="BI493" i="13"/>
  <c r="BK493" i="13"/>
  <c r="BI492" i="13"/>
  <c r="BK492" i="13"/>
  <c r="BJ492" i="13"/>
  <c r="BJ491" i="13"/>
  <c r="BI491" i="13"/>
  <c r="BK491" i="13"/>
  <c r="BI490" i="13"/>
  <c r="BK490" i="13"/>
  <c r="BJ490" i="13"/>
  <c r="BJ489" i="13"/>
  <c r="BI489" i="13"/>
  <c r="BK489" i="13"/>
  <c r="BI488" i="13"/>
  <c r="BK488" i="13"/>
  <c r="BJ488" i="13"/>
  <c r="BJ487" i="13"/>
  <c r="BI487" i="13"/>
  <c r="BK487" i="13"/>
  <c r="BI486" i="13"/>
  <c r="BK486" i="13"/>
  <c r="BJ486" i="13"/>
  <c r="BJ485" i="13"/>
  <c r="BI485" i="13"/>
  <c r="BK485" i="13"/>
  <c r="BI484" i="13"/>
  <c r="BK484" i="13"/>
  <c r="BJ484" i="13"/>
  <c r="BJ483" i="13"/>
  <c r="BI483" i="13"/>
  <c r="BK483" i="13"/>
  <c r="BI482" i="13"/>
  <c r="BK482" i="13"/>
  <c r="BJ482" i="13"/>
  <c r="BJ481" i="13"/>
  <c r="BI481" i="13"/>
  <c r="BK481" i="13"/>
  <c r="BI480" i="13"/>
  <c r="BK480" i="13"/>
  <c r="BJ480" i="13"/>
  <c r="BJ479" i="13"/>
  <c r="BI479" i="13"/>
  <c r="BK479" i="13"/>
  <c r="BI478" i="13"/>
  <c r="BK478" i="13"/>
  <c r="BJ478" i="13"/>
  <c r="BJ477" i="13"/>
  <c r="BI477" i="13"/>
  <c r="BK477" i="13"/>
  <c r="BI476" i="13"/>
  <c r="BK476" i="13"/>
  <c r="BJ476" i="13"/>
  <c r="BJ475" i="13"/>
  <c r="BI475" i="13"/>
  <c r="BK475" i="13"/>
  <c r="BI474" i="13"/>
  <c r="BK474" i="13"/>
  <c r="BJ474" i="13"/>
  <c r="BJ473" i="13"/>
  <c r="BI473" i="13"/>
  <c r="BK473" i="13"/>
  <c r="BI472" i="13"/>
  <c r="BK472" i="13"/>
  <c r="BJ472" i="13"/>
  <c r="BJ471" i="13"/>
  <c r="BI471" i="13"/>
  <c r="BK471" i="13"/>
  <c r="BI470" i="13"/>
  <c r="BK470" i="13"/>
  <c r="BJ470" i="13"/>
  <c r="BJ469" i="13"/>
  <c r="BI469" i="13"/>
  <c r="BK469" i="13"/>
  <c r="BI468" i="13"/>
  <c r="BK468" i="13"/>
  <c r="BJ468" i="13"/>
  <c r="BJ467" i="13"/>
  <c r="BI467" i="13"/>
  <c r="BK467" i="13"/>
  <c r="BI466" i="13"/>
  <c r="BK466" i="13"/>
  <c r="BJ466" i="13"/>
  <c r="BJ465" i="13"/>
  <c r="BI465" i="13"/>
  <c r="BK465" i="13"/>
  <c r="BI464" i="13"/>
  <c r="BK464" i="13"/>
  <c r="BJ464" i="13"/>
  <c r="BJ463" i="13"/>
  <c r="BI463" i="13"/>
  <c r="BK463" i="13"/>
  <c r="BI462" i="13"/>
  <c r="BK462" i="13"/>
  <c r="BJ462" i="13"/>
  <c r="BJ461" i="13"/>
  <c r="BI461" i="13"/>
  <c r="BK461" i="13"/>
  <c r="BI460" i="13"/>
  <c r="BK460" i="13"/>
  <c r="BJ460" i="13"/>
  <c r="BJ459" i="13"/>
  <c r="BI459" i="13"/>
  <c r="BK459" i="13"/>
  <c r="BI458" i="13"/>
  <c r="BK458" i="13"/>
  <c r="BJ458" i="13"/>
  <c r="BJ457" i="13"/>
  <c r="BI457" i="13"/>
  <c r="BK457" i="13"/>
  <c r="BI456" i="13"/>
  <c r="BK456" i="13"/>
  <c r="BJ456" i="13"/>
  <c r="BJ455" i="13"/>
  <c r="BI455" i="13"/>
  <c r="BK455" i="13"/>
  <c r="BI454" i="13"/>
  <c r="BK454" i="13"/>
  <c r="BJ454" i="13"/>
  <c r="BJ453" i="13"/>
  <c r="BI453" i="13"/>
  <c r="BK453" i="13"/>
  <c r="BI452" i="13"/>
  <c r="BK452" i="13"/>
  <c r="BJ452" i="13"/>
  <c r="BJ451" i="13"/>
  <c r="BI451" i="13"/>
  <c r="BK451" i="13"/>
  <c r="BI450" i="13"/>
  <c r="BK450" i="13"/>
  <c r="BJ450" i="13"/>
  <c r="BJ449" i="13"/>
  <c r="BI449" i="13"/>
  <c r="BK449" i="13"/>
  <c r="BI448" i="13"/>
  <c r="BK448" i="13"/>
  <c r="BJ448" i="13"/>
  <c r="BJ447" i="13"/>
  <c r="BI447" i="13"/>
  <c r="BK447" i="13"/>
  <c r="BI446" i="13"/>
  <c r="BK446" i="13"/>
  <c r="BJ446" i="13"/>
  <c r="BJ445" i="13"/>
  <c r="BI445" i="13"/>
  <c r="BK445" i="13"/>
  <c r="BI444" i="13"/>
  <c r="BK444" i="13"/>
  <c r="BJ444" i="13"/>
  <c r="BJ443" i="13"/>
  <c r="BI443" i="13"/>
  <c r="BK443" i="13"/>
  <c r="BI442" i="13"/>
  <c r="BK442" i="13"/>
  <c r="BJ442" i="13"/>
  <c r="BJ441" i="13"/>
  <c r="BI441" i="13"/>
  <c r="BK441" i="13"/>
  <c r="BI440" i="13"/>
  <c r="BK440" i="13"/>
  <c r="BJ440" i="13"/>
  <c r="BJ439" i="13"/>
  <c r="BI439" i="13"/>
  <c r="BK439" i="13"/>
  <c r="BI438" i="13"/>
  <c r="BK438" i="13"/>
  <c r="BJ438" i="13"/>
  <c r="BJ437" i="13"/>
  <c r="BI437" i="13"/>
  <c r="BK437" i="13"/>
  <c r="BI436" i="13"/>
  <c r="BK436" i="13"/>
  <c r="BJ436" i="13"/>
  <c r="BJ435" i="13"/>
  <c r="BI435" i="13"/>
  <c r="BK435" i="13"/>
  <c r="BI434" i="13"/>
  <c r="BK434" i="13"/>
  <c r="BJ434" i="13"/>
  <c r="BJ433" i="13"/>
  <c r="BI433" i="13"/>
  <c r="BK433" i="13"/>
  <c r="BI432" i="13"/>
  <c r="BK432" i="13"/>
  <c r="BJ432" i="13"/>
  <c r="BJ431" i="13"/>
  <c r="BI431" i="13"/>
  <c r="BK431" i="13"/>
  <c r="BI430" i="13"/>
  <c r="BK430" i="13"/>
  <c r="BJ430" i="13"/>
  <c r="BJ429" i="13"/>
  <c r="BI429" i="13"/>
  <c r="BK429" i="13"/>
  <c r="BI428" i="13"/>
  <c r="BK428" i="13"/>
  <c r="BJ428" i="13"/>
  <c r="BJ427" i="13"/>
  <c r="BI427" i="13"/>
  <c r="BK427" i="13"/>
  <c r="BI426" i="13"/>
  <c r="BK426" i="13"/>
  <c r="BJ426" i="13"/>
  <c r="BJ425" i="13"/>
  <c r="BI425" i="13"/>
  <c r="BK425" i="13"/>
  <c r="BI424" i="13"/>
  <c r="BK424" i="13"/>
  <c r="BJ424" i="13"/>
  <c r="BJ423" i="13"/>
  <c r="BI423" i="13"/>
  <c r="BK423" i="13"/>
  <c r="BI422" i="13"/>
  <c r="BK422" i="13"/>
  <c r="BJ422" i="13"/>
  <c r="BJ421" i="13"/>
  <c r="BI421" i="13"/>
  <c r="BK421" i="13"/>
  <c r="BI420" i="13"/>
  <c r="BK420" i="13"/>
  <c r="BJ420" i="13"/>
  <c r="BJ419" i="13"/>
  <c r="BI419" i="13"/>
  <c r="BK419" i="13"/>
  <c r="BI418" i="13"/>
  <c r="BK418" i="13"/>
  <c r="BJ418" i="13"/>
  <c r="BJ417" i="13"/>
  <c r="BI417" i="13"/>
  <c r="BK417" i="13"/>
  <c r="BI416" i="13"/>
  <c r="BK416" i="13"/>
  <c r="BJ416" i="13"/>
  <c r="BJ415" i="13"/>
  <c r="BI415" i="13"/>
  <c r="BK415" i="13"/>
  <c r="BI414" i="13"/>
  <c r="BK414" i="13"/>
  <c r="BJ414" i="13"/>
  <c r="BJ413" i="13"/>
  <c r="BI413" i="13"/>
  <c r="BK413" i="13"/>
  <c r="BI412" i="13"/>
  <c r="BK412" i="13"/>
  <c r="BJ412" i="13"/>
  <c r="BJ411" i="13"/>
  <c r="BI411" i="13"/>
  <c r="BK411" i="13"/>
  <c r="BI410" i="13"/>
  <c r="BK410" i="13"/>
  <c r="BJ410" i="13"/>
  <c r="BJ409" i="13"/>
  <c r="BI409" i="13"/>
  <c r="BK409" i="13"/>
  <c r="BI408" i="13"/>
  <c r="BK408" i="13"/>
  <c r="BJ408" i="13"/>
  <c r="BJ407" i="13"/>
  <c r="BI407" i="13"/>
  <c r="BK407" i="13"/>
  <c r="BI406" i="13"/>
  <c r="BK406" i="13"/>
  <c r="BJ406" i="13"/>
  <c r="BJ405" i="13"/>
  <c r="BI405" i="13"/>
  <c r="BK405" i="13"/>
  <c r="BI404" i="13"/>
  <c r="BK404" i="13"/>
  <c r="BJ404" i="13"/>
  <c r="BJ403" i="13"/>
  <c r="BI403" i="13"/>
  <c r="BK403" i="13"/>
  <c r="BI402" i="13"/>
  <c r="BK402" i="13"/>
  <c r="BJ402" i="13"/>
  <c r="BJ401" i="13"/>
  <c r="BI401" i="13"/>
  <c r="BK401" i="13"/>
  <c r="BI400" i="13"/>
  <c r="BK400" i="13"/>
  <c r="BJ400" i="13"/>
  <c r="BJ399" i="13"/>
  <c r="BI399" i="13"/>
  <c r="BK399" i="13"/>
  <c r="BI398" i="13"/>
  <c r="BK398" i="13"/>
  <c r="BJ398" i="13"/>
  <c r="BJ397" i="13"/>
  <c r="BI397" i="13"/>
  <c r="BK397" i="13"/>
  <c r="BI396" i="13"/>
  <c r="BK396" i="13"/>
  <c r="BJ396" i="13"/>
  <c r="BJ395" i="13"/>
  <c r="BI395" i="13"/>
  <c r="BK395" i="13"/>
  <c r="BI394" i="13"/>
  <c r="BK394" i="13"/>
  <c r="BJ394" i="13"/>
  <c r="BJ393" i="13"/>
  <c r="BI393" i="13"/>
  <c r="BK393" i="13"/>
  <c r="BI392" i="13"/>
  <c r="BK392" i="13"/>
  <c r="BJ392" i="13"/>
  <c r="BJ391" i="13"/>
  <c r="BI391" i="13"/>
  <c r="BK391" i="13"/>
  <c r="BI390" i="13"/>
  <c r="BK390" i="13"/>
  <c r="BJ390" i="13"/>
  <c r="BJ389" i="13"/>
  <c r="BI389" i="13"/>
  <c r="BK389" i="13"/>
  <c r="BI388" i="13"/>
  <c r="BK388" i="13"/>
  <c r="BJ388" i="13"/>
  <c r="BJ387" i="13"/>
  <c r="BI387" i="13"/>
  <c r="BK387" i="13"/>
  <c r="BI386" i="13"/>
  <c r="BK386" i="13"/>
  <c r="BJ386" i="13"/>
  <c r="BJ385" i="13"/>
  <c r="BI385" i="13"/>
  <c r="BK385" i="13"/>
  <c r="BI384" i="13"/>
  <c r="BK384" i="13"/>
  <c r="BJ384" i="13"/>
  <c r="BJ383" i="13"/>
  <c r="BI383" i="13"/>
  <c r="BK383" i="13"/>
  <c r="BI382" i="13"/>
  <c r="BK382" i="13"/>
  <c r="BJ382" i="13"/>
  <c r="BJ381" i="13"/>
  <c r="BI381" i="13"/>
  <c r="BK381" i="13"/>
  <c r="BI380" i="13"/>
  <c r="BK380" i="13"/>
  <c r="BJ380" i="13"/>
  <c r="BJ379" i="13"/>
  <c r="BI379" i="13"/>
  <c r="BK379" i="13"/>
  <c r="BI378" i="13"/>
  <c r="BK378" i="13"/>
  <c r="BJ378" i="13"/>
  <c r="BJ377" i="13"/>
  <c r="BI377" i="13"/>
  <c r="BK377" i="13"/>
  <c r="BI376" i="13"/>
  <c r="BK376" i="13"/>
  <c r="BJ376" i="13"/>
  <c r="BJ375" i="13"/>
  <c r="BI375" i="13"/>
  <c r="BK375" i="13"/>
  <c r="BI374" i="13"/>
  <c r="BK374" i="13"/>
  <c r="BJ374" i="13"/>
  <c r="BJ373" i="13"/>
  <c r="BI373" i="13"/>
  <c r="BK373" i="13"/>
  <c r="BI372" i="13"/>
  <c r="BK372" i="13"/>
  <c r="BJ372" i="13"/>
  <c r="BJ371" i="13"/>
  <c r="BI371" i="13"/>
  <c r="BK371" i="13"/>
  <c r="BI370" i="13"/>
  <c r="BK370" i="13"/>
  <c r="BJ370" i="13"/>
  <c r="BJ369" i="13"/>
  <c r="BI369" i="13"/>
  <c r="BK369" i="13"/>
  <c r="BI368" i="13"/>
  <c r="BK368" i="13"/>
  <c r="BJ368" i="13"/>
  <c r="BJ367" i="13"/>
  <c r="BI367" i="13"/>
  <c r="BK367" i="13"/>
  <c r="BI366" i="13"/>
  <c r="BK366" i="13"/>
  <c r="BJ366" i="13"/>
  <c r="BJ365" i="13"/>
  <c r="BI365" i="13"/>
  <c r="BK365" i="13"/>
  <c r="BI364" i="13"/>
  <c r="BK364" i="13"/>
  <c r="BJ364" i="13"/>
  <c r="BJ363" i="13"/>
  <c r="BI363" i="13"/>
  <c r="BK363" i="13"/>
  <c r="BI362" i="13"/>
  <c r="BK362" i="13"/>
  <c r="BJ362" i="13"/>
  <c r="BJ361" i="13"/>
  <c r="BI361" i="13"/>
  <c r="BK361" i="13"/>
  <c r="BI360" i="13"/>
  <c r="BK360" i="13"/>
  <c r="BJ360" i="13"/>
  <c r="BJ359" i="13"/>
  <c r="BI359" i="13"/>
  <c r="BK359" i="13"/>
  <c r="BI358" i="13"/>
  <c r="BK358" i="13"/>
  <c r="BJ358" i="13"/>
  <c r="BJ357" i="13"/>
  <c r="BI357" i="13"/>
  <c r="BK357" i="13"/>
  <c r="BI356" i="13"/>
  <c r="BK356" i="13"/>
  <c r="BJ356" i="13"/>
  <c r="BJ355" i="13"/>
  <c r="BI355" i="13"/>
  <c r="BK355" i="13"/>
  <c r="BI354" i="13"/>
  <c r="BK354" i="13"/>
  <c r="BJ354" i="13"/>
  <c r="BJ353" i="13"/>
  <c r="BI353" i="13"/>
  <c r="BK353" i="13"/>
  <c r="BI352" i="13"/>
  <c r="BK352" i="13"/>
  <c r="BJ352" i="13"/>
  <c r="BJ351" i="13"/>
  <c r="BI351" i="13"/>
  <c r="BK351" i="13"/>
  <c r="BI350" i="13"/>
  <c r="BK350" i="13"/>
  <c r="BJ350" i="13"/>
  <c r="BJ349" i="13"/>
  <c r="BI349" i="13"/>
  <c r="BK349" i="13"/>
  <c r="BI348" i="13"/>
  <c r="BK348" i="13"/>
  <c r="BJ348" i="13"/>
  <c r="BJ347" i="13"/>
  <c r="BI347" i="13"/>
  <c r="BK347" i="13"/>
  <c r="BI346" i="13"/>
  <c r="BK346" i="13"/>
  <c r="BJ346" i="13"/>
  <c r="BJ345" i="13"/>
  <c r="BI345" i="13"/>
  <c r="BK345" i="13"/>
  <c r="BI344" i="13"/>
  <c r="BK344" i="13"/>
  <c r="BJ344" i="13"/>
  <c r="BJ343" i="13"/>
  <c r="BI343" i="13"/>
  <c r="BK343" i="13"/>
  <c r="BI342" i="13"/>
  <c r="BK342" i="13"/>
  <c r="BJ342" i="13"/>
  <c r="BJ341" i="13"/>
  <c r="BI341" i="13"/>
  <c r="BK341" i="13"/>
  <c r="BI340" i="13"/>
  <c r="BK340" i="13"/>
  <c r="BJ340" i="13"/>
  <c r="BJ339" i="13"/>
  <c r="BI339" i="13"/>
  <c r="BK339" i="13"/>
  <c r="BI338" i="13"/>
  <c r="BK338" i="13"/>
  <c r="BJ338" i="13"/>
  <c r="BJ337" i="13"/>
  <c r="BI337" i="13"/>
  <c r="BK337" i="13"/>
  <c r="BI336" i="13"/>
  <c r="BK336" i="13"/>
  <c r="BJ336" i="13"/>
  <c r="BI335" i="13"/>
  <c r="BJ335" i="13"/>
  <c r="BK335" i="13"/>
  <c r="BJ334" i="13"/>
  <c r="BI334" i="13"/>
  <c r="BK334" i="13"/>
  <c r="BI333" i="13"/>
  <c r="BK333" i="13"/>
  <c r="BJ333" i="13"/>
  <c r="BJ332" i="13"/>
  <c r="BK332" i="13"/>
  <c r="BI332" i="13"/>
  <c r="BI331" i="13"/>
  <c r="BK331" i="13"/>
  <c r="BJ331" i="13"/>
  <c r="BJ330" i="13"/>
  <c r="BI330" i="13"/>
  <c r="BK330" i="13"/>
  <c r="BI329" i="13"/>
  <c r="BK329" i="13"/>
  <c r="BJ329" i="13"/>
  <c r="BJ328" i="13"/>
  <c r="BK328" i="13"/>
  <c r="BI328" i="13"/>
  <c r="BI327" i="13"/>
  <c r="BK327" i="13"/>
  <c r="BJ327" i="13"/>
  <c r="BJ326" i="13"/>
  <c r="BI326" i="13"/>
  <c r="BK326" i="13"/>
  <c r="BI325" i="13"/>
  <c r="BK325" i="13"/>
  <c r="BJ325" i="13"/>
  <c r="BJ324" i="13"/>
  <c r="BK324" i="13"/>
  <c r="BI324" i="13"/>
  <c r="BI323" i="13"/>
  <c r="BK323" i="13"/>
  <c r="BJ323" i="13"/>
  <c r="BJ322" i="13"/>
  <c r="BI322" i="13"/>
  <c r="BK322" i="13"/>
  <c r="BI321" i="13"/>
  <c r="BK321" i="13"/>
  <c r="BJ321" i="13"/>
  <c r="BJ320" i="13"/>
  <c r="BK320" i="13"/>
  <c r="BI320" i="13"/>
  <c r="BI319" i="13"/>
  <c r="BK319" i="13"/>
  <c r="BJ319" i="13"/>
  <c r="BI318" i="13"/>
  <c r="BK318" i="13"/>
  <c r="BJ318" i="13"/>
  <c r="BJ317" i="13"/>
  <c r="BI317" i="13"/>
  <c r="BK317" i="13"/>
  <c r="BI316" i="13"/>
  <c r="BK316" i="13"/>
  <c r="BJ316" i="13"/>
  <c r="BJ315" i="13"/>
  <c r="BI315" i="13"/>
  <c r="BK315" i="13"/>
  <c r="BI314" i="13"/>
  <c r="BK314" i="13"/>
  <c r="BJ314" i="13"/>
  <c r="BJ313" i="13"/>
  <c r="BI313" i="13"/>
  <c r="BK313" i="13"/>
  <c r="BI312" i="13"/>
  <c r="BK312" i="13"/>
  <c r="BJ312" i="13"/>
  <c r="BJ311" i="13"/>
  <c r="BI311" i="13"/>
  <c r="BK311" i="13"/>
  <c r="BI310" i="13"/>
  <c r="BK310" i="13"/>
  <c r="BJ310" i="13"/>
  <c r="BJ309" i="13"/>
  <c r="BI309" i="13"/>
  <c r="BK309" i="13"/>
  <c r="BI308" i="13"/>
  <c r="BK308" i="13"/>
  <c r="BJ308" i="13"/>
  <c r="BJ307" i="13"/>
  <c r="BI307" i="13"/>
  <c r="BK307" i="13"/>
  <c r="BI306" i="13"/>
  <c r="BK306" i="13"/>
  <c r="BJ306" i="13"/>
  <c r="BJ305" i="13"/>
  <c r="BI305" i="13"/>
  <c r="BK305" i="13"/>
  <c r="BI304" i="13"/>
  <c r="BK304" i="13"/>
  <c r="BJ304" i="13"/>
  <c r="BJ303" i="13"/>
  <c r="BI303" i="13"/>
  <c r="BK303" i="13"/>
  <c r="BI302" i="13"/>
  <c r="BK302" i="13"/>
  <c r="BJ302" i="13"/>
  <c r="BJ301" i="13"/>
  <c r="BI301" i="13"/>
  <c r="BK301" i="13"/>
  <c r="BI300" i="13"/>
  <c r="BK300" i="13"/>
  <c r="BJ300" i="13"/>
  <c r="BJ299" i="13"/>
  <c r="BI299" i="13"/>
  <c r="BK299" i="13"/>
  <c r="BI298" i="13"/>
  <c r="BK298" i="13"/>
  <c r="BJ298" i="13"/>
  <c r="BJ297" i="13"/>
  <c r="BI297" i="13"/>
  <c r="BK297" i="13"/>
  <c r="BI296" i="13"/>
  <c r="BK296" i="13"/>
  <c r="BJ296" i="13"/>
  <c r="BJ295" i="13"/>
  <c r="BI295" i="13"/>
  <c r="BK295" i="13"/>
  <c r="BI294" i="13"/>
  <c r="BK294" i="13"/>
  <c r="BJ294" i="13"/>
  <c r="BJ293" i="13"/>
  <c r="BI293" i="13"/>
  <c r="BK293" i="13"/>
  <c r="BI292" i="13"/>
  <c r="BK292" i="13"/>
  <c r="BJ292" i="13"/>
  <c r="BI291" i="13"/>
  <c r="BK291" i="13"/>
  <c r="BJ291" i="13"/>
  <c r="BI290" i="13"/>
  <c r="BK290" i="13"/>
  <c r="BJ290" i="13"/>
  <c r="BI289" i="13"/>
  <c r="BK289" i="13"/>
  <c r="BJ289" i="13"/>
  <c r="BI288" i="13"/>
  <c r="BK288" i="13"/>
  <c r="BJ288" i="13"/>
  <c r="BI287" i="13"/>
  <c r="BK287" i="13"/>
  <c r="BJ287" i="13"/>
  <c r="BI286" i="13"/>
  <c r="BK286" i="13"/>
  <c r="BJ286" i="13"/>
  <c r="BI285" i="13"/>
  <c r="BK285" i="13"/>
  <c r="BJ285" i="13"/>
  <c r="BI284" i="13"/>
  <c r="BK284" i="13"/>
  <c r="BJ284" i="13"/>
  <c r="BI283" i="13"/>
  <c r="BK283" i="13"/>
  <c r="BJ283" i="13"/>
  <c r="BI282" i="13"/>
  <c r="BK282" i="13"/>
  <c r="BJ282" i="13"/>
  <c r="BI281" i="13"/>
  <c r="BK281" i="13"/>
  <c r="BJ281" i="13"/>
  <c r="BI280" i="13"/>
  <c r="BK280" i="13"/>
  <c r="BJ280" i="13"/>
  <c r="BI279" i="13"/>
  <c r="BK279" i="13"/>
  <c r="BJ279" i="13"/>
  <c r="BI278" i="13"/>
  <c r="BK278" i="13"/>
  <c r="BJ278" i="13"/>
  <c r="BI277" i="13"/>
  <c r="BK277" i="13"/>
  <c r="BJ277" i="13"/>
  <c r="BI276" i="13"/>
  <c r="BK276" i="13"/>
  <c r="BJ276" i="13"/>
  <c r="BI275" i="13"/>
  <c r="BK275" i="13"/>
  <c r="BJ275" i="13"/>
  <c r="BI274" i="13"/>
  <c r="BK274" i="13"/>
  <c r="BJ274" i="13"/>
  <c r="BI273" i="13"/>
  <c r="BK273" i="13"/>
  <c r="BJ273" i="13"/>
  <c r="BI272" i="13"/>
  <c r="BK272" i="13"/>
  <c r="BJ272" i="13"/>
  <c r="BI271" i="13"/>
  <c r="BK271" i="13"/>
  <c r="BJ271" i="13"/>
  <c r="BI270" i="13"/>
  <c r="BK270" i="13"/>
  <c r="BJ270" i="13"/>
  <c r="BI269" i="13"/>
  <c r="BK269" i="13"/>
  <c r="BJ269" i="13"/>
  <c r="BI268" i="13"/>
  <c r="BK268" i="13"/>
  <c r="BJ268" i="13"/>
  <c r="BI267" i="13"/>
  <c r="BK267" i="13"/>
  <c r="BJ267" i="13"/>
  <c r="BI266" i="13"/>
  <c r="BK266" i="13"/>
  <c r="BJ266" i="13"/>
  <c r="BI265" i="13"/>
  <c r="BK265" i="13"/>
  <c r="BJ265" i="13"/>
  <c r="BI264" i="13"/>
  <c r="BK264" i="13"/>
  <c r="BJ264" i="13"/>
  <c r="BI263" i="13"/>
  <c r="BK263" i="13"/>
  <c r="BJ263" i="13"/>
  <c r="BI262" i="13"/>
  <c r="BK262" i="13"/>
  <c r="BJ262" i="13"/>
  <c r="BJ261" i="13"/>
  <c r="BI261" i="13"/>
  <c r="BK261" i="13"/>
  <c r="BI260" i="13"/>
  <c r="BK260" i="13"/>
  <c r="BJ260" i="13"/>
  <c r="BJ259" i="13"/>
  <c r="BI259" i="13"/>
  <c r="BK259" i="13"/>
  <c r="BI258" i="13"/>
  <c r="BK258" i="13"/>
  <c r="BJ258" i="13"/>
  <c r="BJ257" i="13"/>
  <c r="BI257" i="13"/>
  <c r="BK257" i="13"/>
  <c r="BI256" i="13"/>
  <c r="BK256" i="13"/>
  <c r="BJ256" i="13"/>
  <c r="BJ255" i="13"/>
  <c r="BI255" i="13"/>
  <c r="BK255" i="13"/>
  <c r="BI254" i="13"/>
  <c r="BK254" i="13"/>
  <c r="BJ254" i="13"/>
  <c r="BJ253" i="13"/>
  <c r="BI253" i="13"/>
  <c r="BK253" i="13"/>
  <c r="BI252" i="13"/>
  <c r="BK252" i="13"/>
  <c r="BJ252" i="13"/>
  <c r="BJ251" i="13"/>
  <c r="BI251" i="13"/>
  <c r="BK251" i="13"/>
  <c r="BI250" i="13"/>
  <c r="BK250" i="13"/>
  <c r="BJ250" i="13"/>
  <c r="BJ249" i="13"/>
  <c r="BI249" i="13"/>
  <c r="BK249" i="13"/>
  <c r="BI248" i="13"/>
  <c r="BK248" i="13"/>
  <c r="BJ248" i="13"/>
  <c r="BJ247" i="13"/>
  <c r="BI247" i="13"/>
  <c r="BK247" i="13"/>
  <c r="BI246" i="13"/>
  <c r="BK246" i="13"/>
  <c r="BJ246" i="13"/>
  <c r="BJ245" i="13"/>
  <c r="BI245" i="13"/>
  <c r="BK245" i="13"/>
  <c r="BI244" i="13"/>
  <c r="BK244" i="13"/>
  <c r="BJ244" i="13"/>
  <c r="BJ243" i="13"/>
  <c r="BI243" i="13"/>
  <c r="BK243" i="13"/>
  <c r="BI242" i="13"/>
  <c r="BK242" i="13"/>
  <c r="BJ242" i="13"/>
  <c r="BJ241" i="13"/>
  <c r="BI241" i="13"/>
  <c r="BK241" i="13"/>
  <c r="BI240" i="13"/>
  <c r="BK240" i="13"/>
  <c r="BJ240" i="13"/>
  <c r="BJ239" i="13"/>
  <c r="BI239" i="13"/>
  <c r="BK239" i="13"/>
  <c r="BI238" i="13"/>
  <c r="BK238" i="13"/>
  <c r="BJ238" i="13"/>
  <c r="BJ237" i="13"/>
  <c r="BI237" i="13"/>
  <c r="BK237" i="13"/>
  <c r="BI236" i="13"/>
  <c r="BK236" i="13"/>
  <c r="BJ236" i="13"/>
  <c r="BJ235" i="13"/>
  <c r="BI235" i="13"/>
  <c r="BK235" i="13"/>
  <c r="BI234" i="13"/>
  <c r="BK234" i="13"/>
  <c r="BJ234" i="13"/>
  <c r="BJ233" i="13"/>
  <c r="BI233" i="13"/>
  <c r="BK233" i="13"/>
  <c r="BI232" i="13"/>
  <c r="BK232" i="13"/>
  <c r="BJ232" i="13"/>
  <c r="BJ231" i="13"/>
  <c r="BI231" i="13"/>
  <c r="BK231" i="13"/>
  <c r="BI230" i="13"/>
  <c r="BK230" i="13"/>
  <c r="BJ230" i="13"/>
  <c r="BJ229" i="13"/>
  <c r="BI229" i="13"/>
  <c r="BK229" i="13"/>
  <c r="BI228" i="13"/>
  <c r="BK228" i="13"/>
  <c r="BJ228" i="13"/>
  <c r="BJ227" i="13"/>
  <c r="BI227" i="13"/>
  <c r="BK227" i="13"/>
  <c r="BI226" i="13"/>
  <c r="BK226" i="13"/>
  <c r="BJ226" i="13"/>
  <c r="BJ225" i="13"/>
  <c r="BI225" i="13"/>
  <c r="BK225" i="13"/>
  <c r="BI224" i="13"/>
  <c r="BK224" i="13"/>
  <c r="BJ224" i="13"/>
  <c r="BJ223" i="13"/>
  <c r="BI223" i="13"/>
  <c r="BK223" i="13"/>
  <c r="BI222" i="13"/>
  <c r="BK222" i="13"/>
  <c r="BJ222" i="13"/>
  <c r="BJ221" i="13"/>
  <c r="BI221" i="13"/>
  <c r="BK221" i="13"/>
  <c r="BI220" i="13"/>
  <c r="BK220" i="13"/>
  <c r="BJ220" i="13"/>
  <c r="BJ219" i="13"/>
  <c r="BI219" i="13"/>
  <c r="BK219" i="13"/>
  <c r="BI218" i="13"/>
  <c r="BK218" i="13"/>
  <c r="BJ218" i="13"/>
  <c r="BJ217" i="13"/>
  <c r="BI217" i="13"/>
  <c r="BK217" i="13"/>
  <c r="BI216" i="13"/>
  <c r="BK216" i="13"/>
  <c r="BJ216" i="13"/>
  <c r="BJ215" i="13"/>
  <c r="BI215" i="13"/>
  <c r="BK215" i="13"/>
  <c r="BI214" i="13"/>
  <c r="BK214" i="13"/>
  <c r="BJ214" i="13"/>
  <c r="BJ213" i="13"/>
  <c r="BI213" i="13"/>
  <c r="BK213" i="13"/>
  <c r="BI212" i="13"/>
  <c r="BK212" i="13"/>
  <c r="BJ212" i="13"/>
  <c r="BJ211" i="13"/>
  <c r="BI211" i="13"/>
  <c r="BK211" i="13"/>
  <c r="BI210" i="13"/>
  <c r="BK210" i="13"/>
  <c r="BJ210" i="13"/>
  <c r="BJ209" i="13"/>
  <c r="BI209" i="13"/>
  <c r="BK209" i="13"/>
  <c r="BI208" i="13"/>
  <c r="BK208" i="13"/>
  <c r="BJ208" i="13"/>
  <c r="BJ207" i="13"/>
  <c r="BI207" i="13"/>
  <c r="BK207" i="13"/>
  <c r="BI206" i="13"/>
  <c r="BK206" i="13"/>
  <c r="BJ206" i="13"/>
  <c r="BJ205" i="13"/>
  <c r="BI205" i="13"/>
  <c r="BK205" i="13"/>
  <c r="BI204" i="13"/>
  <c r="BK204" i="13"/>
  <c r="BJ204" i="13"/>
  <c r="BJ203" i="13"/>
  <c r="BI203" i="13"/>
  <c r="BK203" i="13"/>
  <c r="BI202" i="13"/>
  <c r="BK202" i="13"/>
  <c r="BJ202" i="13"/>
  <c r="BJ201" i="13"/>
  <c r="BI201" i="13"/>
  <c r="BK201" i="13"/>
  <c r="BI200" i="13"/>
  <c r="BK200" i="13"/>
  <c r="BJ200" i="13"/>
  <c r="BJ199" i="13"/>
  <c r="BI199" i="13"/>
  <c r="BK199" i="13"/>
  <c r="BI198" i="13"/>
  <c r="BK198" i="13"/>
  <c r="BJ198" i="13"/>
  <c r="BJ197" i="13"/>
  <c r="BI197" i="13"/>
  <c r="BK197" i="13"/>
  <c r="BI196" i="13"/>
  <c r="BK196" i="13"/>
  <c r="BJ196" i="13"/>
  <c r="BJ195" i="13"/>
  <c r="BI195" i="13"/>
  <c r="BK195" i="13"/>
  <c r="BI194" i="13"/>
  <c r="BK194" i="13"/>
  <c r="BJ194" i="13"/>
  <c r="BJ193" i="13"/>
  <c r="BI193" i="13"/>
  <c r="BK193" i="13"/>
  <c r="BI192" i="13"/>
  <c r="BK192" i="13"/>
  <c r="BJ192" i="13"/>
  <c r="BJ191" i="13"/>
  <c r="BI191" i="13"/>
  <c r="BK191" i="13"/>
  <c r="BI190" i="13"/>
  <c r="BK190" i="13"/>
  <c r="BJ190" i="13"/>
  <c r="BJ189" i="13"/>
  <c r="BI189" i="13"/>
  <c r="BK189" i="13"/>
  <c r="BI188" i="13"/>
  <c r="BK188" i="13"/>
  <c r="BJ188" i="13"/>
  <c r="BJ187" i="13"/>
  <c r="BI187" i="13"/>
  <c r="BK187" i="13"/>
  <c r="BI186" i="13"/>
  <c r="BK186" i="13"/>
  <c r="BJ186" i="13"/>
  <c r="BJ185" i="13"/>
  <c r="BI185" i="13"/>
  <c r="BK185" i="13"/>
  <c r="BI184" i="13"/>
  <c r="BK184" i="13"/>
  <c r="BJ184" i="13"/>
  <c r="BJ183" i="13"/>
  <c r="BI183" i="13"/>
  <c r="BK183" i="13"/>
  <c r="BI182" i="13"/>
  <c r="BK182" i="13"/>
  <c r="BJ182" i="13"/>
  <c r="BJ181" i="13"/>
  <c r="BI181" i="13"/>
  <c r="BK181" i="13"/>
  <c r="BI180" i="13"/>
  <c r="BK180" i="13"/>
  <c r="BJ180" i="13"/>
  <c r="BJ179" i="13"/>
  <c r="BI179" i="13"/>
  <c r="BK179" i="13"/>
  <c r="BI178" i="13"/>
  <c r="BK178" i="13"/>
  <c r="BJ178" i="13"/>
  <c r="BJ177" i="13"/>
  <c r="BI177" i="13"/>
  <c r="BK177" i="13"/>
  <c r="BI176" i="13"/>
  <c r="BK176" i="13"/>
  <c r="BJ176" i="13"/>
  <c r="BJ175" i="13"/>
  <c r="BI175" i="13"/>
  <c r="BK175" i="13"/>
  <c r="BI174" i="13"/>
  <c r="BK174" i="13"/>
  <c r="BJ174" i="13"/>
  <c r="BJ173" i="13"/>
  <c r="BI173" i="13"/>
  <c r="BK173" i="13"/>
  <c r="BI172" i="13"/>
  <c r="BK172" i="13"/>
  <c r="BJ172" i="13"/>
  <c r="BJ171" i="13"/>
  <c r="BI171" i="13"/>
  <c r="BK171" i="13"/>
  <c r="BI170" i="13"/>
  <c r="BK170" i="13"/>
  <c r="BJ170" i="13"/>
  <c r="BJ169" i="13"/>
  <c r="BI169" i="13"/>
  <c r="BK169" i="13"/>
  <c r="BI168" i="13"/>
  <c r="BK168" i="13"/>
  <c r="BJ168" i="13"/>
  <c r="BJ167" i="13"/>
  <c r="BI167" i="13"/>
  <c r="BK167" i="13"/>
  <c r="BI166" i="13"/>
  <c r="BK166" i="13"/>
  <c r="BJ166" i="13"/>
  <c r="BJ165" i="13"/>
  <c r="BK165" i="13"/>
  <c r="BI165" i="13"/>
  <c r="BI164" i="13"/>
  <c r="BK164" i="13"/>
  <c r="BJ164" i="13"/>
  <c r="BJ163" i="13"/>
  <c r="BI163" i="13"/>
  <c r="BK163" i="13"/>
  <c r="BI162" i="13"/>
  <c r="BK162" i="13"/>
  <c r="BJ162" i="13"/>
  <c r="BJ161" i="13"/>
  <c r="BK161" i="13"/>
  <c r="BI161" i="13"/>
  <c r="BI160" i="13"/>
  <c r="BK160" i="13"/>
  <c r="BJ160" i="13"/>
  <c r="BJ159" i="13"/>
  <c r="BI159" i="13"/>
  <c r="BK159" i="13"/>
  <c r="BI158" i="13"/>
  <c r="BK158" i="13"/>
  <c r="BJ158" i="13"/>
  <c r="BJ157" i="13"/>
  <c r="BK157" i="13"/>
  <c r="BI157" i="13"/>
  <c r="BI156" i="13"/>
  <c r="BK156" i="13"/>
  <c r="BJ156" i="13"/>
  <c r="BJ155" i="13"/>
  <c r="BI155" i="13"/>
  <c r="BK155" i="13"/>
  <c r="BI154" i="13"/>
  <c r="BK154" i="13"/>
  <c r="BJ154" i="13"/>
  <c r="BJ153" i="13"/>
  <c r="BK153" i="13"/>
  <c r="BI153" i="13"/>
  <c r="BI152" i="13"/>
  <c r="BK152" i="13"/>
  <c r="BJ152" i="13"/>
  <c r="BJ151" i="13"/>
  <c r="BI151" i="13"/>
  <c r="BK151" i="13"/>
  <c r="BI150" i="13"/>
  <c r="BK150" i="13"/>
  <c r="BJ150" i="13"/>
  <c r="BI149" i="13"/>
  <c r="BJ149" i="13"/>
  <c r="BK149" i="13"/>
  <c r="BJ148" i="13"/>
  <c r="BI148" i="13"/>
  <c r="BK148" i="13"/>
  <c r="BI147" i="13"/>
  <c r="BK147" i="13"/>
  <c r="BJ147" i="13"/>
  <c r="BJ146" i="13"/>
  <c r="BI146" i="13"/>
  <c r="BK146" i="13"/>
  <c r="BI145" i="13"/>
  <c r="BK145" i="13"/>
  <c r="BJ145" i="13"/>
  <c r="BJ144" i="13"/>
  <c r="BI144" i="13"/>
  <c r="BK144" i="13"/>
  <c r="BI143" i="13"/>
  <c r="BK143" i="13"/>
  <c r="BJ143" i="13"/>
  <c r="BJ142" i="13"/>
  <c r="BI142" i="13"/>
  <c r="BK142" i="13"/>
  <c r="BI141" i="13"/>
  <c r="BK141" i="13"/>
  <c r="BJ141" i="13"/>
  <c r="BJ140" i="13"/>
  <c r="BI140" i="13"/>
  <c r="BK140" i="13"/>
  <c r="BI139" i="13"/>
  <c r="BK139" i="13"/>
  <c r="BJ139" i="13"/>
  <c r="BJ138" i="13"/>
  <c r="BI138" i="13"/>
  <c r="BK138" i="13"/>
  <c r="BI137" i="13"/>
  <c r="BK137" i="13"/>
  <c r="BJ137" i="13"/>
  <c r="BJ136" i="13"/>
  <c r="BI136" i="13"/>
  <c r="BK136" i="13"/>
  <c r="BI135" i="13"/>
  <c r="BK135" i="13"/>
  <c r="BJ135" i="13"/>
  <c r="BJ134" i="13"/>
  <c r="BI134" i="13"/>
  <c r="BK134" i="13"/>
  <c r="BI133" i="13"/>
  <c r="BK133" i="13"/>
  <c r="BJ133" i="13"/>
  <c r="BJ132" i="13"/>
  <c r="BI132" i="13"/>
  <c r="BK132" i="13"/>
  <c r="BI131" i="13"/>
  <c r="BK131" i="13"/>
  <c r="BJ131" i="13"/>
  <c r="BJ130" i="13"/>
  <c r="BI130" i="13"/>
  <c r="BK130" i="13"/>
  <c r="BI129" i="13"/>
  <c r="BK129" i="13"/>
  <c r="BJ129" i="13"/>
  <c r="BJ128" i="13"/>
  <c r="BI128" i="13"/>
  <c r="BK128" i="13"/>
  <c r="BI127" i="13"/>
  <c r="BK127" i="13"/>
  <c r="BJ127" i="13"/>
  <c r="BJ126" i="13"/>
  <c r="BI126" i="13"/>
  <c r="BK126" i="13"/>
  <c r="BI125" i="13"/>
  <c r="BK125" i="13"/>
  <c r="BJ125" i="13"/>
  <c r="BJ124" i="13"/>
  <c r="BI124" i="13"/>
  <c r="BK124" i="13"/>
  <c r="BI123" i="13"/>
  <c r="BK123" i="13"/>
  <c r="BJ123" i="13"/>
  <c r="BJ122" i="13"/>
  <c r="BI122" i="13"/>
  <c r="BK122" i="13"/>
  <c r="BI121" i="13"/>
  <c r="BK121" i="13"/>
  <c r="BJ121" i="13"/>
  <c r="BJ120" i="13"/>
  <c r="BI120" i="13"/>
  <c r="BK120" i="13"/>
  <c r="BI119" i="13"/>
  <c r="BK119" i="13"/>
  <c r="BJ119" i="13"/>
  <c r="BJ118" i="13"/>
  <c r="BI118" i="13"/>
  <c r="BK118" i="13"/>
  <c r="BI117" i="13"/>
  <c r="BK117" i="13"/>
  <c r="BJ117" i="13"/>
  <c r="BJ116" i="13"/>
  <c r="BI116" i="13"/>
  <c r="BK116" i="13"/>
  <c r="BI115" i="13"/>
  <c r="BK115" i="13"/>
  <c r="BJ115" i="13"/>
  <c r="BJ114" i="13"/>
  <c r="BI114" i="13"/>
  <c r="BK114" i="13"/>
  <c r="BI113" i="13"/>
  <c r="BK113" i="13"/>
  <c r="BJ113" i="13"/>
  <c r="BJ112" i="13"/>
  <c r="BI112" i="13"/>
  <c r="BK112" i="13"/>
  <c r="BI111" i="13"/>
  <c r="BK111" i="13"/>
  <c r="BJ111" i="13"/>
  <c r="BJ110" i="13"/>
  <c r="BI110" i="13"/>
  <c r="BK110" i="13"/>
  <c r="BI109" i="13"/>
  <c r="BK109" i="13"/>
  <c r="BJ109" i="13"/>
  <c r="BJ108" i="13"/>
  <c r="BI108" i="13"/>
  <c r="BK108" i="13"/>
  <c r="BI107" i="13"/>
  <c r="BK107" i="13"/>
  <c r="BJ107" i="13"/>
  <c r="BJ106" i="13"/>
  <c r="BI106" i="13"/>
  <c r="BK106" i="13"/>
  <c r="BI105" i="13"/>
  <c r="BK105" i="13"/>
  <c r="BJ105" i="13"/>
  <c r="BJ104" i="13"/>
  <c r="BI104" i="13"/>
  <c r="BK104" i="13"/>
  <c r="BI103" i="13"/>
  <c r="BK103" i="13"/>
  <c r="BJ103" i="13"/>
  <c r="BJ102" i="13"/>
  <c r="BI102" i="13"/>
  <c r="BK102" i="13"/>
  <c r="BI101" i="13"/>
  <c r="BK101" i="13"/>
  <c r="BJ101" i="13"/>
  <c r="BJ100" i="13"/>
  <c r="BI100" i="13"/>
  <c r="BK100" i="13"/>
  <c r="BI99" i="13"/>
  <c r="BK99" i="13"/>
  <c r="BJ99" i="13"/>
  <c r="BJ98" i="13"/>
  <c r="BI98" i="13"/>
  <c r="BK98" i="13"/>
  <c r="BI97" i="13"/>
  <c r="BK97" i="13"/>
  <c r="BJ97" i="13"/>
  <c r="BJ96" i="13"/>
  <c r="BI96" i="13"/>
  <c r="BK96" i="13"/>
  <c r="BI95" i="13"/>
  <c r="BK95" i="13"/>
  <c r="BJ95" i="13"/>
  <c r="BJ94" i="13"/>
  <c r="BI94" i="13"/>
  <c r="BK94" i="13"/>
  <c r="BI93" i="13"/>
  <c r="BK93" i="13"/>
  <c r="BJ93" i="13"/>
  <c r="BJ92" i="13"/>
  <c r="BI92" i="13"/>
  <c r="BK92" i="13"/>
  <c r="BI91" i="13"/>
  <c r="BK91" i="13"/>
  <c r="BJ91" i="13"/>
  <c r="BJ90" i="13"/>
  <c r="BI90" i="13"/>
  <c r="BK90" i="13"/>
  <c r="BI89" i="13"/>
  <c r="BK89" i="13"/>
  <c r="BJ89" i="13"/>
  <c r="BJ88" i="13"/>
  <c r="BI88" i="13"/>
  <c r="BK88" i="13"/>
  <c r="BI87" i="13"/>
  <c r="BK87" i="13"/>
  <c r="BJ87" i="13"/>
  <c r="BJ86" i="13"/>
  <c r="BI86" i="13"/>
  <c r="BK86" i="13"/>
  <c r="BI85" i="13"/>
  <c r="BK85" i="13"/>
  <c r="BJ85" i="13"/>
  <c r="BJ84" i="13"/>
  <c r="BI84" i="13"/>
  <c r="BK84" i="13"/>
  <c r="BI83" i="13"/>
  <c r="BK83" i="13"/>
  <c r="BJ83" i="13"/>
  <c r="BJ82" i="13"/>
  <c r="BI82" i="13"/>
  <c r="BK82" i="13"/>
  <c r="BI81" i="13"/>
  <c r="BK81" i="13"/>
  <c r="BJ81" i="13"/>
  <c r="BJ80" i="13"/>
  <c r="BI80" i="13"/>
  <c r="BK80" i="13"/>
  <c r="BI79" i="13"/>
  <c r="BK79" i="13"/>
  <c r="BJ79" i="13"/>
  <c r="BJ78" i="13"/>
  <c r="BI78" i="13"/>
  <c r="BK78" i="13"/>
  <c r="BI77" i="13"/>
  <c r="BK77" i="13"/>
  <c r="BJ77" i="13"/>
  <c r="BJ76" i="13"/>
  <c r="BI76" i="13"/>
  <c r="BK76" i="13"/>
  <c r="BI75" i="13"/>
  <c r="BK75" i="13"/>
  <c r="BJ75" i="13"/>
  <c r="BJ74" i="13"/>
  <c r="BI74" i="13"/>
  <c r="BK74" i="13"/>
  <c r="BI73" i="13"/>
  <c r="BK73" i="13"/>
  <c r="BJ73" i="13"/>
  <c r="BJ72" i="13"/>
  <c r="BI72" i="13"/>
  <c r="BK72" i="13"/>
  <c r="BI71" i="13"/>
  <c r="BK71" i="13"/>
  <c r="BJ71" i="13"/>
  <c r="BJ70" i="13"/>
  <c r="BI70" i="13"/>
  <c r="BK70" i="13"/>
  <c r="BI69" i="13"/>
  <c r="BK69" i="13"/>
  <c r="BJ69" i="13"/>
  <c r="BJ68" i="13"/>
  <c r="BI68" i="13"/>
  <c r="BK68" i="13"/>
  <c r="BI67" i="13"/>
  <c r="BK67" i="13"/>
  <c r="BJ67" i="13"/>
  <c r="BJ66" i="13"/>
  <c r="BI66" i="13"/>
  <c r="BK66" i="13"/>
  <c r="BI65" i="13"/>
  <c r="BK65" i="13"/>
  <c r="BJ65" i="13"/>
  <c r="BJ64" i="13"/>
  <c r="BI64" i="13"/>
  <c r="BK64" i="13"/>
  <c r="BI63" i="13"/>
  <c r="BK63" i="13"/>
  <c r="BJ63" i="13"/>
  <c r="BJ62" i="13"/>
  <c r="BI62" i="13"/>
  <c r="BK62" i="13"/>
  <c r="BI61" i="13"/>
  <c r="BK61" i="13"/>
  <c r="BJ61" i="13"/>
  <c r="BJ60" i="13"/>
  <c r="BI60" i="13"/>
  <c r="BK60" i="13"/>
  <c r="BI59" i="13"/>
  <c r="BK59" i="13"/>
  <c r="BJ59" i="13"/>
  <c r="BJ58" i="13"/>
  <c r="BI58" i="13"/>
  <c r="BK58" i="13"/>
  <c r="BI57" i="13"/>
  <c r="BK57" i="13"/>
  <c r="BJ57" i="13"/>
  <c r="BJ56" i="13"/>
  <c r="BI56" i="13"/>
  <c r="BK56" i="13"/>
  <c r="BI55" i="13"/>
  <c r="BK55" i="13"/>
  <c r="BJ55" i="13"/>
  <c r="BJ54" i="13"/>
  <c r="BI54" i="13"/>
  <c r="BK54" i="13"/>
  <c r="BI53" i="13"/>
  <c r="BK53" i="13"/>
  <c r="BJ53" i="13"/>
  <c r="BJ52" i="13"/>
  <c r="BI52" i="13"/>
  <c r="BK52" i="13"/>
  <c r="BI51" i="13"/>
  <c r="BK51" i="13"/>
  <c r="BJ51" i="13"/>
  <c r="BJ50" i="13"/>
  <c r="BI50" i="13"/>
  <c r="BK50" i="13"/>
  <c r="BI49" i="13"/>
  <c r="BK49" i="13"/>
  <c r="BJ49" i="13"/>
  <c r="BJ48" i="13"/>
  <c r="BI48" i="13"/>
  <c r="BK48" i="13"/>
  <c r="BI47" i="13"/>
  <c r="BK47" i="13"/>
  <c r="BJ47" i="13"/>
  <c r="BJ46" i="13"/>
  <c r="BI46" i="13"/>
  <c r="BK46" i="13"/>
  <c r="BI45" i="13"/>
  <c r="BK45" i="13"/>
  <c r="BJ45" i="13"/>
  <c r="BJ44" i="13"/>
  <c r="BI44" i="13"/>
  <c r="BK44" i="13"/>
  <c r="BI43" i="13"/>
  <c r="BK43" i="13"/>
  <c r="BJ43" i="13"/>
  <c r="BJ42" i="13"/>
  <c r="BI42" i="13"/>
  <c r="BK42" i="13"/>
  <c r="BI41" i="13"/>
  <c r="BK41" i="13"/>
  <c r="BJ41" i="13"/>
  <c r="BJ40" i="13"/>
  <c r="BI40" i="13"/>
  <c r="BK40" i="13"/>
  <c r="BI39" i="13"/>
  <c r="BK39" i="13"/>
  <c r="BJ39" i="13"/>
  <c r="BJ38" i="13"/>
  <c r="BI38" i="13"/>
  <c r="BK38" i="13"/>
  <c r="BI37" i="13"/>
  <c r="BK37" i="13"/>
  <c r="BJ37" i="13"/>
  <c r="BJ36" i="13"/>
  <c r="BI36" i="13"/>
  <c r="BK36" i="13"/>
  <c r="BI35" i="13"/>
  <c r="BK35" i="13"/>
  <c r="BJ35" i="13"/>
  <c r="BJ34" i="13"/>
  <c r="BI34" i="13"/>
  <c r="BK34" i="13"/>
  <c r="BI33" i="13"/>
  <c r="BK33" i="13"/>
  <c r="BJ33" i="13"/>
  <c r="BJ32" i="13"/>
  <c r="BI32" i="13"/>
  <c r="BK32" i="13"/>
  <c r="BI31" i="13"/>
  <c r="BK31" i="13"/>
  <c r="BJ31" i="13"/>
  <c r="BJ30" i="13"/>
  <c r="BI30" i="13"/>
  <c r="BK30" i="13"/>
  <c r="BI29" i="13"/>
  <c r="BK29" i="13"/>
  <c r="BJ29" i="13"/>
  <c r="BJ28" i="13"/>
  <c r="BI28" i="13"/>
  <c r="BK28" i="13"/>
  <c r="BI27" i="13"/>
  <c r="BK27" i="13"/>
  <c r="BJ27" i="13"/>
  <c r="BJ26" i="13"/>
  <c r="BI26" i="13"/>
  <c r="BK26" i="13"/>
  <c r="BI25" i="13"/>
  <c r="BK25" i="13"/>
  <c r="BJ25" i="13"/>
  <c r="BJ24" i="13"/>
  <c r="BI24" i="13"/>
  <c r="BK24" i="13"/>
  <c r="BI23" i="13"/>
  <c r="BK23" i="13"/>
  <c r="BJ23" i="13"/>
  <c r="BJ22" i="13"/>
  <c r="BI22" i="13"/>
  <c r="BK22" i="13"/>
  <c r="BI21" i="13"/>
  <c r="BK21" i="13"/>
  <c r="BJ21" i="13"/>
  <c r="BJ20" i="13"/>
  <c r="BI20" i="13"/>
  <c r="BK20" i="13"/>
  <c r="BI19" i="13"/>
  <c r="BK19" i="13"/>
  <c r="BJ19" i="13"/>
  <c r="BJ18" i="13"/>
  <c r="BI18" i="13"/>
  <c r="BK18" i="13"/>
  <c r="BI17" i="13"/>
  <c r="BK17" i="13"/>
  <c r="BJ17" i="13"/>
  <c r="BJ16" i="13"/>
  <c r="BI16" i="13"/>
  <c r="BK16" i="13"/>
  <c r="BI15" i="13"/>
  <c r="BK15" i="13"/>
  <c r="BJ15" i="13"/>
  <c r="BJ14" i="13"/>
  <c r="BI14" i="13"/>
  <c r="BK14" i="13"/>
  <c r="BI13" i="13"/>
  <c r="BK13" i="13"/>
  <c r="BJ13" i="13"/>
  <c r="BJ12" i="13"/>
  <c r="BI12" i="13"/>
  <c r="BK12" i="13"/>
  <c r="BI11" i="13"/>
  <c r="BK11" i="13"/>
  <c r="BJ11" i="13"/>
  <c r="BJ10" i="13"/>
  <c r="BI10" i="13"/>
  <c r="BK10" i="13"/>
  <c r="BI9" i="13"/>
  <c r="BK9" i="13"/>
  <c r="BJ9" i="13"/>
  <c r="CQ5" i="13" l="1"/>
  <c r="CQ9" i="13"/>
  <c r="AL499" i="13"/>
  <c r="AC496" i="13"/>
  <c r="CQ14" i="13"/>
  <c r="CQ7" i="13"/>
  <c r="AC497" i="13"/>
  <c r="AC498" i="13"/>
  <c r="CQ21" i="13"/>
  <c r="CQ12" i="13"/>
  <c r="CQ15" i="13"/>
  <c r="CQ17" i="13"/>
  <c r="CQ20" i="13"/>
  <c r="CQ13" i="13"/>
  <c r="CQ6" i="13"/>
  <c r="CQ10" i="13"/>
  <c r="CQ8" i="13"/>
  <c r="AL498" i="13"/>
  <c r="AL497" i="13"/>
  <c r="CQ11" i="13"/>
  <c r="CQ19" i="13"/>
  <c r="CQ22" i="13"/>
  <c r="CQ16" i="13"/>
  <c r="CQ18" i="13"/>
  <c r="BL252" i="13"/>
  <c r="AL496" i="13"/>
  <c r="BL224" i="13"/>
  <c r="BL236" i="13"/>
  <c r="BL248" i="13"/>
  <c r="BL256" i="13"/>
  <c r="BL260" i="13"/>
  <c r="BL240" i="13"/>
  <c r="BL232" i="13"/>
  <c r="BL243" i="13"/>
  <c r="BL259" i="13"/>
  <c r="BL216" i="13"/>
  <c r="BL220" i="13"/>
  <c r="BL219" i="13"/>
  <c r="BL208" i="13"/>
  <c r="BL211" i="13"/>
  <c r="BL227" i="13"/>
  <c r="BL231" i="13"/>
  <c r="BL235" i="13"/>
  <c r="BL247" i="13"/>
  <c r="BL251" i="13"/>
  <c r="BL255" i="13"/>
  <c r="BL160" i="13"/>
  <c r="BL176" i="13"/>
  <c r="BL147" i="13"/>
  <c r="BL163" i="13"/>
  <c r="BL179" i="13"/>
  <c r="BL195" i="13"/>
  <c r="BL192" i="13"/>
  <c r="BL204" i="13"/>
  <c r="BL144" i="13"/>
  <c r="BL143" i="13"/>
  <c r="BL151" i="13"/>
  <c r="BL155" i="13"/>
  <c r="BL159" i="13"/>
  <c r="BL167" i="13"/>
  <c r="BL171" i="13"/>
  <c r="BL175" i="13"/>
  <c r="BL183" i="13"/>
  <c r="BL187" i="13"/>
  <c r="BL191" i="13"/>
  <c r="BL199" i="13"/>
  <c r="BL203" i="13"/>
  <c r="BL140" i="13"/>
  <c r="BL148" i="13"/>
  <c r="BL152" i="13"/>
  <c r="BL168" i="13"/>
  <c r="BL184" i="13"/>
  <c r="BL200" i="13"/>
  <c r="BL139" i="13"/>
  <c r="BL207" i="13"/>
  <c r="BL215" i="13"/>
  <c r="BL223" i="13"/>
  <c r="BL239" i="13"/>
  <c r="BL156" i="13"/>
  <c r="BL164" i="13"/>
  <c r="BL172" i="13"/>
  <c r="BL180" i="13"/>
  <c r="BL188" i="13"/>
  <c r="BL196" i="13"/>
  <c r="BL212" i="13"/>
  <c r="BL228" i="13"/>
  <c r="BL244" i="13"/>
  <c r="BL141" i="13"/>
  <c r="BL142" i="13"/>
  <c r="BL145" i="13"/>
  <c r="BL146" i="13"/>
  <c r="BL149" i="13"/>
  <c r="BL150" i="13"/>
  <c r="BL153" i="13"/>
  <c r="BL154" i="13"/>
  <c r="BL157" i="13"/>
  <c r="BL158" i="13"/>
  <c r="BL161" i="13"/>
  <c r="BL162" i="13"/>
  <c r="BL165" i="13"/>
  <c r="BL166" i="13"/>
  <c r="BL169" i="13"/>
  <c r="BL170" i="13"/>
  <c r="BL173" i="13"/>
  <c r="BL174" i="13"/>
  <c r="BL177" i="13"/>
  <c r="BL178" i="13"/>
  <c r="BL181" i="13"/>
  <c r="BL182" i="13"/>
  <c r="BL185" i="13"/>
  <c r="BL186" i="13"/>
  <c r="BL189" i="13"/>
  <c r="BL190" i="13"/>
  <c r="BL193" i="13"/>
  <c r="BL194" i="13"/>
  <c r="BL197" i="13"/>
  <c r="BL198" i="13"/>
  <c r="BL201" i="13"/>
  <c r="BL202" i="13"/>
  <c r="BL205" i="13"/>
  <c r="BL206" i="13"/>
  <c r="BL209" i="13"/>
  <c r="BL210" i="13"/>
  <c r="BL213" i="13"/>
  <c r="BL214" i="13"/>
  <c r="BL217" i="13"/>
  <c r="BL218" i="13"/>
  <c r="BL221" i="13"/>
  <c r="BL222" i="13"/>
  <c r="BL225" i="13"/>
  <c r="BL226" i="13"/>
  <c r="BL229" i="13"/>
  <c r="BL230" i="13"/>
  <c r="BL233" i="13"/>
  <c r="BL234" i="13"/>
  <c r="BL237" i="13"/>
  <c r="BL238" i="13"/>
  <c r="BL241" i="13"/>
  <c r="BL242" i="13"/>
  <c r="BL245" i="13"/>
  <c r="BL246" i="13"/>
  <c r="BL249" i="13"/>
  <c r="BL250" i="13"/>
  <c r="BL253" i="13"/>
  <c r="BL254" i="13"/>
  <c r="BL257" i="13"/>
  <c r="BL258" i="13"/>
  <c r="BL261" i="13"/>
  <c r="BL10" i="13"/>
  <c r="BL12" i="13"/>
  <c r="BL14" i="13"/>
  <c r="BL16" i="13"/>
  <c r="BL18" i="13"/>
  <c r="BL20" i="13"/>
  <c r="BL22" i="13"/>
  <c r="BL24" i="13"/>
  <c r="BL26" i="13"/>
  <c r="BL28" i="13"/>
  <c r="BL30" i="13"/>
  <c r="BL32" i="13"/>
  <c r="BL34" i="13"/>
  <c r="BL36" i="13"/>
  <c r="BL38" i="13"/>
  <c r="BL40" i="13"/>
  <c r="BL42" i="13"/>
  <c r="BL44" i="13"/>
  <c r="BL46" i="13"/>
  <c r="BL48" i="13"/>
  <c r="BL50" i="13"/>
  <c r="BL52" i="13"/>
  <c r="BL54" i="13"/>
  <c r="BL56" i="13"/>
  <c r="BL58" i="13"/>
  <c r="BL60" i="13"/>
  <c r="BL62" i="13"/>
  <c r="BL64" i="13"/>
  <c r="BL66" i="13"/>
  <c r="BL68" i="13"/>
  <c r="BL70" i="13"/>
  <c r="BL72" i="13"/>
  <c r="BL74" i="13"/>
  <c r="BL76" i="13"/>
  <c r="BL78" i="13"/>
  <c r="BL80" i="13"/>
  <c r="BL82" i="13"/>
  <c r="BL84" i="13"/>
  <c r="BL86" i="13"/>
  <c r="BL88" i="13"/>
  <c r="BL90" i="13"/>
  <c r="BL92" i="13"/>
  <c r="BL94" i="13"/>
  <c r="BL96" i="13"/>
  <c r="BL98" i="13"/>
  <c r="BL100" i="13"/>
  <c r="BL102" i="13"/>
  <c r="BL104" i="13"/>
  <c r="BL106" i="13"/>
  <c r="BL108" i="13"/>
  <c r="BL110" i="13"/>
  <c r="BL112" i="13"/>
  <c r="BL114" i="13"/>
  <c r="BL116" i="13"/>
  <c r="BL118" i="13"/>
  <c r="BL120" i="13"/>
  <c r="BL122" i="13"/>
  <c r="BL124" i="13"/>
  <c r="BL126" i="13"/>
  <c r="BL128" i="13"/>
  <c r="BL130" i="13"/>
  <c r="BL132" i="13"/>
  <c r="BL134" i="13"/>
  <c r="BL136" i="13"/>
  <c r="BL138" i="13"/>
  <c r="BL8" i="13"/>
  <c r="BL5" i="13"/>
  <c r="BL293" i="13"/>
  <c r="BL295" i="13"/>
  <c r="BL297" i="13"/>
  <c r="BL299" i="13"/>
  <c r="BL301" i="13"/>
  <c r="BL303" i="13"/>
  <c r="BL305" i="13"/>
  <c r="BL307" i="13"/>
  <c r="BL309" i="13"/>
  <c r="BL311" i="13"/>
  <c r="BL313" i="13"/>
  <c r="BL315" i="13"/>
  <c r="BL317" i="13"/>
  <c r="BL320" i="13"/>
  <c r="BL324" i="13"/>
  <c r="BL328" i="13"/>
  <c r="BL332" i="13"/>
  <c r="BL337" i="13"/>
  <c r="BL339" i="13"/>
  <c r="BL341" i="13"/>
  <c r="BL343" i="13"/>
  <c r="BL345" i="13"/>
  <c r="BL347" i="13"/>
  <c r="BL349" i="13"/>
  <c r="BL351" i="13"/>
  <c r="BL353" i="13"/>
  <c r="BL355" i="13"/>
  <c r="BL357" i="13"/>
  <c r="BL359" i="13"/>
  <c r="BL361" i="13"/>
  <c r="BL363" i="13"/>
  <c r="BL365" i="13"/>
  <c r="BL367" i="13"/>
  <c r="BL369" i="13"/>
  <c r="BL371" i="13"/>
  <c r="BL373" i="13"/>
  <c r="BL375" i="13"/>
  <c r="BL377" i="13"/>
  <c r="BL379" i="13"/>
  <c r="BL381" i="13"/>
  <c r="BL383" i="13"/>
  <c r="BL385" i="13"/>
  <c r="BL387" i="13"/>
  <c r="BL389" i="13"/>
  <c r="BL391" i="13"/>
  <c r="BL393" i="13"/>
  <c r="BL395" i="13"/>
  <c r="BL397" i="13"/>
  <c r="BL399" i="13"/>
  <c r="BL401" i="13"/>
  <c r="BL403" i="13"/>
  <c r="BL405" i="13"/>
  <c r="BL407" i="13"/>
  <c r="BL409" i="13"/>
  <c r="BL411" i="13"/>
  <c r="BL413" i="13"/>
  <c r="BL415" i="13"/>
  <c r="BL417" i="13"/>
  <c r="BL419" i="13"/>
  <c r="BL421" i="13"/>
  <c r="BL423" i="13"/>
  <c r="BL425" i="13"/>
  <c r="BL427" i="13"/>
  <c r="BL429" i="13"/>
  <c r="BL431" i="13"/>
  <c r="BL433" i="13"/>
  <c r="BL435" i="13"/>
  <c r="BL437" i="13"/>
  <c r="BL439" i="13"/>
  <c r="BL441" i="13"/>
  <c r="BL443" i="13"/>
  <c r="BL445" i="13"/>
  <c r="BL447" i="13"/>
  <c r="BL449" i="13"/>
  <c r="BL451" i="13"/>
  <c r="BL453" i="13"/>
  <c r="BL455" i="13"/>
  <c r="BL457" i="13"/>
  <c r="BL459" i="13"/>
  <c r="BL461" i="13"/>
  <c r="BL463" i="13"/>
  <c r="BL465" i="13"/>
  <c r="BL467" i="13"/>
  <c r="BL469" i="13"/>
  <c r="BL471" i="13"/>
  <c r="BL473" i="13"/>
  <c r="BL475" i="13"/>
  <c r="BL477" i="13"/>
  <c r="BL479" i="13"/>
  <c r="BL481" i="13"/>
  <c r="BL483" i="13"/>
  <c r="BL485" i="13"/>
  <c r="BL487" i="13"/>
  <c r="BL489" i="13"/>
  <c r="BL491" i="13"/>
  <c r="BL493" i="13"/>
  <c r="BL495" i="13"/>
  <c r="BL497" i="13"/>
  <c r="BL499" i="13"/>
  <c r="BL501" i="13"/>
  <c r="BL503" i="13"/>
  <c r="BL505" i="13"/>
  <c r="BL73" i="13"/>
  <c r="BL9" i="13"/>
  <c r="BL13" i="13"/>
  <c r="BL19" i="13"/>
  <c r="BL25" i="13"/>
  <c r="BL29" i="13"/>
  <c r="BL31" i="13"/>
  <c r="BL35" i="13"/>
  <c r="BL39" i="13"/>
  <c r="BL45" i="13"/>
  <c r="BL49" i="13"/>
  <c r="BL51" i="13"/>
  <c r="BL55" i="13"/>
  <c r="BL61" i="13"/>
  <c r="BL63" i="13"/>
  <c r="BL67" i="13"/>
  <c r="BL71" i="13"/>
  <c r="BL75" i="13"/>
  <c r="BL77" i="13"/>
  <c r="BL79" i="13"/>
  <c r="BL81" i="13"/>
  <c r="BL83" i="13"/>
  <c r="BL85" i="13"/>
  <c r="BL87" i="13"/>
  <c r="BL89" i="13"/>
  <c r="BL91" i="13"/>
  <c r="BL93" i="13"/>
  <c r="BL95" i="13"/>
  <c r="BL97" i="13"/>
  <c r="BL99" i="13"/>
  <c r="BL101" i="13"/>
  <c r="BL103" i="13"/>
  <c r="BL105" i="13"/>
  <c r="BL107" i="13"/>
  <c r="BL109" i="13"/>
  <c r="BL111" i="13"/>
  <c r="BL113" i="13"/>
  <c r="BL115" i="13"/>
  <c r="BL117" i="13"/>
  <c r="BL119" i="13"/>
  <c r="BL121" i="13"/>
  <c r="BL123" i="13"/>
  <c r="BL125" i="13"/>
  <c r="BL127" i="13"/>
  <c r="BL129" i="13"/>
  <c r="BL131" i="13"/>
  <c r="BL133" i="13"/>
  <c r="BL135" i="13"/>
  <c r="BL137" i="13"/>
  <c r="BL263" i="13"/>
  <c r="BL266" i="13"/>
  <c r="BL268" i="13"/>
  <c r="BL270" i="13"/>
  <c r="BL272" i="13"/>
  <c r="BL274" i="13"/>
  <c r="BL276" i="13"/>
  <c r="BL278" i="13"/>
  <c r="BL280" i="13"/>
  <c r="BL282" i="13"/>
  <c r="BL284" i="13"/>
  <c r="BL286" i="13"/>
  <c r="BL288" i="13"/>
  <c r="BL290" i="13"/>
  <c r="BL294" i="13"/>
  <c r="BL296" i="13"/>
  <c r="BL298" i="13"/>
  <c r="BL300" i="13"/>
  <c r="BL302" i="13"/>
  <c r="BL304" i="13"/>
  <c r="BL306" i="13"/>
  <c r="BL308" i="13"/>
  <c r="BL310" i="13"/>
  <c r="BL312" i="13"/>
  <c r="BL314" i="13"/>
  <c r="BL316" i="13"/>
  <c r="BL318" i="13"/>
  <c r="BL336" i="13"/>
  <c r="BL338" i="13"/>
  <c r="BL340" i="13"/>
  <c r="BL342" i="13"/>
  <c r="BL344" i="13"/>
  <c r="BL346" i="13"/>
  <c r="BL348" i="13"/>
  <c r="BL350" i="13"/>
  <c r="BL352" i="13"/>
  <c r="BL354" i="13"/>
  <c r="BL356" i="13"/>
  <c r="BL358" i="13"/>
  <c r="BL360" i="13"/>
  <c r="BL362" i="13"/>
  <c r="BL364" i="13"/>
  <c r="BL366" i="13"/>
  <c r="BL368" i="13"/>
  <c r="BL370" i="13"/>
  <c r="BL372" i="13"/>
  <c r="BL374" i="13"/>
  <c r="BL376" i="13"/>
  <c r="BL378" i="13"/>
  <c r="BL380" i="13"/>
  <c r="BL382" i="13"/>
  <c r="BL384" i="13"/>
  <c r="BL386" i="13"/>
  <c r="BL388" i="13"/>
  <c r="BL390" i="13"/>
  <c r="BL392" i="13"/>
  <c r="BL394" i="13"/>
  <c r="BL396" i="13"/>
  <c r="BL398" i="13"/>
  <c r="BL400" i="13"/>
  <c r="BL402" i="13"/>
  <c r="BL404" i="13"/>
  <c r="BL406" i="13"/>
  <c r="BL408" i="13"/>
  <c r="BL410" i="13"/>
  <c r="BL412" i="13"/>
  <c r="BL414" i="13"/>
  <c r="BL416" i="13"/>
  <c r="BL418" i="13"/>
  <c r="BL420" i="13"/>
  <c r="BL422" i="13"/>
  <c r="BL424" i="13"/>
  <c r="BL426" i="13"/>
  <c r="BL428" i="13"/>
  <c r="BL430" i="13"/>
  <c r="BL432" i="13"/>
  <c r="BL434" i="13"/>
  <c r="BL436" i="13"/>
  <c r="BL438" i="13"/>
  <c r="BL440" i="13"/>
  <c r="BL442" i="13"/>
  <c r="BL444" i="13"/>
  <c r="BL446" i="13"/>
  <c r="BL448" i="13"/>
  <c r="BL450" i="13"/>
  <c r="BL452" i="13"/>
  <c r="BL454" i="13"/>
  <c r="BL456" i="13"/>
  <c r="BL458" i="13"/>
  <c r="BL460" i="13"/>
  <c r="BL462" i="13"/>
  <c r="BL464" i="13"/>
  <c r="BL466" i="13"/>
  <c r="BL468" i="13"/>
  <c r="BL470" i="13"/>
  <c r="BL472" i="13"/>
  <c r="BL474" i="13"/>
  <c r="BL476" i="13"/>
  <c r="BL478" i="13"/>
  <c r="BL480" i="13"/>
  <c r="BL482" i="13"/>
  <c r="BL484" i="13"/>
  <c r="BL486" i="13"/>
  <c r="BL488" i="13"/>
  <c r="BL490" i="13"/>
  <c r="BL492" i="13"/>
  <c r="BL494" i="13"/>
  <c r="BL496" i="13"/>
  <c r="BL498" i="13"/>
  <c r="BL500" i="13"/>
  <c r="BL502" i="13"/>
  <c r="BL504" i="13"/>
  <c r="BL506" i="13"/>
  <c r="BL6" i="13"/>
  <c r="BL11" i="13"/>
  <c r="BL15" i="13"/>
  <c r="BL17" i="13"/>
  <c r="BL21" i="13"/>
  <c r="BL23" i="13"/>
  <c r="BL27" i="13"/>
  <c r="BL33" i="13"/>
  <c r="BL37" i="13"/>
  <c r="BL41" i="13"/>
  <c r="BL43" i="13"/>
  <c r="BL47" i="13"/>
  <c r="BL53" i="13"/>
  <c r="BL57" i="13"/>
  <c r="BL59" i="13"/>
  <c r="BL65" i="13"/>
  <c r="BL69" i="13"/>
  <c r="BL262" i="13"/>
  <c r="BL264" i="13"/>
  <c r="BL265" i="13"/>
  <c r="BL267" i="13"/>
  <c r="BL269" i="13"/>
  <c r="BL271" i="13"/>
  <c r="BL273" i="13"/>
  <c r="BL275" i="13"/>
  <c r="BL277" i="13"/>
  <c r="BL279" i="13"/>
  <c r="BL281" i="13"/>
  <c r="BL283" i="13"/>
  <c r="BL285" i="13"/>
  <c r="BL287" i="13"/>
  <c r="BL289" i="13"/>
  <c r="BL291" i="13"/>
  <c r="BL292" i="13"/>
  <c r="BL319" i="13"/>
  <c r="BL321" i="13"/>
  <c r="BL322" i="13"/>
  <c r="BL323" i="13"/>
  <c r="BL325" i="13"/>
  <c r="BL326" i="13"/>
  <c r="BL327" i="13"/>
  <c r="BL329" i="13"/>
  <c r="BL330" i="13"/>
  <c r="BL331" i="13"/>
  <c r="BL333" i="13"/>
  <c r="BL334" i="13"/>
  <c r="BL335" i="13"/>
  <c r="BL7" i="13"/>
  <c r="U495" i="13"/>
  <c r="AB495" i="13"/>
  <c r="AK495" i="13"/>
  <c r="AO495" i="13"/>
  <c r="AU495" i="13"/>
  <c r="BA495" i="13"/>
  <c r="AA495" i="13"/>
  <c r="AJ495" i="13"/>
  <c r="AT495" i="13"/>
  <c r="AZ495" i="13"/>
  <c r="Z495" i="13"/>
  <c r="AI495" i="13"/>
  <c r="AS495" i="13"/>
  <c r="AY495" i="13"/>
  <c r="Y495" i="13"/>
  <c r="AH495" i="13"/>
  <c r="AR495" i="13"/>
  <c r="AX495" i="13"/>
  <c r="X495" i="13"/>
  <c r="AG495" i="13"/>
  <c r="AQ495" i="13"/>
  <c r="AW495" i="13"/>
  <c r="W495" i="13"/>
  <c r="AF495" i="13"/>
  <c r="AP495" i="13"/>
  <c r="AV495" i="13"/>
  <c r="BT52" i="13" l="1"/>
  <c r="BT73" i="13"/>
  <c r="AD495" i="13"/>
  <c r="AE495" i="13"/>
  <c r="AN495" i="13"/>
  <c r="BB495" i="13"/>
  <c r="AM495" i="13"/>
  <c r="BT65" i="13"/>
  <c r="BT55" i="13"/>
  <c r="BT56" i="13"/>
  <c r="BT78" i="13"/>
  <c r="BT62" i="13"/>
  <c r="BT67" i="13"/>
  <c r="BT76" i="13"/>
  <c r="BT59" i="13"/>
  <c r="BT57" i="13"/>
  <c r="BT60" i="13"/>
  <c r="BT71" i="13"/>
  <c r="BT61" i="13"/>
  <c r="BT74" i="13"/>
  <c r="BT69" i="13"/>
  <c r="BT66" i="13"/>
  <c r="BT54" i="13"/>
  <c r="BT58" i="13"/>
  <c r="BT77" i="13"/>
  <c r="BT68" i="13"/>
  <c r="BT72" i="13"/>
  <c r="BT63" i="13"/>
  <c r="BT70" i="13"/>
  <c r="BT64" i="13"/>
  <c r="BT53" i="13"/>
  <c r="BT75" i="13"/>
  <c r="AC495" i="13" l="1"/>
  <c r="AL495" i="13"/>
  <c r="BT79" i="13"/>
  <c r="BU75" i="13" s="1"/>
  <c r="U494" i="13"/>
  <c r="AB494" i="13"/>
  <c r="AK494" i="13"/>
  <c r="AO494" i="13"/>
  <c r="AU494" i="13"/>
  <c r="BA494" i="13"/>
  <c r="AA494" i="13"/>
  <c r="AJ494" i="13"/>
  <c r="AT494" i="13"/>
  <c r="AZ494" i="13"/>
  <c r="Z494" i="13"/>
  <c r="AI494" i="13"/>
  <c r="AS494" i="13"/>
  <c r="AY494" i="13"/>
  <c r="Y494" i="13"/>
  <c r="AH494" i="13"/>
  <c r="AR494" i="13"/>
  <c r="AX494" i="13"/>
  <c r="X494" i="13"/>
  <c r="AG494" i="13"/>
  <c r="AQ494" i="13"/>
  <c r="AW494" i="13"/>
  <c r="W494" i="13"/>
  <c r="AF494" i="13"/>
  <c r="AP494" i="13"/>
  <c r="AV494" i="13"/>
  <c r="AE494" i="13" l="1"/>
  <c r="AN494" i="13"/>
  <c r="BU57" i="13"/>
  <c r="BU65" i="13"/>
  <c r="BB494" i="13"/>
  <c r="BU54" i="13"/>
  <c r="BU62" i="13"/>
  <c r="BU61" i="13"/>
  <c r="BU55" i="13"/>
  <c r="BU56" i="13"/>
  <c r="BU76" i="13"/>
  <c r="BU60" i="13"/>
  <c r="BU69" i="13"/>
  <c r="BU72" i="13"/>
  <c r="BU71" i="13"/>
  <c r="BU77" i="13"/>
  <c r="BU70" i="13"/>
  <c r="BU67" i="13"/>
  <c r="BU58" i="13"/>
  <c r="BU53" i="13"/>
  <c r="BU78" i="13"/>
  <c r="BU59" i="13"/>
  <c r="BU74" i="13"/>
  <c r="BU63" i="13"/>
  <c r="BU66" i="13"/>
  <c r="BU68" i="13"/>
  <c r="BU64" i="13"/>
  <c r="BU79" i="13"/>
  <c r="BU73" i="13"/>
  <c r="BU52" i="13"/>
  <c r="AM494" i="13"/>
  <c r="AD494" i="13"/>
  <c r="CC11" i="13"/>
  <c r="CC42" i="13"/>
  <c r="CC12" i="13"/>
  <c r="CC32" i="13"/>
  <c r="CC23" i="13"/>
  <c r="CC37" i="13"/>
  <c r="CC26" i="13"/>
  <c r="CC28" i="13"/>
  <c r="CC27" i="13"/>
  <c r="CC35" i="13"/>
  <c r="CC41" i="13"/>
  <c r="CC39" i="13"/>
  <c r="CC14" i="13"/>
  <c r="CC18" i="13"/>
  <c r="CC48" i="13"/>
  <c r="CC31" i="13"/>
  <c r="CC29" i="13"/>
  <c r="CC10" i="13"/>
  <c r="CC16" i="13"/>
  <c r="CC40" i="13"/>
  <c r="CC49" i="13"/>
  <c r="CC22" i="13"/>
  <c r="CC7" i="13"/>
  <c r="CC6" i="13"/>
  <c r="CC15" i="13"/>
  <c r="CC9" i="13"/>
  <c r="CC34" i="13"/>
  <c r="CC36" i="13"/>
  <c r="CC25" i="13"/>
  <c r="CC46" i="13"/>
  <c r="CC20" i="13"/>
  <c r="CC19" i="13"/>
  <c r="CC38" i="13"/>
  <c r="CC45" i="13"/>
  <c r="CC44" i="13"/>
  <c r="CC33" i="13"/>
  <c r="CC21" i="13"/>
  <c r="CC24" i="13"/>
  <c r="CC5" i="13"/>
  <c r="CC17" i="13"/>
  <c r="CC47" i="13"/>
  <c r="CC30" i="13"/>
  <c r="CC43" i="13"/>
  <c r="CC8" i="13"/>
  <c r="CC13" i="13"/>
  <c r="CD11" i="13"/>
  <c r="CD42" i="13"/>
  <c r="CD12" i="13"/>
  <c r="CD32" i="13"/>
  <c r="CD23" i="13"/>
  <c r="CD37" i="13"/>
  <c r="CD26" i="13"/>
  <c r="CD28" i="13"/>
  <c r="CD27" i="13"/>
  <c r="CD35" i="13"/>
  <c r="CD41" i="13"/>
  <c r="CD39" i="13"/>
  <c r="CD14" i="13"/>
  <c r="CD18" i="13"/>
  <c r="CD48" i="13"/>
  <c r="CD31" i="13"/>
  <c r="CD29" i="13"/>
  <c r="CD10" i="13"/>
  <c r="CD16" i="13"/>
  <c r="CD40" i="13"/>
  <c r="CD49" i="13"/>
  <c r="CD22" i="13"/>
  <c r="CD7" i="13"/>
  <c r="CD6" i="13"/>
  <c r="CD15" i="13"/>
  <c r="CD9" i="13"/>
  <c r="CD34" i="13"/>
  <c r="CD36" i="13"/>
  <c r="CD25" i="13"/>
  <c r="CD46" i="13"/>
  <c r="CD20" i="13"/>
  <c r="CD19" i="13"/>
  <c r="CD38" i="13"/>
  <c r="CD45" i="13"/>
  <c r="CD44" i="13"/>
  <c r="CD33" i="13"/>
  <c r="CD21" i="13"/>
  <c r="CD24" i="13"/>
  <c r="CD5" i="13"/>
  <c r="CD17" i="13"/>
  <c r="CD47" i="13"/>
  <c r="CD30" i="13"/>
  <c r="CD43" i="13"/>
  <c r="CD8" i="13"/>
  <c r="CD13" i="13"/>
  <c r="AL494" i="13" l="1"/>
  <c r="AC494" i="13"/>
  <c r="BW56" i="13"/>
  <c r="AP6" i="13"/>
  <c r="AQ6" i="13"/>
  <c r="AR6" i="13"/>
  <c r="AS6" i="13"/>
  <c r="AT6" i="13"/>
  <c r="AU6" i="13"/>
  <c r="AV6" i="13"/>
  <c r="AW6" i="13"/>
  <c r="AX6" i="13"/>
  <c r="AY6" i="13"/>
  <c r="AZ6" i="13"/>
  <c r="BA6" i="13"/>
  <c r="AP7" i="13"/>
  <c r="AQ7" i="13"/>
  <c r="AR7" i="13"/>
  <c r="AS7" i="13"/>
  <c r="AT7" i="13"/>
  <c r="AU7" i="13"/>
  <c r="AV7" i="13"/>
  <c r="AW7" i="13"/>
  <c r="AX7" i="13"/>
  <c r="AY7" i="13"/>
  <c r="AZ7" i="13"/>
  <c r="BA7" i="13"/>
  <c r="AP8" i="13"/>
  <c r="AQ8" i="13"/>
  <c r="AR8" i="13"/>
  <c r="AS8" i="13"/>
  <c r="AT8" i="13"/>
  <c r="AU8" i="13"/>
  <c r="AV8" i="13"/>
  <c r="AW8" i="13"/>
  <c r="AX8" i="13"/>
  <c r="AY8" i="13"/>
  <c r="AZ8" i="13"/>
  <c r="BA8" i="13"/>
  <c r="AP9" i="13"/>
  <c r="AQ9" i="13"/>
  <c r="AR9" i="13"/>
  <c r="AS9" i="13"/>
  <c r="AT9" i="13"/>
  <c r="AU9" i="13"/>
  <c r="AV9" i="13"/>
  <c r="AW9" i="13"/>
  <c r="AX9" i="13"/>
  <c r="AY9" i="13"/>
  <c r="AZ9" i="13"/>
  <c r="BA9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AP11" i="13"/>
  <c r="AQ11" i="13"/>
  <c r="AR11" i="13"/>
  <c r="AS11" i="13"/>
  <c r="AT11" i="13"/>
  <c r="AU11" i="13"/>
  <c r="AV11" i="13"/>
  <c r="AW11" i="13"/>
  <c r="AX11" i="13"/>
  <c r="AY11" i="13"/>
  <c r="AZ11" i="13"/>
  <c r="BA11" i="13"/>
  <c r="AP12" i="13"/>
  <c r="AQ12" i="13"/>
  <c r="AR12" i="13"/>
  <c r="AS12" i="13"/>
  <c r="AT12" i="13"/>
  <c r="AU12" i="13"/>
  <c r="AV12" i="13"/>
  <c r="AW12" i="13"/>
  <c r="AX12" i="13"/>
  <c r="AY12" i="13"/>
  <c r="AZ12" i="13"/>
  <c r="BA12" i="13"/>
  <c r="AP13" i="13"/>
  <c r="AQ13" i="13"/>
  <c r="AR13" i="13"/>
  <c r="AS13" i="13"/>
  <c r="AT13" i="13"/>
  <c r="AU13" i="13"/>
  <c r="AV13" i="13"/>
  <c r="AW13" i="13"/>
  <c r="AX13" i="13"/>
  <c r="AY13" i="13"/>
  <c r="AZ13" i="13"/>
  <c r="BA13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AP28" i="13"/>
  <c r="AQ28" i="13"/>
  <c r="AR28" i="13"/>
  <c r="AS28" i="13"/>
  <c r="AT28" i="13"/>
  <c r="AU28" i="13"/>
  <c r="AV28" i="13"/>
  <c r="AW28" i="13"/>
  <c r="AX28" i="13"/>
  <c r="AY28" i="13"/>
  <c r="AZ28" i="13"/>
  <c r="BA28" i="13"/>
  <c r="AP29" i="13"/>
  <c r="AQ29" i="13"/>
  <c r="AR29" i="13"/>
  <c r="AS29" i="13"/>
  <c r="AT29" i="13"/>
  <c r="AU29" i="13"/>
  <c r="AV29" i="13"/>
  <c r="AW29" i="13"/>
  <c r="AX29" i="13"/>
  <c r="AY29" i="13"/>
  <c r="AZ29" i="13"/>
  <c r="BA29" i="13"/>
  <c r="AP30" i="13"/>
  <c r="AQ30" i="13"/>
  <c r="AR30" i="13"/>
  <c r="AS30" i="13"/>
  <c r="AT30" i="13"/>
  <c r="AU30" i="13"/>
  <c r="AV30" i="13"/>
  <c r="AW30" i="13"/>
  <c r="AX30" i="13"/>
  <c r="AY30" i="13"/>
  <c r="AZ30" i="13"/>
  <c r="BA30" i="13"/>
  <c r="AP31" i="13"/>
  <c r="AQ31" i="13"/>
  <c r="AR31" i="13"/>
  <c r="AS31" i="13"/>
  <c r="AT31" i="13"/>
  <c r="AU31" i="13"/>
  <c r="AV31" i="13"/>
  <c r="AW31" i="13"/>
  <c r="AX31" i="13"/>
  <c r="AY31" i="13"/>
  <c r="AZ31" i="13"/>
  <c r="BA31" i="13"/>
  <c r="AP32" i="13"/>
  <c r="AQ32" i="13"/>
  <c r="AR32" i="13"/>
  <c r="AS32" i="13"/>
  <c r="AT32" i="13"/>
  <c r="AU32" i="13"/>
  <c r="AV32" i="13"/>
  <c r="AW32" i="13"/>
  <c r="AX32" i="13"/>
  <c r="AY32" i="13"/>
  <c r="AZ32" i="13"/>
  <c r="BA32" i="13"/>
  <c r="AP33" i="13"/>
  <c r="AQ33" i="13"/>
  <c r="AR33" i="13"/>
  <c r="AS33" i="13"/>
  <c r="AT33" i="13"/>
  <c r="AU33" i="13"/>
  <c r="AV33" i="13"/>
  <c r="AW33" i="13"/>
  <c r="AX33" i="13"/>
  <c r="AY33" i="13"/>
  <c r="AZ33" i="13"/>
  <c r="BA33" i="13"/>
  <c r="AP34" i="13"/>
  <c r="AQ34" i="13"/>
  <c r="AR34" i="13"/>
  <c r="AS34" i="13"/>
  <c r="AT34" i="13"/>
  <c r="AU34" i="13"/>
  <c r="AV34" i="13"/>
  <c r="AW34" i="13"/>
  <c r="AX34" i="13"/>
  <c r="AY34" i="13"/>
  <c r="AZ34" i="13"/>
  <c r="BA34" i="13"/>
  <c r="AP35" i="13"/>
  <c r="AQ35" i="13"/>
  <c r="AR35" i="13"/>
  <c r="AS35" i="13"/>
  <c r="AT35" i="13"/>
  <c r="AU35" i="13"/>
  <c r="AV35" i="13"/>
  <c r="AW35" i="13"/>
  <c r="AX35" i="13"/>
  <c r="AY35" i="13"/>
  <c r="AZ35" i="13"/>
  <c r="BA35" i="13"/>
  <c r="AP36" i="13"/>
  <c r="AQ36" i="13"/>
  <c r="AR36" i="13"/>
  <c r="AS36" i="13"/>
  <c r="AT36" i="13"/>
  <c r="AU36" i="13"/>
  <c r="AV36" i="13"/>
  <c r="AW36" i="13"/>
  <c r="AX36" i="13"/>
  <c r="AY36" i="13"/>
  <c r="AZ36" i="13"/>
  <c r="BA36" i="13"/>
  <c r="AP37" i="13"/>
  <c r="AQ37" i="13"/>
  <c r="AR37" i="13"/>
  <c r="AS37" i="13"/>
  <c r="AT37" i="13"/>
  <c r="AU37" i="13"/>
  <c r="AV37" i="13"/>
  <c r="AW37" i="13"/>
  <c r="AX37" i="13"/>
  <c r="AY37" i="13"/>
  <c r="AZ37" i="13"/>
  <c r="BA37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AP39" i="13"/>
  <c r="AQ39" i="13"/>
  <c r="AR39" i="13"/>
  <c r="AS39" i="13"/>
  <c r="AT39" i="13"/>
  <c r="AU39" i="13"/>
  <c r="AV39" i="13"/>
  <c r="AW39" i="13"/>
  <c r="AX39" i="13"/>
  <c r="AY39" i="13"/>
  <c r="AZ39" i="13"/>
  <c r="BA39" i="13"/>
  <c r="AP40" i="13"/>
  <c r="AQ40" i="13"/>
  <c r="AR40" i="13"/>
  <c r="AS40" i="13"/>
  <c r="AT40" i="13"/>
  <c r="AU40" i="13"/>
  <c r="AV40" i="13"/>
  <c r="AW40" i="13"/>
  <c r="AX40" i="13"/>
  <c r="AY40" i="13"/>
  <c r="AZ40" i="13"/>
  <c r="BA40" i="13"/>
  <c r="AP41" i="13"/>
  <c r="AQ41" i="13"/>
  <c r="AR41" i="13"/>
  <c r="AS41" i="13"/>
  <c r="AT41" i="13"/>
  <c r="AU41" i="13"/>
  <c r="AV41" i="13"/>
  <c r="AW41" i="13"/>
  <c r="AX41" i="13"/>
  <c r="AY41" i="13"/>
  <c r="AZ41" i="13"/>
  <c r="BA41" i="13"/>
  <c r="AP42" i="13"/>
  <c r="AQ42" i="13"/>
  <c r="AR42" i="13"/>
  <c r="AS42" i="13"/>
  <c r="AT42" i="13"/>
  <c r="AU42" i="13"/>
  <c r="AV42" i="13"/>
  <c r="AW42" i="13"/>
  <c r="AX42" i="13"/>
  <c r="AY42" i="13"/>
  <c r="AZ42" i="13"/>
  <c r="BA42" i="13"/>
  <c r="AP43" i="13"/>
  <c r="AQ43" i="13"/>
  <c r="AR43" i="13"/>
  <c r="AS43" i="13"/>
  <c r="AT43" i="13"/>
  <c r="AU43" i="13"/>
  <c r="AV43" i="13"/>
  <c r="AW43" i="13"/>
  <c r="AX43" i="13"/>
  <c r="AY43" i="13"/>
  <c r="AZ43" i="13"/>
  <c r="BA43" i="13"/>
  <c r="AP44" i="13"/>
  <c r="AQ44" i="13"/>
  <c r="AR44" i="13"/>
  <c r="AS44" i="13"/>
  <c r="AT44" i="13"/>
  <c r="AU44" i="13"/>
  <c r="AV44" i="13"/>
  <c r="AW44" i="13"/>
  <c r="AX44" i="13"/>
  <c r="AY44" i="13"/>
  <c r="AZ44" i="13"/>
  <c r="BA44" i="13"/>
  <c r="AP45" i="13"/>
  <c r="AQ45" i="13"/>
  <c r="AR45" i="13"/>
  <c r="AS45" i="13"/>
  <c r="AT45" i="13"/>
  <c r="AU45" i="13"/>
  <c r="AV45" i="13"/>
  <c r="AW45" i="13"/>
  <c r="AX45" i="13"/>
  <c r="AY45" i="13"/>
  <c r="AZ45" i="13"/>
  <c r="BA45" i="13"/>
  <c r="AP46" i="13"/>
  <c r="AQ46" i="13"/>
  <c r="AR46" i="13"/>
  <c r="AS46" i="13"/>
  <c r="AT46" i="13"/>
  <c r="AU46" i="13"/>
  <c r="AV46" i="13"/>
  <c r="AW46" i="13"/>
  <c r="AX46" i="13"/>
  <c r="AY46" i="13"/>
  <c r="AZ46" i="13"/>
  <c r="BA46" i="13"/>
  <c r="AP47" i="13"/>
  <c r="AQ47" i="13"/>
  <c r="AR47" i="13"/>
  <c r="AS47" i="13"/>
  <c r="AT47" i="13"/>
  <c r="AU47" i="13"/>
  <c r="AV47" i="13"/>
  <c r="AW47" i="13"/>
  <c r="AX47" i="13"/>
  <c r="AY47" i="13"/>
  <c r="AZ47" i="13"/>
  <c r="BA47" i="13"/>
  <c r="AP48" i="13"/>
  <c r="AQ48" i="13"/>
  <c r="AR48" i="13"/>
  <c r="AS48" i="13"/>
  <c r="AT48" i="13"/>
  <c r="AU48" i="13"/>
  <c r="AV48" i="13"/>
  <c r="AW48" i="13"/>
  <c r="AX48" i="13"/>
  <c r="AY48" i="13"/>
  <c r="AZ48" i="13"/>
  <c r="BA48" i="13"/>
  <c r="AP49" i="13"/>
  <c r="AQ49" i="13"/>
  <c r="AR49" i="13"/>
  <c r="AS49" i="13"/>
  <c r="AT49" i="13"/>
  <c r="AU49" i="13"/>
  <c r="AV49" i="13"/>
  <c r="AW49" i="13"/>
  <c r="AX49" i="13"/>
  <c r="AY49" i="13"/>
  <c r="AZ49" i="13"/>
  <c r="BA49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AP51" i="13"/>
  <c r="AQ51" i="13"/>
  <c r="AR51" i="13"/>
  <c r="AS51" i="13"/>
  <c r="AT51" i="13"/>
  <c r="AU51" i="13"/>
  <c r="AV51" i="13"/>
  <c r="AW51" i="13"/>
  <c r="AX51" i="13"/>
  <c r="AY51" i="13"/>
  <c r="AZ51" i="13"/>
  <c r="BA51" i="13"/>
  <c r="AP52" i="13"/>
  <c r="AQ52" i="13"/>
  <c r="AR52" i="13"/>
  <c r="AS52" i="13"/>
  <c r="AT52" i="13"/>
  <c r="AU52" i="13"/>
  <c r="AV52" i="13"/>
  <c r="AW52" i="13"/>
  <c r="AX52" i="13"/>
  <c r="AY52" i="13"/>
  <c r="AZ52" i="13"/>
  <c r="BA52" i="13"/>
  <c r="AP53" i="13"/>
  <c r="AQ53" i="13"/>
  <c r="AR53" i="13"/>
  <c r="AS53" i="13"/>
  <c r="AT53" i="13"/>
  <c r="AU53" i="13"/>
  <c r="AV53" i="13"/>
  <c r="AW53" i="13"/>
  <c r="AX53" i="13"/>
  <c r="AY53" i="13"/>
  <c r="AZ53" i="13"/>
  <c r="BA53" i="13"/>
  <c r="AP54" i="13"/>
  <c r="AQ54" i="13"/>
  <c r="AR54" i="13"/>
  <c r="AS54" i="13"/>
  <c r="AT54" i="13"/>
  <c r="AU54" i="13"/>
  <c r="AV54" i="13"/>
  <c r="AW54" i="13"/>
  <c r="AX54" i="13"/>
  <c r="AY54" i="13"/>
  <c r="AZ54" i="13"/>
  <c r="BA54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AP56" i="13"/>
  <c r="AQ56" i="13"/>
  <c r="AR56" i="13"/>
  <c r="AS56" i="13"/>
  <c r="AT56" i="13"/>
  <c r="AU56" i="13"/>
  <c r="AV56" i="13"/>
  <c r="AW56" i="13"/>
  <c r="AX56" i="13"/>
  <c r="AY56" i="13"/>
  <c r="AZ56" i="13"/>
  <c r="BA56" i="13"/>
  <c r="AP57" i="13"/>
  <c r="AQ57" i="13"/>
  <c r="AR57" i="13"/>
  <c r="AS57" i="13"/>
  <c r="AT57" i="13"/>
  <c r="AU57" i="13"/>
  <c r="AV57" i="13"/>
  <c r="AW57" i="13"/>
  <c r="AX57" i="13"/>
  <c r="AY57" i="13"/>
  <c r="AZ57" i="13"/>
  <c r="BA57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AP60" i="13"/>
  <c r="AQ60" i="13"/>
  <c r="AR60" i="13"/>
  <c r="AS60" i="13"/>
  <c r="AT60" i="13"/>
  <c r="AU60" i="13"/>
  <c r="AV60" i="13"/>
  <c r="AW60" i="13"/>
  <c r="AX60" i="13"/>
  <c r="AY60" i="13"/>
  <c r="AZ60" i="13"/>
  <c r="BA60" i="13"/>
  <c r="AP61" i="13"/>
  <c r="AQ61" i="13"/>
  <c r="AR61" i="13"/>
  <c r="AS61" i="13"/>
  <c r="AT61" i="13"/>
  <c r="AU61" i="13"/>
  <c r="AV61" i="13"/>
  <c r="AW61" i="13"/>
  <c r="AX61" i="13"/>
  <c r="AY61" i="13"/>
  <c r="AZ61" i="13"/>
  <c r="BA61" i="13"/>
  <c r="AP62" i="13"/>
  <c r="AQ62" i="13"/>
  <c r="AR62" i="13"/>
  <c r="AS62" i="13"/>
  <c r="AT62" i="13"/>
  <c r="AU62" i="13"/>
  <c r="AV62" i="13"/>
  <c r="AW62" i="13"/>
  <c r="AX62" i="13"/>
  <c r="AY62" i="13"/>
  <c r="AZ62" i="13"/>
  <c r="BA62" i="13"/>
  <c r="AP63" i="13"/>
  <c r="AQ63" i="13"/>
  <c r="AR63" i="13"/>
  <c r="AS63" i="13"/>
  <c r="AT63" i="13"/>
  <c r="AU63" i="13"/>
  <c r="AV63" i="13"/>
  <c r="AW63" i="13"/>
  <c r="AX63" i="13"/>
  <c r="AY63" i="13"/>
  <c r="AZ63" i="13"/>
  <c r="BA63" i="13"/>
  <c r="AP64" i="13"/>
  <c r="AQ64" i="13"/>
  <c r="AR64" i="13"/>
  <c r="AS64" i="13"/>
  <c r="AT64" i="13"/>
  <c r="AU64" i="13"/>
  <c r="AV64" i="13"/>
  <c r="AW64" i="13"/>
  <c r="AX64" i="13"/>
  <c r="AY64" i="13"/>
  <c r="AZ64" i="13"/>
  <c r="BA64" i="13"/>
  <c r="AP65" i="13"/>
  <c r="AQ65" i="13"/>
  <c r="AR65" i="13"/>
  <c r="AS65" i="13"/>
  <c r="AT65" i="13"/>
  <c r="AU65" i="13"/>
  <c r="AV65" i="13"/>
  <c r="AW65" i="13"/>
  <c r="AX65" i="13"/>
  <c r="AY65" i="13"/>
  <c r="AZ65" i="13"/>
  <c r="BA65" i="13"/>
  <c r="AP66" i="13"/>
  <c r="AQ66" i="13"/>
  <c r="AR66" i="13"/>
  <c r="AS66" i="13"/>
  <c r="AT66" i="13"/>
  <c r="AU66" i="13"/>
  <c r="AV66" i="13"/>
  <c r="AW66" i="13"/>
  <c r="AX66" i="13"/>
  <c r="AY66" i="13"/>
  <c r="AZ66" i="13"/>
  <c r="BA66" i="13"/>
  <c r="AP67" i="13"/>
  <c r="AQ67" i="13"/>
  <c r="AR67" i="13"/>
  <c r="AS67" i="13"/>
  <c r="AT67" i="13"/>
  <c r="AU67" i="13"/>
  <c r="AV67" i="13"/>
  <c r="AW67" i="13"/>
  <c r="AX67" i="13"/>
  <c r="AY67" i="13"/>
  <c r="AZ67" i="13"/>
  <c r="BA67" i="13"/>
  <c r="AP68" i="13"/>
  <c r="AQ68" i="13"/>
  <c r="AR68" i="13"/>
  <c r="AS68" i="13"/>
  <c r="AT68" i="13"/>
  <c r="AU68" i="13"/>
  <c r="AV68" i="13"/>
  <c r="AW68" i="13"/>
  <c r="AX68" i="13"/>
  <c r="AY68" i="13"/>
  <c r="AZ68" i="13"/>
  <c r="BA68" i="13"/>
  <c r="AP69" i="13"/>
  <c r="AQ69" i="13"/>
  <c r="AR69" i="13"/>
  <c r="AS69" i="13"/>
  <c r="AT69" i="13"/>
  <c r="AU69" i="13"/>
  <c r="AV69" i="13"/>
  <c r="AW69" i="13"/>
  <c r="AX69" i="13"/>
  <c r="AY69" i="13"/>
  <c r="AZ69" i="13"/>
  <c r="BA69" i="13"/>
  <c r="AP70" i="13"/>
  <c r="AQ70" i="13"/>
  <c r="AR70" i="13"/>
  <c r="AS70" i="13"/>
  <c r="AT70" i="13"/>
  <c r="AU70" i="13"/>
  <c r="AV70" i="13"/>
  <c r="AW70" i="13"/>
  <c r="AX70" i="13"/>
  <c r="AY70" i="13"/>
  <c r="AZ70" i="13"/>
  <c r="BA70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AP72" i="13"/>
  <c r="AQ72" i="13"/>
  <c r="AR72" i="13"/>
  <c r="AS72" i="13"/>
  <c r="AT72" i="13"/>
  <c r="AU72" i="13"/>
  <c r="AV72" i="13"/>
  <c r="AW72" i="13"/>
  <c r="AX72" i="13"/>
  <c r="AY72" i="13"/>
  <c r="AZ72" i="13"/>
  <c r="BA72" i="13"/>
  <c r="AP73" i="13"/>
  <c r="AQ73" i="13"/>
  <c r="AR73" i="13"/>
  <c r="AS73" i="13"/>
  <c r="AT73" i="13"/>
  <c r="AU73" i="13"/>
  <c r="AV73" i="13"/>
  <c r="AW73" i="13"/>
  <c r="AX73" i="13"/>
  <c r="AY73" i="13"/>
  <c r="AZ73" i="13"/>
  <c r="BA73" i="13"/>
  <c r="AP74" i="13"/>
  <c r="AQ74" i="13"/>
  <c r="AR74" i="13"/>
  <c r="AS74" i="13"/>
  <c r="AT74" i="13"/>
  <c r="AU74" i="13"/>
  <c r="AV74" i="13"/>
  <c r="AW74" i="13"/>
  <c r="AX74" i="13"/>
  <c r="AY74" i="13"/>
  <c r="AZ74" i="13"/>
  <c r="BA74" i="13"/>
  <c r="AP75" i="13"/>
  <c r="AQ75" i="13"/>
  <c r="AR75" i="13"/>
  <c r="AS75" i="13"/>
  <c r="AT75" i="13"/>
  <c r="AU75" i="13"/>
  <c r="AV75" i="13"/>
  <c r="AW75" i="13"/>
  <c r="AX75" i="13"/>
  <c r="AY75" i="13"/>
  <c r="AZ75" i="13"/>
  <c r="BA75" i="13"/>
  <c r="AP76" i="13"/>
  <c r="AQ76" i="13"/>
  <c r="AR76" i="13"/>
  <c r="AS76" i="13"/>
  <c r="AT76" i="13"/>
  <c r="AU76" i="13"/>
  <c r="AV76" i="13"/>
  <c r="AW76" i="13"/>
  <c r="AX76" i="13"/>
  <c r="AY76" i="13"/>
  <c r="AZ76" i="13"/>
  <c r="BA76" i="13"/>
  <c r="AP77" i="13"/>
  <c r="AQ77" i="13"/>
  <c r="AR77" i="13"/>
  <c r="AS77" i="13"/>
  <c r="AT77" i="13"/>
  <c r="AU77" i="13"/>
  <c r="AV77" i="13"/>
  <c r="AW77" i="13"/>
  <c r="AX77" i="13"/>
  <c r="AY77" i="13"/>
  <c r="AZ77" i="13"/>
  <c r="BA77" i="13"/>
  <c r="AP78" i="13"/>
  <c r="AQ78" i="13"/>
  <c r="AR78" i="13"/>
  <c r="AS78" i="13"/>
  <c r="AT78" i="13"/>
  <c r="AU78" i="13"/>
  <c r="AV78" i="13"/>
  <c r="AW78" i="13"/>
  <c r="AX78" i="13"/>
  <c r="AY78" i="13"/>
  <c r="AZ78" i="13"/>
  <c r="BA78" i="13"/>
  <c r="AP79" i="13"/>
  <c r="AQ79" i="13"/>
  <c r="AR79" i="13"/>
  <c r="AS79" i="13"/>
  <c r="AT79" i="13"/>
  <c r="AU79" i="13"/>
  <c r="AV79" i="13"/>
  <c r="AW79" i="13"/>
  <c r="AX79" i="13"/>
  <c r="AY79" i="13"/>
  <c r="AZ79" i="13"/>
  <c r="BA79" i="13"/>
  <c r="AP80" i="13"/>
  <c r="AQ80" i="13"/>
  <c r="AR80" i="13"/>
  <c r="AS80" i="13"/>
  <c r="AT80" i="13"/>
  <c r="AU80" i="13"/>
  <c r="AV80" i="13"/>
  <c r="AW80" i="13"/>
  <c r="AX80" i="13"/>
  <c r="AY80" i="13"/>
  <c r="AZ80" i="13"/>
  <c r="BA80" i="13"/>
  <c r="AP81" i="13"/>
  <c r="AQ81" i="13"/>
  <c r="AR81" i="13"/>
  <c r="AS81" i="13"/>
  <c r="AT81" i="13"/>
  <c r="AU81" i="13"/>
  <c r="AV81" i="13"/>
  <c r="AW81" i="13"/>
  <c r="AX81" i="13"/>
  <c r="AY81" i="13"/>
  <c r="AZ81" i="13"/>
  <c r="BA81" i="13"/>
  <c r="AP82" i="13"/>
  <c r="AQ82" i="13"/>
  <c r="AR82" i="13"/>
  <c r="AS82" i="13"/>
  <c r="AT82" i="13"/>
  <c r="AU82" i="13"/>
  <c r="AV82" i="13"/>
  <c r="AW82" i="13"/>
  <c r="AX82" i="13"/>
  <c r="AY82" i="13"/>
  <c r="AZ82" i="13"/>
  <c r="BA82" i="13"/>
  <c r="AP83" i="13"/>
  <c r="AQ83" i="13"/>
  <c r="AR83" i="13"/>
  <c r="AS83" i="13"/>
  <c r="AT83" i="13"/>
  <c r="AU83" i="13"/>
  <c r="AV83" i="13"/>
  <c r="AW83" i="13"/>
  <c r="AX83" i="13"/>
  <c r="AY83" i="13"/>
  <c r="AZ83" i="13"/>
  <c r="BA83" i="13"/>
  <c r="AP84" i="13"/>
  <c r="AQ84" i="13"/>
  <c r="AR84" i="13"/>
  <c r="AS84" i="13"/>
  <c r="AT84" i="13"/>
  <c r="AU84" i="13"/>
  <c r="AV84" i="13"/>
  <c r="AW84" i="13"/>
  <c r="AX84" i="13"/>
  <c r="AY84" i="13"/>
  <c r="AZ84" i="13"/>
  <c r="BA84" i="13"/>
  <c r="AP85" i="13"/>
  <c r="AQ85" i="13"/>
  <c r="AR85" i="13"/>
  <c r="AS85" i="13"/>
  <c r="AT85" i="13"/>
  <c r="AU85" i="13"/>
  <c r="AV85" i="13"/>
  <c r="AW85" i="13"/>
  <c r="AX85" i="13"/>
  <c r="AY85" i="13"/>
  <c r="AZ85" i="13"/>
  <c r="BA85" i="13"/>
  <c r="AP86" i="13"/>
  <c r="AQ86" i="13"/>
  <c r="AR86" i="13"/>
  <c r="AS86" i="13"/>
  <c r="AT86" i="13"/>
  <c r="AU86" i="13"/>
  <c r="AV86" i="13"/>
  <c r="AW86" i="13"/>
  <c r="AX86" i="13"/>
  <c r="AY86" i="13"/>
  <c r="AZ86" i="13"/>
  <c r="BA86" i="13"/>
  <c r="AP87" i="13"/>
  <c r="AQ87" i="13"/>
  <c r="AR87" i="13"/>
  <c r="AS87" i="13"/>
  <c r="AT87" i="13"/>
  <c r="AU87" i="13"/>
  <c r="AV87" i="13"/>
  <c r="AW87" i="13"/>
  <c r="AX87" i="13"/>
  <c r="AY87" i="13"/>
  <c r="AZ87" i="13"/>
  <c r="BA87" i="13"/>
  <c r="AP88" i="13"/>
  <c r="AQ88" i="13"/>
  <c r="AR88" i="13"/>
  <c r="AS88" i="13"/>
  <c r="AT88" i="13"/>
  <c r="AU88" i="13"/>
  <c r="AV88" i="13"/>
  <c r="AW88" i="13"/>
  <c r="AX88" i="13"/>
  <c r="AY88" i="13"/>
  <c r="AZ88" i="13"/>
  <c r="BA88" i="13"/>
  <c r="AP89" i="13"/>
  <c r="AQ89" i="13"/>
  <c r="AR89" i="13"/>
  <c r="AS89" i="13"/>
  <c r="AT89" i="13"/>
  <c r="AU89" i="13"/>
  <c r="AV89" i="13"/>
  <c r="AW89" i="13"/>
  <c r="AX89" i="13"/>
  <c r="AY89" i="13"/>
  <c r="AZ89" i="13"/>
  <c r="BA89" i="13"/>
  <c r="AP90" i="13"/>
  <c r="AQ90" i="13"/>
  <c r="AR90" i="13"/>
  <c r="AS90" i="13"/>
  <c r="AT90" i="13"/>
  <c r="AU90" i="13"/>
  <c r="AV90" i="13"/>
  <c r="AW90" i="13"/>
  <c r="AX90" i="13"/>
  <c r="AY90" i="13"/>
  <c r="AZ90" i="13"/>
  <c r="BA90" i="13"/>
  <c r="AP91" i="13"/>
  <c r="AQ91" i="13"/>
  <c r="AR91" i="13"/>
  <c r="AS91" i="13"/>
  <c r="AT91" i="13"/>
  <c r="AU91" i="13"/>
  <c r="AV91" i="13"/>
  <c r="AW91" i="13"/>
  <c r="AX91" i="13"/>
  <c r="AY91" i="13"/>
  <c r="AZ91" i="13"/>
  <c r="BA91" i="13"/>
  <c r="AP92" i="13"/>
  <c r="AQ92" i="13"/>
  <c r="AR92" i="13"/>
  <c r="AS92" i="13"/>
  <c r="AT92" i="13"/>
  <c r="AU92" i="13"/>
  <c r="AV92" i="13"/>
  <c r="AW92" i="13"/>
  <c r="AX92" i="13"/>
  <c r="AY92" i="13"/>
  <c r="AZ92" i="13"/>
  <c r="BA92" i="13"/>
  <c r="AP93" i="13"/>
  <c r="AQ93" i="13"/>
  <c r="AR93" i="13"/>
  <c r="AS93" i="13"/>
  <c r="AT93" i="13"/>
  <c r="AU93" i="13"/>
  <c r="AV93" i="13"/>
  <c r="AW93" i="13"/>
  <c r="AX93" i="13"/>
  <c r="AY93" i="13"/>
  <c r="AZ93" i="13"/>
  <c r="BA93" i="13"/>
  <c r="AP94" i="13"/>
  <c r="AQ94" i="13"/>
  <c r="AR94" i="13"/>
  <c r="AS94" i="13"/>
  <c r="AT94" i="13"/>
  <c r="AU94" i="13"/>
  <c r="AV94" i="13"/>
  <c r="AW94" i="13"/>
  <c r="AX94" i="13"/>
  <c r="AY94" i="13"/>
  <c r="AZ94" i="13"/>
  <c r="BA94" i="13"/>
  <c r="AP95" i="13"/>
  <c r="AQ95" i="13"/>
  <c r="AR95" i="13"/>
  <c r="AS95" i="13"/>
  <c r="AT95" i="13"/>
  <c r="AU95" i="13"/>
  <c r="AV95" i="13"/>
  <c r="AW95" i="13"/>
  <c r="AX95" i="13"/>
  <c r="AY95" i="13"/>
  <c r="AZ95" i="13"/>
  <c r="BA95" i="13"/>
  <c r="AP96" i="13"/>
  <c r="AQ96" i="13"/>
  <c r="AR96" i="13"/>
  <c r="AS96" i="13"/>
  <c r="AT96" i="13"/>
  <c r="AU96" i="13"/>
  <c r="AV96" i="13"/>
  <c r="AW96" i="13"/>
  <c r="AX96" i="13"/>
  <c r="AY96" i="13"/>
  <c r="AZ96" i="13"/>
  <c r="BA96" i="13"/>
  <c r="AP97" i="13"/>
  <c r="AQ97" i="13"/>
  <c r="AR97" i="13"/>
  <c r="AS97" i="13"/>
  <c r="AT97" i="13"/>
  <c r="AU97" i="13"/>
  <c r="AV97" i="13"/>
  <c r="AW97" i="13"/>
  <c r="AX97" i="13"/>
  <c r="AY97" i="13"/>
  <c r="AZ97" i="13"/>
  <c r="BA97" i="13"/>
  <c r="AP98" i="13"/>
  <c r="AQ98" i="13"/>
  <c r="AR98" i="13"/>
  <c r="AS98" i="13"/>
  <c r="AT98" i="13"/>
  <c r="AU98" i="13"/>
  <c r="AV98" i="13"/>
  <c r="AW98" i="13"/>
  <c r="AX98" i="13"/>
  <c r="AY98" i="13"/>
  <c r="AZ98" i="13"/>
  <c r="BA98" i="13"/>
  <c r="AP99" i="13"/>
  <c r="AQ99" i="13"/>
  <c r="AR99" i="13"/>
  <c r="AS99" i="13"/>
  <c r="AT99" i="13"/>
  <c r="AU99" i="13"/>
  <c r="AV99" i="13"/>
  <c r="AW99" i="13"/>
  <c r="AX99" i="13"/>
  <c r="AY99" i="13"/>
  <c r="AZ99" i="13"/>
  <c r="BA99" i="13"/>
  <c r="AP100" i="13"/>
  <c r="AQ100" i="13"/>
  <c r="AR100" i="13"/>
  <c r="AS100" i="13"/>
  <c r="AT100" i="13"/>
  <c r="AU100" i="13"/>
  <c r="AV100" i="13"/>
  <c r="AW100" i="13"/>
  <c r="AX100" i="13"/>
  <c r="AY100" i="13"/>
  <c r="AZ100" i="13"/>
  <c r="BA100" i="13"/>
  <c r="AP101" i="13"/>
  <c r="AQ101" i="13"/>
  <c r="AR101" i="13"/>
  <c r="AS101" i="13"/>
  <c r="AT101" i="13"/>
  <c r="AU101" i="13"/>
  <c r="AV101" i="13"/>
  <c r="AW101" i="13"/>
  <c r="AX101" i="13"/>
  <c r="AY101" i="13"/>
  <c r="AZ101" i="13"/>
  <c r="BA101" i="13"/>
  <c r="AP102" i="13"/>
  <c r="AQ102" i="13"/>
  <c r="AR102" i="13"/>
  <c r="AS102" i="13"/>
  <c r="AT102" i="13"/>
  <c r="AU102" i="13"/>
  <c r="AV102" i="13"/>
  <c r="AW102" i="13"/>
  <c r="AX102" i="13"/>
  <c r="AY102" i="13"/>
  <c r="AZ102" i="13"/>
  <c r="BA102" i="13"/>
  <c r="AP103" i="13"/>
  <c r="AQ103" i="13"/>
  <c r="AR103" i="13"/>
  <c r="AS103" i="13"/>
  <c r="AT103" i="13"/>
  <c r="AU103" i="13"/>
  <c r="AV103" i="13"/>
  <c r="AW103" i="13"/>
  <c r="AX103" i="13"/>
  <c r="AY103" i="13"/>
  <c r="AZ103" i="13"/>
  <c r="BA103" i="13"/>
  <c r="AP104" i="13"/>
  <c r="AQ104" i="13"/>
  <c r="AR104" i="13"/>
  <c r="AS104" i="13"/>
  <c r="AT104" i="13"/>
  <c r="AU104" i="13"/>
  <c r="AV104" i="13"/>
  <c r="AW104" i="13"/>
  <c r="AX104" i="13"/>
  <c r="AY104" i="13"/>
  <c r="AZ104" i="13"/>
  <c r="BA104" i="13"/>
  <c r="AP105" i="13"/>
  <c r="AQ105" i="13"/>
  <c r="AR105" i="13"/>
  <c r="AS105" i="13"/>
  <c r="AT105" i="13"/>
  <c r="AU105" i="13"/>
  <c r="AV105" i="13"/>
  <c r="AW105" i="13"/>
  <c r="AX105" i="13"/>
  <c r="AY105" i="13"/>
  <c r="AZ105" i="13"/>
  <c r="BA105" i="13"/>
  <c r="AP106" i="13"/>
  <c r="AQ106" i="13"/>
  <c r="AR106" i="13"/>
  <c r="AS106" i="13"/>
  <c r="AT106" i="13"/>
  <c r="AU106" i="13"/>
  <c r="AV106" i="13"/>
  <c r="AW106" i="13"/>
  <c r="AX106" i="13"/>
  <c r="AY106" i="13"/>
  <c r="AZ106" i="13"/>
  <c r="BA106" i="13"/>
  <c r="AP107" i="13"/>
  <c r="AQ107" i="13"/>
  <c r="AR107" i="13"/>
  <c r="AS107" i="13"/>
  <c r="AT107" i="13"/>
  <c r="AU107" i="13"/>
  <c r="AV107" i="13"/>
  <c r="AW107" i="13"/>
  <c r="AX107" i="13"/>
  <c r="AY107" i="13"/>
  <c r="AZ107" i="13"/>
  <c r="BA107" i="13"/>
  <c r="AP108" i="13"/>
  <c r="AQ108" i="13"/>
  <c r="AR108" i="13"/>
  <c r="AS108" i="13"/>
  <c r="AT108" i="13"/>
  <c r="AU108" i="13"/>
  <c r="AV108" i="13"/>
  <c r="AW108" i="13"/>
  <c r="AX108" i="13"/>
  <c r="AY108" i="13"/>
  <c r="AZ108" i="13"/>
  <c r="BA108" i="13"/>
  <c r="AP109" i="13"/>
  <c r="AQ109" i="13"/>
  <c r="AR109" i="13"/>
  <c r="AS109" i="13"/>
  <c r="AT109" i="13"/>
  <c r="AU109" i="13"/>
  <c r="AV109" i="13"/>
  <c r="AW109" i="13"/>
  <c r="AX109" i="13"/>
  <c r="AY109" i="13"/>
  <c r="AZ109" i="13"/>
  <c r="BA109" i="13"/>
  <c r="AP110" i="13"/>
  <c r="AQ110" i="13"/>
  <c r="AR110" i="13"/>
  <c r="AS110" i="13"/>
  <c r="AT110" i="13"/>
  <c r="AU110" i="13"/>
  <c r="AV110" i="13"/>
  <c r="AW110" i="13"/>
  <c r="AX110" i="13"/>
  <c r="AY110" i="13"/>
  <c r="AZ110" i="13"/>
  <c r="BA110" i="13"/>
  <c r="AP111" i="13"/>
  <c r="AQ111" i="13"/>
  <c r="AR111" i="13"/>
  <c r="AS111" i="13"/>
  <c r="AT111" i="13"/>
  <c r="AU111" i="13"/>
  <c r="AV111" i="13"/>
  <c r="AW111" i="13"/>
  <c r="AX111" i="13"/>
  <c r="AY111" i="13"/>
  <c r="AZ111" i="13"/>
  <c r="BA111" i="13"/>
  <c r="AP112" i="13"/>
  <c r="AQ112" i="13"/>
  <c r="AR112" i="13"/>
  <c r="AS112" i="13"/>
  <c r="AT112" i="13"/>
  <c r="AU112" i="13"/>
  <c r="AV112" i="13"/>
  <c r="AW112" i="13"/>
  <c r="AX112" i="13"/>
  <c r="AY112" i="13"/>
  <c r="AZ112" i="13"/>
  <c r="BA112" i="13"/>
  <c r="AP113" i="13"/>
  <c r="AQ113" i="13"/>
  <c r="AR113" i="13"/>
  <c r="AS113" i="13"/>
  <c r="AT113" i="13"/>
  <c r="AU113" i="13"/>
  <c r="AV113" i="13"/>
  <c r="AW113" i="13"/>
  <c r="AX113" i="13"/>
  <c r="AY113" i="13"/>
  <c r="AZ113" i="13"/>
  <c r="BA113" i="13"/>
  <c r="AP114" i="13"/>
  <c r="AQ114" i="13"/>
  <c r="AR114" i="13"/>
  <c r="AS114" i="13"/>
  <c r="AT114" i="13"/>
  <c r="AU114" i="13"/>
  <c r="AV114" i="13"/>
  <c r="AW114" i="13"/>
  <c r="AX114" i="13"/>
  <c r="AY114" i="13"/>
  <c r="AZ114" i="13"/>
  <c r="BA114" i="13"/>
  <c r="AP115" i="13"/>
  <c r="AQ115" i="13"/>
  <c r="AR115" i="13"/>
  <c r="AS115" i="13"/>
  <c r="AT115" i="13"/>
  <c r="AU115" i="13"/>
  <c r="AV115" i="13"/>
  <c r="AW115" i="13"/>
  <c r="AX115" i="13"/>
  <c r="AY115" i="13"/>
  <c r="AZ115" i="13"/>
  <c r="BA115" i="13"/>
  <c r="AP116" i="13"/>
  <c r="AQ116" i="13"/>
  <c r="AR116" i="13"/>
  <c r="AS116" i="13"/>
  <c r="AT116" i="13"/>
  <c r="AU116" i="13"/>
  <c r="AV116" i="13"/>
  <c r="AW116" i="13"/>
  <c r="AX116" i="13"/>
  <c r="AY116" i="13"/>
  <c r="AZ116" i="13"/>
  <c r="BA116" i="13"/>
  <c r="AP117" i="13"/>
  <c r="AQ117" i="13"/>
  <c r="AR117" i="13"/>
  <c r="AS117" i="13"/>
  <c r="AT117" i="13"/>
  <c r="AU117" i="13"/>
  <c r="AV117" i="13"/>
  <c r="AW117" i="13"/>
  <c r="AX117" i="13"/>
  <c r="AY117" i="13"/>
  <c r="AZ117" i="13"/>
  <c r="BA117" i="13"/>
  <c r="AP118" i="13"/>
  <c r="AQ118" i="13"/>
  <c r="AR118" i="13"/>
  <c r="AS118" i="13"/>
  <c r="AT118" i="13"/>
  <c r="AU118" i="13"/>
  <c r="AV118" i="13"/>
  <c r="AW118" i="13"/>
  <c r="AX118" i="13"/>
  <c r="AY118" i="13"/>
  <c r="AZ118" i="13"/>
  <c r="BA118" i="13"/>
  <c r="AP119" i="13"/>
  <c r="AQ119" i="13"/>
  <c r="AR119" i="13"/>
  <c r="AS119" i="13"/>
  <c r="AT119" i="13"/>
  <c r="AU119" i="13"/>
  <c r="AV119" i="13"/>
  <c r="AW119" i="13"/>
  <c r="AX119" i="13"/>
  <c r="AY119" i="13"/>
  <c r="AZ119" i="13"/>
  <c r="BA119" i="13"/>
  <c r="AP120" i="13"/>
  <c r="AQ120" i="13"/>
  <c r="AR120" i="13"/>
  <c r="AS120" i="13"/>
  <c r="AT120" i="13"/>
  <c r="AU120" i="13"/>
  <c r="AV120" i="13"/>
  <c r="AW120" i="13"/>
  <c r="AX120" i="13"/>
  <c r="AY120" i="13"/>
  <c r="AZ120" i="13"/>
  <c r="BA120" i="13"/>
  <c r="AP121" i="13"/>
  <c r="AQ121" i="13"/>
  <c r="AR121" i="13"/>
  <c r="AS121" i="13"/>
  <c r="AT121" i="13"/>
  <c r="AU121" i="13"/>
  <c r="AV121" i="13"/>
  <c r="AW121" i="13"/>
  <c r="AX121" i="13"/>
  <c r="AY121" i="13"/>
  <c r="AZ121" i="13"/>
  <c r="BA121" i="13"/>
  <c r="AP122" i="13"/>
  <c r="AQ122" i="13"/>
  <c r="AR122" i="13"/>
  <c r="AS122" i="13"/>
  <c r="AT122" i="13"/>
  <c r="AU122" i="13"/>
  <c r="AV122" i="13"/>
  <c r="AW122" i="13"/>
  <c r="AX122" i="13"/>
  <c r="AY122" i="13"/>
  <c r="AZ122" i="13"/>
  <c r="BA122" i="13"/>
  <c r="AP123" i="13"/>
  <c r="AQ123" i="13"/>
  <c r="AR123" i="13"/>
  <c r="AS123" i="13"/>
  <c r="AT123" i="13"/>
  <c r="AU123" i="13"/>
  <c r="AV123" i="13"/>
  <c r="AW123" i="13"/>
  <c r="AX123" i="13"/>
  <c r="AY123" i="13"/>
  <c r="AZ123" i="13"/>
  <c r="BA123" i="13"/>
  <c r="AP124" i="13"/>
  <c r="AQ124" i="13"/>
  <c r="AR124" i="13"/>
  <c r="AS124" i="13"/>
  <c r="AT124" i="13"/>
  <c r="AU124" i="13"/>
  <c r="AV124" i="13"/>
  <c r="AW124" i="13"/>
  <c r="AX124" i="13"/>
  <c r="AY124" i="13"/>
  <c r="AZ124" i="13"/>
  <c r="BA124" i="13"/>
  <c r="AP125" i="13"/>
  <c r="AQ125" i="13"/>
  <c r="AR125" i="13"/>
  <c r="AS125" i="13"/>
  <c r="AT125" i="13"/>
  <c r="AU125" i="13"/>
  <c r="AV125" i="13"/>
  <c r="AW125" i="13"/>
  <c r="AX125" i="13"/>
  <c r="AY125" i="13"/>
  <c r="AZ125" i="13"/>
  <c r="BA125" i="13"/>
  <c r="AP126" i="13"/>
  <c r="AQ126" i="13"/>
  <c r="AR126" i="13"/>
  <c r="AS126" i="13"/>
  <c r="AT126" i="13"/>
  <c r="AU126" i="13"/>
  <c r="AV126" i="13"/>
  <c r="AW126" i="13"/>
  <c r="AX126" i="13"/>
  <c r="AY126" i="13"/>
  <c r="AZ126" i="13"/>
  <c r="BA126" i="13"/>
  <c r="AP127" i="13"/>
  <c r="AQ127" i="13"/>
  <c r="AR127" i="13"/>
  <c r="AS127" i="13"/>
  <c r="AT127" i="13"/>
  <c r="AU127" i="13"/>
  <c r="AV127" i="13"/>
  <c r="AW127" i="13"/>
  <c r="AX127" i="13"/>
  <c r="AY127" i="13"/>
  <c r="AZ127" i="13"/>
  <c r="BA127" i="13"/>
  <c r="AP128" i="13"/>
  <c r="AQ128" i="13"/>
  <c r="AR128" i="13"/>
  <c r="AS128" i="13"/>
  <c r="AT128" i="13"/>
  <c r="AU128" i="13"/>
  <c r="AV128" i="13"/>
  <c r="AW128" i="13"/>
  <c r="AX128" i="13"/>
  <c r="AY128" i="13"/>
  <c r="AZ128" i="13"/>
  <c r="BA128" i="13"/>
  <c r="AP129" i="13"/>
  <c r="AQ129" i="13"/>
  <c r="AR129" i="13"/>
  <c r="AS129" i="13"/>
  <c r="AT129" i="13"/>
  <c r="AU129" i="13"/>
  <c r="AV129" i="13"/>
  <c r="AW129" i="13"/>
  <c r="AX129" i="13"/>
  <c r="AY129" i="13"/>
  <c r="AZ129" i="13"/>
  <c r="BA129" i="13"/>
  <c r="AP130" i="13"/>
  <c r="AQ130" i="13"/>
  <c r="AR130" i="13"/>
  <c r="AS130" i="13"/>
  <c r="AT130" i="13"/>
  <c r="AU130" i="13"/>
  <c r="AV130" i="13"/>
  <c r="AW130" i="13"/>
  <c r="AX130" i="13"/>
  <c r="AY130" i="13"/>
  <c r="AZ130" i="13"/>
  <c r="BA130" i="13"/>
  <c r="AP131" i="13"/>
  <c r="AQ131" i="13"/>
  <c r="AR131" i="13"/>
  <c r="AS131" i="13"/>
  <c r="AT131" i="13"/>
  <c r="AU131" i="13"/>
  <c r="AV131" i="13"/>
  <c r="AW131" i="13"/>
  <c r="AX131" i="13"/>
  <c r="AY131" i="13"/>
  <c r="AZ131" i="13"/>
  <c r="BA131" i="13"/>
  <c r="AP132" i="13"/>
  <c r="AQ132" i="13"/>
  <c r="AR132" i="13"/>
  <c r="AS132" i="13"/>
  <c r="AT132" i="13"/>
  <c r="AU132" i="13"/>
  <c r="AV132" i="13"/>
  <c r="AW132" i="13"/>
  <c r="AX132" i="13"/>
  <c r="AY132" i="13"/>
  <c r="AZ132" i="13"/>
  <c r="BA132" i="13"/>
  <c r="AP133" i="13"/>
  <c r="AQ133" i="13"/>
  <c r="AR133" i="13"/>
  <c r="AS133" i="13"/>
  <c r="AT133" i="13"/>
  <c r="AU133" i="13"/>
  <c r="AV133" i="13"/>
  <c r="AW133" i="13"/>
  <c r="AX133" i="13"/>
  <c r="AY133" i="13"/>
  <c r="AZ133" i="13"/>
  <c r="BA133" i="13"/>
  <c r="AP134" i="13"/>
  <c r="AQ134" i="13"/>
  <c r="AR134" i="13"/>
  <c r="AS134" i="13"/>
  <c r="AT134" i="13"/>
  <c r="AU134" i="13"/>
  <c r="AV134" i="13"/>
  <c r="AW134" i="13"/>
  <c r="AX134" i="13"/>
  <c r="AY134" i="13"/>
  <c r="AZ134" i="13"/>
  <c r="BA134" i="13"/>
  <c r="AP135" i="13"/>
  <c r="AQ135" i="13"/>
  <c r="AR135" i="13"/>
  <c r="AS135" i="13"/>
  <c r="AT135" i="13"/>
  <c r="AU135" i="13"/>
  <c r="AV135" i="13"/>
  <c r="AW135" i="13"/>
  <c r="AX135" i="13"/>
  <c r="AY135" i="13"/>
  <c r="AZ135" i="13"/>
  <c r="BA135" i="13"/>
  <c r="AP136" i="13"/>
  <c r="AQ136" i="13"/>
  <c r="AR136" i="13"/>
  <c r="AS136" i="13"/>
  <c r="AT136" i="13"/>
  <c r="AU136" i="13"/>
  <c r="AV136" i="13"/>
  <c r="AW136" i="13"/>
  <c r="AX136" i="13"/>
  <c r="AY136" i="13"/>
  <c r="AZ136" i="13"/>
  <c r="BA136" i="13"/>
  <c r="AP137" i="13"/>
  <c r="AQ137" i="13"/>
  <c r="AR137" i="13"/>
  <c r="AS137" i="13"/>
  <c r="AT137" i="13"/>
  <c r="AU137" i="13"/>
  <c r="AV137" i="13"/>
  <c r="AW137" i="13"/>
  <c r="AX137" i="13"/>
  <c r="AY137" i="13"/>
  <c r="AZ137" i="13"/>
  <c r="BA137" i="13"/>
  <c r="AP138" i="13"/>
  <c r="AQ138" i="13"/>
  <c r="AR138" i="13"/>
  <c r="AS138" i="13"/>
  <c r="AT138" i="13"/>
  <c r="AU138" i="13"/>
  <c r="AV138" i="13"/>
  <c r="AW138" i="13"/>
  <c r="AX138" i="13"/>
  <c r="AY138" i="13"/>
  <c r="AZ138" i="13"/>
  <c r="BA138" i="13"/>
  <c r="AP139" i="13"/>
  <c r="AQ139" i="13"/>
  <c r="AR139" i="13"/>
  <c r="AS139" i="13"/>
  <c r="AT139" i="13"/>
  <c r="AU139" i="13"/>
  <c r="AV139" i="13"/>
  <c r="AW139" i="13"/>
  <c r="AX139" i="13"/>
  <c r="AY139" i="13"/>
  <c r="AZ139" i="13"/>
  <c r="BA139" i="13"/>
  <c r="AP140" i="13"/>
  <c r="AQ140" i="13"/>
  <c r="AR140" i="13"/>
  <c r="AS140" i="13"/>
  <c r="AT140" i="13"/>
  <c r="AU140" i="13"/>
  <c r="AV140" i="13"/>
  <c r="AW140" i="13"/>
  <c r="AX140" i="13"/>
  <c r="AY140" i="13"/>
  <c r="AZ140" i="13"/>
  <c r="BA140" i="13"/>
  <c r="AP141" i="13"/>
  <c r="AQ141" i="13"/>
  <c r="AR141" i="13"/>
  <c r="AS141" i="13"/>
  <c r="AT141" i="13"/>
  <c r="AU141" i="13"/>
  <c r="AV141" i="13"/>
  <c r="AW141" i="13"/>
  <c r="AX141" i="13"/>
  <c r="AY141" i="13"/>
  <c r="AZ141" i="13"/>
  <c r="BA141" i="13"/>
  <c r="AP142" i="13"/>
  <c r="AQ142" i="13"/>
  <c r="AR142" i="13"/>
  <c r="AS142" i="13"/>
  <c r="AT142" i="13"/>
  <c r="AU142" i="13"/>
  <c r="AV142" i="13"/>
  <c r="AW142" i="13"/>
  <c r="AX142" i="13"/>
  <c r="AY142" i="13"/>
  <c r="AZ142" i="13"/>
  <c r="BA142" i="13"/>
  <c r="AP143" i="13"/>
  <c r="AQ143" i="13"/>
  <c r="AR143" i="13"/>
  <c r="AS143" i="13"/>
  <c r="AT143" i="13"/>
  <c r="AU143" i="13"/>
  <c r="AV143" i="13"/>
  <c r="AW143" i="13"/>
  <c r="AX143" i="13"/>
  <c r="AY143" i="13"/>
  <c r="AZ143" i="13"/>
  <c r="BA143" i="13"/>
  <c r="AP144" i="13"/>
  <c r="AQ144" i="13"/>
  <c r="AR144" i="13"/>
  <c r="AS144" i="13"/>
  <c r="AT144" i="13"/>
  <c r="AU144" i="13"/>
  <c r="AV144" i="13"/>
  <c r="AW144" i="13"/>
  <c r="AX144" i="13"/>
  <c r="AY144" i="13"/>
  <c r="AZ144" i="13"/>
  <c r="BA144" i="13"/>
  <c r="AP145" i="13"/>
  <c r="AQ145" i="13"/>
  <c r="AR145" i="13"/>
  <c r="AS145" i="13"/>
  <c r="AT145" i="13"/>
  <c r="AU145" i="13"/>
  <c r="AV145" i="13"/>
  <c r="AW145" i="13"/>
  <c r="AX145" i="13"/>
  <c r="AY145" i="13"/>
  <c r="AZ145" i="13"/>
  <c r="BA145" i="13"/>
  <c r="AP146" i="13"/>
  <c r="AQ146" i="13"/>
  <c r="AR146" i="13"/>
  <c r="AS146" i="13"/>
  <c r="AT146" i="13"/>
  <c r="AU146" i="13"/>
  <c r="AV146" i="13"/>
  <c r="AW146" i="13"/>
  <c r="AX146" i="13"/>
  <c r="AY146" i="13"/>
  <c r="AZ146" i="13"/>
  <c r="BA146" i="13"/>
  <c r="AP147" i="13"/>
  <c r="AQ147" i="13"/>
  <c r="AR147" i="13"/>
  <c r="AS147" i="13"/>
  <c r="AT147" i="13"/>
  <c r="AU147" i="13"/>
  <c r="AV147" i="13"/>
  <c r="AW147" i="13"/>
  <c r="AX147" i="13"/>
  <c r="AY147" i="13"/>
  <c r="AZ147" i="13"/>
  <c r="BA147" i="13"/>
  <c r="AP148" i="13"/>
  <c r="AQ148" i="13"/>
  <c r="AR148" i="13"/>
  <c r="AS148" i="13"/>
  <c r="AT148" i="13"/>
  <c r="AU148" i="13"/>
  <c r="AV148" i="13"/>
  <c r="AW148" i="13"/>
  <c r="AX148" i="13"/>
  <c r="AY148" i="13"/>
  <c r="AZ148" i="13"/>
  <c r="BA148" i="13"/>
  <c r="AP149" i="13"/>
  <c r="AQ149" i="13"/>
  <c r="AR149" i="13"/>
  <c r="AS149" i="13"/>
  <c r="AT149" i="13"/>
  <c r="AU149" i="13"/>
  <c r="AV149" i="13"/>
  <c r="AW149" i="13"/>
  <c r="AX149" i="13"/>
  <c r="AY149" i="13"/>
  <c r="AZ149" i="13"/>
  <c r="BA149" i="13"/>
  <c r="AP150" i="13"/>
  <c r="AQ150" i="13"/>
  <c r="AR150" i="13"/>
  <c r="AS150" i="13"/>
  <c r="AT150" i="13"/>
  <c r="AU150" i="13"/>
  <c r="AV150" i="13"/>
  <c r="AW150" i="13"/>
  <c r="AX150" i="13"/>
  <c r="AY150" i="13"/>
  <c r="AZ150" i="13"/>
  <c r="BA150" i="13"/>
  <c r="AP151" i="13"/>
  <c r="AQ151" i="13"/>
  <c r="AR151" i="13"/>
  <c r="AS151" i="13"/>
  <c r="AT151" i="13"/>
  <c r="AU151" i="13"/>
  <c r="AV151" i="13"/>
  <c r="AW151" i="13"/>
  <c r="AX151" i="13"/>
  <c r="AY151" i="13"/>
  <c r="AZ151" i="13"/>
  <c r="BA151" i="13"/>
  <c r="AP152" i="13"/>
  <c r="AQ152" i="13"/>
  <c r="AR152" i="13"/>
  <c r="AS152" i="13"/>
  <c r="AT152" i="13"/>
  <c r="AU152" i="13"/>
  <c r="AV152" i="13"/>
  <c r="AW152" i="13"/>
  <c r="AX152" i="13"/>
  <c r="AY152" i="13"/>
  <c r="AZ152" i="13"/>
  <c r="BA152" i="13"/>
  <c r="AP153" i="13"/>
  <c r="AQ153" i="13"/>
  <c r="AR153" i="13"/>
  <c r="AS153" i="13"/>
  <c r="AT153" i="13"/>
  <c r="AU153" i="13"/>
  <c r="AV153" i="13"/>
  <c r="AW153" i="13"/>
  <c r="AX153" i="13"/>
  <c r="AY153" i="13"/>
  <c r="AZ153" i="13"/>
  <c r="BA153" i="13"/>
  <c r="AP154" i="13"/>
  <c r="AQ154" i="13"/>
  <c r="AR154" i="13"/>
  <c r="AS154" i="13"/>
  <c r="AT154" i="13"/>
  <c r="AU154" i="13"/>
  <c r="AV154" i="13"/>
  <c r="AW154" i="13"/>
  <c r="AX154" i="13"/>
  <c r="AY154" i="13"/>
  <c r="AZ154" i="13"/>
  <c r="BA154" i="13"/>
  <c r="AP155" i="13"/>
  <c r="AQ155" i="13"/>
  <c r="AR155" i="13"/>
  <c r="AS155" i="13"/>
  <c r="AT155" i="13"/>
  <c r="AU155" i="13"/>
  <c r="AV155" i="13"/>
  <c r="AW155" i="13"/>
  <c r="AX155" i="13"/>
  <c r="AY155" i="13"/>
  <c r="AZ155" i="13"/>
  <c r="BA155" i="13"/>
  <c r="AP156" i="13"/>
  <c r="AQ156" i="13"/>
  <c r="AR156" i="13"/>
  <c r="AS156" i="13"/>
  <c r="AT156" i="13"/>
  <c r="AU156" i="13"/>
  <c r="AV156" i="13"/>
  <c r="AW156" i="13"/>
  <c r="AX156" i="13"/>
  <c r="AY156" i="13"/>
  <c r="AZ156" i="13"/>
  <c r="BA156" i="13"/>
  <c r="AP157" i="13"/>
  <c r="AQ157" i="13"/>
  <c r="AR157" i="13"/>
  <c r="AS157" i="13"/>
  <c r="AT157" i="13"/>
  <c r="AU157" i="13"/>
  <c r="AV157" i="13"/>
  <c r="AW157" i="13"/>
  <c r="AX157" i="13"/>
  <c r="AY157" i="13"/>
  <c r="AZ157" i="13"/>
  <c r="BA157" i="13"/>
  <c r="AP158" i="13"/>
  <c r="AQ158" i="13"/>
  <c r="AR158" i="13"/>
  <c r="AS158" i="13"/>
  <c r="AT158" i="13"/>
  <c r="AU158" i="13"/>
  <c r="AV158" i="13"/>
  <c r="AW158" i="13"/>
  <c r="AX158" i="13"/>
  <c r="AY158" i="13"/>
  <c r="AZ158" i="13"/>
  <c r="BA158" i="13"/>
  <c r="AP159" i="13"/>
  <c r="AQ159" i="13"/>
  <c r="AR159" i="13"/>
  <c r="AS159" i="13"/>
  <c r="AT159" i="13"/>
  <c r="AU159" i="13"/>
  <c r="AV159" i="13"/>
  <c r="AW159" i="13"/>
  <c r="AX159" i="13"/>
  <c r="AY159" i="13"/>
  <c r="AZ159" i="13"/>
  <c r="BA159" i="13"/>
  <c r="AP160" i="13"/>
  <c r="AQ160" i="13"/>
  <c r="AR160" i="13"/>
  <c r="AS160" i="13"/>
  <c r="AT160" i="13"/>
  <c r="AU160" i="13"/>
  <c r="AV160" i="13"/>
  <c r="AW160" i="13"/>
  <c r="AX160" i="13"/>
  <c r="AY160" i="13"/>
  <c r="AZ160" i="13"/>
  <c r="BA160" i="13"/>
  <c r="AP161" i="13"/>
  <c r="AQ161" i="13"/>
  <c r="AR161" i="13"/>
  <c r="AS161" i="13"/>
  <c r="AT161" i="13"/>
  <c r="AU161" i="13"/>
  <c r="AV161" i="13"/>
  <c r="AW161" i="13"/>
  <c r="AX161" i="13"/>
  <c r="AY161" i="13"/>
  <c r="AZ161" i="13"/>
  <c r="BA161" i="13"/>
  <c r="AP162" i="13"/>
  <c r="AQ162" i="13"/>
  <c r="AR162" i="13"/>
  <c r="AS162" i="13"/>
  <c r="AT162" i="13"/>
  <c r="AU162" i="13"/>
  <c r="AV162" i="13"/>
  <c r="AW162" i="13"/>
  <c r="AX162" i="13"/>
  <c r="AY162" i="13"/>
  <c r="AZ162" i="13"/>
  <c r="BA162" i="13"/>
  <c r="AP163" i="13"/>
  <c r="AQ163" i="13"/>
  <c r="AR163" i="13"/>
  <c r="AS163" i="13"/>
  <c r="AT163" i="13"/>
  <c r="AU163" i="13"/>
  <c r="AV163" i="13"/>
  <c r="AW163" i="13"/>
  <c r="AX163" i="13"/>
  <c r="AY163" i="13"/>
  <c r="AZ163" i="13"/>
  <c r="BA163" i="13"/>
  <c r="AP164" i="13"/>
  <c r="AQ164" i="13"/>
  <c r="AR164" i="13"/>
  <c r="AS164" i="13"/>
  <c r="AT164" i="13"/>
  <c r="AU164" i="13"/>
  <c r="AV164" i="13"/>
  <c r="AW164" i="13"/>
  <c r="AX164" i="13"/>
  <c r="AY164" i="13"/>
  <c r="AZ164" i="13"/>
  <c r="BA164" i="13"/>
  <c r="AP165" i="13"/>
  <c r="AQ165" i="13"/>
  <c r="AR165" i="13"/>
  <c r="AS165" i="13"/>
  <c r="AT165" i="13"/>
  <c r="AU165" i="13"/>
  <c r="AV165" i="13"/>
  <c r="AW165" i="13"/>
  <c r="AX165" i="13"/>
  <c r="AY165" i="13"/>
  <c r="AZ165" i="13"/>
  <c r="BA165" i="13"/>
  <c r="AP166" i="13"/>
  <c r="AQ166" i="13"/>
  <c r="AR166" i="13"/>
  <c r="AS166" i="13"/>
  <c r="AT166" i="13"/>
  <c r="AU166" i="13"/>
  <c r="AV166" i="13"/>
  <c r="AW166" i="13"/>
  <c r="AX166" i="13"/>
  <c r="AY166" i="13"/>
  <c r="AZ166" i="13"/>
  <c r="BA166" i="13"/>
  <c r="AP167" i="13"/>
  <c r="AQ167" i="13"/>
  <c r="AR167" i="13"/>
  <c r="AS167" i="13"/>
  <c r="AT167" i="13"/>
  <c r="AU167" i="13"/>
  <c r="AV167" i="13"/>
  <c r="AW167" i="13"/>
  <c r="AX167" i="13"/>
  <c r="AY167" i="13"/>
  <c r="AZ167" i="13"/>
  <c r="BA167" i="13"/>
  <c r="AP168" i="13"/>
  <c r="AQ168" i="13"/>
  <c r="AR168" i="13"/>
  <c r="AS168" i="13"/>
  <c r="AT168" i="13"/>
  <c r="AU168" i="13"/>
  <c r="AV168" i="13"/>
  <c r="AW168" i="13"/>
  <c r="AX168" i="13"/>
  <c r="AY168" i="13"/>
  <c r="AZ168" i="13"/>
  <c r="BA168" i="13"/>
  <c r="AP169" i="13"/>
  <c r="AQ169" i="13"/>
  <c r="AR169" i="13"/>
  <c r="AS169" i="13"/>
  <c r="AT169" i="13"/>
  <c r="AU169" i="13"/>
  <c r="AV169" i="13"/>
  <c r="AW169" i="13"/>
  <c r="AX169" i="13"/>
  <c r="AY169" i="13"/>
  <c r="AZ169" i="13"/>
  <c r="BA169" i="13"/>
  <c r="AP170" i="13"/>
  <c r="AQ170" i="13"/>
  <c r="AR170" i="13"/>
  <c r="AS170" i="13"/>
  <c r="AT170" i="13"/>
  <c r="AU170" i="13"/>
  <c r="AV170" i="13"/>
  <c r="AW170" i="13"/>
  <c r="AX170" i="13"/>
  <c r="AY170" i="13"/>
  <c r="AZ170" i="13"/>
  <c r="BA170" i="13"/>
  <c r="AP171" i="13"/>
  <c r="AQ171" i="13"/>
  <c r="AR171" i="13"/>
  <c r="AS171" i="13"/>
  <c r="AT171" i="13"/>
  <c r="AU171" i="13"/>
  <c r="AV171" i="13"/>
  <c r="AW171" i="13"/>
  <c r="AX171" i="13"/>
  <c r="AY171" i="13"/>
  <c r="AZ171" i="13"/>
  <c r="BA171" i="13"/>
  <c r="AP172" i="13"/>
  <c r="AQ172" i="13"/>
  <c r="AR172" i="13"/>
  <c r="AS172" i="13"/>
  <c r="AT172" i="13"/>
  <c r="AU172" i="13"/>
  <c r="AV172" i="13"/>
  <c r="AW172" i="13"/>
  <c r="AX172" i="13"/>
  <c r="AY172" i="13"/>
  <c r="AZ172" i="13"/>
  <c r="BA172" i="13"/>
  <c r="AP173" i="13"/>
  <c r="AQ173" i="13"/>
  <c r="AR173" i="13"/>
  <c r="AS173" i="13"/>
  <c r="AT173" i="13"/>
  <c r="AU173" i="13"/>
  <c r="AV173" i="13"/>
  <c r="AW173" i="13"/>
  <c r="AX173" i="13"/>
  <c r="AY173" i="13"/>
  <c r="AZ173" i="13"/>
  <c r="BA173" i="13"/>
  <c r="AP174" i="13"/>
  <c r="AQ174" i="13"/>
  <c r="AR174" i="13"/>
  <c r="AS174" i="13"/>
  <c r="AT174" i="13"/>
  <c r="AU174" i="13"/>
  <c r="AV174" i="13"/>
  <c r="AW174" i="13"/>
  <c r="AX174" i="13"/>
  <c r="AY174" i="13"/>
  <c r="AZ174" i="13"/>
  <c r="BA174" i="13"/>
  <c r="AP175" i="13"/>
  <c r="AQ175" i="13"/>
  <c r="AR175" i="13"/>
  <c r="AS175" i="13"/>
  <c r="AT175" i="13"/>
  <c r="AU175" i="13"/>
  <c r="AV175" i="13"/>
  <c r="AW175" i="13"/>
  <c r="AX175" i="13"/>
  <c r="AY175" i="13"/>
  <c r="AZ175" i="13"/>
  <c r="BA175" i="13"/>
  <c r="AP176" i="13"/>
  <c r="AQ176" i="13"/>
  <c r="AR176" i="13"/>
  <c r="AS176" i="13"/>
  <c r="AT176" i="13"/>
  <c r="AU176" i="13"/>
  <c r="AV176" i="13"/>
  <c r="AW176" i="13"/>
  <c r="AX176" i="13"/>
  <c r="AY176" i="13"/>
  <c r="AZ176" i="13"/>
  <c r="BA176" i="13"/>
  <c r="AP177" i="13"/>
  <c r="AQ177" i="13"/>
  <c r="AR177" i="13"/>
  <c r="AS177" i="13"/>
  <c r="AT177" i="13"/>
  <c r="AU177" i="13"/>
  <c r="AV177" i="13"/>
  <c r="AW177" i="13"/>
  <c r="AX177" i="13"/>
  <c r="AY177" i="13"/>
  <c r="AZ177" i="13"/>
  <c r="BA177" i="13"/>
  <c r="AP178" i="13"/>
  <c r="AQ178" i="13"/>
  <c r="AR178" i="13"/>
  <c r="AS178" i="13"/>
  <c r="AT178" i="13"/>
  <c r="AU178" i="13"/>
  <c r="AV178" i="13"/>
  <c r="AW178" i="13"/>
  <c r="AX178" i="13"/>
  <c r="AY178" i="13"/>
  <c r="AZ178" i="13"/>
  <c r="BA178" i="13"/>
  <c r="AP179" i="13"/>
  <c r="AQ179" i="13"/>
  <c r="AR179" i="13"/>
  <c r="AS179" i="13"/>
  <c r="AT179" i="13"/>
  <c r="AU179" i="13"/>
  <c r="AV179" i="13"/>
  <c r="AW179" i="13"/>
  <c r="AX179" i="13"/>
  <c r="AY179" i="13"/>
  <c r="AZ179" i="13"/>
  <c r="BA179" i="13"/>
  <c r="AP180" i="13"/>
  <c r="AQ180" i="13"/>
  <c r="AR180" i="13"/>
  <c r="AS180" i="13"/>
  <c r="AT180" i="13"/>
  <c r="AU180" i="13"/>
  <c r="AV180" i="13"/>
  <c r="AW180" i="13"/>
  <c r="AX180" i="13"/>
  <c r="AY180" i="13"/>
  <c r="AZ180" i="13"/>
  <c r="BA180" i="13"/>
  <c r="AP181" i="13"/>
  <c r="AQ181" i="13"/>
  <c r="AR181" i="13"/>
  <c r="AS181" i="13"/>
  <c r="AT181" i="13"/>
  <c r="AU181" i="13"/>
  <c r="AV181" i="13"/>
  <c r="AW181" i="13"/>
  <c r="AX181" i="13"/>
  <c r="AY181" i="13"/>
  <c r="AZ181" i="13"/>
  <c r="BA181" i="13"/>
  <c r="AP182" i="13"/>
  <c r="AQ182" i="13"/>
  <c r="AR182" i="13"/>
  <c r="AS182" i="13"/>
  <c r="AT182" i="13"/>
  <c r="AU182" i="13"/>
  <c r="AV182" i="13"/>
  <c r="AW182" i="13"/>
  <c r="AX182" i="13"/>
  <c r="AY182" i="13"/>
  <c r="AZ182" i="13"/>
  <c r="BA182" i="13"/>
  <c r="AP183" i="13"/>
  <c r="AQ183" i="13"/>
  <c r="AR183" i="13"/>
  <c r="AS183" i="13"/>
  <c r="AT183" i="13"/>
  <c r="AU183" i="13"/>
  <c r="AV183" i="13"/>
  <c r="AW183" i="13"/>
  <c r="AX183" i="13"/>
  <c r="AY183" i="13"/>
  <c r="AZ183" i="13"/>
  <c r="BA183" i="13"/>
  <c r="AP184" i="13"/>
  <c r="AQ184" i="13"/>
  <c r="AR184" i="13"/>
  <c r="AS184" i="13"/>
  <c r="AT184" i="13"/>
  <c r="AU184" i="13"/>
  <c r="AV184" i="13"/>
  <c r="AW184" i="13"/>
  <c r="AX184" i="13"/>
  <c r="AY184" i="13"/>
  <c r="AZ184" i="13"/>
  <c r="BA184" i="13"/>
  <c r="AP185" i="13"/>
  <c r="AQ185" i="13"/>
  <c r="AR185" i="13"/>
  <c r="AS185" i="13"/>
  <c r="AT185" i="13"/>
  <c r="AU185" i="13"/>
  <c r="AV185" i="13"/>
  <c r="AW185" i="13"/>
  <c r="AX185" i="13"/>
  <c r="AY185" i="13"/>
  <c r="AZ185" i="13"/>
  <c r="BA185" i="13"/>
  <c r="AP186" i="13"/>
  <c r="AQ186" i="13"/>
  <c r="AR186" i="13"/>
  <c r="AS186" i="13"/>
  <c r="AT186" i="13"/>
  <c r="AU186" i="13"/>
  <c r="AV186" i="13"/>
  <c r="AW186" i="13"/>
  <c r="AX186" i="13"/>
  <c r="AY186" i="13"/>
  <c r="AZ186" i="13"/>
  <c r="BA186" i="13"/>
  <c r="AP187" i="13"/>
  <c r="AQ187" i="13"/>
  <c r="AR187" i="13"/>
  <c r="AS187" i="13"/>
  <c r="AT187" i="13"/>
  <c r="AU187" i="13"/>
  <c r="AV187" i="13"/>
  <c r="AW187" i="13"/>
  <c r="AX187" i="13"/>
  <c r="AY187" i="13"/>
  <c r="AZ187" i="13"/>
  <c r="BA187" i="13"/>
  <c r="AP188" i="13"/>
  <c r="AQ188" i="13"/>
  <c r="AR188" i="13"/>
  <c r="AS188" i="13"/>
  <c r="AT188" i="13"/>
  <c r="AU188" i="13"/>
  <c r="AV188" i="13"/>
  <c r="AW188" i="13"/>
  <c r="AX188" i="13"/>
  <c r="AY188" i="13"/>
  <c r="AZ188" i="13"/>
  <c r="BA188" i="13"/>
  <c r="AP189" i="13"/>
  <c r="AQ189" i="13"/>
  <c r="AR189" i="13"/>
  <c r="AS189" i="13"/>
  <c r="AT189" i="13"/>
  <c r="AU189" i="13"/>
  <c r="AV189" i="13"/>
  <c r="AW189" i="13"/>
  <c r="AX189" i="13"/>
  <c r="AY189" i="13"/>
  <c r="AZ189" i="13"/>
  <c r="BA189" i="13"/>
  <c r="AP190" i="13"/>
  <c r="AQ190" i="13"/>
  <c r="AR190" i="13"/>
  <c r="AS190" i="13"/>
  <c r="AT190" i="13"/>
  <c r="AU190" i="13"/>
  <c r="AV190" i="13"/>
  <c r="AW190" i="13"/>
  <c r="AX190" i="13"/>
  <c r="AY190" i="13"/>
  <c r="AZ190" i="13"/>
  <c r="BA190" i="13"/>
  <c r="AP191" i="13"/>
  <c r="AQ191" i="13"/>
  <c r="AR191" i="13"/>
  <c r="AS191" i="13"/>
  <c r="AT191" i="13"/>
  <c r="AU191" i="13"/>
  <c r="AV191" i="13"/>
  <c r="AW191" i="13"/>
  <c r="AX191" i="13"/>
  <c r="AY191" i="13"/>
  <c r="AZ191" i="13"/>
  <c r="BA191" i="13"/>
  <c r="AP192" i="13"/>
  <c r="AQ192" i="13"/>
  <c r="AR192" i="13"/>
  <c r="AS192" i="13"/>
  <c r="AT192" i="13"/>
  <c r="AU192" i="13"/>
  <c r="AV192" i="13"/>
  <c r="AW192" i="13"/>
  <c r="AX192" i="13"/>
  <c r="AY192" i="13"/>
  <c r="AZ192" i="13"/>
  <c r="BA192" i="13"/>
  <c r="AP193" i="13"/>
  <c r="AQ193" i="13"/>
  <c r="AR193" i="13"/>
  <c r="AS193" i="13"/>
  <c r="AT193" i="13"/>
  <c r="AU193" i="13"/>
  <c r="AV193" i="13"/>
  <c r="AW193" i="13"/>
  <c r="AX193" i="13"/>
  <c r="AY193" i="13"/>
  <c r="AZ193" i="13"/>
  <c r="BA193" i="13"/>
  <c r="AP194" i="13"/>
  <c r="AQ194" i="13"/>
  <c r="AR194" i="13"/>
  <c r="AS194" i="13"/>
  <c r="AT194" i="13"/>
  <c r="AU194" i="13"/>
  <c r="AV194" i="13"/>
  <c r="AW194" i="13"/>
  <c r="AX194" i="13"/>
  <c r="AY194" i="13"/>
  <c r="AZ194" i="13"/>
  <c r="BA194" i="13"/>
  <c r="AP195" i="13"/>
  <c r="AQ195" i="13"/>
  <c r="AR195" i="13"/>
  <c r="AS195" i="13"/>
  <c r="AT195" i="13"/>
  <c r="AU195" i="13"/>
  <c r="AV195" i="13"/>
  <c r="AW195" i="13"/>
  <c r="AX195" i="13"/>
  <c r="AY195" i="13"/>
  <c r="AZ195" i="13"/>
  <c r="BA195" i="13"/>
  <c r="AP196" i="13"/>
  <c r="AQ196" i="13"/>
  <c r="AR196" i="13"/>
  <c r="AS196" i="13"/>
  <c r="AT196" i="13"/>
  <c r="AU196" i="13"/>
  <c r="AV196" i="13"/>
  <c r="AW196" i="13"/>
  <c r="AX196" i="13"/>
  <c r="AY196" i="13"/>
  <c r="AZ196" i="13"/>
  <c r="BA196" i="13"/>
  <c r="AP197" i="13"/>
  <c r="AQ197" i="13"/>
  <c r="AR197" i="13"/>
  <c r="AS197" i="13"/>
  <c r="AT197" i="13"/>
  <c r="AU197" i="13"/>
  <c r="AV197" i="13"/>
  <c r="AW197" i="13"/>
  <c r="AX197" i="13"/>
  <c r="AY197" i="13"/>
  <c r="AZ197" i="13"/>
  <c r="BA197" i="13"/>
  <c r="AP198" i="13"/>
  <c r="AQ198" i="13"/>
  <c r="AR198" i="13"/>
  <c r="AS198" i="13"/>
  <c r="AT198" i="13"/>
  <c r="AU198" i="13"/>
  <c r="AV198" i="13"/>
  <c r="AW198" i="13"/>
  <c r="AX198" i="13"/>
  <c r="AY198" i="13"/>
  <c r="AZ198" i="13"/>
  <c r="BA198" i="13"/>
  <c r="AP199" i="13"/>
  <c r="AQ199" i="13"/>
  <c r="AR199" i="13"/>
  <c r="AS199" i="13"/>
  <c r="AT199" i="13"/>
  <c r="AU199" i="13"/>
  <c r="AV199" i="13"/>
  <c r="AW199" i="13"/>
  <c r="AX199" i="13"/>
  <c r="AY199" i="13"/>
  <c r="AZ199" i="13"/>
  <c r="BA199" i="13"/>
  <c r="AP200" i="13"/>
  <c r="AQ200" i="13"/>
  <c r="AR200" i="13"/>
  <c r="AS200" i="13"/>
  <c r="AT200" i="13"/>
  <c r="AU200" i="13"/>
  <c r="AV200" i="13"/>
  <c r="AW200" i="13"/>
  <c r="AX200" i="13"/>
  <c r="AY200" i="13"/>
  <c r="AZ200" i="13"/>
  <c r="BA200" i="13"/>
  <c r="AP201" i="13"/>
  <c r="AQ201" i="13"/>
  <c r="AR201" i="13"/>
  <c r="AS201" i="13"/>
  <c r="AT201" i="13"/>
  <c r="AU201" i="13"/>
  <c r="AV201" i="13"/>
  <c r="AW201" i="13"/>
  <c r="AX201" i="13"/>
  <c r="AY201" i="13"/>
  <c r="AZ201" i="13"/>
  <c r="BA201" i="13"/>
  <c r="AP202" i="13"/>
  <c r="AQ202" i="13"/>
  <c r="AR202" i="13"/>
  <c r="AS202" i="13"/>
  <c r="AT202" i="13"/>
  <c r="AU202" i="13"/>
  <c r="AV202" i="13"/>
  <c r="AW202" i="13"/>
  <c r="AX202" i="13"/>
  <c r="AY202" i="13"/>
  <c r="AZ202" i="13"/>
  <c r="BA202" i="13"/>
  <c r="AP203" i="13"/>
  <c r="AQ203" i="13"/>
  <c r="AR203" i="13"/>
  <c r="AS203" i="13"/>
  <c r="AT203" i="13"/>
  <c r="AU203" i="13"/>
  <c r="AV203" i="13"/>
  <c r="AW203" i="13"/>
  <c r="AX203" i="13"/>
  <c r="AY203" i="13"/>
  <c r="AZ203" i="13"/>
  <c r="BA203" i="13"/>
  <c r="AP204" i="13"/>
  <c r="AQ204" i="13"/>
  <c r="AR204" i="13"/>
  <c r="AS204" i="13"/>
  <c r="AT204" i="13"/>
  <c r="AU204" i="13"/>
  <c r="AV204" i="13"/>
  <c r="AW204" i="13"/>
  <c r="AX204" i="13"/>
  <c r="AY204" i="13"/>
  <c r="AZ204" i="13"/>
  <c r="BA204" i="13"/>
  <c r="AP205" i="13"/>
  <c r="AQ205" i="13"/>
  <c r="AR205" i="13"/>
  <c r="AS205" i="13"/>
  <c r="AT205" i="13"/>
  <c r="AU205" i="13"/>
  <c r="AV205" i="13"/>
  <c r="AW205" i="13"/>
  <c r="AX205" i="13"/>
  <c r="AY205" i="13"/>
  <c r="AZ205" i="13"/>
  <c r="BA205" i="13"/>
  <c r="AP206" i="13"/>
  <c r="AQ206" i="13"/>
  <c r="AR206" i="13"/>
  <c r="AS206" i="13"/>
  <c r="AT206" i="13"/>
  <c r="AU206" i="13"/>
  <c r="AV206" i="13"/>
  <c r="AW206" i="13"/>
  <c r="AX206" i="13"/>
  <c r="AY206" i="13"/>
  <c r="AZ206" i="13"/>
  <c r="BA206" i="13"/>
  <c r="AP207" i="13"/>
  <c r="AQ207" i="13"/>
  <c r="AR207" i="13"/>
  <c r="AS207" i="13"/>
  <c r="AT207" i="13"/>
  <c r="AU207" i="13"/>
  <c r="AV207" i="13"/>
  <c r="AW207" i="13"/>
  <c r="AX207" i="13"/>
  <c r="AY207" i="13"/>
  <c r="AZ207" i="13"/>
  <c r="BA207" i="13"/>
  <c r="AP208" i="13"/>
  <c r="AQ208" i="13"/>
  <c r="AR208" i="13"/>
  <c r="AT208" i="13"/>
  <c r="AU208" i="13"/>
  <c r="AV208" i="13"/>
  <c r="AW208" i="13"/>
  <c r="AX208" i="13"/>
  <c r="AY208" i="13"/>
  <c r="AZ208" i="13"/>
  <c r="BA208" i="13"/>
  <c r="AP209" i="13"/>
  <c r="AQ209" i="13"/>
  <c r="AR209" i="13"/>
  <c r="AS209" i="13"/>
  <c r="AT209" i="13"/>
  <c r="AU209" i="13"/>
  <c r="AV209" i="13"/>
  <c r="AW209" i="13"/>
  <c r="AX209" i="13"/>
  <c r="AY209" i="13"/>
  <c r="AZ209" i="13"/>
  <c r="BA209" i="13"/>
  <c r="AP210" i="13"/>
  <c r="AQ210" i="13"/>
  <c r="AR210" i="13"/>
  <c r="AS210" i="13"/>
  <c r="AT210" i="13"/>
  <c r="AU210" i="13"/>
  <c r="AV210" i="13"/>
  <c r="AW210" i="13"/>
  <c r="AX210" i="13"/>
  <c r="AY210" i="13"/>
  <c r="AZ210" i="13"/>
  <c r="BA210" i="13"/>
  <c r="AP211" i="13"/>
  <c r="AQ211" i="13"/>
  <c r="AR211" i="13"/>
  <c r="AS211" i="13"/>
  <c r="AT211" i="13"/>
  <c r="AU211" i="13"/>
  <c r="AV211" i="13"/>
  <c r="AW211" i="13"/>
  <c r="AX211" i="13"/>
  <c r="AY211" i="13"/>
  <c r="AZ211" i="13"/>
  <c r="BA211" i="13"/>
  <c r="AP212" i="13"/>
  <c r="AQ212" i="13"/>
  <c r="AR212" i="13"/>
  <c r="AS212" i="13"/>
  <c r="AT212" i="13"/>
  <c r="AU212" i="13"/>
  <c r="AV212" i="13"/>
  <c r="AW212" i="13"/>
  <c r="AX212" i="13"/>
  <c r="AY212" i="13"/>
  <c r="AZ212" i="13"/>
  <c r="BA212" i="13"/>
  <c r="AP213" i="13"/>
  <c r="AQ213" i="13"/>
  <c r="AR213" i="13"/>
  <c r="AS213" i="13"/>
  <c r="AT213" i="13"/>
  <c r="AU213" i="13"/>
  <c r="AV213" i="13"/>
  <c r="AW213" i="13"/>
  <c r="AX213" i="13"/>
  <c r="AY213" i="13"/>
  <c r="AZ213" i="13"/>
  <c r="BA213" i="13"/>
  <c r="AP214" i="13"/>
  <c r="AQ214" i="13"/>
  <c r="AR214" i="13"/>
  <c r="AS214" i="13"/>
  <c r="AT214" i="13"/>
  <c r="AU214" i="13"/>
  <c r="AV214" i="13"/>
  <c r="AW214" i="13"/>
  <c r="AX214" i="13"/>
  <c r="AY214" i="13"/>
  <c r="AZ214" i="13"/>
  <c r="BA214" i="13"/>
  <c r="AP215" i="13"/>
  <c r="AQ215" i="13"/>
  <c r="AR215" i="13"/>
  <c r="AS215" i="13"/>
  <c r="AT215" i="13"/>
  <c r="AU215" i="13"/>
  <c r="AV215" i="13"/>
  <c r="AW215" i="13"/>
  <c r="AX215" i="13"/>
  <c r="AY215" i="13"/>
  <c r="AZ215" i="13"/>
  <c r="BA215" i="13"/>
  <c r="AP216" i="13"/>
  <c r="AQ216" i="13"/>
  <c r="AR216" i="13"/>
  <c r="AS216" i="13"/>
  <c r="AT216" i="13"/>
  <c r="AU216" i="13"/>
  <c r="AV216" i="13"/>
  <c r="AW216" i="13"/>
  <c r="AX216" i="13"/>
  <c r="AY216" i="13"/>
  <c r="AZ216" i="13"/>
  <c r="BA216" i="13"/>
  <c r="AP217" i="13"/>
  <c r="AQ217" i="13"/>
  <c r="AR217" i="13"/>
  <c r="AS217" i="13"/>
  <c r="AT217" i="13"/>
  <c r="AU217" i="13"/>
  <c r="AV217" i="13"/>
  <c r="AW217" i="13"/>
  <c r="AX217" i="13"/>
  <c r="AY217" i="13"/>
  <c r="AZ217" i="13"/>
  <c r="BA217" i="13"/>
  <c r="AP218" i="13"/>
  <c r="AQ218" i="13"/>
  <c r="AR218" i="13"/>
  <c r="AS218" i="13"/>
  <c r="AT218" i="13"/>
  <c r="AU218" i="13"/>
  <c r="AV218" i="13"/>
  <c r="AW218" i="13"/>
  <c r="AX218" i="13"/>
  <c r="AY218" i="13"/>
  <c r="AZ218" i="13"/>
  <c r="BA218" i="13"/>
  <c r="AP219" i="13"/>
  <c r="AQ219" i="13"/>
  <c r="AR219" i="13"/>
  <c r="AS219" i="13"/>
  <c r="AT219" i="13"/>
  <c r="AU219" i="13"/>
  <c r="AV219" i="13"/>
  <c r="AW219" i="13"/>
  <c r="AX219" i="13"/>
  <c r="AY219" i="13"/>
  <c r="AZ219" i="13"/>
  <c r="BA219" i="13"/>
  <c r="AP220" i="13"/>
  <c r="AQ220" i="13"/>
  <c r="AR220" i="13"/>
  <c r="AS220" i="13"/>
  <c r="AT220" i="13"/>
  <c r="AU220" i="13"/>
  <c r="AV220" i="13"/>
  <c r="AW220" i="13"/>
  <c r="AX220" i="13"/>
  <c r="AY220" i="13"/>
  <c r="AZ220" i="13"/>
  <c r="BA220" i="13"/>
  <c r="AP221" i="13"/>
  <c r="AQ221" i="13"/>
  <c r="AR221" i="13"/>
  <c r="AS221" i="13"/>
  <c r="AT221" i="13"/>
  <c r="AU221" i="13"/>
  <c r="AV221" i="13"/>
  <c r="AW221" i="13"/>
  <c r="AX221" i="13"/>
  <c r="AY221" i="13"/>
  <c r="AZ221" i="13"/>
  <c r="BA221" i="13"/>
  <c r="AP222" i="13"/>
  <c r="AQ222" i="13"/>
  <c r="AR222" i="13"/>
  <c r="AS222" i="13"/>
  <c r="AT222" i="13"/>
  <c r="AU222" i="13"/>
  <c r="AV222" i="13"/>
  <c r="AW222" i="13"/>
  <c r="AX222" i="13"/>
  <c r="AY222" i="13"/>
  <c r="AZ222" i="13"/>
  <c r="BA222" i="13"/>
  <c r="AP223" i="13"/>
  <c r="AQ223" i="13"/>
  <c r="AR223" i="13"/>
  <c r="AS223" i="13"/>
  <c r="AT223" i="13"/>
  <c r="AU223" i="13"/>
  <c r="AV223" i="13"/>
  <c r="AW223" i="13"/>
  <c r="AX223" i="13"/>
  <c r="AY223" i="13"/>
  <c r="AZ223" i="13"/>
  <c r="BA223" i="13"/>
  <c r="AP224" i="13"/>
  <c r="AQ224" i="13"/>
  <c r="AR224" i="13"/>
  <c r="AS224" i="13"/>
  <c r="AT224" i="13"/>
  <c r="AU224" i="13"/>
  <c r="AV224" i="13"/>
  <c r="AW224" i="13"/>
  <c r="AX224" i="13"/>
  <c r="AY224" i="13"/>
  <c r="AZ224" i="13"/>
  <c r="BA224" i="13"/>
  <c r="AP225" i="13"/>
  <c r="AQ225" i="13"/>
  <c r="AR225" i="13"/>
  <c r="AS225" i="13"/>
  <c r="AT225" i="13"/>
  <c r="AU225" i="13"/>
  <c r="AV225" i="13"/>
  <c r="AW225" i="13"/>
  <c r="AX225" i="13"/>
  <c r="AY225" i="13"/>
  <c r="AZ225" i="13"/>
  <c r="BA225" i="13"/>
  <c r="AP226" i="13"/>
  <c r="AQ226" i="13"/>
  <c r="AR226" i="13"/>
  <c r="AS226" i="13"/>
  <c r="AT226" i="13"/>
  <c r="AU226" i="13"/>
  <c r="AV226" i="13"/>
  <c r="AW226" i="13"/>
  <c r="AX226" i="13"/>
  <c r="AY226" i="13"/>
  <c r="AZ226" i="13"/>
  <c r="BA226" i="13"/>
  <c r="AP227" i="13"/>
  <c r="AQ227" i="13"/>
  <c r="AR227" i="13"/>
  <c r="AS227" i="13"/>
  <c r="AT227" i="13"/>
  <c r="AU227" i="13"/>
  <c r="AV227" i="13"/>
  <c r="AW227" i="13"/>
  <c r="AX227" i="13"/>
  <c r="AY227" i="13"/>
  <c r="AZ227" i="13"/>
  <c r="BA227" i="13"/>
  <c r="AP228" i="13"/>
  <c r="AQ228" i="13"/>
  <c r="AR228" i="13"/>
  <c r="AS228" i="13"/>
  <c r="AT228" i="13"/>
  <c r="AU228" i="13"/>
  <c r="AV228" i="13"/>
  <c r="AW228" i="13"/>
  <c r="AX228" i="13"/>
  <c r="AY228" i="13"/>
  <c r="AZ228" i="13"/>
  <c r="BA228" i="13"/>
  <c r="AP229" i="13"/>
  <c r="AQ229" i="13"/>
  <c r="AR229" i="13"/>
  <c r="AS229" i="13"/>
  <c r="AT229" i="13"/>
  <c r="AU229" i="13"/>
  <c r="AV229" i="13"/>
  <c r="AW229" i="13"/>
  <c r="AX229" i="13"/>
  <c r="AY229" i="13"/>
  <c r="AZ229" i="13"/>
  <c r="BA229" i="13"/>
  <c r="AP230" i="13"/>
  <c r="AQ230" i="13"/>
  <c r="AR230" i="13"/>
  <c r="AS230" i="13"/>
  <c r="AT230" i="13"/>
  <c r="AU230" i="13"/>
  <c r="AV230" i="13"/>
  <c r="AW230" i="13"/>
  <c r="AX230" i="13"/>
  <c r="AY230" i="13"/>
  <c r="AZ230" i="13"/>
  <c r="BA230" i="13"/>
  <c r="AP231" i="13"/>
  <c r="AQ231" i="13"/>
  <c r="AR231" i="13"/>
  <c r="AS231" i="13"/>
  <c r="AT231" i="13"/>
  <c r="AU231" i="13"/>
  <c r="AV231" i="13"/>
  <c r="AW231" i="13"/>
  <c r="AX231" i="13"/>
  <c r="AY231" i="13"/>
  <c r="AZ231" i="13"/>
  <c r="BA231" i="13"/>
  <c r="AP232" i="13"/>
  <c r="AQ232" i="13"/>
  <c r="AR232" i="13"/>
  <c r="AS232" i="13"/>
  <c r="AT232" i="13"/>
  <c r="AU232" i="13"/>
  <c r="AV232" i="13"/>
  <c r="AW232" i="13"/>
  <c r="AX232" i="13"/>
  <c r="AY232" i="13"/>
  <c r="AZ232" i="13"/>
  <c r="BA232" i="13"/>
  <c r="AP233" i="13"/>
  <c r="AQ233" i="13"/>
  <c r="AR233" i="13"/>
  <c r="AS233" i="13"/>
  <c r="AT233" i="13"/>
  <c r="AU233" i="13"/>
  <c r="AV233" i="13"/>
  <c r="AW233" i="13"/>
  <c r="AX233" i="13"/>
  <c r="AY233" i="13"/>
  <c r="AZ233" i="13"/>
  <c r="BA233" i="13"/>
  <c r="AP234" i="13"/>
  <c r="AQ234" i="13"/>
  <c r="AR234" i="13"/>
  <c r="AS234" i="13"/>
  <c r="AT234" i="13"/>
  <c r="AU234" i="13"/>
  <c r="AV234" i="13"/>
  <c r="AW234" i="13"/>
  <c r="AX234" i="13"/>
  <c r="AY234" i="13"/>
  <c r="AZ234" i="13"/>
  <c r="BA234" i="13"/>
  <c r="AP235" i="13"/>
  <c r="AQ235" i="13"/>
  <c r="AR235" i="13"/>
  <c r="AS235" i="13"/>
  <c r="AT235" i="13"/>
  <c r="AU235" i="13"/>
  <c r="AV235" i="13"/>
  <c r="AW235" i="13"/>
  <c r="AX235" i="13"/>
  <c r="AY235" i="13"/>
  <c r="AZ235" i="13"/>
  <c r="BA235" i="13"/>
  <c r="AP236" i="13"/>
  <c r="AQ236" i="13"/>
  <c r="AR236" i="13"/>
  <c r="AS236" i="13"/>
  <c r="AT236" i="13"/>
  <c r="AU236" i="13"/>
  <c r="AV236" i="13"/>
  <c r="AW236" i="13"/>
  <c r="AX236" i="13"/>
  <c r="AY236" i="13"/>
  <c r="AZ236" i="13"/>
  <c r="BA236" i="13"/>
  <c r="AP237" i="13"/>
  <c r="AQ237" i="13"/>
  <c r="AR237" i="13"/>
  <c r="AS237" i="13"/>
  <c r="AT237" i="13"/>
  <c r="AU237" i="13"/>
  <c r="AV237" i="13"/>
  <c r="AW237" i="13"/>
  <c r="AX237" i="13"/>
  <c r="AY237" i="13"/>
  <c r="AZ237" i="13"/>
  <c r="BA237" i="13"/>
  <c r="AP238" i="13"/>
  <c r="AQ238" i="13"/>
  <c r="AR238" i="13"/>
  <c r="AS238" i="13"/>
  <c r="AT238" i="13"/>
  <c r="AU238" i="13"/>
  <c r="AV238" i="13"/>
  <c r="AW238" i="13"/>
  <c r="AX238" i="13"/>
  <c r="AY238" i="13"/>
  <c r="AZ238" i="13"/>
  <c r="BA238" i="13"/>
  <c r="AP239" i="13"/>
  <c r="AQ239" i="13"/>
  <c r="AR239" i="13"/>
  <c r="AS239" i="13"/>
  <c r="AT239" i="13"/>
  <c r="AU239" i="13"/>
  <c r="AV239" i="13"/>
  <c r="AW239" i="13"/>
  <c r="AX239" i="13"/>
  <c r="AY239" i="13"/>
  <c r="AZ239" i="13"/>
  <c r="BA239" i="13"/>
  <c r="AP240" i="13"/>
  <c r="AQ240" i="13"/>
  <c r="AR240" i="13"/>
  <c r="AS240" i="13"/>
  <c r="AT240" i="13"/>
  <c r="AU240" i="13"/>
  <c r="AV240" i="13"/>
  <c r="AW240" i="13"/>
  <c r="AX240" i="13"/>
  <c r="AY240" i="13"/>
  <c r="AZ240" i="13"/>
  <c r="BA240" i="13"/>
  <c r="AP241" i="13"/>
  <c r="AQ241" i="13"/>
  <c r="AR241" i="13"/>
  <c r="AS241" i="13"/>
  <c r="AT241" i="13"/>
  <c r="AU241" i="13"/>
  <c r="AV241" i="13"/>
  <c r="AW241" i="13"/>
  <c r="AX241" i="13"/>
  <c r="AY241" i="13"/>
  <c r="AZ241" i="13"/>
  <c r="BA241" i="13"/>
  <c r="AP242" i="13"/>
  <c r="AQ242" i="13"/>
  <c r="AR242" i="13"/>
  <c r="AS242" i="13"/>
  <c r="AT242" i="13"/>
  <c r="AU242" i="13"/>
  <c r="AV242" i="13"/>
  <c r="AW242" i="13"/>
  <c r="AX242" i="13"/>
  <c r="AY242" i="13"/>
  <c r="AZ242" i="13"/>
  <c r="BA242" i="13"/>
  <c r="AP243" i="13"/>
  <c r="AQ243" i="13"/>
  <c r="AR243" i="13"/>
  <c r="AS243" i="13"/>
  <c r="AT243" i="13"/>
  <c r="AU243" i="13"/>
  <c r="AV243" i="13"/>
  <c r="AW243" i="13"/>
  <c r="AX243" i="13"/>
  <c r="AY243" i="13"/>
  <c r="AZ243" i="13"/>
  <c r="BA243" i="13"/>
  <c r="AP244" i="13"/>
  <c r="AQ244" i="13"/>
  <c r="AR244" i="13"/>
  <c r="AS244" i="13"/>
  <c r="AT244" i="13"/>
  <c r="AU244" i="13"/>
  <c r="AV244" i="13"/>
  <c r="AW244" i="13"/>
  <c r="AX244" i="13"/>
  <c r="AY244" i="13"/>
  <c r="AZ244" i="13"/>
  <c r="BA244" i="13"/>
  <c r="AP245" i="13"/>
  <c r="AQ245" i="13"/>
  <c r="AR245" i="13"/>
  <c r="AS245" i="13"/>
  <c r="AT245" i="13"/>
  <c r="AU245" i="13"/>
  <c r="AV245" i="13"/>
  <c r="AW245" i="13"/>
  <c r="AX245" i="13"/>
  <c r="AY245" i="13"/>
  <c r="AZ245" i="13"/>
  <c r="BA245" i="13"/>
  <c r="AP246" i="13"/>
  <c r="AQ246" i="13"/>
  <c r="AR246" i="13"/>
  <c r="AS246" i="13"/>
  <c r="AT246" i="13"/>
  <c r="AU246" i="13"/>
  <c r="AV246" i="13"/>
  <c r="AW246" i="13"/>
  <c r="AX246" i="13"/>
  <c r="AY246" i="13"/>
  <c r="AZ246" i="13"/>
  <c r="BA246" i="13"/>
  <c r="AP247" i="13"/>
  <c r="AQ247" i="13"/>
  <c r="AR247" i="13"/>
  <c r="AS247" i="13"/>
  <c r="AT247" i="13"/>
  <c r="AU247" i="13"/>
  <c r="AV247" i="13"/>
  <c r="AW247" i="13"/>
  <c r="AX247" i="13"/>
  <c r="AY247" i="13"/>
  <c r="AZ247" i="13"/>
  <c r="BA247" i="13"/>
  <c r="AP248" i="13"/>
  <c r="AQ248" i="13"/>
  <c r="AR248" i="13"/>
  <c r="AS248" i="13"/>
  <c r="AT248" i="13"/>
  <c r="AU248" i="13"/>
  <c r="AV248" i="13"/>
  <c r="AW248" i="13"/>
  <c r="AX248" i="13"/>
  <c r="AY248" i="13"/>
  <c r="AZ248" i="13"/>
  <c r="BA248" i="13"/>
  <c r="AP249" i="13"/>
  <c r="AQ249" i="13"/>
  <c r="AR249" i="13"/>
  <c r="AS249" i="13"/>
  <c r="AT249" i="13"/>
  <c r="AU249" i="13"/>
  <c r="AV249" i="13"/>
  <c r="AW249" i="13"/>
  <c r="AX249" i="13"/>
  <c r="AY249" i="13"/>
  <c r="AZ249" i="13"/>
  <c r="BA249" i="13"/>
  <c r="AP250" i="13"/>
  <c r="AQ250" i="13"/>
  <c r="AR250" i="13"/>
  <c r="AS250" i="13"/>
  <c r="AT250" i="13"/>
  <c r="AU250" i="13"/>
  <c r="AV250" i="13"/>
  <c r="AW250" i="13"/>
  <c r="AX250" i="13"/>
  <c r="AY250" i="13"/>
  <c r="AZ250" i="13"/>
  <c r="BA250" i="13"/>
  <c r="AP251" i="13"/>
  <c r="AQ251" i="13"/>
  <c r="AR251" i="13"/>
  <c r="AS251" i="13"/>
  <c r="AT251" i="13"/>
  <c r="AU251" i="13"/>
  <c r="AV251" i="13"/>
  <c r="AW251" i="13"/>
  <c r="AX251" i="13"/>
  <c r="AY251" i="13"/>
  <c r="AZ251" i="13"/>
  <c r="BA251" i="13"/>
  <c r="AP252" i="13"/>
  <c r="AQ252" i="13"/>
  <c r="AR252" i="13"/>
  <c r="AS252" i="13"/>
  <c r="AT252" i="13"/>
  <c r="AU252" i="13"/>
  <c r="AV252" i="13"/>
  <c r="AW252" i="13"/>
  <c r="AX252" i="13"/>
  <c r="AY252" i="13"/>
  <c r="AZ252" i="13"/>
  <c r="BA252" i="13"/>
  <c r="AP253" i="13"/>
  <c r="AQ253" i="13"/>
  <c r="AR253" i="13"/>
  <c r="AS253" i="13"/>
  <c r="AT253" i="13"/>
  <c r="AU253" i="13"/>
  <c r="AV253" i="13"/>
  <c r="AW253" i="13"/>
  <c r="AX253" i="13"/>
  <c r="AY253" i="13"/>
  <c r="AZ253" i="13"/>
  <c r="BA253" i="13"/>
  <c r="AP254" i="13"/>
  <c r="AQ254" i="13"/>
  <c r="AR254" i="13"/>
  <c r="AS254" i="13"/>
  <c r="AT254" i="13"/>
  <c r="AU254" i="13"/>
  <c r="AV254" i="13"/>
  <c r="AW254" i="13"/>
  <c r="AX254" i="13"/>
  <c r="AY254" i="13"/>
  <c r="AZ254" i="13"/>
  <c r="BA254" i="13"/>
  <c r="AP255" i="13"/>
  <c r="AQ255" i="13"/>
  <c r="AR255" i="13"/>
  <c r="AS255" i="13"/>
  <c r="AT255" i="13"/>
  <c r="AU255" i="13"/>
  <c r="AV255" i="13"/>
  <c r="AW255" i="13"/>
  <c r="AX255" i="13"/>
  <c r="AY255" i="13"/>
  <c r="AZ255" i="13"/>
  <c r="BA255" i="13"/>
  <c r="AP256" i="13"/>
  <c r="AQ256" i="13"/>
  <c r="AR256" i="13"/>
  <c r="AS256" i="13"/>
  <c r="AT256" i="13"/>
  <c r="AU256" i="13"/>
  <c r="AV256" i="13"/>
  <c r="AW256" i="13"/>
  <c r="AX256" i="13"/>
  <c r="AY256" i="13"/>
  <c r="AZ256" i="13"/>
  <c r="BA256" i="13"/>
  <c r="AP257" i="13"/>
  <c r="AQ257" i="13"/>
  <c r="AR257" i="13"/>
  <c r="AS257" i="13"/>
  <c r="AT257" i="13"/>
  <c r="AU257" i="13"/>
  <c r="AV257" i="13"/>
  <c r="AW257" i="13"/>
  <c r="AX257" i="13"/>
  <c r="AY257" i="13"/>
  <c r="AZ257" i="13"/>
  <c r="BA257" i="13"/>
  <c r="AP258" i="13"/>
  <c r="AQ258" i="13"/>
  <c r="AR258" i="13"/>
  <c r="AS258" i="13"/>
  <c r="AT258" i="13"/>
  <c r="AU258" i="13"/>
  <c r="AV258" i="13"/>
  <c r="AW258" i="13"/>
  <c r="AX258" i="13"/>
  <c r="AY258" i="13"/>
  <c r="AZ258" i="13"/>
  <c r="BA258" i="13"/>
  <c r="AP259" i="13"/>
  <c r="AQ259" i="13"/>
  <c r="AR259" i="13"/>
  <c r="AS259" i="13"/>
  <c r="AT259" i="13"/>
  <c r="AU259" i="13"/>
  <c r="AV259" i="13"/>
  <c r="AW259" i="13"/>
  <c r="AX259" i="13"/>
  <c r="AY259" i="13"/>
  <c r="AZ259" i="13"/>
  <c r="BA259" i="13"/>
  <c r="AP260" i="13"/>
  <c r="AQ260" i="13"/>
  <c r="AR260" i="13"/>
  <c r="AS260" i="13"/>
  <c r="AT260" i="13"/>
  <c r="AU260" i="13"/>
  <c r="AV260" i="13"/>
  <c r="AW260" i="13"/>
  <c r="AX260" i="13"/>
  <c r="AY260" i="13"/>
  <c r="AZ260" i="13"/>
  <c r="BA260" i="13"/>
  <c r="AP261" i="13"/>
  <c r="AQ261" i="13"/>
  <c r="AR261" i="13"/>
  <c r="AS261" i="13"/>
  <c r="AT261" i="13"/>
  <c r="AU261" i="13"/>
  <c r="AV261" i="13"/>
  <c r="AW261" i="13"/>
  <c r="AX261" i="13"/>
  <c r="AY261" i="13"/>
  <c r="AZ261" i="13"/>
  <c r="BA261" i="13"/>
  <c r="AP262" i="13"/>
  <c r="AQ262" i="13"/>
  <c r="AR262" i="13"/>
  <c r="AS262" i="13"/>
  <c r="AT262" i="13"/>
  <c r="AU262" i="13"/>
  <c r="AV262" i="13"/>
  <c r="AW262" i="13"/>
  <c r="AX262" i="13"/>
  <c r="AY262" i="13"/>
  <c r="AZ262" i="13"/>
  <c r="BA262" i="13"/>
  <c r="AP263" i="13"/>
  <c r="AQ263" i="13"/>
  <c r="AR263" i="13"/>
  <c r="AS263" i="13"/>
  <c r="AT263" i="13"/>
  <c r="AU263" i="13"/>
  <c r="AV263" i="13"/>
  <c r="AW263" i="13"/>
  <c r="AX263" i="13"/>
  <c r="AY263" i="13"/>
  <c r="AZ263" i="13"/>
  <c r="BA263" i="13"/>
  <c r="AP264" i="13"/>
  <c r="AQ264" i="13"/>
  <c r="AR264" i="13"/>
  <c r="AS264" i="13"/>
  <c r="AT264" i="13"/>
  <c r="AU264" i="13"/>
  <c r="AV264" i="13"/>
  <c r="AW264" i="13"/>
  <c r="AX264" i="13"/>
  <c r="AY264" i="13"/>
  <c r="AZ264" i="13"/>
  <c r="BA264" i="13"/>
  <c r="AP265" i="13"/>
  <c r="AQ265" i="13"/>
  <c r="AR265" i="13"/>
  <c r="AS265" i="13"/>
  <c r="AT265" i="13"/>
  <c r="AU265" i="13"/>
  <c r="AV265" i="13"/>
  <c r="AW265" i="13"/>
  <c r="AX265" i="13"/>
  <c r="AY265" i="13"/>
  <c r="AZ265" i="13"/>
  <c r="BA265" i="13"/>
  <c r="AP266" i="13"/>
  <c r="AQ266" i="13"/>
  <c r="AR266" i="13"/>
  <c r="AS266" i="13"/>
  <c r="AT266" i="13"/>
  <c r="AU266" i="13"/>
  <c r="AV266" i="13"/>
  <c r="AW266" i="13"/>
  <c r="AX266" i="13"/>
  <c r="AY266" i="13"/>
  <c r="AZ266" i="13"/>
  <c r="BA266" i="13"/>
  <c r="AP267" i="13"/>
  <c r="AQ267" i="13"/>
  <c r="AR267" i="13"/>
  <c r="AS267" i="13"/>
  <c r="AT267" i="13"/>
  <c r="AU267" i="13"/>
  <c r="AV267" i="13"/>
  <c r="AW267" i="13"/>
  <c r="AX267" i="13"/>
  <c r="AY267" i="13"/>
  <c r="AZ267" i="13"/>
  <c r="BA267" i="13"/>
  <c r="AP268" i="13"/>
  <c r="AQ268" i="13"/>
  <c r="AR268" i="13"/>
  <c r="AS268" i="13"/>
  <c r="AT268" i="13"/>
  <c r="AU268" i="13"/>
  <c r="AV268" i="13"/>
  <c r="AW268" i="13"/>
  <c r="AX268" i="13"/>
  <c r="AY268" i="13"/>
  <c r="AZ268" i="13"/>
  <c r="BA268" i="13"/>
  <c r="AP269" i="13"/>
  <c r="AQ269" i="13"/>
  <c r="AR269" i="13"/>
  <c r="AS269" i="13"/>
  <c r="AT269" i="13"/>
  <c r="AU269" i="13"/>
  <c r="AV269" i="13"/>
  <c r="AW269" i="13"/>
  <c r="AX269" i="13"/>
  <c r="AY269" i="13"/>
  <c r="AZ269" i="13"/>
  <c r="BA269" i="13"/>
  <c r="AP270" i="13"/>
  <c r="AQ270" i="13"/>
  <c r="AR270" i="13"/>
  <c r="AS270" i="13"/>
  <c r="AT270" i="13"/>
  <c r="AU270" i="13"/>
  <c r="AV270" i="13"/>
  <c r="AW270" i="13"/>
  <c r="AX270" i="13"/>
  <c r="AY270" i="13"/>
  <c r="AZ270" i="13"/>
  <c r="BA270" i="13"/>
  <c r="AP271" i="13"/>
  <c r="AQ271" i="13"/>
  <c r="AR271" i="13"/>
  <c r="AS271" i="13"/>
  <c r="AT271" i="13"/>
  <c r="AU271" i="13"/>
  <c r="AV271" i="13"/>
  <c r="AW271" i="13"/>
  <c r="AX271" i="13"/>
  <c r="AY271" i="13"/>
  <c r="AZ271" i="13"/>
  <c r="BA271" i="13"/>
  <c r="AP272" i="13"/>
  <c r="AQ272" i="13"/>
  <c r="AR272" i="13"/>
  <c r="AS272" i="13"/>
  <c r="AT272" i="13"/>
  <c r="AU272" i="13"/>
  <c r="AV272" i="13"/>
  <c r="AW272" i="13"/>
  <c r="AX272" i="13"/>
  <c r="AY272" i="13"/>
  <c r="AZ272" i="13"/>
  <c r="BA272" i="13"/>
  <c r="AP273" i="13"/>
  <c r="AQ273" i="13"/>
  <c r="AR273" i="13"/>
  <c r="AS273" i="13"/>
  <c r="AT273" i="13"/>
  <c r="AU273" i="13"/>
  <c r="AV273" i="13"/>
  <c r="AW273" i="13"/>
  <c r="AX273" i="13"/>
  <c r="AY273" i="13"/>
  <c r="AZ273" i="13"/>
  <c r="BA273" i="13"/>
  <c r="AP274" i="13"/>
  <c r="AQ274" i="13"/>
  <c r="AR274" i="13"/>
  <c r="AS274" i="13"/>
  <c r="AT274" i="13"/>
  <c r="AU274" i="13"/>
  <c r="AV274" i="13"/>
  <c r="AW274" i="13"/>
  <c r="AX274" i="13"/>
  <c r="AY274" i="13"/>
  <c r="AZ274" i="13"/>
  <c r="BA274" i="13"/>
  <c r="AP275" i="13"/>
  <c r="AQ275" i="13"/>
  <c r="AR275" i="13"/>
  <c r="AS275" i="13"/>
  <c r="AT275" i="13"/>
  <c r="AU275" i="13"/>
  <c r="AV275" i="13"/>
  <c r="AW275" i="13"/>
  <c r="AX275" i="13"/>
  <c r="AY275" i="13"/>
  <c r="AZ275" i="13"/>
  <c r="BA275" i="13"/>
  <c r="AP276" i="13"/>
  <c r="AQ276" i="13"/>
  <c r="AR276" i="13"/>
  <c r="AS276" i="13"/>
  <c r="AT276" i="13"/>
  <c r="AU276" i="13"/>
  <c r="AV276" i="13"/>
  <c r="AW276" i="13"/>
  <c r="AX276" i="13"/>
  <c r="AY276" i="13"/>
  <c r="AZ276" i="13"/>
  <c r="BA276" i="13"/>
  <c r="AP277" i="13"/>
  <c r="AQ277" i="13"/>
  <c r="AR277" i="13"/>
  <c r="AS277" i="13"/>
  <c r="AT277" i="13"/>
  <c r="AU277" i="13"/>
  <c r="AV277" i="13"/>
  <c r="AW277" i="13"/>
  <c r="AX277" i="13"/>
  <c r="AY277" i="13"/>
  <c r="AZ277" i="13"/>
  <c r="BA277" i="13"/>
  <c r="AP278" i="13"/>
  <c r="AQ278" i="13"/>
  <c r="AR278" i="13"/>
  <c r="AS278" i="13"/>
  <c r="AT278" i="13"/>
  <c r="AU278" i="13"/>
  <c r="AV278" i="13"/>
  <c r="AW278" i="13"/>
  <c r="AX278" i="13"/>
  <c r="AY278" i="13"/>
  <c r="AZ278" i="13"/>
  <c r="BA278" i="13"/>
  <c r="AP279" i="13"/>
  <c r="AQ279" i="13"/>
  <c r="AR279" i="13"/>
  <c r="AS279" i="13"/>
  <c r="AT279" i="13"/>
  <c r="AU279" i="13"/>
  <c r="AV279" i="13"/>
  <c r="AW279" i="13"/>
  <c r="AX279" i="13"/>
  <c r="AY279" i="13"/>
  <c r="AZ279" i="13"/>
  <c r="BA279" i="13"/>
  <c r="AP280" i="13"/>
  <c r="AQ280" i="13"/>
  <c r="AR280" i="13"/>
  <c r="AS280" i="13"/>
  <c r="AT280" i="13"/>
  <c r="AU280" i="13"/>
  <c r="AV280" i="13"/>
  <c r="AW280" i="13"/>
  <c r="AX280" i="13"/>
  <c r="AY280" i="13"/>
  <c r="AZ280" i="13"/>
  <c r="BA280" i="13"/>
  <c r="AP281" i="13"/>
  <c r="AQ281" i="13"/>
  <c r="AR281" i="13"/>
  <c r="AS281" i="13"/>
  <c r="AT281" i="13"/>
  <c r="AU281" i="13"/>
  <c r="AV281" i="13"/>
  <c r="AW281" i="13"/>
  <c r="AX281" i="13"/>
  <c r="AY281" i="13"/>
  <c r="AZ281" i="13"/>
  <c r="BA281" i="13"/>
  <c r="AP282" i="13"/>
  <c r="AQ282" i="13"/>
  <c r="AR282" i="13"/>
  <c r="AS282" i="13"/>
  <c r="AT282" i="13"/>
  <c r="AU282" i="13"/>
  <c r="AV282" i="13"/>
  <c r="AW282" i="13"/>
  <c r="AX282" i="13"/>
  <c r="AY282" i="13"/>
  <c r="AZ282" i="13"/>
  <c r="BA282" i="13"/>
  <c r="AP283" i="13"/>
  <c r="AQ283" i="13"/>
  <c r="AR283" i="13"/>
  <c r="AS283" i="13"/>
  <c r="AT283" i="13"/>
  <c r="AU283" i="13"/>
  <c r="AV283" i="13"/>
  <c r="AW283" i="13"/>
  <c r="AX283" i="13"/>
  <c r="AY283" i="13"/>
  <c r="AZ283" i="13"/>
  <c r="BA283" i="13"/>
  <c r="AP284" i="13"/>
  <c r="AQ284" i="13"/>
  <c r="AR284" i="13"/>
  <c r="AS284" i="13"/>
  <c r="AT284" i="13"/>
  <c r="AU284" i="13"/>
  <c r="AV284" i="13"/>
  <c r="AW284" i="13"/>
  <c r="AX284" i="13"/>
  <c r="AY284" i="13"/>
  <c r="AZ284" i="13"/>
  <c r="BA284" i="13"/>
  <c r="AP285" i="13"/>
  <c r="AQ285" i="13"/>
  <c r="AR285" i="13"/>
  <c r="AS285" i="13"/>
  <c r="AT285" i="13"/>
  <c r="AU285" i="13"/>
  <c r="AV285" i="13"/>
  <c r="AW285" i="13"/>
  <c r="AX285" i="13"/>
  <c r="AY285" i="13"/>
  <c r="AZ285" i="13"/>
  <c r="BA285" i="13"/>
  <c r="AP286" i="13"/>
  <c r="AQ286" i="13"/>
  <c r="AR286" i="13"/>
  <c r="AS286" i="13"/>
  <c r="AT286" i="13"/>
  <c r="AU286" i="13"/>
  <c r="AV286" i="13"/>
  <c r="AW286" i="13"/>
  <c r="AX286" i="13"/>
  <c r="AY286" i="13"/>
  <c r="AZ286" i="13"/>
  <c r="BA286" i="13"/>
  <c r="AP287" i="13"/>
  <c r="AQ287" i="13"/>
  <c r="AR287" i="13"/>
  <c r="AS287" i="13"/>
  <c r="AT287" i="13"/>
  <c r="AU287" i="13"/>
  <c r="AV287" i="13"/>
  <c r="AW287" i="13"/>
  <c r="AX287" i="13"/>
  <c r="AY287" i="13"/>
  <c r="AZ287" i="13"/>
  <c r="BA287" i="13"/>
  <c r="AP288" i="13"/>
  <c r="AQ288" i="13"/>
  <c r="AR288" i="13"/>
  <c r="AS288" i="13"/>
  <c r="AT288" i="13"/>
  <c r="AU288" i="13"/>
  <c r="AV288" i="13"/>
  <c r="AW288" i="13"/>
  <c r="AX288" i="13"/>
  <c r="AY288" i="13"/>
  <c r="AZ288" i="13"/>
  <c r="BA288" i="13"/>
  <c r="AP289" i="13"/>
  <c r="AQ289" i="13"/>
  <c r="AR289" i="13"/>
  <c r="AS289" i="13"/>
  <c r="AT289" i="13"/>
  <c r="AU289" i="13"/>
  <c r="AV289" i="13"/>
  <c r="AW289" i="13"/>
  <c r="AX289" i="13"/>
  <c r="AY289" i="13"/>
  <c r="AZ289" i="13"/>
  <c r="BA289" i="13"/>
  <c r="AP290" i="13"/>
  <c r="AQ290" i="13"/>
  <c r="AR290" i="13"/>
  <c r="AS290" i="13"/>
  <c r="AT290" i="13"/>
  <c r="AU290" i="13"/>
  <c r="AV290" i="13"/>
  <c r="AW290" i="13"/>
  <c r="AX290" i="13"/>
  <c r="AY290" i="13"/>
  <c r="AZ290" i="13"/>
  <c r="BA290" i="13"/>
  <c r="AP291" i="13"/>
  <c r="AQ291" i="13"/>
  <c r="AR291" i="13"/>
  <c r="AS291" i="13"/>
  <c r="AT291" i="13"/>
  <c r="AU291" i="13"/>
  <c r="AV291" i="13"/>
  <c r="AW291" i="13"/>
  <c r="AX291" i="13"/>
  <c r="AY291" i="13"/>
  <c r="AZ291" i="13"/>
  <c r="BA291" i="13"/>
  <c r="AP292" i="13"/>
  <c r="AQ292" i="13"/>
  <c r="AR292" i="13"/>
  <c r="AS292" i="13"/>
  <c r="AT292" i="13"/>
  <c r="AU292" i="13"/>
  <c r="AV292" i="13"/>
  <c r="AW292" i="13"/>
  <c r="AX292" i="13"/>
  <c r="AY292" i="13"/>
  <c r="AZ292" i="13"/>
  <c r="BA292" i="13"/>
  <c r="AP293" i="13"/>
  <c r="AQ293" i="13"/>
  <c r="AR293" i="13"/>
  <c r="AS293" i="13"/>
  <c r="AT293" i="13"/>
  <c r="AU293" i="13"/>
  <c r="AV293" i="13"/>
  <c r="AW293" i="13"/>
  <c r="AX293" i="13"/>
  <c r="AY293" i="13"/>
  <c r="AZ293" i="13"/>
  <c r="BA293" i="13"/>
  <c r="AP294" i="13"/>
  <c r="AQ294" i="13"/>
  <c r="AR294" i="13"/>
  <c r="AS294" i="13"/>
  <c r="AT294" i="13"/>
  <c r="AU294" i="13"/>
  <c r="AV294" i="13"/>
  <c r="AW294" i="13"/>
  <c r="AX294" i="13"/>
  <c r="AY294" i="13"/>
  <c r="AZ294" i="13"/>
  <c r="BA294" i="13"/>
  <c r="AP295" i="13"/>
  <c r="AQ295" i="13"/>
  <c r="AR295" i="13"/>
  <c r="AS295" i="13"/>
  <c r="AT295" i="13"/>
  <c r="AU295" i="13"/>
  <c r="AV295" i="13"/>
  <c r="AW295" i="13"/>
  <c r="AX295" i="13"/>
  <c r="AY295" i="13"/>
  <c r="AZ295" i="13"/>
  <c r="BA295" i="13"/>
  <c r="AP296" i="13"/>
  <c r="AQ296" i="13"/>
  <c r="AR296" i="13"/>
  <c r="AS296" i="13"/>
  <c r="AT296" i="13"/>
  <c r="AU296" i="13"/>
  <c r="AV296" i="13"/>
  <c r="AW296" i="13"/>
  <c r="AX296" i="13"/>
  <c r="AY296" i="13"/>
  <c r="AZ296" i="13"/>
  <c r="BA296" i="13"/>
  <c r="AP297" i="13"/>
  <c r="AQ297" i="13"/>
  <c r="AR297" i="13"/>
  <c r="AS297" i="13"/>
  <c r="AT297" i="13"/>
  <c r="AU297" i="13"/>
  <c r="AV297" i="13"/>
  <c r="AW297" i="13"/>
  <c r="AX297" i="13"/>
  <c r="AY297" i="13"/>
  <c r="AZ297" i="13"/>
  <c r="BA297" i="13"/>
  <c r="AP298" i="13"/>
  <c r="AQ298" i="13"/>
  <c r="AR298" i="13"/>
  <c r="AS298" i="13"/>
  <c r="AT298" i="13"/>
  <c r="AU298" i="13"/>
  <c r="AV298" i="13"/>
  <c r="AW298" i="13"/>
  <c r="AX298" i="13"/>
  <c r="AY298" i="13"/>
  <c r="AZ298" i="13"/>
  <c r="BA298" i="13"/>
  <c r="AP299" i="13"/>
  <c r="AQ299" i="13"/>
  <c r="AR299" i="13"/>
  <c r="AS299" i="13"/>
  <c r="AT299" i="13"/>
  <c r="AU299" i="13"/>
  <c r="AV299" i="13"/>
  <c r="AW299" i="13"/>
  <c r="AX299" i="13"/>
  <c r="AY299" i="13"/>
  <c r="AZ299" i="13"/>
  <c r="BA299" i="13"/>
  <c r="AP300" i="13"/>
  <c r="AQ300" i="13"/>
  <c r="AR300" i="13"/>
  <c r="AS300" i="13"/>
  <c r="AT300" i="13"/>
  <c r="AU300" i="13"/>
  <c r="AV300" i="13"/>
  <c r="AW300" i="13"/>
  <c r="AX300" i="13"/>
  <c r="AY300" i="13"/>
  <c r="AZ300" i="13"/>
  <c r="BA300" i="13"/>
  <c r="AP301" i="13"/>
  <c r="AQ301" i="13"/>
  <c r="AR301" i="13"/>
  <c r="AS301" i="13"/>
  <c r="AT301" i="13"/>
  <c r="AU301" i="13"/>
  <c r="AV301" i="13"/>
  <c r="AW301" i="13"/>
  <c r="AX301" i="13"/>
  <c r="AY301" i="13"/>
  <c r="AZ301" i="13"/>
  <c r="BA301" i="13"/>
  <c r="AP302" i="13"/>
  <c r="AQ302" i="13"/>
  <c r="AR302" i="13"/>
  <c r="AS302" i="13"/>
  <c r="AT302" i="13"/>
  <c r="AU302" i="13"/>
  <c r="AV302" i="13"/>
  <c r="AW302" i="13"/>
  <c r="AX302" i="13"/>
  <c r="AY302" i="13"/>
  <c r="AZ302" i="13"/>
  <c r="BA302" i="13"/>
  <c r="AP303" i="13"/>
  <c r="AQ303" i="13"/>
  <c r="AR303" i="13"/>
  <c r="AS303" i="13"/>
  <c r="AT303" i="13"/>
  <c r="AU303" i="13"/>
  <c r="AV303" i="13"/>
  <c r="AW303" i="13"/>
  <c r="AX303" i="13"/>
  <c r="AY303" i="13"/>
  <c r="AZ303" i="13"/>
  <c r="BA303" i="13"/>
  <c r="AP304" i="13"/>
  <c r="AQ304" i="13"/>
  <c r="AR304" i="13"/>
  <c r="AS304" i="13"/>
  <c r="AT304" i="13"/>
  <c r="AU304" i="13"/>
  <c r="AV304" i="13"/>
  <c r="AW304" i="13"/>
  <c r="AX304" i="13"/>
  <c r="AY304" i="13"/>
  <c r="AZ304" i="13"/>
  <c r="BA304" i="13"/>
  <c r="AP305" i="13"/>
  <c r="AQ305" i="13"/>
  <c r="AR305" i="13"/>
  <c r="AS305" i="13"/>
  <c r="AT305" i="13"/>
  <c r="AU305" i="13"/>
  <c r="AV305" i="13"/>
  <c r="AW305" i="13"/>
  <c r="AX305" i="13"/>
  <c r="AY305" i="13"/>
  <c r="AZ305" i="13"/>
  <c r="BA305" i="13"/>
  <c r="AP306" i="13"/>
  <c r="AQ306" i="13"/>
  <c r="AR306" i="13"/>
  <c r="AS306" i="13"/>
  <c r="AT306" i="13"/>
  <c r="AU306" i="13"/>
  <c r="AV306" i="13"/>
  <c r="AW306" i="13"/>
  <c r="AX306" i="13"/>
  <c r="AY306" i="13"/>
  <c r="AZ306" i="13"/>
  <c r="BA306" i="13"/>
  <c r="AP307" i="13"/>
  <c r="AQ307" i="13"/>
  <c r="AR307" i="13"/>
  <c r="AS307" i="13"/>
  <c r="AT307" i="13"/>
  <c r="AU307" i="13"/>
  <c r="AV307" i="13"/>
  <c r="AW307" i="13"/>
  <c r="AX307" i="13"/>
  <c r="AY307" i="13"/>
  <c r="AZ307" i="13"/>
  <c r="BA307" i="13"/>
  <c r="AP308" i="13"/>
  <c r="AQ308" i="13"/>
  <c r="AR308" i="13"/>
  <c r="AS308" i="13"/>
  <c r="AT308" i="13"/>
  <c r="AU308" i="13"/>
  <c r="AV308" i="13"/>
  <c r="AW308" i="13"/>
  <c r="AX308" i="13"/>
  <c r="AY308" i="13"/>
  <c r="AZ308" i="13"/>
  <c r="BA308" i="13"/>
  <c r="AP309" i="13"/>
  <c r="AQ309" i="13"/>
  <c r="AR309" i="13"/>
  <c r="AS309" i="13"/>
  <c r="AT309" i="13"/>
  <c r="AU309" i="13"/>
  <c r="AV309" i="13"/>
  <c r="AW309" i="13"/>
  <c r="AX309" i="13"/>
  <c r="AY309" i="13"/>
  <c r="AZ309" i="13"/>
  <c r="BA309" i="13"/>
  <c r="AP310" i="13"/>
  <c r="AQ310" i="13"/>
  <c r="AR310" i="13"/>
  <c r="AS310" i="13"/>
  <c r="AT310" i="13"/>
  <c r="AU310" i="13"/>
  <c r="AV310" i="13"/>
  <c r="AW310" i="13"/>
  <c r="AX310" i="13"/>
  <c r="AY310" i="13"/>
  <c r="AZ310" i="13"/>
  <c r="BA310" i="13"/>
  <c r="AP311" i="13"/>
  <c r="AQ311" i="13"/>
  <c r="AR311" i="13"/>
  <c r="AS311" i="13"/>
  <c r="AT311" i="13"/>
  <c r="AU311" i="13"/>
  <c r="AV311" i="13"/>
  <c r="AW311" i="13"/>
  <c r="AX311" i="13"/>
  <c r="AY311" i="13"/>
  <c r="AZ311" i="13"/>
  <c r="BA311" i="13"/>
  <c r="AP312" i="13"/>
  <c r="AQ312" i="13"/>
  <c r="AR312" i="13"/>
  <c r="AS312" i="13"/>
  <c r="AT312" i="13"/>
  <c r="AU312" i="13"/>
  <c r="AV312" i="13"/>
  <c r="AW312" i="13"/>
  <c r="AX312" i="13"/>
  <c r="AY312" i="13"/>
  <c r="AZ312" i="13"/>
  <c r="BA312" i="13"/>
  <c r="AP313" i="13"/>
  <c r="AQ313" i="13"/>
  <c r="AR313" i="13"/>
  <c r="AS313" i="13"/>
  <c r="AT313" i="13"/>
  <c r="AU313" i="13"/>
  <c r="AV313" i="13"/>
  <c r="AW313" i="13"/>
  <c r="AX313" i="13"/>
  <c r="AY313" i="13"/>
  <c r="AZ313" i="13"/>
  <c r="BA313" i="13"/>
  <c r="AP314" i="13"/>
  <c r="AQ314" i="13"/>
  <c r="AR314" i="13"/>
  <c r="AS314" i="13"/>
  <c r="AT314" i="13"/>
  <c r="AU314" i="13"/>
  <c r="AV314" i="13"/>
  <c r="AW314" i="13"/>
  <c r="AX314" i="13"/>
  <c r="AY314" i="13"/>
  <c r="AZ314" i="13"/>
  <c r="BA314" i="13"/>
  <c r="AP315" i="13"/>
  <c r="AQ315" i="13"/>
  <c r="AR315" i="13"/>
  <c r="AS315" i="13"/>
  <c r="AT315" i="13"/>
  <c r="AU315" i="13"/>
  <c r="AV315" i="13"/>
  <c r="AW315" i="13"/>
  <c r="AX315" i="13"/>
  <c r="AY315" i="13"/>
  <c r="AZ315" i="13"/>
  <c r="BA315" i="13"/>
  <c r="AP316" i="13"/>
  <c r="AQ316" i="13"/>
  <c r="AR316" i="13"/>
  <c r="AS316" i="13"/>
  <c r="AT316" i="13"/>
  <c r="AU316" i="13"/>
  <c r="AV316" i="13"/>
  <c r="AW316" i="13"/>
  <c r="AX316" i="13"/>
  <c r="AY316" i="13"/>
  <c r="AZ316" i="13"/>
  <c r="BA316" i="13"/>
  <c r="AP317" i="13"/>
  <c r="AQ317" i="13"/>
  <c r="AR317" i="13"/>
  <c r="AS317" i="13"/>
  <c r="AT317" i="13"/>
  <c r="AU317" i="13"/>
  <c r="AV317" i="13"/>
  <c r="AW317" i="13"/>
  <c r="AX317" i="13"/>
  <c r="AY317" i="13"/>
  <c r="AZ317" i="13"/>
  <c r="BA317" i="13"/>
  <c r="AP318" i="13"/>
  <c r="AQ318" i="13"/>
  <c r="AR318" i="13"/>
  <c r="AS318" i="13"/>
  <c r="AT318" i="13"/>
  <c r="AU318" i="13"/>
  <c r="AV318" i="13"/>
  <c r="AW318" i="13"/>
  <c r="AX318" i="13"/>
  <c r="AY318" i="13"/>
  <c r="AZ318" i="13"/>
  <c r="BA318" i="13"/>
  <c r="AP319" i="13"/>
  <c r="AQ319" i="13"/>
  <c r="AR319" i="13"/>
  <c r="AS319" i="13"/>
  <c r="AT319" i="13"/>
  <c r="AU319" i="13"/>
  <c r="AV319" i="13"/>
  <c r="AW319" i="13"/>
  <c r="AX319" i="13"/>
  <c r="AY319" i="13"/>
  <c r="AZ319" i="13"/>
  <c r="BA319" i="13"/>
  <c r="AP320" i="13"/>
  <c r="AQ320" i="13"/>
  <c r="AR320" i="13"/>
  <c r="AS320" i="13"/>
  <c r="AT320" i="13"/>
  <c r="AU320" i="13"/>
  <c r="AV320" i="13"/>
  <c r="AW320" i="13"/>
  <c r="AX320" i="13"/>
  <c r="AY320" i="13"/>
  <c r="AZ320" i="13"/>
  <c r="BA320" i="13"/>
  <c r="AP321" i="13"/>
  <c r="AQ321" i="13"/>
  <c r="AR321" i="13"/>
  <c r="AS321" i="13"/>
  <c r="AT321" i="13"/>
  <c r="AU321" i="13"/>
  <c r="AV321" i="13"/>
  <c r="AW321" i="13"/>
  <c r="AX321" i="13"/>
  <c r="AY321" i="13"/>
  <c r="AZ321" i="13"/>
  <c r="BA321" i="13"/>
  <c r="AP322" i="13"/>
  <c r="AQ322" i="13"/>
  <c r="AR322" i="13"/>
  <c r="AS322" i="13"/>
  <c r="AT322" i="13"/>
  <c r="AU322" i="13"/>
  <c r="AV322" i="13"/>
  <c r="AW322" i="13"/>
  <c r="AX322" i="13"/>
  <c r="AY322" i="13"/>
  <c r="AZ322" i="13"/>
  <c r="BA322" i="13"/>
  <c r="AP323" i="13"/>
  <c r="AQ323" i="13"/>
  <c r="AR323" i="13"/>
  <c r="AS323" i="13"/>
  <c r="AT323" i="13"/>
  <c r="AU323" i="13"/>
  <c r="AV323" i="13"/>
  <c r="AW323" i="13"/>
  <c r="AX323" i="13"/>
  <c r="AY323" i="13"/>
  <c r="AZ323" i="13"/>
  <c r="BA323" i="13"/>
  <c r="AP324" i="13"/>
  <c r="AQ324" i="13"/>
  <c r="AR324" i="13"/>
  <c r="AS324" i="13"/>
  <c r="AT324" i="13"/>
  <c r="AU324" i="13"/>
  <c r="AV324" i="13"/>
  <c r="AW324" i="13"/>
  <c r="AX324" i="13"/>
  <c r="AY324" i="13"/>
  <c r="AZ324" i="13"/>
  <c r="BA324" i="13"/>
  <c r="AP325" i="13"/>
  <c r="AQ325" i="13"/>
  <c r="AR325" i="13"/>
  <c r="AS325" i="13"/>
  <c r="AT325" i="13"/>
  <c r="AU325" i="13"/>
  <c r="AV325" i="13"/>
  <c r="AW325" i="13"/>
  <c r="AX325" i="13"/>
  <c r="AY325" i="13"/>
  <c r="AZ325" i="13"/>
  <c r="BA325" i="13"/>
  <c r="AP326" i="13"/>
  <c r="AQ326" i="13"/>
  <c r="AR326" i="13"/>
  <c r="AS326" i="13"/>
  <c r="AT326" i="13"/>
  <c r="AU326" i="13"/>
  <c r="AV326" i="13"/>
  <c r="AW326" i="13"/>
  <c r="AX326" i="13"/>
  <c r="AY326" i="13"/>
  <c r="AZ326" i="13"/>
  <c r="BA326" i="13"/>
  <c r="AP327" i="13"/>
  <c r="AQ327" i="13"/>
  <c r="AR327" i="13"/>
  <c r="AS327" i="13"/>
  <c r="AT327" i="13"/>
  <c r="AU327" i="13"/>
  <c r="AV327" i="13"/>
  <c r="AW327" i="13"/>
  <c r="AX327" i="13"/>
  <c r="AY327" i="13"/>
  <c r="AZ327" i="13"/>
  <c r="BA327" i="13"/>
  <c r="AP328" i="13"/>
  <c r="AQ328" i="13"/>
  <c r="AR328" i="13"/>
  <c r="AS328" i="13"/>
  <c r="AT328" i="13"/>
  <c r="AU328" i="13"/>
  <c r="AV328" i="13"/>
  <c r="AW328" i="13"/>
  <c r="AX328" i="13"/>
  <c r="AY328" i="13"/>
  <c r="AZ328" i="13"/>
  <c r="BA328" i="13"/>
  <c r="AP329" i="13"/>
  <c r="AQ329" i="13"/>
  <c r="AR329" i="13"/>
  <c r="AS329" i="13"/>
  <c r="AT329" i="13"/>
  <c r="AU329" i="13"/>
  <c r="AV329" i="13"/>
  <c r="AW329" i="13"/>
  <c r="AX329" i="13"/>
  <c r="AY329" i="13"/>
  <c r="AZ329" i="13"/>
  <c r="BA329" i="13"/>
  <c r="AP330" i="13"/>
  <c r="AQ330" i="13"/>
  <c r="AR330" i="13"/>
  <c r="AS330" i="13"/>
  <c r="AT330" i="13"/>
  <c r="AU330" i="13"/>
  <c r="AV330" i="13"/>
  <c r="AW330" i="13"/>
  <c r="AX330" i="13"/>
  <c r="AY330" i="13"/>
  <c r="AZ330" i="13"/>
  <c r="BA330" i="13"/>
  <c r="AP331" i="13"/>
  <c r="AQ331" i="13"/>
  <c r="AR331" i="13"/>
  <c r="AS331" i="13"/>
  <c r="AT331" i="13"/>
  <c r="AU331" i="13"/>
  <c r="AV331" i="13"/>
  <c r="AW331" i="13"/>
  <c r="AX331" i="13"/>
  <c r="AY331" i="13"/>
  <c r="AZ331" i="13"/>
  <c r="BA331" i="13"/>
  <c r="AP332" i="13"/>
  <c r="AQ332" i="13"/>
  <c r="AR332" i="13"/>
  <c r="AS332" i="13"/>
  <c r="AT332" i="13"/>
  <c r="AU332" i="13"/>
  <c r="AV332" i="13"/>
  <c r="AW332" i="13"/>
  <c r="AX332" i="13"/>
  <c r="AY332" i="13"/>
  <c r="AZ332" i="13"/>
  <c r="BA332" i="13"/>
  <c r="AP333" i="13"/>
  <c r="AQ333" i="13"/>
  <c r="AR333" i="13"/>
  <c r="AS333" i="13"/>
  <c r="AT333" i="13"/>
  <c r="AU333" i="13"/>
  <c r="AV333" i="13"/>
  <c r="AW333" i="13"/>
  <c r="AX333" i="13"/>
  <c r="AY333" i="13"/>
  <c r="AZ333" i="13"/>
  <c r="BA333" i="13"/>
  <c r="AP334" i="13"/>
  <c r="AQ334" i="13"/>
  <c r="AR334" i="13"/>
  <c r="AS334" i="13"/>
  <c r="AT334" i="13"/>
  <c r="AU334" i="13"/>
  <c r="AV334" i="13"/>
  <c r="AW334" i="13"/>
  <c r="AX334" i="13"/>
  <c r="AY334" i="13"/>
  <c r="AZ334" i="13"/>
  <c r="BA334" i="13"/>
  <c r="AP335" i="13"/>
  <c r="AQ335" i="13"/>
  <c r="AR335" i="13"/>
  <c r="AS335" i="13"/>
  <c r="AT335" i="13"/>
  <c r="AU335" i="13"/>
  <c r="AV335" i="13"/>
  <c r="AW335" i="13"/>
  <c r="AX335" i="13"/>
  <c r="AY335" i="13"/>
  <c r="AZ335" i="13"/>
  <c r="BA335" i="13"/>
  <c r="AP336" i="13"/>
  <c r="AQ336" i="13"/>
  <c r="AR336" i="13"/>
  <c r="AS336" i="13"/>
  <c r="AT336" i="13"/>
  <c r="AU336" i="13"/>
  <c r="AV336" i="13"/>
  <c r="AW336" i="13"/>
  <c r="AX336" i="13"/>
  <c r="AY336" i="13"/>
  <c r="AZ336" i="13"/>
  <c r="BA336" i="13"/>
  <c r="AP337" i="13"/>
  <c r="AQ337" i="13"/>
  <c r="AR337" i="13"/>
  <c r="AS337" i="13"/>
  <c r="AT337" i="13"/>
  <c r="AU337" i="13"/>
  <c r="AV337" i="13"/>
  <c r="AW337" i="13"/>
  <c r="AX337" i="13"/>
  <c r="AY337" i="13"/>
  <c r="AZ337" i="13"/>
  <c r="BA337" i="13"/>
  <c r="AP338" i="13"/>
  <c r="AQ338" i="13"/>
  <c r="AR338" i="13"/>
  <c r="AS338" i="13"/>
  <c r="AT338" i="13"/>
  <c r="AU338" i="13"/>
  <c r="AV338" i="13"/>
  <c r="AW338" i="13"/>
  <c r="AX338" i="13"/>
  <c r="AY338" i="13"/>
  <c r="AZ338" i="13"/>
  <c r="BA338" i="13"/>
  <c r="AP339" i="13"/>
  <c r="AQ339" i="13"/>
  <c r="AR339" i="13"/>
  <c r="AS339" i="13"/>
  <c r="AT339" i="13"/>
  <c r="AU339" i="13"/>
  <c r="AV339" i="13"/>
  <c r="AW339" i="13"/>
  <c r="AX339" i="13"/>
  <c r="AY339" i="13"/>
  <c r="AZ339" i="13"/>
  <c r="BA339" i="13"/>
  <c r="AP340" i="13"/>
  <c r="AQ340" i="13"/>
  <c r="AR340" i="13"/>
  <c r="AS340" i="13"/>
  <c r="AT340" i="13"/>
  <c r="AU340" i="13"/>
  <c r="AV340" i="13"/>
  <c r="AW340" i="13"/>
  <c r="AX340" i="13"/>
  <c r="AY340" i="13"/>
  <c r="AZ340" i="13"/>
  <c r="BA340" i="13"/>
  <c r="AP341" i="13"/>
  <c r="AQ341" i="13"/>
  <c r="AR341" i="13"/>
  <c r="AS341" i="13"/>
  <c r="AT341" i="13"/>
  <c r="AU341" i="13"/>
  <c r="AV341" i="13"/>
  <c r="AW341" i="13"/>
  <c r="AX341" i="13"/>
  <c r="AY341" i="13"/>
  <c r="AZ341" i="13"/>
  <c r="BA341" i="13"/>
  <c r="AP342" i="13"/>
  <c r="AQ342" i="13"/>
  <c r="AR342" i="13"/>
  <c r="AS342" i="13"/>
  <c r="AT342" i="13"/>
  <c r="AU342" i="13"/>
  <c r="AV342" i="13"/>
  <c r="AW342" i="13"/>
  <c r="AX342" i="13"/>
  <c r="AY342" i="13"/>
  <c r="AZ342" i="13"/>
  <c r="BA342" i="13"/>
  <c r="AP343" i="13"/>
  <c r="AQ343" i="13"/>
  <c r="AR343" i="13"/>
  <c r="AS343" i="13"/>
  <c r="AT343" i="13"/>
  <c r="AU343" i="13"/>
  <c r="AV343" i="13"/>
  <c r="AW343" i="13"/>
  <c r="AX343" i="13"/>
  <c r="AY343" i="13"/>
  <c r="AZ343" i="13"/>
  <c r="BA343" i="13"/>
  <c r="AP344" i="13"/>
  <c r="AQ344" i="13"/>
  <c r="AR344" i="13"/>
  <c r="AS344" i="13"/>
  <c r="AT344" i="13"/>
  <c r="AU344" i="13"/>
  <c r="AV344" i="13"/>
  <c r="AW344" i="13"/>
  <c r="AX344" i="13"/>
  <c r="AY344" i="13"/>
  <c r="AZ344" i="13"/>
  <c r="BA344" i="13"/>
  <c r="AP345" i="13"/>
  <c r="AQ345" i="13"/>
  <c r="AR345" i="13"/>
  <c r="AS345" i="13"/>
  <c r="AT345" i="13"/>
  <c r="AU345" i="13"/>
  <c r="AV345" i="13"/>
  <c r="AW345" i="13"/>
  <c r="AX345" i="13"/>
  <c r="AY345" i="13"/>
  <c r="AZ345" i="13"/>
  <c r="BA345" i="13"/>
  <c r="AP346" i="13"/>
  <c r="AQ346" i="13"/>
  <c r="AR346" i="13"/>
  <c r="AS346" i="13"/>
  <c r="AT346" i="13"/>
  <c r="AU346" i="13"/>
  <c r="AV346" i="13"/>
  <c r="AW346" i="13"/>
  <c r="AX346" i="13"/>
  <c r="AY346" i="13"/>
  <c r="AZ346" i="13"/>
  <c r="BA346" i="13"/>
  <c r="AP347" i="13"/>
  <c r="AQ347" i="13"/>
  <c r="AR347" i="13"/>
  <c r="AS347" i="13"/>
  <c r="AT347" i="13"/>
  <c r="AU347" i="13"/>
  <c r="AV347" i="13"/>
  <c r="AW347" i="13"/>
  <c r="AX347" i="13"/>
  <c r="AY347" i="13"/>
  <c r="AZ347" i="13"/>
  <c r="BA347" i="13"/>
  <c r="AP348" i="13"/>
  <c r="AQ348" i="13"/>
  <c r="AR348" i="13"/>
  <c r="AS348" i="13"/>
  <c r="AT348" i="13"/>
  <c r="AU348" i="13"/>
  <c r="AV348" i="13"/>
  <c r="AW348" i="13"/>
  <c r="AX348" i="13"/>
  <c r="AY348" i="13"/>
  <c r="AZ348" i="13"/>
  <c r="BA348" i="13"/>
  <c r="AP349" i="13"/>
  <c r="AQ349" i="13"/>
  <c r="AR349" i="13"/>
  <c r="AS349" i="13"/>
  <c r="AT349" i="13"/>
  <c r="AU349" i="13"/>
  <c r="AV349" i="13"/>
  <c r="AW349" i="13"/>
  <c r="AX349" i="13"/>
  <c r="AY349" i="13"/>
  <c r="AZ349" i="13"/>
  <c r="BA349" i="13"/>
  <c r="AP350" i="13"/>
  <c r="AQ350" i="13"/>
  <c r="AR350" i="13"/>
  <c r="AS350" i="13"/>
  <c r="AT350" i="13"/>
  <c r="AU350" i="13"/>
  <c r="AV350" i="13"/>
  <c r="AW350" i="13"/>
  <c r="AX350" i="13"/>
  <c r="AY350" i="13"/>
  <c r="AZ350" i="13"/>
  <c r="BA350" i="13"/>
  <c r="AP351" i="13"/>
  <c r="AQ351" i="13"/>
  <c r="AR351" i="13"/>
  <c r="AS351" i="13"/>
  <c r="AT351" i="13"/>
  <c r="AU351" i="13"/>
  <c r="AV351" i="13"/>
  <c r="AW351" i="13"/>
  <c r="AX351" i="13"/>
  <c r="AY351" i="13"/>
  <c r="AZ351" i="13"/>
  <c r="BA351" i="13"/>
  <c r="AP352" i="13"/>
  <c r="AQ352" i="13"/>
  <c r="AR352" i="13"/>
  <c r="AS352" i="13"/>
  <c r="AT352" i="13"/>
  <c r="AU352" i="13"/>
  <c r="AV352" i="13"/>
  <c r="AW352" i="13"/>
  <c r="AX352" i="13"/>
  <c r="AY352" i="13"/>
  <c r="AZ352" i="13"/>
  <c r="BA352" i="13"/>
  <c r="AP353" i="13"/>
  <c r="AQ353" i="13"/>
  <c r="AR353" i="13"/>
  <c r="AS353" i="13"/>
  <c r="AT353" i="13"/>
  <c r="AU353" i="13"/>
  <c r="AV353" i="13"/>
  <c r="AW353" i="13"/>
  <c r="AX353" i="13"/>
  <c r="AY353" i="13"/>
  <c r="AZ353" i="13"/>
  <c r="BA353" i="13"/>
  <c r="AP354" i="13"/>
  <c r="AQ354" i="13"/>
  <c r="AR354" i="13"/>
  <c r="AS354" i="13"/>
  <c r="AT354" i="13"/>
  <c r="AU354" i="13"/>
  <c r="AV354" i="13"/>
  <c r="AW354" i="13"/>
  <c r="AX354" i="13"/>
  <c r="AY354" i="13"/>
  <c r="AZ354" i="13"/>
  <c r="BA354" i="13"/>
  <c r="AP355" i="13"/>
  <c r="AQ355" i="13"/>
  <c r="AR355" i="13"/>
  <c r="AS355" i="13"/>
  <c r="AT355" i="13"/>
  <c r="AU355" i="13"/>
  <c r="AV355" i="13"/>
  <c r="AW355" i="13"/>
  <c r="AX355" i="13"/>
  <c r="AY355" i="13"/>
  <c r="AZ355" i="13"/>
  <c r="BA355" i="13"/>
  <c r="AP356" i="13"/>
  <c r="AQ356" i="13"/>
  <c r="AR356" i="13"/>
  <c r="AS356" i="13"/>
  <c r="AT356" i="13"/>
  <c r="AU356" i="13"/>
  <c r="AV356" i="13"/>
  <c r="AW356" i="13"/>
  <c r="AX356" i="13"/>
  <c r="AY356" i="13"/>
  <c r="AZ356" i="13"/>
  <c r="BA356" i="13"/>
  <c r="AP357" i="13"/>
  <c r="AQ357" i="13"/>
  <c r="AR357" i="13"/>
  <c r="AS357" i="13"/>
  <c r="AT357" i="13"/>
  <c r="AU357" i="13"/>
  <c r="AV357" i="13"/>
  <c r="AW357" i="13"/>
  <c r="AX357" i="13"/>
  <c r="AY357" i="13"/>
  <c r="AZ357" i="13"/>
  <c r="BA357" i="13"/>
  <c r="AP358" i="13"/>
  <c r="AQ358" i="13"/>
  <c r="AR358" i="13"/>
  <c r="AS358" i="13"/>
  <c r="AT358" i="13"/>
  <c r="AU358" i="13"/>
  <c r="AV358" i="13"/>
  <c r="AW358" i="13"/>
  <c r="AX358" i="13"/>
  <c r="AY358" i="13"/>
  <c r="AZ358" i="13"/>
  <c r="BA358" i="13"/>
  <c r="AP359" i="13"/>
  <c r="AQ359" i="13"/>
  <c r="AR359" i="13"/>
  <c r="AS359" i="13"/>
  <c r="AT359" i="13"/>
  <c r="AU359" i="13"/>
  <c r="AV359" i="13"/>
  <c r="AW359" i="13"/>
  <c r="AX359" i="13"/>
  <c r="AY359" i="13"/>
  <c r="AZ359" i="13"/>
  <c r="BA359" i="13"/>
  <c r="AP360" i="13"/>
  <c r="AQ360" i="13"/>
  <c r="AR360" i="13"/>
  <c r="AS360" i="13"/>
  <c r="AT360" i="13"/>
  <c r="AU360" i="13"/>
  <c r="AV360" i="13"/>
  <c r="AW360" i="13"/>
  <c r="AX360" i="13"/>
  <c r="AY360" i="13"/>
  <c r="AZ360" i="13"/>
  <c r="BA360" i="13"/>
  <c r="AP361" i="13"/>
  <c r="AQ361" i="13"/>
  <c r="AR361" i="13"/>
  <c r="AS361" i="13"/>
  <c r="AT361" i="13"/>
  <c r="AU361" i="13"/>
  <c r="AV361" i="13"/>
  <c r="AW361" i="13"/>
  <c r="AX361" i="13"/>
  <c r="AY361" i="13"/>
  <c r="AZ361" i="13"/>
  <c r="BA361" i="13"/>
  <c r="AP362" i="13"/>
  <c r="AQ362" i="13"/>
  <c r="AR362" i="13"/>
  <c r="AS362" i="13"/>
  <c r="AT362" i="13"/>
  <c r="AU362" i="13"/>
  <c r="AV362" i="13"/>
  <c r="AW362" i="13"/>
  <c r="AX362" i="13"/>
  <c r="AY362" i="13"/>
  <c r="AZ362" i="13"/>
  <c r="BA362" i="13"/>
  <c r="AP363" i="13"/>
  <c r="AQ363" i="13"/>
  <c r="AR363" i="13"/>
  <c r="AS363" i="13"/>
  <c r="AT363" i="13"/>
  <c r="AU363" i="13"/>
  <c r="AV363" i="13"/>
  <c r="AW363" i="13"/>
  <c r="AX363" i="13"/>
  <c r="AY363" i="13"/>
  <c r="AZ363" i="13"/>
  <c r="BA363" i="13"/>
  <c r="AP364" i="13"/>
  <c r="AQ364" i="13"/>
  <c r="AR364" i="13"/>
  <c r="AS364" i="13"/>
  <c r="AT364" i="13"/>
  <c r="AU364" i="13"/>
  <c r="AV364" i="13"/>
  <c r="AW364" i="13"/>
  <c r="AX364" i="13"/>
  <c r="AY364" i="13"/>
  <c r="AZ364" i="13"/>
  <c r="BA364" i="13"/>
  <c r="AP365" i="13"/>
  <c r="AQ365" i="13"/>
  <c r="AR365" i="13"/>
  <c r="AS365" i="13"/>
  <c r="AT365" i="13"/>
  <c r="AU365" i="13"/>
  <c r="AV365" i="13"/>
  <c r="AW365" i="13"/>
  <c r="AX365" i="13"/>
  <c r="AY365" i="13"/>
  <c r="AZ365" i="13"/>
  <c r="BA365" i="13"/>
  <c r="AP366" i="13"/>
  <c r="AQ366" i="13"/>
  <c r="AR366" i="13"/>
  <c r="AS366" i="13"/>
  <c r="AT366" i="13"/>
  <c r="AU366" i="13"/>
  <c r="AV366" i="13"/>
  <c r="AW366" i="13"/>
  <c r="AX366" i="13"/>
  <c r="AY366" i="13"/>
  <c r="AZ366" i="13"/>
  <c r="BA366" i="13"/>
  <c r="AP367" i="13"/>
  <c r="AQ367" i="13"/>
  <c r="AR367" i="13"/>
  <c r="AS367" i="13"/>
  <c r="AT367" i="13"/>
  <c r="AU367" i="13"/>
  <c r="AV367" i="13"/>
  <c r="AW367" i="13"/>
  <c r="AX367" i="13"/>
  <c r="AY367" i="13"/>
  <c r="AZ367" i="13"/>
  <c r="BA367" i="13"/>
  <c r="AP368" i="13"/>
  <c r="AQ368" i="13"/>
  <c r="AR368" i="13"/>
  <c r="AS368" i="13"/>
  <c r="AT368" i="13"/>
  <c r="AU368" i="13"/>
  <c r="AV368" i="13"/>
  <c r="AW368" i="13"/>
  <c r="AX368" i="13"/>
  <c r="AY368" i="13"/>
  <c r="AZ368" i="13"/>
  <c r="BA368" i="13"/>
  <c r="AP369" i="13"/>
  <c r="AQ369" i="13"/>
  <c r="AR369" i="13"/>
  <c r="AS369" i="13"/>
  <c r="AT369" i="13"/>
  <c r="AU369" i="13"/>
  <c r="AV369" i="13"/>
  <c r="AW369" i="13"/>
  <c r="AX369" i="13"/>
  <c r="AY369" i="13"/>
  <c r="AZ369" i="13"/>
  <c r="BA369" i="13"/>
  <c r="AP370" i="13"/>
  <c r="AQ370" i="13"/>
  <c r="AR370" i="13"/>
  <c r="AS370" i="13"/>
  <c r="AT370" i="13"/>
  <c r="AU370" i="13"/>
  <c r="AV370" i="13"/>
  <c r="AW370" i="13"/>
  <c r="AX370" i="13"/>
  <c r="AY370" i="13"/>
  <c r="AZ370" i="13"/>
  <c r="BA370" i="13"/>
  <c r="AP371" i="13"/>
  <c r="AQ371" i="13"/>
  <c r="AR371" i="13"/>
  <c r="AS371" i="13"/>
  <c r="AT371" i="13"/>
  <c r="AU371" i="13"/>
  <c r="AV371" i="13"/>
  <c r="AW371" i="13"/>
  <c r="AX371" i="13"/>
  <c r="AY371" i="13"/>
  <c r="AZ371" i="13"/>
  <c r="BA371" i="13"/>
  <c r="AP372" i="13"/>
  <c r="AQ372" i="13"/>
  <c r="AR372" i="13"/>
  <c r="AS372" i="13"/>
  <c r="AT372" i="13"/>
  <c r="AU372" i="13"/>
  <c r="AV372" i="13"/>
  <c r="AW372" i="13"/>
  <c r="AX372" i="13"/>
  <c r="AY372" i="13"/>
  <c r="AZ372" i="13"/>
  <c r="BA372" i="13"/>
  <c r="AP373" i="13"/>
  <c r="AQ373" i="13"/>
  <c r="AR373" i="13"/>
  <c r="AS373" i="13"/>
  <c r="AT373" i="13"/>
  <c r="AU373" i="13"/>
  <c r="AV373" i="13"/>
  <c r="AW373" i="13"/>
  <c r="AX373" i="13"/>
  <c r="AY373" i="13"/>
  <c r="AZ373" i="13"/>
  <c r="BA373" i="13"/>
  <c r="AP374" i="13"/>
  <c r="AQ374" i="13"/>
  <c r="AR374" i="13"/>
  <c r="AS374" i="13"/>
  <c r="AT374" i="13"/>
  <c r="AU374" i="13"/>
  <c r="AV374" i="13"/>
  <c r="AW374" i="13"/>
  <c r="AX374" i="13"/>
  <c r="AY374" i="13"/>
  <c r="AZ374" i="13"/>
  <c r="BA374" i="13"/>
  <c r="AP375" i="13"/>
  <c r="AQ375" i="13"/>
  <c r="AR375" i="13"/>
  <c r="AS375" i="13"/>
  <c r="AT375" i="13"/>
  <c r="AU375" i="13"/>
  <c r="AV375" i="13"/>
  <c r="AW375" i="13"/>
  <c r="AX375" i="13"/>
  <c r="AY375" i="13"/>
  <c r="AZ375" i="13"/>
  <c r="BA375" i="13"/>
  <c r="AP376" i="13"/>
  <c r="AQ376" i="13"/>
  <c r="AR376" i="13"/>
  <c r="AS376" i="13"/>
  <c r="AT376" i="13"/>
  <c r="AU376" i="13"/>
  <c r="AV376" i="13"/>
  <c r="AW376" i="13"/>
  <c r="AX376" i="13"/>
  <c r="AY376" i="13"/>
  <c r="AZ376" i="13"/>
  <c r="BA376" i="13"/>
  <c r="AP377" i="13"/>
  <c r="AQ377" i="13"/>
  <c r="AR377" i="13"/>
  <c r="AS377" i="13"/>
  <c r="AT377" i="13"/>
  <c r="AU377" i="13"/>
  <c r="AV377" i="13"/>
  <c r="AW377" i="13"/>
  <c r="AX377" i="13"/>
  <c r="AY377" i="13"/>
  <c r="AZ377" i="13"/>
  <c r="BA377" i="13"/>
  <c r="AP378" i="13"/>
  <c r="AQ378" i="13"/>
  <c r="AR378" i="13"/>
  <c r="AS378" i="13"/>
  <c r="AT378" i="13"/>
  <c r="AU378" i="13"/>
  <c r="AV378" i="13"/>
  <c r="AW378" i="13"/>
  <c r="AX378" i="13"/>
  <c r="AY378" i="13"/>
  <c r="AZ378" i="13"/>
  <c r="BA378" i="13"/>
  <c r="AP379" i="13"/>
  <c r="AQ379" i="13"/>
  <c r="AR379" i="13"/>
  <c r="AS379" i="13"/>
  <c r="AT379" i="13"/>
  <c r="AU379" i="13"/>
  <c r="AV379" i="13"/>
  <c r="AW379" i="13"/>
  <c r="AX379" i="13"/>
  <c r="AY379" i="13"/>
  <c r="AZ379" i="13"/>
  <c r="BA379" i="13"/>
  <c r="AP380" i="13"/>
  <c r="AQ380" i="13"/>
  <c r="AR380" i="13"/>
  <c r="AS380" i="13"/>
  <c r="AT380" i="13"/>
  <c r="AU380" i="13"/>
  <c r="AV380" i="13"/>
  <c r="AW380" i="13"/>
  <c r="AX380" i="13"/>
  <c r="AY380" i="13"/>
  <c r="AZ380" i="13"/>
  <c r="BA380" i="13"/>
  <c r="AP381" i="13"/>
  <c r="AQ381" i="13"/>
  <c r="AR381" i="13"/>
  <c r="AS381" i="13"/>
  <c r="AT381" i="13"/>
  <c r="AU381" i="13"/>
  <c r="AV381" i="13"/>
  <c r="AW381" i="13"/>
  <c r="AX381" i="13"/>
  <c r="AY381" i="13"/>
  <c r="AZ381" i="13"/>
  <c r="BA381" i="13"/>
  <c r="AP382" i="13"/>
  <c r="AQ382" i="13"/>
  <c r="AR382" i="13"/>
  <c r="AS382" i="13"/>
  <c r="AT382" i="13"/>
  <c r="AU382" i="13"/>
  <c r="AV382" i="13"/>
  <c r="AW382" i="13"/>
  <c r="AX382" i="13"/>
  <c r="AY382" i="13"/>
  <c r="AZ382" i="13"/>
  <c r="BA382" i="13"/>
  <c r="AP383" i="13"/>
  <c r="AQ383" i="13"/>
  <c r="AR383" i="13"/>
  <c r="AS383" i="13"/>
  <c r="AT383" i="13"/>
  <c r="AU383" i="13"/>
  <c r="AV383" i="13"/>
  <c r="AW383" i="13"/>
  <c r="AX383" i="13"/>
  <c r="AY383" i="13"/>
  <c r="AZ383" i="13"/>
  <c r="BA383" i="13"/>
  <c r="AP384" i="13"/>
  <c r="AQ384" i="13"/>
  <c r="AR384" i="13"/>
  <c r="AS384" i="13"/>
  <c r="AT384" i="13"/>
  <c r="AU384" i="13"/>
  <c r="AV384" i="13"/>
  <c r="AW384" i="13"/>
  <c r="AX384" i="13"/>
  <c r="AY384" i="13"/>
  <c r="AZ384" i="13"/>
  <c r="BA384" i="13"/>
  <c r="AP385" i="13"/>
  <c r="AQ385" i="13"/>
  <c r="AR385" i="13"/>
  <c r="AS385" i="13"/>
  <c r="AT385" i="13"/>
  <c r="AU385" i="13"/>
  <c r="AV385" i="13"/>
  <c r="AW385" i="13"/>
  <c r="AX385" i="13"/>
  <c r="AY385" i="13"/>
  <c r="AZ385" i="13"/>
  <c r="BA385" i="13"/>
  <c r="AP386" i="13"/>
  <c r="AQ386" i="13"/>
  <c r="AR386" i="13"/>
  <c r="AS386" i="13"/>
  <c r="AT386" i="13"/>
  <c r="AU386" i="13"/>
  <c r="AV386" i="13"/>
  <c r="AW386" i="13"/>
  <c r="AX386" i="13"/>
  <c r="AY386" i="13"/>
  <c r="AZ386" i="13"/>
  <c r="BA386" i="13"/>
  <c r="AP387" i="13"/>
  <c r="AQ387" i="13"/>
  <c r="AR387" i="13"/>
  <c r="AS387" i="13"/>
  <c r="AT387" i="13"/>
  <c r="AU387" i="13"/>
  <c r="AV387" i="13"/>
  <c r="AW387" i="13"/>
  <c r="AX387" i="13"/>
  <c r="AY387" i="13"/>
  <c r="AZ387" i="13"/>
  <c r="BA387" i="13"/>
  <c r="AP388" i="13"/>
  <c r="AQ388" i="13"/>
  <c r="AR388" i="13"/>
  <c r="AS388" i="13"/>
  <c r="AT388" i="13"/>
  <c r="AU388" i="13"/>
  <c r="AV388" i="13"/>
  <c r="AW388" i="13"/>
  <c r="AX388" i="13"/>
  <c r="AY388" i="13"/>
  <c r="AZ388" i="13"/>
  <c r="BA388" i="13"/>
  <c r="AP389" i="13"/>
  <c r="AQ389" i="13"/>
  <c r="AR389" i="13"/>
  <c r="AS389" i="13"/>
  <c r="AT389" i="13"/>
  <c r="AU389" i="13"/>
  <c r="AV389" i="13"/>
  <c r="AW389" i="13"/>
  <c r="AX389" i="13"/>
  <c r="AY389" i="13"/>
  <c r="AZ389" i="13"/>
  <c r="BA389" i="13"/>
  <c r="AP390" i="13"/>
  <c r="AQ390" i="13"/>
  <c r="AR390" i="13"/>
  <c r="AS390" i="13"/>
  <c r="AT390" i="13"/>
  <c r="AU390" i="13"/>
  <c r="AV390" i="13"/>
  <c r="AW390" i="13"/>
  <c r="AX390" i="13"/>
  <c r="AY390" i="13"/>
  <c r="AZ390" i="13"/>
  <c r="BA390" i="13"/>
  <c r="AP391" i="13"/>
  <c r="AQ391" i="13"/>
  <c r="AR391" i="13"/>
  <c r="AS391" i="13"/>
  <c r="AT391" i="13"/>
  <c r="AU391" i="13"/>
  <c r="AV391" i="13"/>
  <c r="AW391" i="13"/>
  <c r="AX391" i="13"/>
  <c r="AY391" i="13"/>
  <c r="AZ391" i="13"/>
  <c r="BA391" i="13"/>
  <c r="AP392" i="13"/>
  <c r="AQ392" i="13"/>
  <c r="AR392" i="13"/>
  <c r="AS392" i="13"/>
  <c r="AT392" i="13"/>
  <c r="AU392" i="13"/>
  <c r="AV392" i="13"/>
  <c r="AW392" i="13"/>
  <c r="AX392" i="13"/>
  <c r="AY392" i="13"/>
  <c r="AZ392" i="13"/>
  <c r="BA392" i="13"/>
  <c r="AP393" i="13"/>
  <c r="AQ393" i="13"/>
  <c r="AR393" i="13"/>
  <c r="AS393" i="13"/>
  <c r="AT393" i="13"/>
  <c r="AU393" i="13"/>
  <c r="AV393" i="13"/>
  <c r="AW393" i="13"/>
  <c r="AX393" i="13"/>
  <c r="AY393" i="13"/>
  <c r="AZ393" i="13"/>
  <c r="BA393" i="13"/>
  <c r="AP394" i="13"/>
  <c r="AQ394" i="13"/>
  <c r="AR394" i="13"/>
  <c r="AS394" i="13"/>
  <c r="AT394" i="13"/>
  <c r="AU394" i="13"/>
  <c r="AV394" i="13"/>
  <c r="AW394" i="13"/>
  <c r="AX394" i="13"/>
  <c r="AY394" i="13"/>
  <c r="AZ394" i="13"/>
  <c r="BA394" i="13"/>
  <c r="AP395" i="13"/>
  <c r="AQ395" i="13"/>
  <c r="AR395" i="13"/>
  <c r="AS395" i="13"/>
  <c r="AT395" i="13"/>
  <c r="AU395" i="13"/>
  <c r="AV395" i="13"/>
  <c r="AW395" i="13"/>
  <c r="AX395" i="13"/>
  <c r="AY395" i="13"/>
  <c r="AZ395" i="13"/>
  <c r="BA395" i="13"/>
  <c r="AP396" i="13"/>
  <c r="AQ396" i="13"/>
  <c r="AR396" i="13"/>
  <c r="AS396" i="13"/>
  <c r="AT396" i="13"/>
  <c r="AU396" i="13"/>
  <c r="AV396" i="13"/>
  <c r="AW396" i="13"/>
  <c r="AX396" i="13"/>
  <c r="AY396" i="13"/>
  <c r="AZ396" i="13"/>
  <c r="BA396" i="13"/>
  <c r="AP397" i="13"/>
  <c r="AQ397" i="13"/>
  <c r="AR397" i="13"/>
  <c r="AS397" i="13"/>
  <c r="AT397" i="13"/>
  <c r="AU397" i="13"/>
  <c r="AV397" i="13"/>
  <c r="AW397" i="13"/>
  <c r="AX397" i="13"/>
  <c r="AY397" i="13"/>
  <c r="AZ397" i="13"/>
  <c r="BA397" i="13"/>
  <c r="AP398" i="13"/>
  <c r="AQ398" i="13"/>
  <c r="AR398" i="13"/>
  <c r="AS398" i="13"/>
  <c r="AT398" i="13"/>
  <c r="AU398" i="13"/>
  <c r="AV398" i="13"/>
  <c r="AW398" i="13"/>
  <c r="AX398" i="13"/>
  <c r="AY398" i="13"/>
  <c r="AZ398" i="13"/>
  <c r="BA398" i="13"/>
  <c r="AP399" i="13"/>
  <c r="AQ399" i="13"/>
  <c r="AR399" i="13"/>
  <c r="AS399" i="13"/>
  <c r="AT399" i="13"/>
  <c r="AU399" i="13"/>
  <c r="AV399" i="13"/>
  <c r="AW399" i="13"/>
  <c r="AX399" i="13"/>
  <c r="AY399" i="13"/>
  <c r="AZ399" i="13"/>
  <c r="BA399" i="13"/>
  <c r="AP400" i="13"/>
  <c r="AQ400" i="13"/>
  <c r="AR400" i="13"/>
  <c r="AS400" i="13"/>
  <c r="AT400" i="13"/>
  <c r="AU400" i="13"/>
  <c r="AV400" i="13"/>
  <c r="AW400" i="13"/>
  <c r="AX400" i="13"/>
  <c r="AY400" i="13"/>
  <c r="AZ400" i="13"/>
  <c r="BA400" i="13"/>
  <c r="AP401" i="13"/>
  <c r="AQ401" i="13"/>
  <c r="AR401" i="13"/>
  <c r="AS401" i="13"/>
  <c r="AT401" i="13"/>
  <c r="AU401" i="13"/>
  <c r="AV401" i="13"/>
  <c r="AW401" i="13"/>
  <c r="AX401" i="13"/>
  <c r="AY401" i="13"/>
  <c r="AZ401" i="13"/>
  <c r="BA401" i="13"/>
  <c r="AP402" i="13"/>
  <c r="AQ402" i="13"/>
  <c r="AR402" i="13"/>
  <c r="AS402" i="13"/>
  <c r="AT402" i="13"/>
  <c r="AU402" i="13"/>
  <c r="AV402" i="13"/>
  <c r="AW402" i="13"/>
  <c r="AX402" i="13"/>
  <c r="AY402" i="13"/>
  <c r="AZ402" i="13"/>
  <c r="BA402" i="13"/>
  <c r="AP403" i="13"/>
  <c r="AQ403" i="13"/>
  <c r="AR403" i="13"/>
  <c r="AS403" i="13"/>
  <c r="AT403" i="13"/>
  <c r="AU403" i="13"/>
  <c r="AV403" i="13"/>
  <c r="AW403" i="13"/>
  <c r="AX403" i="13"/>
  <c r="AY403" i="13"/>
  <c r="AZ403" i="13"/>
  <c r="BA403" i="13"/>
  <c r="AP404" i="13"/>
  <c r="AQ404" i="13"/>
  <c r="AR404" i="13"/>
  <c r="AS404" i="13"/>
  <c r="AT404" i="13"/>
  <c r="AU404" i="13"/>
  <c r="AV404" i="13"/>
  <c r="AW404" i="13"/>
  <c r="AX404" i="13"/>
  <c r="AY404" i="13"/>
  <c r="AZ404" i="13"/>
  <c r="BA404" i="13"/>
  <c r="AP405" i="13"/>
  <c r="AQ405" i="13"/>
  <c r="AR405" i="13"/>
  <c r="AS405" i="13"/>
  <c r="AT405" i="13"/>
  <c r="AU405" i="13"/>
  <c r="AV405" i="13"/>
  <c r="AW405" i="13"/>
  <c r="AX405" i="13"/>
  <c r="AY405" i="13"/>
  <c r="AZ405" i="13"/>
  <c r="BA405" i="13"/>
  <c r="AP406" i="13"/>
  <c r="AQ406" i="13"/>
  <c r="AR406" i="13"/>
  <c r="AS406" i="13"/>
  <c r="AT406" i="13"/>
  <c r="AU406" i="13"/>
  <c r="AV406" i="13"/>
  <c r="AW406" i="13"/>
  <c r="AX406" i="13"/>
  <c r="AY406" i="13"/>
  <c r="AZ406" i="13"/>
  <c r="BA406" i="13"/>
  <c r="AP407" i="13"/>
  <c r="AQ407" i="13"/>
  <c r="AR407" i="13"/>
  <c r="AS407" i="13"/>
  <c r="AT407" i="13"/>
  <c r="AU407" i="13"/>
  <c r="AV407" i="13"/>
  <c r="AW407" i="13"/>
  <c r="AX407" i="13"/>
  <c r="AY407" i="13"/>
  <c r="AZ407" i="13"/>
  <c r="BA407" i="13"/>
  <c r="AP408" i="13"/>
  <c r="AQ408" i="13"/>
  <c r="AR408" i="13"/>
  <c r="AS408" i="13"/>
  <c r="AT408" i="13"/>
  <c r="AU408" i="13"/>
  <c r="AV408" i="13"/>
  <c r="AW408" i="13"/>
  <c r="AX408" i="13"/>
  <c r="AY408" i="13"/>
  <c r="AZ408" i="13"/>
  <c r="BA408" i="13"/>
  <c r="AP409" i="13"/>
  <c r="AQ409" i="13"/>
  <c r="AR409" i="13"/>
  <c r="AS409" i="13"/>
  <c r="AT409" i="13"/>
  <c r="AU409" i="13"/>
  <c r="AV409" i="13"/>
  <c r="AW409" i="13"/>
  <c r="AX409" i="13"/>
  <c r="AY409" i="13"/>
  <c r="AZ409" i="13"/>
  <c r="BA409" i="13"/>
  <c r="AP410" i="13"/>
  <c r="AQ410" i="13"/>
  <c r="AR410" i="13"/>
  <c r="AS410" i="13"/>
  <c r="AT410" i="13"/>
  <c r="AU410" i="13"/>
  <c r="AV410" i="13"/>
  <c r="AW410" i="13"/>
  <c r="AX410" i="13"/>
  <c r="AY410" i="13"/>
  <c r="AZ410" i="13"/>
  <c r="BA410" i="13"/>
  <c r="AP411" i="13"/>
  <c r="AQ411" i="13"/>
  <c r="AR411" i="13"/>
  <c r="AS411" i="13"/>
  <c r="AT411" i="13"/>
  <c r="AU411" i="13"/>
  <c r="AV411" i="13"/>
  <c r="AW411" i="13"/>
  <c r="AX411" i="13"/>
  <c r="AY411" i="13"/>
  <c r="AZ411" i="13"/>
  <c r="BA411" i="13"/>
  <c r="AP412" i="13"/>
  <c r="AQ412" i="13"/>
  <c r="AR412" i="13"/>
  <c r="AS412" i="13"/>
  <c r="AT412" i="13"/>
  <c r="AU412" i="13"/>
  <c r="AV412" i="13"/>
  <c r="AW412" i="13"/>
  <c r="AX412" i="13"/>
  <c r="AY412" i="13"/>
  <c r="AZ412" i="13"/>
  <c r="BA412" i="13"/>
  <c r="AP413" i="13"/>
  <c r="AQ413" i="13"/>
  <c r="AR413" i="13"/>
  <c r="AS413" i="13"/>
  <c r="AT413" i="13"/>
  <c r="AU413" i="13"/>
  <c r="AV413" i="13"/>
  <c r="AW413" i="13"/>
  <c r="AX413" i="13"/>
  <c r="AY413" i="13"/>
  <c r="AZ413" i="13"/>
  <c r="BA413" i="13"/>
  <c r="AP414" i="13"/>
  <c r="AQ414" i="13"/>
  <c r="AR414" i="13"/>
  <c r="AS414" i="13"/>
  <c r="AT414" i="13"/>
  <c r="AU414" i="13"/>
  <c r="AV414" i="13"/>
  <c r="AW414" i="13"/>
  <c r="AX414" i="13"/>
  <c r="AY414" i="13"/>
  <c r="AZ414" i="13"/>
  <c r="BA414" i="13"/>
  <c r="AP415" i="13"/>
  <c r="AQ415" i="13"/>
  <c r="AR415" i="13"/>
  <c r="AS415" i="13"/>
  <c r="AT415" i="13"/>
  <c r="AU415" i="13"/>
  <c r="AV415" i="13"/>
  <c r="AW415" i="13"/>
  <c r="AX415" i="13"/>
  <c r="AY415" i="13"/>
  <c r="AZ415" i="13"/>
  <c r="BA415" i="13"/>
  <c r="AP416" i="13"/>
  <c r="AQ416" i="13"/>
  <c r="AR416" i="13"/>
  <c r="AS416" i="13"/>
  <c r="AT416" i="13"/>
  <c r="AU416" i="13"/>
  <c r="AV416" i="13"/>
  <c r="AW416" i="13"/>
  <c r="AX416" i="13"/>
  <c r="AY416" i="13"/>
  <c r="AZ416" i="13"/>
  <c r="BA416" i="13"/>
  <c r="AP417" i="13"/>
  <c r="AQ417" i="13"/>
  <c r="AR417" i="13"/>
  <c r="AS417" i="13"/>
  <c r="AT417" i="13"/>
  <c r="AU417" i="13"/>
  <c r="AV417" i="13"/>
  <c r="AW417" i="13"/>
  <c r="AX417" i="13"/>
  <c r="AY417" i="13"/>
  <c r="AZ417" i="13"/>
  <c r="BA417" i="13"/>
  <c r="AP418" i="13"/>
  <c r="AQ418" i="13"/>
  <c r="AR418" i="13"/>
  <c r="AS418" i="13"/>
  <c r="AT418" i="13"/>
  <c r="AU418" i="13"/>
  <c r="AV418" i="13"/>
  <c r="AW418" i="13"/>
  <c r="AX418" i="13"/>
  <c r="AY418" i="13"/>
  <c r="AZ418" i="13"/>
  <c r="BA418" i="13"/>
  <c r="AP419" i="13"/>
  <c r="AQ419" i="13"/>
  <c r="AR419" i="13"/>
  <c r="AS419" i="13"/>
  <c r="AT419" i="13"/>
  <c r="AU419" i="13"/>
  <c r="AV419" i="13"/>
  <c r="AW419" i="13"/>
  <c r="AX419" i="13"/>
  <c r="AY419" i="13"/>
  <c r="AZ419" i="13"/>
  <c r="BA419" i="13"/>
  <c r="AP420" i="13"/>
  <c r="AQ420" i="13"/>
  <c r="AR420" i="13"/>
  <c r="AS420" i="13"/>
  <c r="AT420" i="13"/>
  <c r="AU420" i="13"/>
  <c r="AV420" i="13"/>
  <c r="AW420" i="13"/>
  <c r="AX420" i="13"/>
  <c r="AY420" i="13"/>
  <c r="AZ420" i="13"/>
  <c r="BA420" i="13"/>
  <c r="AP421" i="13"/>
  <c r="AQ421" i="13"/>
  <c r="AR421" i="13"/>
  <c r="AS421" i="13"/>
  <c r="AT421" i="13"/>
  <c r="AU421" i="13"/>
  <c r="AV421" i="13"/>
  <c r="AW421" i="13"/>
  <c r="AX421" i="13"/>
  <c r="AY421" i="13"/>
  <c r="AZ421" i="13"/>
  <c r="BA421" i="13"/>
  <c r="AP422" i="13"/>
  <c r="AQ422" i="13"/>
  <c r="AR422" i="13"/>
  <c r="AS422" i="13"/>
  <c r="AT422" i="13"/>
  <c r="AU422" i="13"/>
  <c r="AV422" i="13"/>
  <c r="AW422" i="13"/>
  <c r="AX422" i="13"/>
  <c r="AY422" i="13"/>
  <c r="AZ422" i="13"/>
  <c r="BA422" i="13"/>
  <c r="AP423" i="13"/>
  <c r="AQ423" i="13"/>
  <c r="AR423" i="13"/>
  <c r="AS423" i="13"/>
  <c r="AT423" i="13"/>
  <c r="AU423" i="13"/>
  <c r="AV423" i="13"/>
  <c r="AW423" i="13"/>
  <c r="AX423" i="13"/>
  <c r="AY423" i="13"/>
  <c r="AZ423" i="13"/>
  <c r="BA423" i="13"/>
  <c r="AP424" i="13"/>
  <c r="AQ424" i="13"/>
  <c r="AR424" i="13"/>
  <c r="AS424" i="13"/>
  <c r="AT424" i="13"/>
  <c r="AU424" i="13"/>
  <c r="AV424" i="13"/>
  <c r="AW424" i="13"/>
  <c r="AX424" i="13"/>
  <c r="AY424" i="13"/>
  <c r="AZ424" i="13"/>
  <c r="BA424" i="13"/>
  <c r="AP425" i="13"/>
  <c r="AQ425" i="13"/>
  <c r="AR425" i="13"/>
  <c r="AS425" i="13"/>
  <c r="AT425" i="13"/>
  <c r="AU425" i="13"/>
  <c r="AV425" i="13"/>
  <c r="AW425" i="13"/>
  <c r="AX425" i="13"/>
  <c r="AY425" i="13"/>
  <c r="AZ425" i="13"/>
  <c r="BA425" i="13"/>
  <c r="AP426" i="13"/>
  <c r="AQ426" i="13"/>
  <c r="AR426" i="13"/>
  <c r="AS426" i="13"/>
  <c r="AT426" i="13"/>
  <c r="AU426" i="13"/>
  <c r="AV426" i="13"/>
  <c r="AW426" i="13"/>
  <c r="AX426" i="13"/>
  <c r="AY426" i="13"/>
  <c r="AZ426" i="13"/>
  <c r="BA426" i="13"/>
  <c r="AP427" i="13"/>
  <c r="AQ427" i="13"/>
  <c r="AR427" i="13"/>
  <c r="AS427" i="13"/>
  <c r="AT427" i="13"/>
  <c r="AU427" i="13"/>
  <c r="AV427" i="13"/>
  <c r="AW427" i="13"/>
  <c r="AX427" i="13"/>
  <c r="AY427" i="13"/>
  <c r="AZ427" i="13"/>
  <c r="BA427" i="13"/>
  <c r="AP428" i="13"/>
  <c r="AQ428" i="13"/>
  <c r="AR428" i="13"/>
  <c r="AS428" i="13"/>
  <c r="AT428" i="13"/>
  <c r="AU428" i="13"/>
  <c r="AV428" i="13"/>
  <c r="AW428" i="13"/>
  <c r="AX428" i="13"/>
  <c r="AY428" i="13"/>
  <c r="AZ428" i="13"/>
  <c r="BA428" i="13"/>
  <c r="AP429" i="13"/>
  <c r="AQ429" i="13"/>
  <c r="AR429" i="13"/>
  <c r="AS429" i="13"/>
  <c r="AT429" i="13"/>
  <c r="AU429" i="13"/>
  <c r="AV429" i="13"/>
  <c r="AW429" i="13"/>
  <c r="AX429" i="13"/>
  <c r="AY429" i="13"/>
  <c r="AZ429" i="13"/>
  <c r="BA429" i="13"/>
  <c r="AP430" i="13"/>
  <c r="AQ430" i="13"/>
  <c r="AR430" i="13"/>
  <c r="AS430" i="13"/>
  <c r="AT430" i="13"/>
  <c r="AU430" i="13"/>
  <c r="AV430" i="13"/>
  <c r="AW430" i="13"/>
  <c r="AX430" i="13"/>
  <c r="AY430" i="13"/>
  <c r="AZ430" i="13"/>
  <c r="BA430" i="13"/>
  <c r="AP431" i="13"/>
  <c r="AQ431" i="13"/>
  <c r="AR431" i="13"/>
  <c r="AS431" i="13"/>
  <c r="AT431" i="13"/>
  <c r="AU431" i="13"/>
  <c r="AV431" i="13"/>
  <c r="AW431" i="13"/>
  <c r="AX431" i="13"/>
  <c r="AY431" i="13"/>
  <c r="AZ431" i="13"/>
  <c r="BA431" i="13"/>
  <c r="AP432" i="13"/>
  <c r="AQ432" i="13"/>
  <c r="AR432" i="13"/>
  <c r="AS432" i="13"/>
  <c r="AT432" i="13"/>
  <c r="AU432" i="13"/>
  <c r="AV432" i="13"/>
  <c r="AW432" i="13"/>
  <c r="AX432" i="13"/>
  <c r="AY432" i="13"/>
  <c r="AZ432" i="13"/>
  <c r="BA432" i="13"/>
  <c r="AQ433" i="13"/>
  <c r="AR433" i="13"/>
  <c r="AS433" i="13"/>
  <c r="AT433" i="13"/>
  <c r="AU433" i="13"/>
  <c r="AV433" i="13"/>
  <c r="AW433" i="13"/>
  <c r="AX433" i="13"/>
  <c r="AY433" i="13"/>
  <c r="AZ433" i="13"/>
  <c r="BA433" i="13"/>
  <c r="AP434" i="13"/>
  <c r="AR434" i="13"/>
  <c r="AS434" i="13"/>
  <c r="AT434" i="13"/>
  <c r="AU434" i="13"/>
  <c r="AV434" i="13"/>
  <c r="AW434" i="13"/>
  <c r="AX434" i="13"/>
  <c r="AY434" i="13"/>
  <c r="AZ434" i="13"/>
  <c r="BA434" i="13"/>
  <c r="AP435" i="13"/>
  <c r="AQ435" i="13"/>
  <c r="AR435" i="13"/>
  <c r="AS435" i="13"/>
  <c r="AT435" i="13"/>
  <c r="AU435" i="13"/>
  <c r="AV435" i="13"/>
  <c r="AW435" i="13"/>
  <c r="AX435" i="13"/>
  <c r="AY435" i="13"/>
  <c r="AZ435" i="13"/>
  <c r="BA435" i="13"/>
  <c r="AP436" i="13"/>
  <c r="AQ436" i="13"/>
  <c r="AR436" i="13"/>
  <c r="AS436" i="13"/>
  <c r="AT436" i="13"/>
  <c r="AU436" i="13"/>
  <c r="AV436" i="13"/>
  <c r="AW436" i="13"/>
  <c r="AX436" i="13"/>
  <c r="AY436" i="13"/>
  <c r="AZ436" i="13"/>
  <c r="BA436" i="13"/>
  <c r="AP437" i="13"/>
  <c r="AQ437" i="13"/>
  <c r="AR437" i="13"/>
  <c r="AS437" i="13"/>
  <c r="AT437" i="13"/>
  <c r="AU437" i="13"/>
  <c r="AV437" i="13"/>
  <c r="AW437" i="13"/>
  <c r="AX437" i="13"/>
  <c r="AY437" i="13"/>
  <c r="AZ437" i="13"/>
  <c r="BA437" i="13"/>
  <c r="AP438" i="13"/>
  <c r="AQ438" i="13"/>
  <c r="AR438" i="13"/>
  <c r="AS438" i="13"/>
  <c r="AT438" i="13"/>
  <c r="AU438" i="13"/>
  <c r="AV438" i="13"/>
  <c r="AW438" i="13"/>
  <c r="AX438" i="13"/>
  <c r="AY438" i="13"/>
  <c r="AZ438" i="13"/>
  <c r="BA438" i="13"/>
  <c r="AP439" i="13"/>
  <c r="AQ439" i="13"/>
  <c r="AR439" i="13"/>
  <c r="AS439" i="13"/>
  <c r="AT439" i="13"/>
  <c r="AU439" i="13"/>
  <c r="AV439" i="13"/>
  <c r="AW439" i="13"/>
  <c r="AX439" i="13"/>
  <c r="AY439" i="13"/>
  <c r="AZ439" i="13"/>
  <c r="BA439" i="13"/>
  <c r="AP440" i="13"/>
  <c r="AQ440" i="13"/>
  <c r="AR440" i="13"/>
  <c r="AS440" i="13"/>
  <c r="AT440" i="13"/>
  <c r="AU440" i="13"/>
  <c r="AV440" i="13"/>
  <c r="AW440" i="13"/>
  <c r="AX440" i="13"/>
  <c r="AY440" i="13"/>
  <c r="AZ440" i="13"/>
  <c r="BA440" i="13"/>
  <c r="AP441" i="13"/>
  <c r="AQ441" i="13"/>
  <c r="AR441" i="13"/>
  <c r="AS441" i="13"/>
  <c r="AT441" i="13"/>
  <c r="AU441" i="13"/>
  <c r="AV441" i="13"/>
  <c r="AW441" i="13"/>
  <c r="AX441" i="13"/>
  <c r="AY441" i="13"/>
  <c r="AZ441" i="13"/>
  <c r="BA441" i="13"/>
  <c r="AP442" i="13"/>
  <c r="AQ442" i="13"/>
  <c r="AR442" i="13"/>
  <c r="AS442" i="13"/>
  <c r="AT442" i="13"/>
  <c r="AU442" i="13"/>
  <c r="AV442" i="13"/>
  <c r="AW442" i="13"/>
  <c r="AX442" i="13"/>
  <c r="AY442" i="13"/>
  <c r="AZ442" i="13"/>
  <c r="BA442" i="13"/>
  <c r="AP443" i="13"/>
  <c r="AQ443" i="13"/>
  <c r="AR443" i="13"/>
  <c r="AS443" i="13"/>
  <c r="AT443" i="13"/>
  <c r="AU443" i="13"/>
  <c r="AV443" i="13"/>
  <c r="AW443" i="13"/>
  <c r="AX443" i="13"/>
  <c r="AY443" i="13"/>
  <c r="AZ443" i="13"/>
  <c r="BA443" i="13"/>
  <c r="AP444" i="13"/>
  <c r="AQ444" i="13"/>
  <c r="AR444" i="13"/>
  <c r="AS444" i="13"/>
  <c r="AT444" i="13"/>
  <c r="AU444" i="13"/>
  <c r="AV444" i="13"/>
  <c r="AW444" i="13"/>
  <c r="AX444" i="13"/>
  <c r="AY444" i="13"/>
  <c r="AZ444" i="13"/>
  <c r="BA444" i="13"/>
  <c r="AP445" i="13"/>
  <c r="AQ445" i="13"/>
  <c r="AR445" i="13"/>
  <c r="AS445" i="13"/>
  <c r="AT445" i="13"/>
  <c r="AU445" i="13"/>
  <c r="AV445" i="13"/>
  <c r="AW445" i="13"/>
  <c r="AX445" i="13"/>
  <c r="AY445" i="13"/>
  <c r="AZ445" i="13"/>
  <c r="BA445" i="13"/>
  <c r="AP446" i="13"/>
  <c r="AQ446" i="13"/>
  <c r="AR446" i="13"/>
  <c r="AS446" i="13"/>
  <c r="AT446" i="13"/>
  <c r="AU446" i="13"/>
  <c r="AV446" i="13"/>
  <c r="AW446" i="13"/>
  <c r="AX446" i="13"/>
  <c r="AY446" i="13"/>
  <c r="AZ446" i="13"/>
  <c r="BA446" i="13"/>
  <c r="AP447" i="13"/>
  <c r="AQ447" i="13"/>
  <c r="AR447" i="13"/>
  <c r="AS447" i="13"/>
  <c r="AT447" i="13"/>
  <c r="AU447" i="13"/>
  <c r="AV447" i="13"/>
  <c r="AW447" i="13"/>
  <c r="AX447" i="13"/>
  <c r="AY447" i="13"/>
  <c r="AZ447" i="13"/>
  <c r="BA447" i="13"/>
  <c r="AP448" i="13"/>
  <c r="AQ448" i="13"/>
  <c r="AR448" i="13"/>
  <c r="AS448" i="13"/>
  <c r="AT448" i="13"/>
  <c r="AU448" i="13"/>
  <c r="AV448" i="13"/>
  <c r="AW448" i="13"/>
  <c r="AX448" i="13"/>
  <c r="AY448" i="13"/>
  <c r="AZ448" i="13"/>
  <c r="BA448" i="13"/>
  <c r="AP449" i="13"/>
  <c r="AQ449" i="13"/>
  <c r="AR449" i="13"/>
  <c r="AS449" i="13"/>
  <c r="AT449" i="13"/>
  <c r="AU449" i="13"/>
  <c r="AV449" i="13"/>
  <c r="AW449" i="13"/>
  <c r="AX449" i="13"/>
  <c r="AY449" i="13"/>
  <c r="AZ449" i="13"/>
  <c r="BA449" i="13"/>
  <c r="AP450" i="13"/>
  <c r="AQ450" i="13"/>
  <c r="AR450" i="13"/>
  <c r="AS450" i="13"/>
  <c r="AT450" i="13"/>
  <c r="AU450" i="13"/>
  <c r="AV450" i="13"/>
  <c r="AW450" i="13"/>
  <c r="AX450" i="13"/>
  <c r="AY450" i="13"/>
  <c r="AZ450" i="13"/>
  <c r="BA450" i="13"/>
  <c r="AP451" i="13"/>
  <c r="AQ451" i="13"/>
  <c r="AR451" i="13"/>
  <c r="AS451" i="13"/>
  <c r="AT451" i="13"/>
  <c r="AU451" i="13"/>
  <c r="AV451" i="13"/>
  <c r="AW451" i="13"/>
  <c r="AX451" i="13"/>
  <c r="AY451" i="13"/>
  <c r="AZ451" i="13"/>
  <c r="BA451" i="13"/>
  <c r="AP452" i="13"/>
  <c r="AQ452" i="13"/>
  <c r="AR452" i="13"/>
  <c r="AS452" i="13"/>
  <c r="AT452" i="13"/>
  <c r="AU452" i="13"/>
  <c r="AV452" i="13"/>
  <c r="AW452" i="13"/>
  <c r="AX452" i="13"/>
  <c r="AY452" i="13"/>
  <c r="AZ452" i="13"/>
  <c r="BA452" i="13"/>
  <c r="AP453" i="13"/>
  <c r="AQ453" i="13"/>
  <c r="AR453" i="13"/>
  <c r="AS453" i="13"/>
  <c r="AT453" i="13"/>
  <c r="AU453" i="13"/>
  <c r="AV453" i="13"/>
  <c r="AW453" i="13"/>
  <c r="AX453" i="13"/>
  <c r="AY453" i="13"/>
  <c r="AZ453" i="13"/>
  <c r="BA453" i="13"/>
  <c r="AP454" i="13"/>
  <c r="AQ454" i="13"/>
  <c r="AR454" i="13"/>
  <c r="AS454" i="13"/>
  <c r="AT454" i="13"/>
  <c r="AU454" i="13"/>
  <c r="AV454" i="13"/>
  <c r="AW454" i="13"/>
  <c r="AX454" i="13"/>
  <c r="AY454" i="13"/>
  <c r="AZ454" i="13"/>
  <c r="BA454" i="13"/>
  <c r="AP455" i="13"/>
  <c r="AQ455" i="13"/>
  <c r="AR455" i="13"/>
  <c r="AS455" i="13"/>
  <c r="AT455" i="13"/>
  <c r="AU455" i="13"/>
  <c r="AV455" i="13"/>
  <c r="AW455" i="13"/>
  <c r="AX455" i="13"/>
  <c r="AY455" i="13"/>
  <c r="AZ455" i="13"/>
  <c r="BA455" i="13"/>
  <c r="AP456" i="13"/>
  <c r="AQ456" i="13"/>
  <c r="AR456" i="13"/>
  <c r="AS456" i="13"/>
  <c r="AT456" i="13"/>
  <c r="AU456" i="13"/>
  <c r="AV456" i="13"/>
  <c r="AW456" i="13"/>
  <c r="AX456" i="13"/>
  <c r="AY456" i="13"/>
  <c r="AZ456" i="13"/>
  <c r="BA456" i="13"/>
  <c r="AP457" i="13"/>
  <c r="AQ457" i="13"/>
  <c r="AR457" i="13"/>
  <c r="AS457" i="13"/>
  <c r="AT457" i="13"/>
  <c r="AU457" i="13"/>
  <c r="AV457" i="13"/>
  <c r="AW457" i="13"/>
  <c r="AX457" i="13"/>
  <c r="AY457" i="13"/>
  <c r="AZ457" i="13"/>
  <c r="BA457" i="13"/>
  <c r="AP458" i="13"/>
  <c r="AQ458" i="13"/>
  <c r="AR458" i="13"/>
  <c r="AS458" i="13"/>
  <c r="AT458" i="13"/>
  <c r="AU458" i="13"/>
  <c r="AV458" i="13"/>
  <c r="AW458" i="13"/>
  <c r="AX458" i="13"/>
  <c r="AY458" i="13"/>
  <c r="AZ458" i="13"/>
  <c r="BA458" i="13"/>
  <c r="AP459" i="13"/>
  <c r="AQ459" i="13"/>
  <c r="AR459" i="13"/>
  <c r="AS459" i="13"/>
  <c r="AT459" i="13"/>
  <c r="AU459" i="13"/>
  <c r="AV459" i="13"/>
  <c r="AW459" i="13"/>
  <c r="AX459" i="13"/>
  <c r="AY459" i="13"/>
  <c r="AZ459" i="13"/>
  <c r="BA459" i="13"/>
  <c r="AP460" i="13"/>
  <c r="AQ460" i="13"/>
  <c r="AR460" i="13"/>
  <c r="AS460" i="13"/>
  <c r="AT460" i="13"/>
  <c r="AU460" i="13"/>
  <c r="AV460" i="13"/>
  <c r="AW460" i="13"/>
  <c r="AX460" i="13"/>
  <c r="AY460" i="13"/>
  <c r="AZ460" i="13"/>
  <c r="BA460" i="13"/>
  <c r="AP461" i="13"/>
  <c r="AQ461" i="13"/>
  <c r="AR461" i="13"/>
  <c r="AS461" i="13"/>
  <c r="AT461" i="13"/>
  <c r="AU461" i="13"/>
  <c r="AV461" i="13"/>
  <c r="AW461" i="13"/>
  <c r="AX461" i="13"/>
  <c r="AY461" i="13"/>
  <c r="AZ461" i="13"/>
  <c r="BA461" i="13"/>
  <c r="AP462" i="13"/>
  <c r="AQ462" i="13"/>
  <c r="AR462" i="13"/>
  <c r="AS462" i="13"/>
  <c r="AT462" i="13"/>
  <c r="AU462" i="13"/>
  <c r="AV462" i="13"/>
  <c r="AW462" i="13"/>
  <c r="AX462" i="13"/>
  <c r="AY462" i="13"/>
  <c r="AZ462" i="13"/>
  <c r="BA462" i="13"/>
  <c r="AP463" i="13"/>
  <c r="AQ463" i="13"/>
  <c r="AR463" i="13"/>
  <c r="AS463" i="13"/>
  <c r="AT463" i="13"/>
  <c r="AU463" i="13"/>
  <c r="AV463" i="13"/>
  <c r="AW463" i="13"/>
  <c r="AX463" i="13"/>
  <c r="AY463" i="13"/>
  <c r="AZ463" i="13"/>
  <c r="BA463" i="13"/>
  <c r="AP464" i="13"/>
  <c r="AQ464" i="13"/>
  <c r="AR464" i="13"/>
  <c r="AS464" i="13"/>
  <c r="AT464" i="13"/>
  <c r="AU464" i="13"/>
  <c r="AV464" i="13"/>
  <c r="AW464" i="13"/>
  <c r="AX464" i="13"/>
  <c r="AY464" i="13"/>
  <c r="AZ464" i="13"/>
  <c r="BA464" i="13"/>
  <c r="AP465" i="13"/>
  <c r="AQ465" i="13"/>
  <c r="AR465" i="13"/>
  <c r="AS465" i="13"/>
  <c r="AT465" i="13"/>
  <c r="AU465" i="13"/>
  <c r="AV465" i="13"/>
  <c r="AW465" i="13"/>
  <c r="AX465" i="13"/>
  <c r="AY465" i="13"/>
  <c r="AZ465" i="13"/>
  <c r="BA465" i="13"/>
  <c r="AP466" i="13"/>
  <c r="AQ466" i="13"/>
  <c r="AR466" i="13"/>
  <c r="AS466" i="13"/>
  <c r="AT466" i="13"/>
  <c r="AU466" i="13"/>
  <c r="AV466" i="13"/>
  <c r="AW466" i="13"/>
  <c r="AX466" i="13"/>
  <c r="AY466" i="13"/>
  <c r="AZ466" i="13"/>
  <c r="BA466" i="13"/>
  <c r="AP467" i="13"/>
  <c r="AQ467" i="13"/>
  <c r="AR467" i="13"/>
  <c r="AS467" i="13"/>
  <c r="AT467" i="13"/>
  <c r="AU467" i="13"/>
  <c r="AV467" i="13"/>
  <c r="AW467" i="13"/>
  <c r="AX467" i="13"/>
  <c r="AY467" i="13"/>
  <c r="AZ467" i="13"/>
  <c r="BA467" i="13"/>
  <c r="AP468" i="13"/>
  <c r="AQ468" i="13"/>
  <c r="AR468" i="13"/>
  <c r="AS468" i="13"/>
  <c r="AT468" i="13"/>
  <c r="AU468" i="13"/>
  <c r="AV468" i="13"/>
  <c r="AW468" i="13"/>
  <c r="AX468" i="13"/>
  <c r="AY468" i="13"/>
  <c r="AZ468" i="13"/>
  <c r="BA468" i="13"/>
  <c r="AP469" i="13"/>
  <c r="AQ469" i="13"/>
  <c r="AR469" i="13"/>
  <c r="AS469" i="13"/>
  <c r="AT469" i="13"/>
  <c r="AU469" i="13"/>
  <c r="AV469" i="13"/>
  <c r="AW469" i="13"/>
  <c r="AX469" i="13"/>
  <c r="AY469" i="13"/>
  <c r="AZ469" i="13"/>
  <c r="BA469" i="13"/>
  <c r="AP470" i="13"/>
  <c r="AQ470" i="13"/>
  <c r="AR470" i="13"/>
  <c r="AS470" i="13"/>
  <c r="AT470" i="13"/>
  <c r="AU470" i="13"/>
  <c r="AV470" i="13"/>
  <c r="AW470" i="13"/>
  <c r="AX470" i="13"/>
  <c r="AY470" i="13"/>
  <c r="AZ470" i="13"/>
  <c r="BA470" i="13"/>
  <c r="AP471" i="13"/>
  <c r="AQ471" i="13"/>
  <c r="AR471" i="13"/>
  <c r="AS471" i="13"/>
  <c r="AT471" i="13"/>
  <c r="AU471" i="13"/>
  <c r="AV471" i="13"/>
  <c r="AW471" i="13"/>
  <c r="AX471" i="13"/>
  <c r="AY471" i="13"/>
  <c r="AZ471" i="13"/>
  <c r="BA471" i="13"/>
  <c r="AP472" i="13"/>
  <c r="AQ472" i="13"/>
  <c r="AR472" i="13"/>
  <c r="AS472" i="13"/>
  <c r="AT472" i="13"/>
  <c r="AU472" i="13"/>
  <c r="AV472" i="13"/>
  <c r="AW472" i="13"/>
  <c r="AX472" i="13"/>
  <c r="AY472" i="13"/>
  <c r="AZ472" i="13"/>
  <c r="BA472" i="13"/>
  <c r="AP473" i="13"/>
  <c r="AQ473" i="13"/>
  <c r="AR473" i="13"/>
  <c r="AS473" i="13"/>
  <c r="AT473" i="13"/>
  <c r="AU473" i="13"/>
  <c r="AV473" i="13"/>
  <c r="AW473" i="13"/>
  <c r="AX473" i="13"/>
  <c r="AY473" i="13"/>
  <c r="AZ473" i="13"/>
  <c r="BA473" i="13"/>
  <c r="AP474" i="13"/>
  <c r="AQ474" i="13"/>
  <c r="AR474" i="13"/>
  <c r="AS474" i="13"/>
  <c r="AT474" i="13"/>
  <c r="AU474" i="13"/>
  <c r="AV474" i="13"/>
  <c r="AW474" i="13"/>
  <c r="AX474" i="13"/>
  <c r="AY474" i="13"/>
  <c r="AZ474" i="13"/>
  <c r="BA474" i="13"/>
  <c r="AP475" i="13"/>
  <c r="AQ475" i="13"/>
  <c r="AR475" i="13"/>
  <c r="AS475" i="13"/>
  <c r="AT475" i="13"/>
  <c r="AU475" i="13"/>
  <c r="AV475" i="13"/>
  <c r="AW475" i="13"/>
  <c r="AX475" i="13"/>
  <c r="AY475" i="13"/>
  <c r="AZ475" i="13"/>
  <c r="BA475" i="13"/>
  <c r="AP476" i="13"/>
  <c r="AQ476" i="13"/>
  <c r="AR476" i="13"/>
  <c r="AS476" i="13"/>
  <c r="AT476" i="13"/>
  <c r="AU476" i="13"/>
  <c r="AV476" i="13"/>
  <c r="AW476" i="13"/>
  <c r="AX476" i="13"/>
  <c r="AY476" i="13"/>
  <c r="AZ476" i="13"/>
  <c r="BA476" i="13"/>
  <c r="AP477" i="13"/>
  <c r="AQ477" i="13"/>
  <c r="AR477" i="13"/>
  <c r="AS477" i="13"/>
  <c r="AT477" i="13"/>
  <c r="AU477" i="13"/>
  <c r="AV477" i="13"/>
  <c r="AW477" i="13"/>
  <c r="AX477" i="13"/>
  <c r="AY477" i="13"/>
  <c r="AZ477" i="13"/>
  <c r="BA477" i="13"/>
  <c r="AP478" i="13"/>
  <c r="AQ478" i="13"/>
  <c r="AR478" i="13"/>
  <c r="AS478" i="13"/>
  <c r="AT478" i="13"/>
  <c r="AU478" i="13"/>
  <c r="AV478" i="13"/>
  <c r="AW478" i="13"/>
  <c r="AX478" i="13"/>
  <c r="AY478" i="13"/>
  <c r="AZ478" i="13"/>
  <c r="BA478" i="13"/>
  <c r="AP479" i="13"/>
  <c r="AQ479" i="13"/>
  <c r="AR479" i="13"/>
  <c r="AS479" i="13"/>
  <c r="AT479" i="13"/>
  <c r="AU479" i="13"/>
  <c r="AV479" i="13"/>
  <c r="AW479" i="13"/>
  <c r="AX479" i="13"/>
  <c r="AY479" i="13"/>
  <c r="AZ479" i="13"/>
  <c r="BA479" i="13"/>
  <c r="AP480" i="13"/>
  <c r="AQ480" i="13"/>
  <c r="AR480" i="13"/>
  <c r="AS480" i="13"/>
  <c r="AT480" i="13"/>
  <c r="AU480" i="13"/>
  <c r="AV480" i="13"/>
  <c r="AW480" i="13"/>
  <c r="AX480" i="13"/>
  <c r="AY480" i="13"/>
  <c r="AZ480" i="13"/>
  <c r="BA480" i="13"/>
  <c r="AP481" i="13"/>
  <c r="AQ481" i="13"/>
  <c r="AR481" i="13"/>
  <c r="AS481" i="13"/>
  <c r="AT481" i="13"/>
  <c r="AU481" i="13"/>
  <c r="AV481" i="13"/>
  <c r="AW481" i="13"/>
  <c r="AX481" i="13"/>
  <c r="AY481" i="13"/>
  <c r="AZ481" i="13"/>
  <c r="BA481" i="13"/>
  <c r="AP482" i="13"/>
  <c r="AQ482" i="13"/>
  <c r="AR482" i="13"/>
  <c r="AS482" i="13"/>
  <c r="AT482" i="13"/>
  <c r="AU482" i="13"/>
  <c r="AV482" i="13"/>
  <c r="AW482" i="13"/>
  <c r="AX482" i="13"/>
  <c r="AY482" i="13"/>
  <c r="AZ482" i="13"/>
  <c r="BA482" i="13"/>
  <c r="AP483" i="13"/>
  <c r="AQ483" i="13"/>
  <c r="AR483" i="13"/>
  <c r="AS483" i="13"/>
  <c r="AT483" i="13"/>
  <c r="AU483" i="13"/>
  <c r="AV483" i="13"/>
  <c r="AW483" i="13"/>
  <c r="AX483" i="13"/>
  <c r="AY483" i="13"/>
  <c r="AZ483" i="13"/>
  <c r="BA483" i="13"/>
  <c r="AP484" i="13"/>
  <c r="AQ484" i="13"/>
  <c r="AR484" i="13"/>
  <c r="AS484" i="13"/>
  <c r="AT484" i="13"/>
  <c r="AU484" i="13"/>
  <c r="AV484" i="13"/>
  <c r="AW484" i="13"/>
  <c r="AX484" i="13"/>
  <c r="AY484" i="13"/>
  <c r="AZ484" i="13"/>
  <c r="BA484" i="13"/>
  <c r="AP485" i="13"/>
  <c r="AQ485" i="13"/>
  <c r="AR485" i="13"/>
  <c r="AS485" i="13"/>
  <c r="AT485" i="13"/>
  <c r="AU485" i="13"/>
  <c r="AV485" i="13"/>
  <c r="AW485" i="13"/>
  <c r="AX485" i="13"/>
  <c r="AY485" i="13"/>
  <c r="AZ485" i="13"/>
  <c r="BA485" i="13"/>
  <c r="AP486" i="13"/>
  <c r="AQ486" i="13"/>
  <c r="AR486" i="13"/>
  <c r="AS486" i="13"/>
  <c r="AT486" i="13"/>
  <c r="AU486" i="13"/>
  <c r="AV486" i="13"/>
  <c r="AW486" i="13"/>
  <c r="AX486" i="13"/>
  <c r="AY486" i="13"/>
  <c r="AZ486" i="13"/>
  <c r="BA486" i="13"/>
  <c r="AP487" i="13"/>
  <c r="AQ487" i="13"/>
  <c r="AR487" i="13"/>
  <c r="AS487" i="13"/>
  <c r="AT487" i="13"/>
  <c r="AU487" i="13"/>
  <c r="AV487" i="13"/>
  <c r="AW487" i="13"/>
  <c r="AX487" i="13"/>
  <c r="AY487" i="13"/>
  <c r="AZ487" i="13"/>
  <c r="BA487" i="13"/>
  <c r="AP488" i="13"/>
  <c r="AQ488" i="13"/>
  <c r="AR488" i="13"/>
  <c r="AS488" i="13"/>
  <c r="AT488" i="13"/>
  <c r="AU488" i="13"/>
  <c r="AV488" i="13"/>
  <c r="AW488" i="13"/>
  <c r="AX488" i="13"/>
  <c r="AY488" i="13"/>
  <c r="AZ488" i="13"/>
  <c r="BA488" i="13"/>
  <c r="AP489" i="13"/>
  <c r="AQ489" i="13"/>
  <c r="AR489" i="13"/>
  <c r="AS489" i="13"/>
  <c r="AT489" i="13"/>
  <c r="AU489" i="13"/>
  <c r="AV489" i="13"/>
  <c r="AW489" i="13"/>
  <c r="AX489" i="13"/>
  <c r="AY489" i="13"/>
  <c r="AZ489" i="13"/>
  <c r="BA489" i="13"/>
  <c r="AP490" i="13"/>
  <c r="AQ490" i="13"/>
  <c r="AR490" i="13"/>
  <c r="AS490" i="13"/>
  <c r="AT490" i="13"/>
  <c r="AU490" i="13"/>
  <c r="AV490" i="13"/>
  <c r="AW490" i="13"/>
  <c r="AX490" i="13"/>
  <c r="AY490" i="13"/>
  <c r="AZ490" i="13"/>
  <c r="BA490" i="13"/>
  <c r="AP491" i="13"/>
  <c r="AQ491" i="13"/>
  <c r="AR491" i="13"/>
  <c r="AS491" i="13"/>
  <c r="AT491" i="13"/>
  <c r="AU491" i="13"/>
  <c r="AV491" i="13"/>
  <c r="AW491" i="13"/>
  <c r="AX491" i="13"/>
  <c r="AY491" i="13"/>
  <c r="AZ491" i="13"/>
  <c r="BA491" i="13"/>
  <c r="AP492" i="13"/>
  <c r="AQ492" i="13"/>
  <c r="AR492" i="13"/>
  <c r="AS492" i="13"/>
  <c r="AT492" i="13"/>
  <c r="AU492" i="13"/>
  <c r="AV492" i="13"/>
  <c r="AW492" i="13"/>
  <c r="AX492" i="13"/>
  <c r="AY492" i="13"/>
  <c r="AZ492" i="13"/>
  <c r="BA492" i="13"/>
  <c r="AP493" i="13"/>
  <c r="AQ493" i="13"/>
  <c r="AR493" i="13"/>
  <c r="AS493" i="13"/>
  <c r="AT493" i="13"/>
  <c r="AU493" i="13"/>
  <c r="AV493" i="13"/>
  <c r="AW493" i="13"/>
  <c r="AX493" i="13"/>
  <c r="AY493" i="13"/>
  <c r="AZ493" i="13"/>
  <c r="BA493" i="13"/>
  <c r="AW5" i="13"/>
  <c r="AX5" i="13"/>
  <c r="AY5" i="13"/>
  <c r="AZ5" i="13"/>
  <c r="BA5" i="13"/>
  <c r="AV5" i="13"/>
  <c r="AQ5" i="13"/>
  <c r="AR5" i="13"/>
  <c r="AS5" i="13"/>
  <c r="AT5" i="13"/>
  <c r="AU5" i="13"/>
  <c r="AP5" i="13"/>
  <c r="AO6" i="13"/>
  <c r="AO7" i="13"/>
  <c r="AO8" i="13"/>
  <c r="AO9" i="13"/>
  <c r="AO10" i="13"/>
  <c r="AO11" i="13"/>
  <c r="AO12" i="13"/>
  <c r="AO13" i="13"/>
  <c r="AO14" i="13"/>
  <c r="AO15" i="13"/>
  <c r="AO16" i="13"/>
  <c r="AO17" i="13"/>
  <c r="AO18" i="13"/>
  <c r="AO19" i="13"/>
  <c r="AO20" i="13"/>
  <c r="AO21" i="13"/>
  <c r="AO22" i="13"/>
  <c r="AO23" i="13"/>
  <c r="AO24" i="13"/>
  <c r="AO25" i="13"/>
  <c r="AO26" i="13"/>
  <c r="AO27" i="13"/>
  <c r="AO28" i="13"/>
  <c r="AO29" i="13"/>
  <c r="AO30" i="13"/>
  <c r="AO31" i="13"/>
  <c r="AO32" i="13"/>
  <c r="AO33" i="13"/>
  <c r="AO34" i="13"/>
  <c r="AO35" i="13"/>
  <c r="AO36" i="13"/>
  <c r="AO37" i="13"/>
  <c r="AO38" i="13"/>
  <c r="AO39" i="13"/>
  <c r="AO40" i="13"/>
  <c r="AO41" i="13"/>
  <c r="AO42" i="13"/>
  <c r="AO43" i="13"/>
  <c r="AO44" i="13"/>
  <c r="AO45" i="13"/>
  <c r="AO46" i="13"/>
  <c r="AO47" i="13"/>
  <c r="AO48" i="13"/>
  <c r="AO49" i="13"/>
  <c r="AO50" i="13"/>
  <c r="AO51" i="13"/>
  <c r="AO52" i="13"/>
  <c r="AO53" i="13"/>
  <c r="AO54" i="13"/>
  <c r="AO55" i="13"/>
  <c r="AO56" i="13"/>
  <c r="AO57" i="13"/>
  <c r="AO58" i="13"/>
  <c r="AO59" i="13"/>
  <c r="AO60" i="13"/>
  <c r="AO61" i="13"/>
  <c r="AO62" i="13"/>
  <c r="AO63" i="13"/>
  <c r="AO64" i="13"/>
  <c r="AO65" i="13"/>
  <c r="AO66" i="13"/>
  <c r="AO67" i="13"/>
  <c r="AO68" i="13"/>
  <c r="AO69" i="13"/>
  <c r="AO70" i="13"/>
  <c r="AO71" i="13"/>
  <c r="AO72" i="13"/>
  <c r="AO73" i="13"/>
  <c r="AO74" i="13"/>
  <c r="AO75" i="13"/>
  <c r="AO76" i="13"/>
  <c r="AO77" i="13"/>
  <c r="AO78" i="13"/>
  <c r="AO79" i="13"/>
  <c r="AO80" i="13"/>
  <c r="AO81" i="13"/>
  <c r="AO82" i="13"/>
  <c r="AO83" i="13"/>
  <c r="AO84" i="13"/>
  <c r="AO85" i="13"/>
  <c r="AO86" i="13"/>
  <c r="AO87" i="13"/>
  <c r="AO88" i="13"/>
  <c r="AO89" i="13"/>
  <c r="AO90" i="13"/>
  <c r="AO91" i="13"/>
  <c r="AO92" i="13"/>
  <c r="AO93" i="13"/>
  <c r="AO94" i="13"/>
  <c r="AO95" i="13"/>
  <c r="AO96" i="13"/>
  <c r="AO97" i="13"/>
  <c r="AO98" i="13"/>
  <c r="AO99" i="13"/>
  <c r="AO100" i="13"/>
  <c r="AO101" i="13"/>
  <c r="AO102" i="13"/>
  <c r="AO103" i="13"/>
  <c r="AO104" i="13"/>
  <c r="AO105" i="13"/>
  <c r="AO106" i="13"/>
  <c r="AO107" i="13"/>
  <c r="AO108" i="13"/>
  <c r="AO109" i="13"/>
  <c r="AO110" i="13"/>
  <c r="AO111" i="13"/>
  <c r="AO112" i="13"/>
  <c r="AO113" i="13"/>
  <c r="AO114" i="13"/>
  <c r="AO115" i="13"/>
  <c r="AO116" i="13"/>
  <c r="AO117" i="13"/>
  <c r="AO118" i="13"/>
  <c r="AO119" i="13"/>
  <c r="AO120" i="13"/>
  <c r="AO121" i="13"/>
  <c r="AO122" i="13"/>
  <c r="AO123" i="13"/>
  <c r="AO124" i="13"/>
  <c r="AO125" i="13"/>
  <c r="AO126" i="13"/>
  <c r="AO127" i="13"/>
  <c r="AO128" i="13"/>
  <c r="AO129" i="13"/>
  <c r="AO130" i="13"/>
  <c r="AO131" i="13"/>
  <c r="AO132" i="13"/>
  <c r="AO133" i="13"/>
  <c r="AO134" i="13"/>
  <c r="AO135" i="13"/>
  <c r="AO136" i="13"/>
  <c r="AO137" i="13"/>
  <c r="AO138" i="13"/>
  <c r="AO139" i="13"/>
  <c r="AO140" i="13"/>
  <c r="AO141" i="13"/>
  <c r="AO142" i="13"/>
  <c r="AO143" i="13"/>
  <c r="AO144" i="13"/>
  <c r="AO145" i="13"/>
  <c r="AO146" i="13"/>
  <c r="AO147" i="13"/>
  <c r="AO148" i="13"/>
  <c r="AO149" i="13"/>
  <c r="AO150" i="13"/>
  <c r="AO151" i="13"/>
  <c r="AO152" i="13"/>
  <c r="AO153" i="13"/>
  <c r="AO154" i="13"/>
  <c r="AO155" i="13"/>
  <c r="AO156" i="13"/>
  <c r="AO157" i="13"/>
  <c r="AO158" i="13"/>
  <c r="AO159" i="13"/>
  <c r="AO160" i="13"/>
  <c r="AO161" i="13"/>
  <c r="AO162" i="13"/>
  <c r="AO163" i="13"/>
  <c r="AO164" i="13"/>
  <c r="AO165" i="13"/>
  <c r="AO166" i="13"/>
  <c r="AO167" i="13"/>
  <c r="AO168" i="13"/>
  <c r="AO169" i="13"/>
  <c r="AO170" i="13"/>
  <c r="AO171" i="13"/>
  <c r="AO172" i="13"/>
  <c r="AO173" i="13"/>
  <c r="AO174" i="13"/>
  <c r="AO175" i="13"/>
  <c r="AO176" i="13"/>
  <c r="AO177" i="13"/>
  <c r="AO178" i="13"/>
  <c r="AO179" i="13"/>
  <c r="AO180" i="13"/>
  <c r="AO181" i="13"/>
  <c r="AO182" i="13"/>
  <c r="AO183" i="13"/>
  <c r="AO184" i="13"/>
  <c r="AO185" i="13"/>
  <c r="AO186" i="13"/>
  <c r="AO187" i="13"/>
  <c r="AO188" i="13"/>
  <c r="AO189" i="13"/>
  <c r="AO190" i="13"/>
  <c r="AO191" i="13"/>
  <c r="AO192" i="13"/>
  <c r="AO193" i="13"/>
  <c r="AO194" i="13"/>
  <c r="AO195" i="13"/>
  <c r="AO196" i="13"/>
  <c r="AO197" i="13"/>
  <c r="AO198" i="13"/>
  <c r="AO199" i="13"/>
  <c r="AO200" i="13"/>
  <c r="AO201" i="13"/>
  <c r="AO202" i="13"/>
  <c r="AO203" i="13"/>
  <c r="AO204" i="13"/>
  <c r="AO205" i="13"/>
  <c r="AO206" i="13"/>
  <c r="AO207" i="13"/>
  <c r="AO208" i="13"/>
  <c r="AO209" i="13"/>
  <c r="AO210" i="13"/>
  <c r="AO211" i="13"/>
  <c r="AO212" i="13"/>
  <c r="AO213" i="13"/>
  <c r="AO214" i="13"/>
  <c r="AO215" i="13"/>
  <c r="AO216" i="13"/>
  <c r="AO217" i="13"/>
  <c r="AO218" i="13"/>
  <c r="AO219" i="13"/>
  <c r="AO220" i="13"/>
  <c r="AO221" i="13"/>
  <c r="AO222" i="13"/>
  <c r="AO223" i="13"/>
  <c r="AO224" i="13"/>
  <c r="AO225" i="13"/>
  <c r="AO226" i="13"/>
  <c r="AO227" i="13"/>
  <c r="AO228" i="13"/>
  <c r="AO229" i="13"/>
  <c r="AO230" i="13"/>
  <c r="AO231" i="13"/>
  <c r="AO232" i="13"/>
  <c r="AO233" i="13"/>
  <c r="AO234" i="13"/>
  <c r="AO235" i="13"/>
  <c r="AO236" i="13"/>
  <c r="AO237" i="13"/>
  <c r="AO238" i="13"/>
  <c r="AO239" i="13"/>
  <c r="AO240" i="13"/>
  <c r="AO241" i="13"/>
  <c r="AO242" i="13"/>
  <c r="AO243" i="13"/>
  <c r="AO244" i="13"/>
  <c r="AO245" i="13"/>
  <c r="AO246" i="13"/>
  <c r="AO247" i="13"/>
  <c r="AO248" i="13"/>
  <c r="AO249" i="13"/>
  <c r="AO250" i="13"/>
  <c r="AO251" i="13"/>
  <c r="AO252" i="13"/>
  <c r="AO253" i="13"/>
  <c r="AO254" i="13"/>
  <c r="AO255" i="13"/>
  <c r="AO256" i="13"/>
  <c r="AO257" i="13"/>
  <c r="AO258" i="13"/>
  <c r="AO259" i="13"/>
  <c r="AO260" i="13"/>
  <c r="AO261" i="13"/>
  <c r="AO262" i="13"/>
  <c r="AO263" i="13"/>
  <c r="AO264" i="13"/>
  <c r="AO265" i="13"/>
  <c r="AO266" i="13"/>
  <c r="AO267" i="13"/>
  <c r="AO268" i="13"/>
  <c r="AO269" i="13"/>
  <c r="AO270" i="13"/>
  <c r="AO271" i="13"/>
  <c r="AO272" i="13"/>
  <c r="AO273" i="13"/>
  <c r="AO274" i="13"/>
  <c r="AO275" i="13"/>
  <c r="AO276" i="13"/>
  <c r="AO277" i="13"/>
  <c r="AO278" i="13"/>
  <c r="AO279" i="13"/>
  <c r="AO280" i="13"/>
  <c r="AO281" i="13"/>
  <c r="AO282" i="13"/>
  <c r="AO283" i="13"/>
  <c r="AO284" i="13"/>
  <c r="AO285" i="13"/>
  <c r="AO286" i="13"/>
  <c r="AO287" i="13"/>
  <c r="AO288" i="13"/>
  <c r="AO289" i="13"/>
  <c r="AO290" i="13"/>
  <c r="AO291" i="13"/>
  <c r="AO292" i="13"/>
  <c r="AO293" i="13"/>
  <c r="AO294" i="13"/>
  <c r="AO295" i="13"/>
  <c r="AO296" i="13"/>
  <c r="AO297" i="13"/>
  <c r="AO298" i="13"/>
  <c r="AO299" i="13"/>
  <c r="AO300" i="13"/>
  <c r="AO301" i="13"/>
  <c r="AO302" i="13"/>
  <c r="AO303" i="13"/>
  <c r="AO304" i="13"/>
  <c r="AO305" i="13"/>
  <c r="AO306" i="13"/>
  <c r="AO307" i="13"/>
  <c r="AO308" i="13"/>
  <c r="AO309" i="13"/>
  <c r="AO310" i="13"/>
  <c r="AO311" i="13"/>
  <c r="AO312" i="13"/>
  <c r="AO313" i="13"/>
  <c r="AO314" i="13"/>
  <c r="AO315" i="13"/>
  <c r="AO316" i="13"/>
  <c r="AO317" i="13"/>
  <c r="AO318" i="13"/>
  <c r="AO319" i="13"/>
  <c r="AO320" i="13"/>
  <c r="AO321" i="13"/>
  <c r="AO322" i="13"/>
  <c r="AO323" i="13"/>
  <c r="AO324" i="13"/>
  <c r="AO325" i="13"/>
  <c r="AO326" i="13"/>
  <c r="AO327" i="13"/>
  <c r="AO328" i="13"/>
  <c r="AO329" i="13"/>
  <c r="AO330" i="13"/>
  <c r="AO331" i="13"/>
  <c r="AO332" i="13"/>
  <c r="AO333" i="13"/>
  <c r="AO334" i="13"/>
  <c r="AO335" i="13"/>
  <c r="AO336" i="13"/>
  <c r="AO337" i="13"/>
  <c r="AO338" i="13"/>
  <c r="AO339" i="13"/>
  <c r="AO340" i="13"/>
  <c r="AO341" i="13"/>
  <c r="AO342" i="13"/>
  <c r="AO343" i="13"/>
  <c r="AO344" i="13"/>
  <c r="AO345" i="13"/>
  <c r="AO346" i="13"/>
  <c r="AO347" i="13"/>
  <c r="AO348" i="13"/>
  <c r="AO349" i="13"/>
  <c r="AO350" i="13"/>
  <c r="AO351" i="13"/>
  <c r="AO352" i="13"/>
  <c r="AO353" i="13"/>
  <c r="AO354" i="13"/>
  <c r="AO355" i="13"/>
  <c r="AO356" i="13"/>
  <c r="AO357" i="13"/>
  <c r="AO358" i="13"/>
  <c r="AO359" i="13"/>
  <c r="AO360" i="13"/>
  <c r="AO361" i="13"/>
  <c r="AO362" i="13"/>
  <c r="AO363" i="13"/>
  <c r="AO364" i="13"/>
  <c r="AO365" i="13"/>
  <c r="AO366" i="13"/>
  <c r="AO367" i="13"/>
  <c r="AO368" i="13"/>
  <c r="AO369" i="13"/>
  <c r="AO370" i="13"/>
  <c r="AO371" i="13"/>
  <c r="AO372" i="13"/>
  <c r="AO373" i="13"/>
  <c r="AO374" i="13"/>
  <c r="AO375" i="13"/>
  <c r="AO376" i="13"/>
  <c r="AO377" i="13"/>
  <c r="AO378" i="13"/>
  <c r="AO379" i="13"/>
  <c r="AO380" i="13"/>
  <c r="AO381" i="13"/>
  <c r="AO382" i="13"/>
  <c r="AO383" i="13"/>
  <c r="AO384" i="13"/>
  <c r="AO385" i="13"/>
  <c r="AO386" i="13"/>
  <c r="AO387" i="13"/>
  <c r="AO388" i="13"/>
  <c r="AO389" i="13"/>
  <c r="AO390" i="13"/>
  <c r="AO391" i="13"/>
  <c r="AO392" i="13"/>
  <c r="AO393" i="13"/>
  <c r="AO394" i="13"/>
  <c r="AO395" i="13"/>
  <c r="AO396" i="13"/>
  <c r="AO397" i="13"/>
  <c r="AO398" i="13"/>
  <c r="AO399" i="13"/>
  <c r="AO400" i="13"/>
  <c r="AO401" i="13"/>
  <c r="AO402" i="13"/>
  <c r="AO403" i="13"/>
  <c r="AO404" i="13"/>
  <c r="AO405" i="13"/>
  <c r="AO406" i="13"/>
  <c r="AO407" i="13"/>
  <c r="AO408" i="13"/>
  <c r="AO409" i="13"/>
  <c r="AO410" i="13"/>
  <c r="AO411" i="13"/>
  <c r="AO412" i="13"/>
  <c r="AO413" i="13"/>
  <c r="AO414" i="13"/>
  <c r="AO415" i="13"/>
  <c r="AO416" i="13"/>
  <c r="AO417" i="13"/>
  <c r="AO418" i="13"/>
  <c r="AO419" i="13"/>
  <c r="AO420" i="13"/>
  <c r="AO421" i="13"/>
  <c r="AO422" i="13"/>
  <c r="AO423" i="13"/>
  <c r="AO424" i="13"/>
  <c r="AO425" i="13"/>
  <c r="AO426" i="13"/>
  <c r="AO427" i="13"/>
  <c r="AO428" i="13"/>
  <c r="AO429" i="13"/>
  <c r="AO430" i="13"/>
  <c r="AO431" i="13"/>
  <c r="AO432" i="13"/>
  <c r="AO433" i="13"/>
  <c r="AO434" i="13"/>
  <c r="AO435" i="13"/>
  <c r="AO436" i="13"/>
  <c r="AO437" i="13"/>
  <c r="AO438" i="13"/>
  <c r="AO439" i="13"/>
  <c r="AO440" i="13"/>
  <c r="AO441" i="13"/>
  <c r="AO442" i="13"/>
  <c r="AO443" i="13"/>
  <c r="AO444" i="13"/>
  <c r="AO445" i="13"/>
  <c r="AO446" i="13"/>
  <c r="AO447" i="13"/>
  <c r="AO448" i="13"/>
  <c r="AO449" i="13"/>
  <c r="AO450" i="13"/>
  <c r="AO451" i="13"/>
  <c r="AO452" i="13"/>
  <c r="AO453" i="13"/>
  <c r="AO454" i="13"/>
  <c r="AO455" i="13"/>
  <c r="AO456" i="13"/>
  <c r="AO457" i="13"/>
  <c r="AO458" i="13"/>
  <c r="AO459" i="13"/>
  <c r="AO460" i="13"/>
  <c r="AO461" i="13"/>
  <c r="AO462" i="13"/>
  <c r="AO463" i="13"/>
  <c r="AO464" i="13"/>
  <c r="AO465" i="13"/>
  <c r="AO466" i="13"/>
  <c r="AO467" i="13"/>
  <c r="AO468" i="13"/>
  <c r="AO469" i="13"/>
  <c r="AO470" i="13"/>
  <c r="AO471" i="13"/>
  <c r="AO472" i="13"/>
  <c r="AO473" i="13"/>
  <c r="AO474" i="13"/>
  <c r="AO475" i="13"/>
  <c r="AO476" i="13"/>
  <c r="AO477" i="13"/>
  <c r="AO478" i="13"/>
  <c r="AO479" i="13"/>
  <c r="AO480" i="13"/>
  <c r="AO481" i="13"/>
  <c r="AO482" i="13"/>
  <c r="AO483" i="13"/>
  <c r="AO484" i="13"/>
  <c r="AO485" i="13"/>
  <c r="AO486" i="13"/>
  <c r="AO487" i="13"/>
  <c r="AO488" i="13"/>
  <c r="AO489" i="13"/>
  <c r="AO490" i="13"/>
  <c r="AO491" i="13"/>
  <c r="AO492" i="13"/>
  <c r="AO493" i="13"/>
  <c r="AO5" i="13"/>
  <c r="AF6" i="13"/>
  <c r="AG6" i="13"/>
  <c r="AH6" i="13"/>
  <c r="AI6" i="13"/>
  <c r="AJ6" i="13"/>
  <c r="AK6" i="13"/>
  <c r="AF7" i="13"/>
  <c r="AG7" i="13"/>
  <c r="AH7" i="13"/>
  <c r="AI7" i="13"/>
  <c r="AJ7" i="13"/>
  <c r="AK7" i="13"/>
  <c r="AF8" i="13"/>
  <c r="AG8" i="13"/>
  <c r="AH8" i="13"/>
  <c r="AI8" i="13"/>
  <c r="AJ8" i="13"/>
  <c r="AK8" i="13"/>
  <c r="AF9" i="13"/>
  <c r="AG9" i="13"/>
  <c r="AH9" i="13"/>
  <c r="AI9" i="13"/>
  <c r="AJ9" i="13"/>
  <c r="AK9" i="13"/>
  <c r="AF10" i="13"/>
  <c r="AG10" i="13"/>
  <c r="AH10" i="13"/>
  <c r="AI10" i="13"/>
  <c r="AJ10" i="13"/>
  <c r="AK10" i="13"/>
  <c r="AF11" i="13"/>
  <c r="AG11" i="13"/>
  <c r="AH11" i="13"/>
  <c r="AI11" i="13"/>
  <c r="AJ11" i="13"/>
  <c r="AK11" i="13"/>
  <c r="AF12" i="13"/>
  <c r="AG12" i="13"/>
  <c r="AH12" i="13"/>
  <c r="AI12" i="13"/>
  <c r="AJ12" i="13"/>
  <c r="AK12" i="13"/>
  <c r="AF13" i="13"/>
  <c r="AG13" i="13"/>
  <c r="AH13" i="13"/>
  <c r="AI13" i="13"/>
  <c r="AJ13" i="13"/>
  <c r="AK13" i="13"/>
  <c r="AF14" i="13"/>
  <c r="AG14" i="13"/>
  <c r="AH14" i="13"/>
  <c r="AI14" i="13"/>
  <c r="AJ14" i="13"/>
  <c r="AK14" i="13"/>
  <c r="AF15" i="13"/>
  <c r="AG15" i="13"/>
  <c r="AH15" i="13"/>
  <c r="AI15" i="13"/>
  <c r="AJ15" i="13"/>
  <c r="AK15" i="13"/>
  <c r="AF16" i="13"/>
  <c r="AG16" i="13"/>
  <c r="AH16" i="13"/>
  <c r="AI16" i="13"/>
  <c r="AJ16" i="13"/>
  <c r="AK16" i="13"/>
  <c r="AF17" i="13"/>
  <c r="AG17" i="13"/>
  <c r="AH17" i="13"/>
  <c r="AI17" i="13"/>
  <c r="AJ17" i="13"/>
  <c r="AK17" i="13"/>
  <c r="AF18" i="13"/>
  <c r="AG18" i="13"/>
  <c r="AH18" i="13"/>
  <c r="AI18" i="13"/>
  <c r="AJ18" i="13"/>
  <c r="AK18" i="13"/>
  <c r="AF19" i="13"/>
  <c r="AG19" i="13"/>
  <c r="AH19" i="13"/>
  <c r="AI19" i="13"/>
  <c r="AJ19" i="13"/>
  <c r="AK19" i="13"/>
  <c r="AF20" i="13"/>
  <c r="AG20" i="13"/>
  <c r="AH20" i="13"/>
  <c r="AI20" i="13"/>
  <c r="AJ20" i="13"/>
  <c r="AK20" i="13"/>
  <c r="AF21" i="13"/>
  <c r="AG21" i="13"/>
  <c r="AH21" i="13"/>
  <c r="AI21" i="13"/>
  <c r="AJ21" i="13"/>
  <c r="AK21" i="13"/>
  <c r="AF22" i="13"/>
  <c r="AG22" i="13"/>
  <c r="AH22" i="13"/>
  <c r="AI22" i="13"/>
  <c r="AJ22" i="13"/>
  <c r="AK22" i="13"/>
  <c r="AF23" i="13"/>
  <c r="AG23" i="13"/>
  <c r="AH23" i="13"/>
  <c r="AI23" i="13"/>
  <c r="AJ23" i="13"/>
  <c r="AK23" i="13"/>
  <c r="AF24" i="13"/>
  <c r="AG24" i="13"/>
  <c r="AH24" i="13"/>
  <c r="AI24" i="13"/>
  <c r="AJ24" i="13"/>
  <c r="AK24" i="13"/>
  <c r="AF25" i="13"/>
  <c r="AG25" i="13"/>
  <c r="AH25" i="13"/>
  <c r="AI25" i="13"/>
  <c r="AJ25" i="13"/>
  <c r="AK25" i="13"/>
  <c r="AF26" i="13"/>
  <c r="AG26" i="13"/>
  <c r="AH26" i="13"/>
  <c r="AI26" i="13"/>
  <c r="AJ26" i="13"/>
  <c r="AK26" i="13"/>
  <c r="AF27" i="13"/>
  <c r="AG27" i="13"/>
  <c r="AH27" i="13"/>
  <c r="AI27" i="13"/>
  <c r="AJ27" i="13"/>
  <c r="AK27" i="13"/>
  <c r="AF28" i="13"/>
  <c r="AG28" i="13"/>
  <c r="AH28" i="13"/>
  <c r="AI28" i="13"/>
  <c r="AJ28" i="13"/>
  <c r="AK28" i="13"/>
  <c r="AF29" i="13"/>
  <c r="AG29" i="13"/>
  <c r="AH29" i="13"/>
  <c r="AI29" i="13"/>
  <c r="AJ29" i="13"/>
  <c r="AK29" i="13"/>
  <c r="AF30" i="13"/>
  <c r="AG30" i="13"/>
  <c r="AH30" i="13"/>
  <c r="AI30" i="13"/>
  <c r="AJ30" i="13"/>
  <c r="AK30" i="13"/>
  <c r="AF31" i="13"/>
  <c r="AG31" i="13"/>
  <c r="AH31" i="13"/>
  <c r="AI31" i="13"/>
  <c r="AJ31" i="13"/>
  <c r="AK31" i="13"/>
  <c r="AF32" i="13"/>
  <c r="AG32" i="13"/>
  <c r="AH32" i="13"/>
  <c r="AI32" i="13"/>
  <c r="AJ32" i="13"/>
  <c r="AK32" i="13"/>
  <c r="AF33" i="13"/>
  <c r="AG33" i="13"/>
  <c r="AH33" i="13"/>
  <c r="AI33" i="13"/>
  <c r="AJ33" i="13"/>
  <c r="AK33" i="13"/>
  <c r="AF34" i="13"/>
  <c r="AG34" i="13"/>
  <c r="AH34" i="13"/>
  <c r="AI34" i="13"/>
  <c r="AJ34" i="13"/>
  <c r="AK34" i="13"/>
  <c r="AF35" i="13"/>
  <c r="AG35" i="13"/>
  <c r="AH35" i="13"/>
  <c r="AI35" i="13"/>
  <c r="AJ35" i="13"/>
  <c r="AK35" i="13"/>
  <c r="AF36" i="13"/>
  <c r="AG36" i="13"/>
  <c r="AH36" i="13"/>
  <c r="AI36" i="13"/>
  <c r="AJ36" i="13"/>
  <c r="AK36" i="13"/>
  <c r="AF37" i="13"/>
  <c r="AG37" i="13"/>
  <c r="AH37" i="13"/>
  <c r="AI37" i="13"/>
  <c r="AJ37" i="13"/>
  <c r="AK37" i="13"/>
  <c r="AF38" i="13"/>
  <c r="AG38" i="13"/>
  <c r="AH38" i="13"/>
  <c r="AI38" i="13"/>
  <c r="AJ38" i="13"/>
  <c r="AK38" i="13"/>
  <c r="AF39" i="13"/>
  <c r="AG39" i="13"/>
  <c r="AH39" i="13"/>
  <c r="AI39" i="13"/>
  <c r="AJ39" i="13"/>
  <c r="AK39" i="13"/>
  <c r="AF40" i="13"/>
  <c r="AG40" i="13"/>
  <c r="AH40" i="13"/>
  <c r="AI40" i="13"/>
  <c r="AJ40" i="13"/>
  <c r="AK40" i="13"/>
  <c r="AF41" i="13"/>
  <c r="AG41" i="13"/>
  <c r="AH41" i="13"/>
  <c r="AI41" i="13"/>
  <c r="AJ41" i="13"/>
  <c r="AK41" i="13"/>
  <c r="AF42" i="13"/>
  <c r="AG42" i="13"/>
  <c r="AH42" i="13"/>
  <c r="AI42" i="13"/>
  <c r="AJ42" i="13"/>
  <c r="AK42" i="13"/>
  <c r="AF43" i="13"/>
  <c r="AG43" i="13"/>
  <c r="AH43" i="13"/>
  <c r="AI43" i="13"/>
  <c r="AJ43" i="13"/>
  <c r="AK43" i="13"/>
  <c r="AF44" i="13"/>
  <c r="AG44" i="13"/>
  <c r="AH44" i="13"/>
  <c r="AI44" i="13"/>
  <c r="AJ44" i="13"/>
  <c r="AK44" i="13"/>
  <c r="AF45" i="13"/>
  <c r="AG45" i="13"/>
  <c r="AH45" i="13"/>
  <c r="AI45" i="13"/>
  <c r="AJ45" i="13"/>
  <c r="AK45" i="13"/>
  <c r="AF46" i="13"/>
  <c r="AG46" i="13"/>
  <c r="AH46" i="13"/>
  <c r="AI46" i="13"/>
  <c r="AJ46" i="13"/>
  <c r="AK46" i="13"/>
  <c r="AF47" i="13"/>
  <c r="AG47" i="13"/>
  <c r="AH47" i="13"/>
  <c r="AI47" i="13"/>
  <c r="AJ47" i="13"/>
  <c r="AK47" i="13"/>
  <c r="AF48" i="13"/>
  <c r="AG48" i="13"/>
  <c r="AH48" i="13"/>
  <c r="AI48" i="13"/>
  <c r="AJ48" i="13"/>
  <c r="AK48" i="13"/>
  <c r="AF49" i="13"/>
  <c r="AG49" i="13"/>
  <c r="AH49" i="13"/>
  <c r="AI49" i="13"/>
  <c r="AJ49" i="13"/>
  <c r="AK49" i="13"/>
  <c r="AF50" i="13"/>
  <c r="AG50" i="13"/>
  <c r="AH50" i="13"/>
  <c r="AI50" i="13"/>
  <c r="AJ50" i="13"/>
  <c r="AK50" i="13"/>
  <c r="AF51" i="13"/>
  <c r="AG51" i="13"/>
  <c r="AH51" i="13"/>
  <c r="AI51" i="13"/>
  <c r="AJ51" i="13"/>
  <c r="AK51" i="13"/>
  <c r="AF52" i="13"/>
  <c r="AG52" i="13"/>
  <c r="AH52" i="13"/>
  <c r="AI52" i="13"/>
  <c r="AJ52" i="13"/>
  <c r="AK52" i="13"/>
  <c r="AF53" i="13"/>
  <c r="AG53" i="13"/>
  <c r="AH53" i="13"/>
  <c r="AI53" i="13"/>
  <c r="AJ53" i="13"/>
  <c r="AK53" i="13"/>
  <c r="AF54" i="13"/>
  <c r="AG54" i="13"/>
  <c r="AH54" i="13"/>
  <c r="AI54" i="13"/>
  <c r="AJ54" i="13"/>
  <c r="AK54" i="13"/>
  <c r="AF55" i="13"/>
  <c r="AG55" i="13"/>
  <c r="AH55" i="13"/>
  <c r="AI55" i="13"/>
  <c r="AJ55" i="13"/>
  <c r="AK55" i="13"/>
  <c r="AF56" i="13"/>
  <c r="AG56" i="13"/>
  <c r="AH56" i="13"/>
  <c r="AI56" i="13"/>
  <c r="AJ56" i="13"/>
  <c r="AK56" i="13"/>
  <c r="AF57" i="13"/>
  <c r="AG57" i="13"/>
  <c r="AH57" i="13"/>
  <c r="AI57" i="13"/>
  <c r="AJ57" i="13"/>
  <c r="AK57" i="13"/>
  <c r="AF58" i="13"/>
  <c r="AG58" i="13"/>
  <c r="AH58" i="13"/>
  <c r="AI58" i="13"/>
  <c r="AJ58" i="13"/>
  <c r="AK58" i="13"/>
  <c r="AF59" i="13"/>
  <c r="AG59" i="13"/>
  <c r="AH59" i="13"/>
  <c r="AI59" i="13"/>
  <c r="AJ59" i="13"/>
  <c r="AK59" i="13"/>
  <c r="AF60" i="13"/>
  <c r="AG60" i="13"/>
  <c r="AH60" i="13"/>
  <c r="AI60" i="13"/>
  <c r="AJ60" i="13"/>
  <c r="AK60" i="13"/>
  <c r="AF61" i="13"/>
  <c r="AG61" i="13"/>
  <c r="AH61" i="13"/>
  <c r="AI61" i="13"/>
  <c r="AJ61" i="13"/>
  <c r="AK61" i="13"/>
  <c r="AF62" i="13"/>
  <c r="AG62" i="13"/>
  <c r="AH62" i="13"/>
  <c r="AI62" i="13"/>
  <c r="AJ62" i="13"/>
  <c r="AK62" i="13"/>
  <c r="AF63" i="13"/>
  <c r="AG63" i="13"/>
  <c r="AH63" i="13"/>
  <c r="AI63" i="13"/>
  <c r="AJ63" i="13"/>
  <c r="AK63" i="13"/>
  <c r="AF64" i="13"/>
  <c r="AG64" i="13"/>
  <c r="AH64" i="13"/>
  <c r="AI64" i="13"/>
  <c r="AJ64" i="13"/>
  <c r="AK64" i="13"/>
  <c r="AF65" i="13"/>
  <c r="AG65" i="13"/>
  <c r="AH65" i="13"/>
  <c r="AI65" i="13"/>
  <c r="AJ65" i="13"/>
  <c r="AK65" i="13"/>
  <c r="AF66" i="13"/>
  <c r="AG66" i="13"/>
  <c r="AH66" i="13"/>
  <c r="AI66" i="13"/>
  <c r="AJ66" i="13"/>
  <c r="AK66" i="13"/>
  <c r="AF67" i="13"/>
  <c r="AG67" i="13"/>
  <c r="AH67" i="13"/>
  <c r="AI67" i="13"/>
  <c r="AJ67" i="13"/>
  <c r="AK67" i="13"/>
  <c r="AF68" i="13"/>
  <c r="AG68" i="13"/>
  <c r="AH68" i="13"/>
  <c r="AI68" i="13"/>
  <c r="AJ68" i="13"/>
  <c r="AK68" i="13"/>
  <c r="AF69" i="13"/>
  <c r="AG69" i="13"/>
  <c r="AH69" i="13"/>
  <c r="AI69" i="13"/>
  <c r="AJ69" i="13"/>
  <c r="AK69" i="13"/>
  <c r="AF70" i="13"/>
  <c r="AG70" i="13"/>
  <c r="AH70" i="13"/>
  <c r="AI70" i="13"/>
  <c r="AJ70" i="13"/>
  <c r="AK70" i="13"/>
  <c r="AF71" i="13"/>
  <c r="AG71" i="13"/>
  <c r="AH71" i="13"/>
  <c r="AI71" i="13"/>
  <c r="AJ71" i="13"/>
  <c r="AK71" i="13"/>
  <c r="AF72" i="13"/>
  <c r="AG72" i="13"/>
  <c r="AH72" i="13"/>
  <c r="AI72" i="13"/>
  <c r="AJ72" i="13"/>
  <c r="AK72" i="13"/>
  <c r="AF73" i="13"/>
  <c r="AG73" i="13"/>
  <c r="AH73" i="13"/>
  <c r="AI73" i="13"/>
  <c r="AJ73" i="13"/>
  <c r="AK73" i="13"/>
  <c r="AF74" i="13"/>
  <c r="AG74" i="13"/>
  <c r="AH74" i="13"/>
  <c r="AI74" i="13"/>
  <c r="AJ74" i="13"/>
  <c r="AK74" i="13"/>
  <c r="AF75" i="13"/>
  <c r="AG75" i="13"/>
  <c r="AH75" i="13"/>
  <c r="AI75" i="13"/>
  <c r="AJ75" i="13"/>
  <c r="AK75" i="13"/>
  <c r="AF76" i="13"/>
  <c r="AG76" i="13"/>
  <c r="AH76" i="13"/>
  <c r="AI76" i="13"/>
  <c r="AJ76" i="13"/>
  <c r="AK76" i="13"/>
  <c r="AF77" i="13"/>
  <c r="AG77" i="13"/>
  <c r="AH77" i="13"/>
  <c r="AI77" i="13"/>
  <c r="AJ77" i="13"/>
  <c r="AK77" i="13"/>
  <c r="AF78" i="13"/>
  <c r="AG78" i="13"/>
  <c r="AH78" i="13"/>
  <c r="AI78" i="13"/>
  <c r="AJ78" i="13"/>
  <c r="AK78" i="13"/>
  <c r="AF79" i="13"/>
  <c r="AG79" i="13"/>
  <c r="AH79" i="13"/>
  <c r="AI79" i="13"/>
  <c r="AJ79" i="13"/>
  <c r="AK79" i="13"/>
  <c r="AF80" i="13"/>
  <c r="AG80" i="13"/>
  <c r="AH80" i="13"/>
  <c r="AI80" i="13"/>
  <c r="AJ80" i="13"/>
  <c r="AK80" i="13"/>
  <c r="AF81" i="13"/>
  <c r="AG81" i="13"/>
  <c r="AH81" i="13"/>
  <c r="AI81" i="13"/>
  <c r="AJ81" i="13"/>
  <c r="AK81" i="13"/>
  <c r="AF82" i="13"/>
  <c r="AG82" i="13"/>
  <c r="AH82" i="13"/>
  <c r="AI82" i="13"/>
  <c r="AJ82" i="13"/>
  <c r="AK82" i="13"/>
  <c r="AF83" i="13"/>
  <c r="AG83" i="13"/>
  <c r="AH83" i="13"/>
  <c r="AI83" i="13"/>
  <c r="AJ83" i="13"/>
  <c r="AK83" i="13"/>
  <c r="AF84" i="13"/>
  <c r="AG84" i="13"/>
  <c r="AH84" i="13"/>
  <c r="AI84" i="13"/>
  <c r="AJ84" i="13"/>
  <c r="AK84" i="13"/>
  <c r="AF85" i="13"/>
  <c r="AG85" i="13"/>
  <c r="AH85" i="13"/>
  <c r="AI85" i="13"/>
  <c r="AJ85" i="13"/>
  <c r="AK85" i="13"/>
  <c r="AF86" i="13"/>
  <c r="AG86" i="13"/>
  <c r="AH86" i="13"/>
  <c r="AI86" i="13"/>
  <c r="AJ86" i="13"/>
  <c r="AK86" i="13"/>
  <c r="AF87" i="13"/>
  <c r="AG87" i="13"/>
  <c r="AH87" i="13"/>
  <c r="AI87" i="13"/>
  <c r="AJ87" i="13"/>
  <c r="AK87" i="13"/>
  <c r="AF88" i="13"/>
  <c r="AG88" i="13"/>
  <c r="AH88" i="13"/>
  <c r="AI88" i="13"/>
  <c r="AJ88" i="13"/>
  <c r="AK88" i="13"/>
  <c r="AF89" i="13"/>
  <c r="AG89" i="13"/>
  <c r="AH89" i="13"/>
  <c r="AI89" i="13"/>
  <c r="AJ89" i="13"/>
  <c r="AK89" i="13"/>
  <c r="AF90" i="13"/>
  <c r="AG90" i="13"/>
  <c r="AH90" i="13"/>
  <c r="AI90" i="13"/>
  <c r="AJ90" i="13"/>
  <c r="AK90" i="13"/>
  <c r="AF91" i="13"/>
  <c r="AG91" i="13"/>
  <c r="AH91" i="13"/>
  <c r="AI91" i="13"/>
  <c r="AJ91" i="13"/>
  <c r="AK91" i="13"/>
  <c r="AF92" i="13"/>
  <c r="AG92" i="13"/>
  <c r="AH92" i="13"/>
  <c r="AI92" i="13"/>
  <c r="AJ92" i="13"/>
  <c r="AK92" i="13"/>
  <c r="AF93" i="13"/>
  <c r="AG93" i="13"/>
  <c r="AH93" i="13"/>
  <c r="AI93" i="13"/>
  <c r="AJ93" i="13"/>
  <c r="AK93" i="13"/>
  <c r="AF94" i="13"/>
  <c r="AG94" i="13"/>
  <c r="AH94" i="13"/>
  <c r="AI94" i="13"/>
  <c r="AJ94" i="13"/>
  <c r="AK94" i="13"/>
  <c r="AF95" i="13"/>
  <c r="AG95" i="13"/>
  <c r="AH95" i="13"/>
  <c r="AI95" i="13"/>
  <c r="AJ95" i="13"/>
  <c r="AK95" i="13"/>
  <c r="AF96" i="13"/>
  <c r="AG96" i="13"/>
  <c r="AH96" i="13"/>
  <c r="AI96" i="13"/>
  <c r="AJ96" i="13"/>
  <c r="AK96" i="13"/>
  <c r="AF97" i="13"/>
  <c r="AG97" i="13"/>
  <c r="AH97" i="13"/>
  <c r="AI97" i="13"/>
  <c r="AJ97" i="13"/>
  <c r="AK97" i="13"/>
  <c r="AF98" i="13"/>
  <c r="AG98" i="13"/>
  <c r="AH98" i="13"/>
  <c r="AI98" i="13"/>
  <c r="AJ98" i="13"/>
  <c r="AK98" i="13"/>
  <c r="AF99" i="13"/>
  <c r="AG99" i="13"/>
  <c r="AH99" i="13"/>
  <c r="AI99" i="13"/>
  <c r="AJ99" i="13"/>
  <c r="AK99" i="13"/>
  <c r="AF100" i="13"/>
  <c r="AG100" i="13"/>
  <c r="AH100" i="13"/>
  <c r="AI100" i="13"/>
  <c r="AJ100" i="13"/>
  <c r="AK100" i="13"/>
  <c r="AF101" i="13"/>
  <c r="AG101" i="13"/>
  <c r="AH101" i="13"/>
  <c r="AI101" i="13"/>
  <c r="AJ101" i="13"/>
  <c r="AK101" i="13"/>
  <c r="AF102" i="13"/>
  <c r="AG102" i="13"/>
  <c r="AH102" i="13"/>
  <c r="AI102" i="13"/>
  <c r="AJ102" i="13"/>
  <c r="AK102" i="13"/>
  <c r="AF103" i="13"/>
  <c r="AG103" i="13"/>
  <c r="AH103" i="13"/>
  <c r="AI103" i="13"/>
  <c r="AJ103" i="13"/>
  <c r="AK103" i="13"/>
  <c r="AF104" i="13"/>
  <c r="AG104" i="13"/>
  <c r="AH104" i="13"/>
  <c r="AI104" i="13"/>
  <c r="AJ104" i="13"/>
  <c r="AK104" i="13"/>
  <c r="AF105" i="13"/>
  <c r="AG105" i="13"/>
  <c r="AH105" i="13"/>
  <c r="AI105" i="13"/>
  <c r="AJ105" i="13"/>
  <c r="AK105" i="13"/>
  <c r="AF106" i="13"/>
  <c r="AG106" i="13"/>
  <c r="AH106" i="13"/>
  <c r="AI106" i="13"/>
  <c r="AJ106" i="13"/>
  <c r="AK106" i="13"/>
  <c r="AF107" i="13"/>
  <c r="AG107" i="13"/>
  <c r="AH107" i="13"/>
  <c r="AI107" i="13"/>
  <c r="AJ107" i="13"/>
  <c r="AK107" i="13"/>
  <c r="AF108" i="13"/>
  <c r="AG108" i="13"/>
  <c r="AH108" i="13"/>
  <c r="AI108" i="13"/>
  <c r="AJ108" i="13"/>
  <c r="AK108" i="13"/>
  <c r="AF109" i="13"/>
  <c r="AG109" i="13"/>
  <c r="AH109" i="13"/>
  <c r="AI109" i="13"/>
  <c r="AJ109" i="13"/>
  <c r="AK109" i="13"/>
  <c r="AF110" i="13"/>
  <c r="AG110" i="13"/>
  <c r="AH110" i="13"/>
  <c r="AI110" i="13"/>
  <c r="AJ110" i="13"/>
  <c r="AK110" i="13"/>
  <c r="AF111" i="13"/>
  <c r="AG111" i="13"/>
  <c r="AH111" i="13"/>
  <c r="AI111" i="13"/>
  <c r="AJ111" i="13"/>
  <c r="AK111" i="13"/>
  <c r="AF112" i="13"/>
  <c r="AG112" i="13"/>
  <c r="AH112" i="13"/>
  <c r="AI112" i="13"/>
  <c r="AJ112" i="13"/>
  <c r="AK112" i="13"/>
  <c r="AF113" i="13"/>
  <c r="AG113" i="13"/>
  <c r="AH113" i="13"/>
  <c r="AI113" i="13"/>
  <c r="AJ113" i="13"/>
  <c r="AK113" i="13"/>
  <c r="AF114" i="13"/>
  <c r="AG114" i="13"/>
  <c r="AH114" i="13"/>
  <c r="AI114" i="13"/>
  <c r="AJ114" i="13"/>
  <c r="AK114" i="13"/>
  <c r="AF115" i="13"/>
  <c r="AG115" i="13"/>
  <c r="AH115" i="13"/>
  <c r="AI115" i="13"/>
  <c r="AJ115" i="13"/>
  <c r="AK115" i="13"/>
  <c r="AF116" i="13"/>
  <c r="AG116" i="13"/>
  <c r="AH116" i="13"/>
  <c r="AI116" i="13"/>
  <c r="AJ116" i="13"/>
  <c r="AK116" i="13"/>
  <c r="AF117" i="13"/>
  <c r="AG117" i="13"/>
  <c r="AH117" i="13"/>
  <c r="AI117" i="13"/>
  <c r="AJ117" i="13"/>
  <c r="AK117" i="13"/>
  <c r="AF118" i="13"/>
  <c r="AG118" i="13"/>
  <c r="AH118" i="13"/>
  <c r="AI118" i="13"/>
  <c r="AJ118" i="13"/>
  <c r="AK118" i="13"/>
  <c r="AF119" i="13"/>
  <c r="AG119" i="13"/>
  <c r="AH119" i="13"/>
  <c r="AI119" i="13"/>
  <c r="AJ119" i="13"/>
  <c r="AK119" i="13"/>
  <c r="AF120" i="13"/>
  <c r="AG120" i="13"/>
  <c r="AH120" i="13"/>
  <c r="AI120" i="13"/>
  <c r="AJ120" i="13"/>
  <c r="AK120" i="13"/>
  <c r="AF121" i="13"/>
  <c r="AG121" i="13"/>
  <c r="AH121" i="13"/>
  <c r="AI121" i="13"/>
  <c r="AJ121" i="13"/>
  <c r="AK121" i="13"/>
  <c r="AF122" i="13"/>
  <c r="AG122" i="13"/>
  <c r="AH122" i="13"/>
  <c r="AI122" i="13"/>
  <c r="AJ122" i="13"/>
  <c r="AK122" i="13"/>
  <c r="AF123" i="13"/>
  <c r="AG123" i="13"/>
  <c r="AH123" i="13"/>
  <c r="AI123" i="13"/>
  <c r="AJ123" i="13"/>
  <c r="AK123" i="13"/>
  <c r="AF124" i="13"/>
  <c r="AG124" i="13"/>
  <c r="AH124" i="13"/>
  <c r="AI124" i="13"/>
  <c r="AJ124" i="13"/>
  <c r="AK124" i="13"/>
  <c r="AF125" i="13"/>
  <c r="AG125" i="13"/>
  <c r="AH125" i="13"/>
  <c r="AI125" i="13"/>
  <c r="AJ125" i="13"/>
  <c r="AK125" i="13"/>
  <c r="AF126" i="13"/>
  <c r="AG126" i="13"/>
  <c r="AH126" i="13"/>
  <c r="AI126" i="13"/>
  <c r="AJ126" i="13"/>
  <c r="AK126" i="13"/>
  <c r="AF127" i="13"/>
  <c r="AG127" i="13"/>
  <c r="AH127" i="13"/>
  <c r="AI127" i="13"/>
  <c r="AJ127" i="13"/>
  <c r="AK127" i="13"/>
  <c r="AF128" i="13"/>
  <c r="AG128" i="13"/>
  <c r="AH128" i="13"/>
  <c r="AI128" i="13"/>
  <c r="AJ128" i="13"/>
  <c r="AK128" i="13"/>
  <c r="AF129" i="13"/>
  <c r="AG129" i="13"/>
  <c r="AH129" i="13"/>
  <c r="AI129" i="13"/>
  <c r="AJ129" i="13"/>
  <c r="AK129" i="13"/>
  <c r="AF130" i="13"/>
  <c r="AG130" i="13"/>
  <c r="AH130" i="13"/>
  <c r="AI130" i="13"/>
  <c r="AJ130" i="13"/>
  <c r="AK130" i="13"/>
  <c r="AF131" i="13"/>
  <c r="AG131" i="13"/>
  <c r="AH131" i="13"/>
  <c r="AI131" i="13"/>
  <c r="AJ131" i="13"/>
  <c r="AK131" i="13"/>
  <c r="AF132" i="13"/>
  <c r="AG132" i="13"/>
  <c r="AH132" i="13"/>
  <c r="AI132" i="13"/>
  <c r="AJ132" i="13"/>
  <c r="AK132" i="13"/>
  <c r="AF133" i="13"/>
  <c r="AG133" i="13"/>
  <c r="AH133" i="13"/>
  <c r="AI133" i="13"/>
  <c r="AJ133" i="13"/>
  <c r="AK133" i="13"/>
  <c r="AF134" i="13"/>
  <c r="AG134" i="13"/>
  <c r="AH134" i="13"/>
  <c r="AI134" i="13"/>
  <c r="AJ134" i="13"/>
  <c r="AK134" i="13"/>
  <c r="AF135" i="13"/>
  <c r="AG135" i="13"/>
  <c r="AH135" i="13"/>
  <c r="AI135" i="13"/>
  <c r="AJ135" i="13"/>
  <c r="AK135" i="13"/>
  <c r="AF136" i="13"/>
  <c r="AG136" i="13"/>
  <c r="AH136" i="13"/>
  <c r="AI136" i="13"/>
  <c r="AJ136" i="13"/>
  <c r="AK136" i="13"/>
  <c r="AF137" i="13"/>
  <c r="AG137" i="13"/>
  <c r="AH137" i="13"/>
  <c r="AI137" i="13"/>
  <c r="AJ137" i="13"/>
  <c r="AK137" i="13"/>
  <c r="AF138" i="13"/>
  <c r="AG138" i="13"/>
  <c r="AH138" i="13"/>
  <c r="AI138" i="13"/>
  <c r="AJ138" i="13"/>
  <c r="AK138" i="13"/>
  <c r="AF139" i="13"/>
  <c r="AG139" i="13"/>
  <c r="AH139" i="13"/>
  <c r="AI139" i="13"/>
  <c r="AJ139" i="13"/>
  <c r="AK139" i="13"/>
  <c r="AF140" i="13"/>
  <c r="AG140" i="13"/>
  <c r="AH140" i="13"/>
  <c r="AI140" i="13"/>
  <c r="AJ140" i="13"/>
  <c r="AK140" i="13"/>
  <c r="AF141" i="13"/>
  <c r="AG141" i="13"/>
  <c r="AH141" i="13"/>
  <c r="AI141" i="13"/>
  <c r="AJ141" i="13"/>
  <c r="AK141" i="13"/>
  <c r="AF142" i="13"/>
  <c r="AG142" i="13"/>
  <c r="AH142" i="13"/>
  <c r="AI142" i="13"/>
  <c r="AJ142" i="13"/>
  <c r="AK142" i="13"/>
  <c r="AF143" i="13"/>
  <c r="AG143" i="13"/>
  <c r="AH143" i="13"/>
  <c r="AI143" i="13"/>
  <c r="AJ143" i="13"/>
  <c r="AK143" i="13"/>
  <c r="AF144" i="13"/>
  <c r="AG144" i="13"/>
  <c r="AH144" i="13"/>
  <c r="AI144" i="13"/>
  <c r="AJ144" i="13"/>
  <c r="AK144" i="13"/>
  <c r="AF145" i="13"/>
  <c r="AG145" i="13"/>
  <c r="AH145" i="13"/>
  <c r="AI145" i="13"/>
  <c r="AJ145" i="13"/>
  <c r="AK145" i="13"/>
  <c r="AF146" i="13"/>
  <c r="AG146" i="13"/>
  <c r="AH146" i="13"/>
  <c r="AI146" i="13"/>
  <c r="AJ146" i="13"/>
  <c r="AK146" i="13"/>
  <c r="AF147" i="13"/>
  <c r="AG147" i="13"/>
  <c r="AH147" i="13"/>
  <c r="AI147" i="13"/>
  <c r="AJ147" i="13"/>
  <c r="AK147" i="13"/>
  <c r="AF148" i="13"/>
  <c r="AG148" i="13"/>
  <c r="AH148" i="13"/>
  <c r="AI148" i="13"/>
  <c r="AJ148" i="13"/>
  <c r="AK148" i="13"/>
  <c r="AF149" i="13"/>
  <c r="AG149" i="13"/>
  <c r="AH149" i="13"/>
  <c r="AI149" i="13"/>
  <c r="AJ149" i="13"/>
  <c r="AK149" i="13"/>
  <c r="AF150" i="13"/>
  <c r="AG150" i="13"/>
  <c r="AH150" i="13"/>
  <c r="AI150" i="13"/>
  <c r="AJ150" i="13"/>
  <c r="AK150" i="13"/>
  <c r="AF151" i="13"/>
  <c r="AG151" i="13"/>
  <c r="AH151" i="13"/>
  <c r="AI151" i="13"/>
  <c r="AJ151" i="13"/>
  <c r="AK151" i="13"/>
  <c r="AF152" i="13"/>
  <c r="AG152" i="13"/>
  <c r="AH152" i="13"/>
  <c r="AI152" i="13"/>
  <c r="AJ152" i="13"/>
  <c r="AK152" i="13"/>
  <c r="AF153" i="13"/>
  <c r="AG153" i="13"/>
  <c r="AH153" i="13"/>
  <c r="AI153" i="13"/>
  <c r="AJ153" i="13"/>
  <c r="AK153" i="13"/>
  <c r="AF154" i="13"/>
  <c r="AG154" i="13"/>
  <c r="AH154" i="13"/>
  <c r="AI154" i="13"/>
  <c r="AJ154" i="13"/>
  <c r="AK154" i="13"/>
  <c r="AF155" i="13"/>
  <c r="AG155" i="13"/>
  <c r="AH155" i="13"/>
  <c r="AI155" i="13"/>
  <c r="AJ155" i="13"/>
  <c r="AK155" i="13"/>
  <c r="AF156" i="13"/>
  <c r="AG156" i="13"/>
  <c r="AH156" i="13"/>
  <c r="AI156" i="13"/>
  <c r="AJ156" i="13"/>
  <c r="AK156" i="13"/>
  <c r="AF157" i="13"/>
  <c r="AG157" i="13"/>
  <c r="AH157" i="13"/>
  <c r="AI157" i="13"/>
  <c r="AJ157" i="13"/>
  <c r="AK157" i="13"/>
  <c r="AF158" i="13"/>
  <c r="AG158" i="13"/>
  <c r="AH158" i="13"/>
  <c r="AI158" i="13"/>
  <c r="AJ158" i="13"/>
  <c r="AK158" i="13"/>
  <c r="AF159" i="13"/>
  <c r="AG159" i="13"/>
  <c r="AH159" i="13"/>
  <c r="AI159" i="13"/>
  <c r="AJ159" i="13"/>
  <c r="AK159" i="13"/>
  <c r="AF160" i="13"/>
  <c r="AG160" i="13"/>
  <c r="AH160" i="13"/>
  <c r="AI160" i="13"/>
  <c r="AJ160" i="13"/>
  <c r="AK160" i="13"/>
  <c r="AF161" i="13"/>
  <c r="AG161" i="13"/>
  <c r="AH161" i="13"/>
  <c r="AI161" i="13"/>
  <c r="AJ161" i="13"/>
  <c r="AK161" i="13"/>
  <c r="AF162" i="13"/>
  <c r="AG162" i="13"/>
  <c r="AH162" i="13"/>
  <c r="AI162" i="13"/>
  <c r="AJ162" i="13"/>
  <c r="AK162" i="13"/>
  <c r="AF163" i="13"/>
  <c r="AG163" i="13"/>
  <c r="AH163" i="13"/>
  <c r="AI163" i="13"/>
  <c r="AJ163" i="13"/>
  <c r="AK163" i="13"/>
  <c r="AF164" i="13"/>
  <c r="AG164" i="13"/>
  <c r="AH164" i="13"/>
  <c r="AI164" i="13"/>
  <c r="AJ164" i="13"/>
  <c r="AK164" i="13"/>
  <c r="AF165" i="13"/>
  <c r="AG165" i="13"/>
  <c r="AH165" i="13"/>
  <c r="AI165" i="13"/>
  <c r="AJ165" i="13"/>
  <c r="AK165" i="13"/>
  <c r="AF166" i="13"/>
  <c r="AG166" i="13"/>
  <c r="AH166" i="13"/>
  <c r="AI166" i="13"/>
  <c r="AJ166" i="13"/>
  <c r="AK166" i="13"/>
  <c r="AF167" i="13"/>
  <c r="AG167" i="13"/>
  <c r="AH167" i="13"/>
  <c r="AI167" i="13"/>
  <c r="AJ167" i="13"/>
  <c r="AK167" i="13"/>
  <c r="AF168" i="13"/>
  <c r="AG168" i="13"/>
  <c r="AH168" i="13"/>
  <c r="AI168" i="13"/>
  <c r="AJ168" i="13"/>
  <c r="AK168" i="13"/>
  <c r="AF169" i="13"/>
  <c r="AG169" i="13"/>
  <c r="AH169" i="13"/>
  <c r="AI169" i="13"/>
  <c r="AJ169" i="13"/>
  <c r="AK169" i="13"/>
  <c r="AF170" i="13"/>
  <c r="AG170" i="13"/>
  <c r="AH170" i="13"/>
  <c r="AI170" i="13"/>
  <c r="AJ170" i="13"/>
  <c r="AK170" i="13"/>
  <c r="AF171" i="13"/>
  <c r="AG171" i="13"/>
  <c r="AH171" i="13"/>
  <c r="AI171" i="13"/>
  <c r="AJ171" i="13"/>
  <c r="AK171" i="13"/>
  <c r="AF172" i="13"/>
  <c r="AG172" i="13"/>
  <c r="AH172" i="13"/>
  <c r="AI172" i="13"/>
  <c r="AJ172" i="13"/>
  <c r="AK172" i="13"/>
  <c r="AF173" i="13"/>
  <c r="AG173" i="13"/>
  <c r="AH173" i="13"/>
  <c r="AI173" i="13"/>
  <c r="AJ173" i="13"/>
  <c r="AK173" i="13"/>
  <c r="AF174" i="13"/>
  <c r="AG174" i="13"/>
  <c r="AH174" i="13"/>
  <c r="AI174" i="13"/>
  <c r="AJ174" i="13"/>
  <c r="AK174" i="13"/>
  <c r="AF175" i="13"/>
  <c r="AG175" i="13"/>
  <c r="AH175" i="13"/>
  <c r="AI175" i="13"/>
  <c r="AJ175" i="13"/>
  <c r="AK175" i="13"/>
  <c r="AF176" i="13"/>
  <c r="AG176" i="13"/>
  <c r="AH176" i="13"/>
  <c r="AI176" i="13"/>
  <c r="AJ176" i="13"/>
  <c r="AK176" i="13"/>
  <c r="AF177" i="13"/>
  <c r="AG177" i="13"/>
  <c r="AH177" i="13"/>
  <c r="AI177" i="13"/>
  <c r="AJ177" i="13"/>
  <c r="AK177" i="13"/>
  <c r="AF178" i="13"/>
  <c r="AG178" i="13"/>
  <c r="AH178" i="13"/>
  <c r="AI178" i="13"/>
  <c r="AJ178" i="13"/>
  <c r="AK178" i="13"/>
  <c r="AF179" i="13"/>
  <c r="AG179" i="13"/>
  <c r="AH179" i="13"/>
  <c r="AI179" i="13"/>
  <c r="AJ179" i="13"/>
  <c r="AK179" i="13"/>
  <c r="AF180" i="13"/>
  <c r="AG180" i="13"/>
  <c r="AH180" i="13"/>
  <c r="AI180" i="13"/>
  <c r="AJ180" i="13"/>
  <c r="AK180" i="13"/>
  <c r="AF181" i="13"/>
  <c r="AG181" i="13"/>
  <c r="AH181" i="13"/>
  <c r="AI181" i="13"/>
  <c r="AJ181" i="13"/>
  <c r="AK181" i="13"/>
  <c r="AF182" i="13"/>
  <c r="AG182" i="13"/>
  <c r="AH182" i="13"/>
  <c r="AI182" i="13"/>
  <c r="AJ182" i="13"/>
  <c r="AK182" i="13"/>
  <c r="AF183" i="13"/>
  <c r="AG183" i="13"/>
  <c r="AH183" i="13"/>
  <c r="AI183" i="13"/>
  <c r="AJ183" i="13"/>
  <c r="AK183" i="13"/>
  <c r="AF184" i="13"/>
  <c r="AG184" i="13"/>
  <c r="AH184" i="13"/>
  <c r="AI184" i="13"/>
  <c r="AJ184" i="13"/>
  <c r="AK184" i="13"/>
  <c r="AF185" i="13"/>
  <c r="AG185" i="13"/>
  <c r="AH185" i="13"/>
  <c r="AI185" i="13"/>
  <c r="AJ185" i="13"/>
  <c r="AK185" i="13"/>
  <c r="AF186" i="13"/>
  <c r="AG186" i="13"/>
  <c r="AH186" i="13"/>
  <c r="AI186" i="13"/>
  <c r="AJ186" i="13"/>
  <c r="AK186" i="13"/>
  <c r="AF187" i="13"/>
  <c r="AG187" i="13"/>
  <c r="AH187" i="13"/>
  <c r="AI187" i="13"/>
  <c r="AJ187" i="13"/>
  <c r="AK187" i="13"/>
  <c r="AF188" i="13"/>
  <c r="AG188" i="13"/>
  <c r="AH188" i="13"/>
  <c r="AI188" i="13"/>
  <c r="AJ188" i="13"/>
  <c r="AK188" i="13"/>
  <c r="AF189" i="13"/>
  <c r="AG189" i="13"/>
  <c r="AH189" i="13"/>
  <c r="AI189" i="13"/>
  <c r="AJ189" i="13"/>
  <c r="AK189" i="13"/>
  <c r="AF190" i="13"/>
  <c r="AG190" i="13"/>
  <c r="AH190" i="13"/>
  <c r="AI190" i="13"/>
  <c r="AJ190" i="13"/>
  <c r="AK190" i="13"/>
  <c r="AF191" i="13"/>
  <c r="AG191" i="13"/>
  <c r="AH191" i="13"/>
  <c r="AI191" i="13"/>
  <c r="AJ191" i="13"/>
  <c r="AK191" i="13"/>
  <c r="AF192" i="13"/>
  <c r="AG192" i="13"/>
  <c r="AH192" i="13"/>
  <c r="AI192" i="13"/>
  <c r="AJ192" i="13"/>
  <c r="AK192" i="13"/>
  <c r="AF193" i="13"/>
  <c r="AG193" i="13"/>
  <c r="AH193" i="13"/>
  <c r="AI193" i="13"/>
  <c r="AJ193" i="13"/>
  <c r="AK193" i="13"/>
  <c r="AF194" i="13"/>
  <c r="AG194" i="13"/>
  <c r="AH194" i="13"/>
  <c r="AI194" i="13"/>
  <c r="AJ194" i="13"/>
  <c r="AK194" i="13"/>
  <c r="AF195" i="13"/>
  <c r="AG195" i="13"/>
  <c r="AH195" i="13"/>
  <c r="AI195" i="13"/>
  <c r="AJ195" i="13"/>
  <c r="AK195" i="13"/>
  <c r="AF196" i="13"/>
  <c r="AG196" i="13"/>
  <c r="AH196" i="13"/>
  <c r="AI196" i="13"/>
  <c r="AJ196" i="13"/>
  <c r="AK196" i="13"/>
  <c r="AF197" i="13"/>
  <c r="AG197" i="13"/>
  <c r="AH197" i="13"/>
  <c r="AI197" i="13"/>
  <c r="AJ197" i="13"/>
  <c r="AK197" i="13"/>
  <c r="AF198" i="13"/>
  <c r="AG198" i="13"/>
  <c r="AH198" i="13"/>
  <c r="AI198" i="13"/>
  <c r="AJ198" i="13"/>
  <c r="AK198" i="13"/>
  <c r="AF199" i="13"/>
  <c r="AG199" i="13"/>
  <c r="AH199" i="13"/>
  <c r="AI199" i="13"/>
  <c r="AJ199" i="13"/>
  <c r="AK199" i="13"/>
  <c r="AF200" i="13"/>
  <c r="AG200" i="13"/>
  <c r="AH200" i="13"/>
  <c r="AI200" i="13"/>
  <c r="AJ200" i="13"/>
  <c r="AK200" i="13"/>
  <c r="AF201" i="13"/>
  <c r="AG201" i="13"/>
  <c r="AH201" i="13"/>
  <c r="AI201" i="13"/>
  <c r="AJ201" i="13"/>
  <c r="AK201" i="13"/>
  <c r="AF202" i="13"/>
  <c r="AG202" i="13"/>
  <c r="AH202" i="13"/>
  <c r="AI202" i="13"/>
  <c r="AJ202" i="13"/>
  <c r="AK202" i="13"/>
  <c r="AF203" i="13"/>
  <c r="AG203" i="13"/>
  <c r="AH203" i="13"/>
  <c r="AI203" i="13"/>
  <c r="AJ203" i="13"/>
  <c r="AK203" i="13"/>
  <c r="AF204" i="13"/>
  <c r="AG204" i="13"/>
  <c r="AH204" i="13"/>
  <c r="AI204" i="13"/>
  <c r="AJ204" i="13"/>
  <c r="AK204" i="13"/>
  <c r="AF205" i="13"/>
  <c r="AG205" i="13"/>
  <c r="AH205" i="13"/>
  <c r="AI205" i="13"/>
  <c r="AJ205" i="13"/>
  <c r="AK205" i="13"/>
  <c r="AF206" i="13"/>
  <c r="AG206" i="13"/>
  <c r="AH206" i="13"/>
  <c r="AI206" i="13"/>
  <c r="AJ206" i="13"/>
  <c r="AK206" i="13"/>
  <c r="AF207" i="13"/>
  <c r="AG207" i="13"/>
  <c r="AH207" i="13"/>
  <c r="AI207" i="13"/>
  <c r="AJ207" i="13"/>
  <c r="AK207" i="13"/>
  <c r="AF208" i="13"/>
  <c r="AG208" i="13"/>
  <c r="AH208" i="13"/>
  <c r="AI208" i="13"/>
  <c r="AJ208" i="13"/>
  <c r="AK208" i="13"/>
  <c r="AF209" i="13"/>
  <c r="AG209" i="13"/>
  <c r="AH209" i="13"/>
  <c r="AI209" i="13"/>
  <c r="AJ209" i="13"/>
  <c r="AK209" i="13"/>
  <c r="AF210" i="13"/>
  <c r="AG210" i="13"/>
  <c r="AH210" i="13"/>
  <c r="AI210" i="13"/>
  <c r="AJ210" i="13"/>
  <c r="AK210" i="13"/>
  <c r="AF211" i="13"/>
  <c r="AG211" i="13"/>
  <c r="AH211" i="13"/>
  <c r="AI211" i="13"/>
  <c r="AJ211" i="13"/>
  <c r="AK211" i="13"/>
  <c r="AF212" i="13"/>
  <c r="AG212" i="13"/>
  <c r="AH212" i="13"/>
  <c r="AI212" i="13"/>
  <c r="AJ212" i="13"/>
  <c r="AK212" i="13"/>
  <c r="AF213" i="13"/>
  <c r="AG213" i="13"/>
  <c r="AH213" i="13"/>
  <c r="AI213" i="13"/>
  <c r="AJ213" i="13"/>
  <c r="AK213" i="13"/>
  <c r="AF214" i="13"/>
  <c r="AG214" i="13"/>
  <c r="AH214" i="13"/>
  <c r="AI214" i="13"/>
  <c r="AJ214" i="13"/>
  <c r="AK214" i="13"/>
  <c r="AF215" i="13"/>
  <c r="AG215" i="13"/>
  <c r="AH215" i="13"/>
  <c r="AI215" i="13"/>
  <c r="AJ215" i="13"/>
  <c r="AK215" i="13"/>
  <c r="AF216" i="13"/>
  <c r="AG216" i="13"/>
  <c r="AH216" i="13"/>
  <c r="AI216" i="13"/>
  <c r="AJ216" i="13"/>
  <c r="AK216" i="13"/>
  <c r="AF217" i="13"/>
  <c r="AG217" i="13"/>
  <c r="AH217" i="13"/>
  <c r="AI217" i="13"/>
  <c r="AJ217" i="13"/>
  <c r="AK217" i="13"/>
  <c r="AF218" i="13"/>
  <c r="AG218" i="13"/>
  <c r="AH218" i="13"/>
  <c r="AI218" i="13"/>
  <c r="AJ218" i="13"/>
  <c r="AK218" i="13"/>
  <c r="AF219" i="13"/>
  <c r="AG219" i="13"/>
  <c r="AH219" i="13"/>
  <c r="AI219" i="13"/>
  <c r="AJ219" i="13"/>
  <c r="AK219" i="13"/>
  <c r="AF220" i="13"/>
  <c r="AG220" i="13"/>
  <c r="AH220" i="13"/>
  <c r="AI220" i="13"/>
  <c r="AJ220" i="13"/>
  <c r="AK220" i="13"/>
  <c r="AF221" i="13"/>
  <c r="AG221" i="13"/>
  <c r="AH221" i="13"/>
  <c r="AI221" i="13"/>
  <c r="AJ221" i="13"/>
  <c r="AK221" i="13"/>
  <c r="AF222" i="13"/>
  <c r="AG222" i="13"/>
  <c r="AH222" i="13"/>
  <c r="AI222" i="13"/>
  <c r="AJ222" i="13"/>
  <c r="AK222" i="13"/>
  <c r="AF223" i="13"/>
  <c r="AG223" i="13"/>
  <c r="AH223" i="13"/>
  <c r="AI223" i="13"/>
  <c r="AJ223" i="13"/>
  <c r="AK223" i="13"/>
  <c r="AF224" i="13"/>
  <c r="AG224" i="13"/>
  <c r="AH224" i="13"/>
  <c r="AI224" i="13"/>
  <c r="AJ224" i="13"/>
  <c r="AK224" i="13"/>
  <c r="AF225" i="13"/>
  <c r="AG225" i="13"/>
  <c r="AH225" i="13"/>
  <c r="AI225" i="13"/>
  <c r="AJ225" i="13"/>
  <c r="AK225" i="13"/>
  <c r="AF226" i="13"/>
  <c r="AG226" i="13"/>
  <c r="AH226" i="13"/>
  <c r="AI226" i="13"/>
  <c r="AJ226" i="13"/>
  <c r="AK226" i="13"/>
  <c r="AF227" i="13"/>
  <c r="AG227" i="13"/>
  <c r="AH227" i="13"/>
  <c r="AI227" i="13"/>
  <c r="AJ227" i="13"/>
  <c r="AK227" i="13"/>
  <c r="AF228" i="13"/>
  <c r="AG228" i="13"/>
  <c r="AH228" i="13"/>
  <c r="AI228" i="13"/>
  <c r="AJ228" i="13"/>
  <c r="AK228" i="13"/>
  <c r="AF229" i="13"/>
  <c r="AG229" i="13"/>
  <c r="AH229" i="13"/>
  <c r="AI229" i="13"/>
  <c r="AJ229" i="13"/>
  <c r="AK229" i="13"/>
  <c r="AF230" i="13"/>
  <c r="AG230" i="13"/>
  <c r="AH230" i="13"/>
  <c r="AI230" i="13"/>
  <c r="AJ230" i="13"/>
  <c r="AK230" i="13"/>
  <c r="AF231" i="13"/>
  <c r="AG231" i="13"/>
  <c r="AH231" i="13"/>
  <c r="AI231" i="13"/>
  <c r="AJ231" i="13"/>
  <c r="AK231" i="13"/>
  <c r="AF232" i="13"/>
  <c r="AG232" i="13"/>
  <c r="AH232" i="13"/>
  <c r="AI232" i="13"/>
  <c r="AJ232" i="13"/>
  <c r="AK232" i="13"/>
  <c r="AF233" i="13"/>
  <c r="AG233" i="13"/>
  <c r="AH233" i="13"/>
  <c r="AI233" i="13"/>
  <c r="AJ233" i="13"/>
  <c r="AK233" i="13"/>
  <c r="AF234" i="13"/>
  <c r="AG234" i="13"/>
  <c r="AH234" i="13"/>
  <c r="AI234" i="13"/>
  <c r="AJ234" i="13"/>
  <c r="AK234" i="13"/>
  <c r="AF235" i="13"/>
  <c r="AG235" i="13"/>
  <c r="AH235" i="13"/>
  <c r="AI235" i="13"/>
  <c r="AJ235" i="13"/>
  <c r="AK235" i="13"/>
  <c r="AF236" i="13"/>
  <c r="AG236" i="13"/>
  <c r="AH236" i="13"/>
  <c r="AI236" i="13"/>
  <c r="AJ236" i="13"/>
  <c r="AK236" i="13"/>
  <c r="AF237" i="13"/>
  <c r="AG237" i="13"/>
  <c r="AH237" i="13"/>
  <c r="AI237" i="13"/>
  <c r="AJ237" i="13"/>
  <c r="AK237" i="13"/>
  <c r="AF238" i="13"/>
  <c r="AG238" i="13"/>
  <c r="AH238" i="13"/>
  <c r="AI238" i="13"/>
  <c r="AJ238" i="13"/>
  <c r="AK238" i="13"/>
  <c r="AF239" i="13"/>
  <c r="AG239" i="13"/>
  <c r="AH239" i="13"/>
  <c r="AI239" i="13"/>
  <c r="AJ239" i="13"/>
  <c r="AK239" i="13"/>
  <c r="AF240" i="13"/>
  <c r="AG240" i="13"/>
  <c r="AH240" i="13"/>
  <c r="AI240" i="13"/>
  <c r="AJ240" i="13"/>
  <c r="AK240" i="13"/>
  <c r="AF241" i="13"/>
  <c r="AG241" i="13"/>
  <c r="AH241" i="13"/>
  <c r="AI241" i="13"/>
  <c r="AJ241" i="13"/>
  <c r="AK241" i="13"/>
  <c r="AF242" i="13"/>
  <c r="AG242" i="13"/>
  <c r="AH242" i="13"/>
  <c r="AI242" i="13"/>
  <c r="AJ242" i="13"/>
  <c r="AK242" i="13"/>
  <c r="AF243" i="13"/>
  <c r="AG243" i="13"/>
  <c r="AH243" i="13"/>
  <c r="AI243" i="13"/>
  <c r="AJ243" i="13"/>
  <c r="AK243" i="13"/>
  <c r="AF244" i="13"/>
  <c r="AG244" i="13"/>
  <c r="AH244" i="13"/>
  <c r="AI244" i="13"/>
  <c r="AJ244" i="13"/>
  <c r="AK244" i="13"/>
  <c r="AF245" i="13"/>
  <c r="AG245" i="13"/>
  <c r="AH245" i="13"/>
  <c r="AI245" i="13"/>
  <c r="AJ245" i="13"/>
  <c r="AK245" i="13"/>
  <c r="AF246" i="13"/>
  <c r="AG246" i="13"/>
  <c r="AH246" i="13"/>
  <c r="AI246" i="13"/>
  <c r="AJ246" i="13"/>
  <c r="AK246" i="13"/>
  <c r="AF247" i="13"/>
  <c r="AG247" i="13"/>
  <c r="AH247" i="13"/>
  <c r="AI247" i="13"/>
  <c r="AJ247" i="13"/>
  <c r="AK247" i="13"/>
  <c r="AF248" i="13"/>
  <c r="AG248" i="13"/>
  <c r="AH248" i="13"/>
  <c r="AI248" i="13"/>
  <c r="AJ248" i="13"/>
  <c r="AK248" i="13"/>
  <c r="AF249" i="13"/>
  <c r="AG249" i="13"/>
  <c r="AH249" i="13"/>
  <c r="AI249" i="13"/>
  <c r="AJ249" i="13"/>
  <c r="AK249" i="13"/>
  <c r="AF250" i="13"/>
  <c r="AG250" i="13"/>
  <c r="AH250" i="13"/>
  <c r="AI250" i="13"/>
  <c r="AJ250" i="13"/>
  <c r="AK250" i="13"/>
  <c r="AF251" i="13"/>
  <c r="AG251" i="13"/>
  <c r="AH251" i="13"/>
  <c r="AI251" i="13"/>
  <c r="AJ251" i="13"/>
  <c r="AK251" i="13"/>
  <c r="AF252" i="13"/>
  <c r="AG252" i="13"/>
  <c r="AH252" i="13"/>
  <c r="AI252" i="13"/>
  <c r="AJ252" i="13"/>
  <c r="AK252" i="13"/>
  <c r="AF253" i="13"/>
  <c r="AG253" i="13"/>
  <c r="AH253" i="13"/>
  <c r="AI253" i="13"/>
  <c r="AJ253" i="13"/>
  <c r="AK253" i="13"/>
  <c r="AF254" i="13"/>
  <c r="AG254" i="13"/>
  <c r="AH254" i="13"/>
  <c r="AI254" i="13"/>
  <c r="AJ254" i="13"/>
  <c r="AK254" i="13"/>
  <c r="AF255" i="13"/>
  <c r="AG255" i="13"/>
  <c r="AH255" i="13"/>
  <c r="AI255" i="13"/>
  <c r="AJ255" i="13"/>
  <c r="AK255" i="13"/>
  <c r="AF256" i="13"/>
  <c r="AG256" i="13"/>
  <c r="AH256" i="13"/>
  <c r="AI256" i="13"/>
  <c r="AJ256" i="13"/>
  <c r="AK256" i="13"/>
  <c r="AF257" i="13"/>
  <c r="AG257" i="13"/>
  <c r="AH257" i="13"/>
  <c r="AI257" i="13"/>
  <c r="AJ257" i="13"/>
  <c r="AK257" i="13"/>
  <c r="AF258" i="13"/>
  <c r="AG258" i="13"/>
  <c r="AH258" i="13"/>
  <c r="AI258" i="13"/>
  <c r="AJ258" i="13"/>
  <c r="AK258" i="13"/>
  <c r="AF259" i="13"/>
  <c r="AG259" i="13"/>
  <c r="AH259" i="13"/>
  <c r="AI259" i="13"/>
  <c r="AJ259" i="13"/>
  <c r="AK259" i="13"/>
  <c r="AF260" i="13"/>
  <c r="AG260" i="13"/>
  <c r="AH260" i="13"/>
  <c r="AI260" i="13"/>
  <c r="AJ260" i="13"/>
  <c r="AK260" i="13"/>
  <c r="AF261" i="13"/>
  <c r="AG261" i="13"/>
  <c r="AH261" i="13"/>
  <c r="AI261" i="13"/>
  <c r="AJ261" i="13"/>
  <c r="AK261" i="13"/>
  <c r="AF262" i="13"/>
  <c r="AG262" i="13"/>
  <c r="AH262" i="13"/>
  <c r="AI262" i="13"/>
  <c r="AJ262" i="13"/>
  <c r="AK262" i="13"/>
  <c r="AF263" i="13"/>
  <c r="AG263" i="13"/>
  <c r="AH263" i="13"/>
  <c r="AI263" i="13"/>
  <c r="AJ263" i="13"/>
  <c r="AK263" i="13"/>
  <c r="AF264" i="13"/>
  <c r="AG264" i="13"/>
  <c r="AH264" i="13"/>
  <c r="AI264" i="13"/>
  <c r="AJ264" i="13"/>
  <c r="AK264" i="13"/>
  <c r="AF265" i="13"/>
  <c r="AG265" i="13"/>
  <c r="AH265" i="13"/>
  <c r="AI265" i="13"/>
  <c r="AJ265" i="13"/>
  <c r="AK265" i="13"/>
  <c r="AF266" i="13"/>
  <c r="AG266" i="13"/>
  <c r="AH266" i="13"/>
  <c r="AI266" i="13"/>
  <c r="AJ266" i="13"/>
  <c r="AK266" i="13"/>
  <c r="AF267" i="13"/>
  <c r="AG267" i="13"/>
  <c r="AH267" i="13"/>
  <c r="AI267" i="13"/>
  <c r="AJ267" i="13"/>
  <c r="AK267" i="13"/>
  <c r="AF268" i="13"/>
  <c r="AG268" i="13"/>
  <c r="AH268" i="13"/>
  <c r="AI268" i="13"/>
  <c r="AJ268" i="13"/>
  <c r="AK268" i="13"/>
  <c r="AF269" i="13"/>
  <c r="AG269" i="13"/>
  <c r="AH269" i="13"/>
  <c r="AI269" i="13"/>
  <c r="AJ269" i="13"/>
  <c r="AK269" i="13"/>
  <c r="AF270" i="13"/>
  <c r="AG270" i="13"/>
  <c r="AH270" i="13"/>
  <c r="AI270" i="13"/>
  <c r="AJ270" i="13"/>
  <c r="AK270" i="13"/>
  <c r="AF271" i="13"/>
  <c r="AG271" i="13"/>
  <c r="AH271" i="13"/>
  <c r="AI271" i="13"/>
  <c r="AJ271" i="13"/>
  <c r="AK271" i="13"/>
  <c r="AF272" i="13"/>
  <c r="AG272" i="13"/>
  <c r="AH272" i="13"/>
  <c r="AI272" i="13"/>
  <c r="AJ272" i="13"/>
  <c r="AK272" i="13"/>
  <c r="AF273" i="13"/>
  <c r="AG273" i="13"/>
  <c r="AH273" i="13"/>
  <c r="AI273" i="13"/>
  <c r="AJ273" i="13"/>
  <c r="AK273" i="13"/>
  <c r="AF274" i="13"/>
  <c r="AG274" i="13"/>
  <c r="AH274" i="13"/>
  <c r="AI274" i="13"/>
  <c r="AJ274" i="13"/>
  <c r="AK274" i="13"/>
  <c r="AF275" i="13"/>
  <c r="AG275" i="13"/>
  <c r="AH275" i="13"/>
  <c r="AI275" i="13"/>
  <c r="AJ275" i="13"/>
  <c r="AK275" i="13"/>
  <c r="AF276" i="13"/>
  <c r="AG276" i="13"/>
  <c r="AH276" i="13"/>
  <c r="AI276" i="13"/>
  <c r="AJ276" i="13"/>
  <c r="AK276" i="13"/>
  <c r="AF277" i="13"/>
  <c r="AG277" i="13"/>
  <c r="AH277" i="13"/>
  <c r="AI277" i="13"/>
  <c r="AJ277" i="13"/>
  <c r="AK277" i="13"/>
  <c r="AF278" i="13"/>
  <c r="AG278" i="13"/>
  <c r="AH278" i="13"/>
  <c r="AI278" i="13"/>
  <c r="AJ278" i="13"/>
  <c r="AK278" i="13"/>
  <c r="AF279" i="13"/>
  <c r="AG279" i="13"/>
  <c r="AH279" i="13"/>
  <c r="AI279" i="13"/>
  <c r="AJ279" i="13"/>
  <c r="AK279" i="13"/>
  <c r="AF280" i="13"/>
  <c r="AG280" i="13"/>
  <c r="AH280" i="13"/>
  <c r="AI280" i="13"/>
  <c r="AJ280" i="13"/>
  <c r="AK280" i="13"/>
  <c r="AF281" i="13"/>
  <c r="AG281" i="13"/>
  <c r="AH281" i="13"/>
  <c r="AI281" i="13"/>
  <c r="AJ281" i="13"/>
  <c r="AK281" i="13"/>
  <c r="AF282" i="13"/>
  <c r="AG282" i="13"/>
  <c r="AH282" i="13"/>
  <c r="AI282" i="13"/>
  <c r="AJ282" i="13"/>
  <c r="AK282" i="13"/>
  <c r="AF283" i="13"/>
  <c r="AG283" i="13"/>
  <c r="AH283" i="13"/>
  <c r="AI283" i="13"/>
  <c r="AJ283" i="13"/>
  <c r="AK283" i="13"/>
  <c r="AF284" i="13"/>
  <c r="AG284" i="13"/>
  <c r="AH284" i="13"/>
  <c r="AI284" i="13"/>
  <c r="AJ284" i="13"/>
  <c r="AK284" i="13"/>
  <c r="AF285" i="13"/>
  <c r="AG285" i="13"/>
  <c r="AH285" i="13"/>
  <c r="AI285" i="13"/>
  <c r="AJ285" i="13"/>
  <c r="AK285" i="13"/>
  <c r="AF286" i="13"/>
  <c r="AG286" i="13"/>
  <c r="AH286" i="13"/>
  <c r="AI286" i="13"/>
  <c r="AJ286" i="13"/>
  <c r="AK286" i="13"/>
  <c r="AF287" i="13"/>
  <c r="AG287" i="13"/>
  <c r="AH287" i="13"/>
  <c r="AI287" i="13"/>
  <c r="AJ287" i="13"/>
  <c r="AK287" i="13"/>
  <c r="AF288" i="13"/>
  <c r="AG288" i="13"/>
  <c r="AH288" i="13"/>
  <c r="AI288" i="13"/>
  <c r="AJ288" i="13"/>
  <c r="AK288" i="13"/>
  <c r="AF289" i="13"/>
  <c r="AG289" i="13"/>
  <c r="AH289" i="13"/>
  <c r="AI289" i="13"/>
  <c r="AJ289" i="13"/>
  <c r="AK289" i="13"/>
  <c r="AF290" i="13"/>
  <c r="AG290" i="13"/>
  <c r="AH290" i="13"/>
  <c r="AI290" i="13"/>
  <c r="AJ290" i="13"/>
  <c r="AK290" i="13"/>
  <c r="AF291" i="13"/>
  <c r="AG291" i="13"/>
  <c r="AH291" i="13"/>
  <c r="AI291" i="13"/>
  <c r="AJ291" i="13"/>
  <c r="AK291" i="13"/>
  <c r="AF292" i="13"/>
  <c r="AG292" i="13"/>
  <c r="AH292" i="13"/>
  <c r="AI292" i="13"/>
  <c r="AJ292" i="13"/>
  <c r="AK292" i="13"/>
  <c r="AF293" i="13"/>
  <c r="AG293" i="13"/>
  <c r="AH293" i="13"/>
  <c r="AI293" i="13"/>
  <c r="AJ293" i="13"/>
  <c r="AK293" i="13"/>
  <c r="AF294" i="13"/>
  <c r="AG294" i="13"/>
  <c r="AH294" i="13"/>
  <c r="AI294" i="13"/>
  <c r="AJ294" i="13"/>
  <c r="AK294" i="13"/>
  <c r="AF295" i="13"/>
  <c r="AG295" i="13"/>
  <c r="AH295" i="13"/>
  <c r="AI295" i="13"/>
  <c r="AJ295" i="13"/>
  <c r="AK295" i="13"/>
  <c r="AF296" i="13"/>
  <c r="AG296" i="13"/>
  <c r="AH296" i="13"/>
  <c r="AI296" i="13"/>
  <c r="AJ296" i="13"/>
  <c r="AK296" i="13"/>
  <c r="AF297" i="13"/>
  <c r="AG297" i="13"/>
  <c r="AH297" i="13"/>
  <c r="AI297" i="13"/>
  <c r="AJ297" i="13"/>
  <c r="AK297" i="13"/>
  <c r="AF298" i="13"/>
  <c r="AG298" i="13"/>
  <c r="AH298" i="13"/>
  <c r="AI298" i="13"/>
  <c r="AJ298" i="13"/>
  <c r="AK298" i="13"/>
  <c r="AF299" i="13"/>
  <c r="AG299" i="13"/>
  <c r="AH299" i="13"/>
  <c r="AI299" i="13"/>
  <c r="AJ299" i="13"/>
  <c r="AK299" i="13"/>
  <c r="AF300" i="13"/>
  <c r="AG300" i="13"/>
  <c r="AH300" i="13"/>
  <c r="AI300" i="13"/>
  <c r="AJ300" i="13"/>
  <c r="AK300" i="13"/>
  <c r="AF301" i="13"/>
  <c r="AG301" i="13"/>
  <c r="AH301" i="13"/>
  <c r="AI301" i="13"/>
  <c r="AJ301" i="13"/>
  <c r="AK301" i="13"/>
  <c r="AF302" i="13"/>
  <c r="AG302" i="13"/>
  <c r="AH302" i="13"/>
  <c r="AI302" i="13"/>
  <c r="AJ302" i="13"/>
  <c r="AK302" i="13"/>
  <c r="AF303" i="13"/>
  <c r="AG303" i="13"/>
  <c r="AH303" i="13"/>
  <c r="AI303" i="13"/>
  <c r="AJ303" i="13"/>
  <c r="AK303" i="13"/>
  <c r="AF304" i="13"/>
  <c r="AG304" i="13"/>
  <c r="AH304" i="13"/>
  <c r="AI304" i="13"/>
  <c r="AJ304" i="13"/>
  <c r="AK304" i="13"/>
  <c r="AF305" i="13"/>
  <c r="AG305" i="13"/>
  <c r="AH305" i="13"/>
  <c r="AI305" i="13"/>
  <c r="AJ305" i="13"/>
  <c r="AK305" i="13"/>
  <c r="AF306" i="13"/>
  <c r="AG306" i="13"/>
  <c r="AH306" i="13"/>
  <c r="AI306" i="13"/>
  <c r="AJ306" i="13"/>
  <c r="AK306" i="13"/>
  <c r="AF307" i="13"/>
  <c r="AG307" i="13"/>
  <c r="AH307" i="13"/>
  <c r="AI307" i="13"/>
  <c r="AJ307" i="13"/>
  <c r="AK307" i="13"/>
  <c r="AF308" i="13"/>
  <c r="AG308" i="13"/>
  <c r="AH308" i="13"/>
  <c r="AI308" i="13"/>
  <c r="AJ308" i="13"/>
  <c r="AK308" i="13"/>
  <c r="AF309" i="13"/>
  <c r="AG309" i="13"/>
  <c r="AH309" i="13"/>
  <c r="AI309" i="13"/>
  <c r="AJ309" i="13"/>
  <c r="AK309" i="13"/>
  <c r="AF310" i="13"/>
  <c r="AG310" i="13"/>
  <c r="AH310" i="13"/>
  <c r="AI310" i="13"/>
  <c r="AJ310" i="13"/>
  <c r="AK310" i="13"/>
  <c r="AF311" i="13"/>
  <c r="AG311" i="13"/>
  <c r="AH311" i="13"/>
  <c r="AI311" i="13"/>
  <c r="AJ311" i="13"/>
  <c r="AK311" i="13"/>
  <c r="AF312" i="13"/>
  <c r="AG312" i="13"/>
  <c r="AH312" i="13"/>
  <c r="AI312" i="13"/>
  <c r="AJ312" i="13"/>
  <c r="AK312" i="13"/>
  <c r="AF313" i="13"/>
  <c r="AG313" i="13"/>
  <c r="AH313" i="13"/>
  <c r="AI313" i="13"/>
  <c r="AJ313" i="13"/>
  <c r="AK313" i="13"/>
  <c r="AF314" i="13"/>
  <c r="AG314" i="13"/>
  <c r="AH314" i="13"/>
  <c r="AI314" i="13"/>
  <c r="AJ314" i="13"/>
  <c r="AK314" i="13"/>
  <c r="AF315" i="13"/>
  <c r="AG315" i="13"/>
  <c r="AH315" i="13"/>
  <c r="AI315" i="13"/>
  <c r="AJ315" i="13"/>
  <c r="AK315" i="13"/>
  <c r="AF316" i="13"/>
  <c r="AG316" i="13"/>
  <c r="AH316" i="13"/>
  <c r="AI316" i="13"/>
  <c r="AJ316" i="13"/>
  <c r="AK316" i="13"/>
  <c r="AF317" i="13"/>
  <c r="AG317" i="13"/>
  <c r="AH317" i="13"/>
  <c r="AI317" i="13"/>
  <c r="AJ317" i="13"/>
  <c r="AK317" i="13"/>
  <c r="AF318" i="13"/>
  <c r="AG318" i="13"/>
  <c r="AH318" i="13"/>
  <c r="AI318" i="13"/>
  <c r="AJ318" i="13"/>
  <c r="AK318" i="13"/>
  <c r="AF319" i="13"/>
  <c r="AG319" i="13"/>
  <c r="AH319" i="13"/>
  <c r="AI319" i="13"/>
  <c r="AJ319" i="13"/>
  <c r="AK319" i="13"/>
  <c r="AF320" i="13"/>
  <c r="AG320" i="13"/>
  <c r="AH320" i="13"/>
  <c r="AI320" i="13"/>
  <c r="AJ320" i="13"/>
  <c r="AK320" i="13"/>
  <c r="AF321" i="13"/>
  <c r="AG321" i="13"/>
  <c r="AH321" i="13"/>
  <c r="AI321" i="13"/>
  <c r="AJ321" i="13"/>
  <c r="AK321" i="13"/>
  <c r="AF322" i="13"/>
  <c r="AG322" i="13"/>
  <c r="AH322" i="13"/>
  <c r="AI322" i="13"/>
  <c r="AJ322" i="13"/>
  <c r="AK322" i="13"/>
  <c r="AF323" i="13"/>
  <c r="AG323" i="13"/>
  <c r="AH323" i="13"/>
  <c r="AI323" i="13"/>
  <c r="AJ323" i="13"/>
  <c r="AK323" i="13"/>
  <c r="AF324" i="13"/>
  <c r="AG324" i="13"/>
  <c r="AH324" i="13"/>
  <c r="AI324" i="13"/>
  <c r="AJ324" i="13"/>
  <c r="AK324" i="13"/>
  <c r="AF325" i="13"/>
  <c r="AG325" i="13"/>
  <c r="AH325" i="13"/>
  <c r="AI325" i="13"/>
  <c r="AJ325" i="13"/>
  <c r="AK325" i="13"/>
  <c r="AF326" i="13"/>
  <c r="AG326" i="13"/>
  <c r="AH326" i="13"/>
  <c r="AI326" i="13"/>
  <c r="AJ326" i="13"/>
  <c r="AK326" i="13"/>
  <c r="AF327" i="13"/>
  <c r="AG327" i="13"/>
  <c r="AH327" i="13"/>
  <c r="AI327" i="13"/>
  <c r="AJ327" i="13"/>
  <c r="AK327" i="13"/>
  <c r="AF328" i="13"/>
  <c r="AG328" i="13"/>
  <c r="AH328" i="13"/>
  <c r="AI328" i="13"/>
  <c r="AJ328" i="13"/>
  <c r="AK328" i="13"/>
  <c r="AF329" i="13"/>
  <c r="AG329" i="13"/>
  <c r="AH329" i="13"/>
  <c r="AI329" i="13"/>
  <c r="AJ329" i="13"/>
  <c r="AK329" i="13"/>
  <c r="AF330" i="13"/>
  <c r="AG330" i="13"/>
  <c r="AH330" i="13"/>
  <c r="AI330" i="13"/>
  <c r="AJ330" i="13"/>
  <c r="AK330" i="13"/>
  <c r="AF331" i="13"/>
  <c r="AG331" i="13"/>
  <c r="AH331" i="13"/>
  <c r="AI331" i="13"/>
  <c r="AJ331" i="13"/>
  <c r="AK331" i="13"/>
  <c r="AF332" i="13"/>
  <c r="AG332" i="13"/>
  <c r="AH332" i="13"/>
  <c r="AI332" i="13"/>
  <c r="AJ332" i="13"/>
  <c r="AK332" i="13"/>
  <c r="AF333" i="13"/>
  <c r="AG333" i="13"/>
  <c r="AH333" i="13"/>
  <c r="AI333" i="13"/>
  <c r="AJ333" i="13"/>
  <c r="AK333" i="13"/>
  <c r="AF334" i="13"/>
  <c r="AG334" i="13"/>
  <c r="AH334" i="13"/>
  <c r="AI334" i="13"/>
  <c r="AJ334" i="13"/>
  <c r="AK334" i="13"/>
  <c r="AF335" i="13"/>
  <c r="AG335" i="13"/>
  <c r="AH335" i="13"/>
  <c r="AI335" i="13"/>
  <c r="AJ335" i="13"/>
  <c r="AK335" i="13"/>
  <c r="AF336" i="13"/>
  <c r="AG336" i="13"/>
  <c r="AH336" i="13"/>
  <c r="AI336" i="13"/>
  <c r="AJ336" i="13"/>
  <c r="AK336" i="13"/>
  <c r="AF337" i="13"/>
  <c r="AG337" i="13"/>
  <c r="AH337" i="13"/>
  <c r="AI337" i="13"/>
  <c r="AJ337" i="13"/>
  <c r="AK337" i="13"/>
  <c r="AF338" i="13"/>
  <c r="AG338" i="13"/>
  <c r="AH338" i="13"/>
  <c r="AI338" i="13"/>
  <c r="AJ338" i="13"/>
  <c r="AK338" i="13"/>
  <c r="AF339" i="13"/>
  <c r="AG339" i="13"/>
  <c r="AH339" i="13"/>
  <c r="AI339" i="13"/>
  <c r="AJ339" i="13"/>
  <c r="AK339" i="13"/>
  <c r="AF340" i="13"/>
  <c r="AG340" i="13"/>
  <c r="AH340" i="13"/>
  <c r="AI340" i="13"/>
  <c r="AJ340" i="13"/>
  <c r="AK340" i="13"/>
  <c r="AF341" i="13"/>
  <c r="AG341" i="13"/>
  <c r="AH341" i="13"/>
  <c r="AI341" i="13"/>
  <c r="AJ341" i="13"/>
  <c r="AK341" i="13"/>
  <c r="AF342" i="13"/>
  <c r="AG342" i="13"/>
  <c r="AH342" i="13"/>
  <c r="AI342" i="13"/>
  <c r="AJ342" i="13"/>
  <c r="AK342" i="13"/>
  <c r="AF343" i="13"/>
  <c r="AG343" i="13"/>
  <c r="AH343" i="13"/>
  <c r="AI343" i="13"/>
  <c r="AJ343" i="13"/>
  <c r="AK343" i="13"/>
  <c r="AF344" i="13"/>
  <c r="AG344" i="13"/>
  <c r="AH344" i="13"/>
  <c r="AI344" i="13"/>
  <c r="AJ344" i="13"/>
  <c r="AK344" i="13"/>
  <c r="AF345" i="13"/>
  <c r="AG345" i="13"/>
  <c r="AH345" i="13"/>
  <c r="AI345" i="13"/>
  <c r="AJ345" i="13"/>
  <c r="AK345" i="13"/>
  <c r="AF346" i="13"/>
  <c r="AG346" i="13"/>
  <c r="AH346" i="13"/>
  <c r="AI346" i="13"/>
  <c r="AJ346" i="13"/>
  <c r="AK346" i="13"/>
  <c r="AF347" i="13"/>
  <c r="AG347" i="13"/>
  <c r="AH347" i="13"/>
  <c r="AI347" i="13"/>
  <c r="AJ347" i="13"/>
  <c r="AK347" i="13"/>
  <c r="AF348" i="13"/>
  <c r="AG348" i="13"/>
  <c r="AH348" i="13"/>
  <c r="AI348" i="13"/>
  <c r="AJ348" i="13"/>
  <c r="AK348" i="13"/>
  <c r="AF349" i="13"/>
  <c r="AG349" i="13"/>
  <c r="AH349" i="13"/>
  <c r="AI349" i="13"/>
  <c r="AJ349" i="13"/>
  <c r="AK349" i="13"/>
  <c r="AF350" i="13"/>
  <c r="AG350" i="13"/>
  <c r="AH350" i="13"/>
  <c r="AI350" i="13"/>
  <c r="AJ350" i="13"/>
  <c r="AK350" i="13"/>
  <c r="AF351" i="13"/>
  <c r="AG351" i="13"/>
  <c r="AH351" i="13"/>
  <c r="AI351" i="13"/>
  <c r="AJ351" i="13"/>
  <c r="AK351" i="13"/>
  <c r="AF352" i="13"/>
  <c r="AG352" i="13"/>
  <c r="AH352" i="13"/>
  <c r="AI352" i="13"/>
  <c r="AJ352" i="13"/>
  <c r="AK352" i="13"/>
  <c r="AF353" i="13"/>
  <c r="AG353" i="13"/>
  <c r="AH353" i="13"/>
  <c r="AI353" i="13"/>
  <c r="AJ353" i="13"/>
  <c r="AK353" i="13"/>
  <c r="AF354" i="13"/>
  <c r="AG354" i="13"/>
  <c r="AH354" i="13"/>
  <c r="AI354" i="13"/>
  <c r="AJ354" i="13"/>
  <c r="AK354" i="13"/>
  <c r="AF355" i="13"/>
  <c r="AG355" i="13"/>
  <c r="AH355" i="13"/>
  <c r="AI355" i="13"/>
  <c r="AJ355" i="13"/>
  <c r="AK355" i="13"/>
  <c r="AF356" i="13"/>
  <c r="AG356" i="13"/>
  <c r="AH356" i="13"/>
  <c r="AI356" i="13"/>
  <c r="AJ356" i="13"/>
  <c r="AK356" i="13"/>
  <c r="AF357" i="13"/>
  <c r="AG357" i="13"/>
  <c r="AH357" i="13"/>
  <c r="AI357" i="13"/>
  <c r="AJ357" i="13"/>
  <c r="AK357" i="13"/>
  <c r="AF358" i="13"/>
  <c r="AG358" i="13"/>
  <c r="AH358" i="13"/>
  <c r="AI358" i="13"/>
  <c r="AJ358" i="13"/>
  <c r="AK358" i="13"/>
  <c r="AF359" i="13"/>
  <c r="AG359" i="13"/>
  <c r="AH359" i="13"/>
  <c r="AI359" i="13"/>
  <c r="AJ359" i="13"/>
  <c r="AK359" i="13"/>
  <c r="AF360" i="13"/>
  <c r="AG360" i="13"/>
  <c r="AH360" i="13"/>
  <c r="AI360" i="13"/>
  <c r="AJ360" i="13"/>
  <c r="AK360" i="13"/>
  <c r="AF361" i="13"/>
  <c r="AG361" i="13"/>
  <c r="AH361" i="13"/>
  <c r="AI361" i="13"/>
  <c r="AJ361" i="13"/>
  <c r="AK361" i="13"/>
  <c r="AF362" i="13"/>
  <c r="AG362" i="13"/>
  <c r="AH362" i="13"/>
  <c r="AI362" i="13"/>
  <c r="AJ362" i="13"/>
  <c r="AK362" i="13"/>
  <c r="AF363" i="13"/>
  <c r="AG363" i="13"/>
  <c r="AH363" i="13"/>
  <c r="AI363" i="13"/>
  <c r="AJ363" i="13"/>
  <c r="AK363" i="13"/>
  <c r="AF364" i="13"/>
  <c r="AG364" i="13"/>
  <c r="AH364" i="13"/>
  <c r="AI364" i="13"/>
  <c r="AJ364" i="13"/>
  <c r="AK364" i="13"/>
  <c r="AF365" i="13"/>
  <c r="AG365" i="13"/>
  <c r="AH365" i="13"/>
  <c r="AI365" i="13"/>
  <c r="AJ365" i="13"/>
  <c r="AK365" i="13"/>
  <c r="AF366" i="13"/>
  <c r="AG366" i="13"/>
  <c r="AH366" i="13"/>
  <c r="AI366" i="13"/>
  <c r="AJ366" i="13"/>
  <c r="AK366" i="13"/>
  <c r="AF367" i="13"/>
  <c r="AG367" i="13"/>
  <c r="AH367" i="13"/>
  <c r="AI367" i="13"/>
  <c r="AJ367" i="13"/>
  <c r="AK367" i="13"/>
  <c r="AF368" i="13"/>
  <c r="AG368" i="13"/>
  <c r="AH368" i="13"/>
  <c r="AI368" i="13"/>
  <c r="AJ368" i="13"/>
  <c r="AK368" i="13"/>
  <c r="AF369" i="13"/>
  <c r="AG369" i="13"/>
  <c r="AH369" i="13"/>
  <c r="AI369" i="13"/>
  <c r="AJ369" i="13"/>
  <c r="AK369" i="13"/>
  <c r="AF370" i="13"/>
  <c r="AG370" i="13"/>
  <c r="AH370" i="13"/>
  <c r="AI370" i="13"/>
  <c r="AJ370" i="13"/>
  <c r="AK370" i="13"/>
  <c r="AF371" i="13"/>
  <c r="AG371" i="13"/>
  <c r="AH371" i="13"/>
  <c r="AI371" i="13"/>
  <c r="AJ371" i="13"/>
  <c r="AK371" i="13"/>
  <c r="AF372" i="13"/>
  <c r="AG372" i="13"/>
  <c r="AH372" i="13"/>
  <c r="AI372" i="13"/>
  <c r="AJ372" i="13"/>
  <c r="AK372" i="13"/>
  <c r="AF373" i="13"/>
  <c r="AG373" i="13"/>
  <c r="AH373" i="13"/>
  <c r="AI373" i="13"/>
  <c r="AJ373" i="13"/>
  <c r="AK373" i="13"/>
  <c r="AF374" i="13"/>
  <c r="AG374" i="13"/>
  <c r="AH374" i="13"/>
  <c r="AI374" i="13"/>
  <c r="AJ374" i="13"/>
  <c r="AK374" i="13"/>
  <c r="AF375" i="13"/>
  <c r="AG375" i="13"/>
  <c r="AH375" i="13"/>
  <c r="AI375" i="13"/>
  <c r="AJ375" i="13"/>
  <c r="AK375" i="13"/>
  <c r="AF376" i="13"/>
  <c r="AG376" i="13"/>
  <c r="AH376" i="13"/>
  <c r="AI376" i="13"/>
  <c r="AJ376" i="13"/>
  <c r="AK376" i="13"/>
  <c r="AF377" i="13"/>
  <c r="AG377" i="13"/>
  <c r="AH377" i="13"/>
  <c r="AI377" i="13"/>
  <c r="AJ377" i="13"/>
  <c r="AK377" i="13"/>
  <c r="AF378" i="13"/>
  <c r="AG378" i="13"/>
  <c r="AH378" i="13"/>
  <c r="AI378" i="13"/>
  <c r="AJ378" i="13"/>
  <c r="AK378" i="13"/>
  <c r="AF379" i="13"/>
  <c r="AG379" i="13"/>
  <c r="AH379" i="13"/>
  <c r="AI379" i="13"/>
  <c r="AJ379" i="13"/>
  <c r="AK379" i="13"/>
  <c r="AF380" i="13"/>
  <c r="AG380" i="13"/>
  <c r="AH380" i="13"/>
  <c r="AI380" i="13"/>
  <c r="AJ380" i="13"/>
  <c r="AK380" i="13"/>
  <c r="AF381" i="13"/>
  <c r="AG381" i="13"/>
  <c r="AH381" i="13"/>
  <c r="AI381" i="13"/>
  <c r="AJ381" i="13"/>
  <c r="AK381" i="13"/>
  <c r="AF382" i="13"/>
  <c r="AG382" i="13"/>
  <c r="AH382" i="13"/>
  <c r="AI382" i="13"/>
  <c r="AJ382" i="13"/>
  <c r="AK382" i="13"/>
  <c r="AF383" i="13"/>
  <c r="AG383" i="13"/>
  <c r="AH383" i="13"/>
  <c r="AI383" i="13"/>
  <c r="AJ383" i="13"/>
  <c r="AK383" i="13"/>
  <c r="AF384" i="13"/>
  <c r="AG384" i="13"/>
  <c r="AH384" i="13"/>
  <c r="AI384" i="13"/>
  <c r="AJ384" i="13"/>
  <c r="AK384" i="13"/>
  <c r="AF385" i="13"/>
  <c r="AG385" i="13"/>
  <c r="AH385" i="13"/>
  <c r="AI385" i="13"/>
  <c r="AJ385" i="13"/>
  <c r="AK385" i="13"/>
  <c r="AF386" i="13"/>
  <c r="AG386" i="13"/>
  <c r="AH386" i="13"/>
  <c r="AI386" i="13"/>
  <c r="AJ386" i="13"/>
  <c r="AK386" i="13"/>
  <c r="AF387" i="13"/>
  <c r="AG387" i="13"/>
  <c r="AH387" i="13"/>
  <c r="AI387" i="13"/>
  <c r="AJ387" i="13"/>
  <c r="AK387" i="13"/>
  <c r="AF388" i="13"/>
  <c r="AG388" i="13"/>
  <c r="AH388" i="13"/>
  <c r="AI388" i="13"/>
  <c r="AJ388" i="13"/>
  <c r="AK388" i="13"/>
  <c r="AF389" i="13"/>
  <c r="AG389" i="13"/>
  <c r="AH389" i="13"/>
  <c r="AI389" i="13"/>
  <c r="AJ389" i="13"/>
  <c r="AK389" i="13"/>
  <c r="AF390" i="13"/>
  <c r="AG390" i="13"/>
  <c r="AH390" i="13"/>
  <c r="AI390" i="13"/>
  <c r="AJ390" i="13"/>
  <c r="AK390" i="13"/>
  <c r="AF391" i="13"/>
  <c r="AG391" i="13"/>
  <c r="AH391" i="13"/>
  <c r="AI391" i="13"/>
  <c r="AJ391" i="13"/>
  <c r="AK391" i="13"/>
  <c r="AF392" i="13"/>
  <c r="AG392" i="13"/>
  <c r="AH392" i="13"/>
  <c r="AI392" i="13"/>
  <c r="AJ392" i="13"/>
  <c r="AK392" i="13"/>
  <c r="AF393" i="13"/>
  <c r="AG393" i="13"/>
  <c r="AH393" i="13"/>
  <c r="AI393" i="13"/>
  <c r="AJ393" i="13"/>
  <c r="AK393" i="13"/>
  <c r="AF394" i="13"/>
  <c r="AG394" i="13"/>
  <c r="AH394" i="13"/>
  <c r="AI394" i="13"/>
  <c r="AJ394" i="13"/>
  <c r="AK394" i="13"/>
  <c r="AF395" i="13"/>
  <c r="AG395" i="13"/>
  <c r="AH395" i="13"/>
  <c r="AI395" i="13"/>
  <c r="AJ395" i="13"/>
  <c r="AK395" i="13"/>
  <c r="AF396" i="13"/>
  <c r="AG396" i="13"/>
  <c r="AH396" i="13"/>
  <c r="AI396" i="13"/>
  <c r="AJ396" i="13"/>
  <c r="AK396" i="13"/>
  <c r="AF397" i="13"/>
  <c r="AG397" i="13"/>
  <c r="AH397" i="13"/>
  <c r="AI397" i="13"/>
  <c r="AJ397" i="13"/>
  <c r="AK397" i="13"/>
  <c r="AF398" i="13"/>
  <c r="AG398" i="13"/>
  <c r="AH398" i="13"/>
  <c r="AI398" i="13"/>
  <c r="AJ398" i="13"/>
  <c r="AK398" i="13"/>
  <c r="AF399" i="13"/>
  <c r="AG399" i="13"/>
  <c r="AH399" i="13"/>
  <c r="AI399" i="13"/>
  <c r="AJ399" i="13"/>
  <c r="AK399" i="13"/>
  <c r="AF400" i="13"/>
  <c r="AG400" i="13"/>
  <c r="AH400" i="13"/>
  <c r="AI400" i="13"/>
  <c r="AJ400" i="13"/>
  <c r="AK400" i="13"/>
  <c r="AF401" i="13"/>
  <c r="AG401" i="13"/>
  <c r="AH401" i="13"/>
  <c r="AI401" i="13"/>
  <c r="AJ401" i="13"/>
  <c r="AK401" i="13"/>
  <c r="AF402" i="13"/>
  <c r="AG402" i="13"/>
  <c r="AH402" i="13"/>
  <c r="AI402" i="13"/>
  <c r="AJ402" i="13"/>
  <c r="AK402" i="13"/>
  <c r="AF403" i="13"/>
  <c r="AG403" i="13"/>
  <c r="AH403" i="13"/>
  <c r="AI403" i="13"/>
  <c r="AJ403" i="13"/>
  <c r="AK403" i="13"/>
  <c r="AF404" i="13"/>
  <c r="AG404" i="13"/>
  <c r="AH404" i="13"/>
  <c r="AI404" i="13"/>
  <c r="AJ404" i="13"/>
  <c r="AK404" i="13"/>
  <c r="AF405" i="13"/>
  <c r="AG405" i="13"/>
  <c r="AH405" i="13"/>
  <c r="AI405" i="13"/>
  <c r="AJ405" i="13"/>
  <c r="AK405" i="13"/>
  <c r="AF406" i="13"/>
  <c r="AG406" i="13"/>
  <c r="AH406" i="13"/>
  <c r="AI406" i="13"/>
  <c r="AJ406" i="13"/>
  <c r="AK406" i="13"/>
  <c r="AF407" i="13"/>
  <c r="AG407" i="13"/>
  <c r="AH407" i="13"/>
  <c r="AI407" i="13"/>
  <c r="AJ407" i="13"/>
  <c r="AK407" i="13"/>
  <c r="AF408" i="13"/>
  <c r="AG408" i="13"/>
  <c r="AH408" i="13"/>
  <c r="AI408" i="13"/>
  <c r="AJ408" i="13"/>
  <c r="AK408" i="13"/>
  <c r="AF409" i="13"/>
  <c r="AG409" i="13"/>
  <c r="AH409" i="13"/>
  <c r="AI409" i="13"/>
  <c r="AJ409" i="13"/>
  <c r="AK409" i="13"/>
  <c r="AF410" i="13"/>
  <c r="AG410" i="13"/>
  <c r="AH410" i="13"/>
  <c r="AI410" i="13"/>
  <c r="AJ410" i="13"/>
  <c r="AK410" i="13"/>
  <c r="AF411" i="13"/>
  <c r="AG411" i="13"/>
  <c r="AH411" i="13"/>
  <c r="AI411" i="13"/>
  <c r="AJ411" i="13"/>
  <c r="AK411" i="13"/>
  <c r="AF412" i="13"/>
  <c r="AG412" i="13"/>
  <c r="AH412" i="13"/>
  <c r="AI412" i="13"/>
  <c r="AJ412" i="13"/>
  <c r="AK412" i="13"/>
  <c r="AF413" i="13"/>
  <c r="AG413" i="13"/>
  <c r="AH413" i="13"/>
  <c r="AI413" i="13"/>
  <c r="AJ413" i="13"/>
  <c r="AK413" i="13"/>
  <c r="AF414" i="13"/>
  <c r="AG414" i="13"/>
  <c r="AH414" i="13"/>
  <c r="AI414" i="13"/>
  <c r="AJ414" i="13"/>
  <c r="AK414" i="13"/>
  <c r="AF415" i="13"/>
  <c r="AG415" i="13"/>
  <c r="AH415" i="13"/>
  <c r="AI415" i="13"/>
  <c r="AJ415" i="13"/>
  <c r="AK415" i="13"/>
  <c r="AF416" i="13"/>
  <c r="AG416" i="13"/>
  <c r="AH416" i="13"/>
  <c r="AI416" i="13"/>
  <c r="AJ416" i="13"/>
  <c r="AK416" i="13"/>
  <c r="AF417" i="13"/>
  <c r="AG417" i="13"/>
  <c r="AH417" i="13"/>
  <c r="AI417" i="13"/>
  <c r="AJ417" i="13"/>
  <c r="AK417" i="13"/>
  <c r="AF418" i="13"/>
  <c r="AG418" i="13"/>
  <c r="AH418" i="13"/>
  <c r="AI418" i="13"/>
  <c r="AJ418" i="13"/>
  <c r="AK418" i="13"/>
  <c r="AF419" i="13"/>
  <c r="AG419" i="13"/>
  <c r="AH419" i="13"/>
  <c r="AI419" i="13"/>
  <c r="AJ419" i="13"/>
  <c r="AK419" i="13"/>
  <c r="AF420" i="13"/>
  <c r="AG420" i="13"/>
  <c r="AH420" i="13"/>
  <c r="AI420" i="13"/>
  <c r="AJ420" i="13"/>
  <c r="AK420" i="13"/>
  <c r="AF421" i="13"/>
  <c r="AG421" i="13"/>
  <c r="AH421" i="13"/>
  <c r="AI421" i="13"/>
  <c r="AJ421" i="13"/>
  <c r="AK421" i="13"/>
  <c r="AF422" i="13"/>
  <c r="AG422" i="13"/>
  <c r="AH422" i="13"/>
  <c r="AI422" i="13"/>
  <c r="AJ422" i="13"/>
  <c r="AK422" i="13"/>
  <c r="AF423" i="13"/>
  <c r="AG423" i="13"/>
  <c r="AH423" i="13"/>
  <c r="AI423" i="13"/>
  <c r="AJ423" i="13"/>
  <c r="AK423" i="13"/>
  <c r="AF424" i="13"/>
  <c r="AG424" i="13"/>
  <c r="AH424" i="13"/>
  <c r="AI424" i="13"/>
  <c r="AJ424" i="13"/>
  <c r="AK424" i="13"/>
  <c r="AF425" i="13"/>
  <c r="AG425" i="13"/>
  <c r="AH425" i="13"/>
  <c r="AI425" i="13"/>
  <c r="AJ425" i="13"/>
  <c r="AK425" i="13"/>
  <c r="AF426" i="13"/>
  <c r="AG426" i="13"/>
  <c r="AH426" i="13"/>
  <c r="AI426" i="13"/>
  <c r="AJ426" i="13"/>
  <c r="AK426" i="13"/>
  <c r="AF427" i="13"/>
  <c r="AG427" i="13"/>
  <c r="AH427" i="13"/>
  <c r="AI427" i="13"/>
  <c r="AJ427" i="13"/>
  <c r="AK427" i="13"/>
  <c r="AF428" i="13"/>
  <c r="AG428" i="13"/>
  <c r="AH428" i="13"/>
  <c r="AI428" i="13"/>
  <c r="AJ428" i="13"/>
  <c r="AK428" i="13"/>
  <c r="AF429" i="13"/>
  <c r="AG429" i="13"/>
  <c r="AH429" i="13"/>
  <c r="AI429" i="13"/>
  <c r="AJ429" i="13"/>
  <c r="AK429" i="13"/>
  <c r="AF430" i="13"/>
  <c r="AG430" i="13"/>
  <c r="AH430" i="13"/>
  <c r="AI430" i="13"/>
  <c r="AJ430" i="13"/>
  <c r="AK430" i="13"/>
  <c r="AF431" i="13"/>
  <c r="AG431" i="13"/>
  <c r="AH431" i="13"/>
  <c r="AI431" i="13"/>
  <c r="AJ431" i="13"/>
  <c r="AK431" i="13"/>
  <c r="AF432" i="13"/>
  <c r="AG432" i="13"/>
  <c r="AH432" i="13"/>
  <c r="AI432" i="13"/>
  <c r="AJ432" i="13"/>
  <c r="AK432" i="13"/>
  <c r="AF433" i="13"/>
  <c r="AG433" i="13"/>
  <c r="AH433" i="13"/>
  <c r="AI433" i="13"/>
  <c r="AJ433" i="13"/>
  <c r="AK433" i="13"/>
  <c r="AF434" i="13"/>
  <c r="AG434" i="13"/>
  <c r="AH434" i="13"/>
  <c r="AI434" i="13"/>
  <c r="AJ434" i="13"/>
  <c r="AK434" i="13"/>
  <c r="AF435" i="13"/>
  <c r="AG435" i="13"/>
  <c r="AH435" i="13"/>
  <c r="AI435" i="13"/>
  <c r="AJ435" i="13"/>
  <c r="AK435" i="13"/>
  <c r="AF436" i="13"/>
  <c r="AG436" i="13"/>
  <c r="AH436" i="13"/>
  <c r="AI436" i="13"/>
  <c r="AJ436" i="13"/>
  <c r="AK436" i="13"/>
  <c r="AF437" i="13"/>
  <c r="AG437" i="13"/>
  <c r="AH437" i="13"/>
  <c r="AI437" i="13"/>
  <c r="AJ437" i="13"/>
  <c r="AK437" i="13"/>
  <c r="AF438" i="13"/>
  <c r="AG438" i="13"/>
  <c r="AH438" i="13"/>
  <c r="AI438" i="13"/>
  <c r="AJ438" i="13"/>
  <c r="AK438" i="13"/>
  <c r="AF439" i="13"/>
  <c r="AG439" i="13"/>
  <c r="AH439" i="13"/>
  <c r="AI439" i="13"/>
  <c r="AJ439" i="13"/>
  <c r="AK439" i="13"/>
  <c r="AF440" i="13"/>
  <c r="AG440" i="13"/>
  <c r="AH440" i="13"/>
  <c r="AI440" i="13"/>
  <c r="AJ440" i="13"/>
  <c r="AK440" i="13"/>
  <c r="AF441" i="13"/>
  <c r="AG441" i="13"/>
  <c r="AH441" i="13"/>
  <c r="AI441" i="13"/>
  <c r="AJ441" i="13"/>
  <c r="AK441" i="13"/>
  <c r="AF442" i="13"/>
  <c r="AG442" i="13"/>
  <c r="AH442" i="13"/>
  <c r="AI442" i="13"/>
  <c r="AJ442" i="13"/>
  <c r="AK442" i="13"/>
  <c r="AF443" i="13"/>
  <c r="AG443" i="13"/>
  <c r="AH443" i="13"/>
  <c r="AI443" i="13"/>
  <c r="AJ443" i="13"/>
  <c r="AK443" i="13"/>
  <c r="AF444" i="13"/>
  <c r="AG444" i="13"/>
  <c r="AH444" i="13"/>
  <c r="AI444" i="13"/>
  <c r="AJ444" i="13"/>
  <c r="AK444" i="13"/>
  <c r="AF445" i="13"/>
  <c r="AG445" i="13"/>
  <c r="AH445" i="13"/>
  <c r="AI445" i="13"/>
  <c r="AJ445" i="13"/>
  <c r="AK445" i="13"/>
  <c r="AF446" i="13"/>
  <c r="AG446" i="13"/>
  <c r="AH446" i="13"/>
  <c r="AI446" i="13"/>
  <c r="AJ446" i="13"/>
  <c r="AK446" i="13"/>
  <c r="AF447" i="13"/>
  <c r="AG447" i="13"/>
  <c r="AH447" i="13"/>
  <c r="AI447" i="13"/>
  <c r="AJ447" i="13"/>
  <c r="AK447" i="13"/>
  <c r="AF448" i="13"/>
  <c r="AG448" i="13"/>
  <c r="AH448" i="13"/>
  <c r="AI448" i="13"/>
  <c r="AJ448" i="13"/>
  <c r="AK448" i="13"/>
  <c r="AF449" i="13"/>
  <c r="AG449" i="13"/>
  <c r="AH449" i="13"/>
  <c r="AI449" i="13"/>
  <c r="AJ449" i="13"/>
  <c r="AK449" i="13"/>
  <c r="AF450" i="13"/>
  <c r="AG450" i="13"/>
  <c r="AH450" i="13"/>
  <c r="AI450" i="13"/>
  <c r="AJ450" i="13"/>
  <c r="AK450" i="13"/>
  <c r="AF451" i="13"/>
  <c r="AG451" i="13"/>
  <c r="AH451" i="13"/>
  <c r="AI451" i="13"/>
  <c r="AJ451" i="13"/>
  <c r="AK451" i="13"/>
  <c r="AF452" i="13"/>
  <c r="AG452" i="13"/>
  <c r="AH452" i="13"/>
  <c r="AI452" i="13"/>
  <c r="AJ452" i="13"/>
  <c r="AK452" i="13"/>
  <c r="AF453" i="13"/>
  <c r="AG453" i="13"/>
  <c r="AH453" i="13"/>
  <c r="AI453" i="13"/>
  <c r="AJ453" i="13"/>
  <c r="AK453" i="13"/>
  <c r="AF454" i="13"/>
  <c r="AG454" i="13"/>
  <c r="AH454" i="13"/>
  <c r="AI454" i="13"/>
  <c r="AJ454" i="13"/>
  <c r="AK454" i="13"/>
  <c r="AF455" i="13"/>
  <c r="AG455" i="13"/>
  <c r="AH455" i="13"/>
  <c r="AI455" i="13"/>
  <c r="AJ455" i="13"/>
  <c r="AK455" i="13"/>
  <c r="AF456" i="13"/>
  <c r="AG456" i="13"/>
  <c r="AH456" i="13"/>
  <c r="AI456" i="13"/>
  <c r="AJ456" i="13"/>
  <c r="AK456" i="13"/>
  <c r="AF457" i="13"/>
  <c r="AG457" i="13"/>
  <c r="AH457" i="13"/>
  <c r="AI457" i="13"/>
  <c r="AJ457" i="13"/>
  <c r="AK457" i="13"/>
  <c r="AF458" i="13"/>
  <c r="AG458" i="13"/>
  <c r="AH458" i="13"/>
  <c r="AI458" i="13"/>
  <c r="AJ458" i="13"/>
  <c r="AK458" i="13"/>
  <c r="AF459" i="13"/>
  <c r="AG459" i="13"/>
  <c r="AH459" i="13"/>
  <c r="AI459" i="13"/>
  <c r="AJ459" i="13"/>
  <c r="AK459" i="13"/>
  <c r="AF460" i="13"/>
  <c r="AG460" i="13"/>
  <c r="AH460" i="13"/>
  <c r="AI460" i="13"/>
  <c r="AJ460" i="13"/>
  <c r="AK460" i="13"/>
  <c r="AF461" i="13"/>
  <c r="AG461" i="13"/>
  <c r="AH461" i="13"/>
  <c r="AI461" i="13"/>
  <c r="AJ461" i="13"/>
  <c r="AK461" i="13"/>
  <c r="AF462" i="13"/>
  <c r="AG462" i="13"/>
  <c r="AH462" i="13"/>
  <c r="AI462" i="13"/>
  <c r="AJ462" i="13"/>
  <c r="AK462" i="13"/>
  <c r="AF463" i="13"/>
  <c r="AG463" i="13"/>
  <c r="AH463" i="13"/>
  <c r="AI463" i="13"/>
  <c r="AJ463" i="13"/>
  <c r="AK463" i="13"/>
  <c r="AF464" i="13"/>
  <c r="AG464" i="13"/>
  <c r="AH464" i="13"/>
  <c r="AI464" i="13"/>
  <c r="AJ464" i="13"/>
  <c r="AK464" i="13"/>
  <c r="AF465" i="13"/>
  <c r="AG465" i="13"/>
  <c r="AH465" i="13"/>
  <c r="AI465" i="13"/>
  <c r="AJ465" i="13"/>
  <c r="AK465" i="13"/>
  <c r="AF466" i="13"/>
  <c r="AG466" i="13"/>
  <c r="AH466" i="13"/>
  <c r="AI466" i="13"/>
  <c r="AJ466" i="13"/>
  <c r="AK466" i="13"/>
  <c r="AF467" i="13"/>
  <c r="AG467" i="13"/>
  <c r="AH467" i="13"/>
  <c r="AI467" i="13"/>
  <c r="AJ467" i="13"/>
  <c r="AK467" i="13"/>
  <c r="AF468" i="13"/>
  <c r="AG468" i="13"/>
  <c r="AH468" i="13"/>
  <c r="AI468" i="13"/>
  <c r="AJ468" i="13"/>
  <c r="AK468" i="13"/>
  <c r="AF469" i="13"/>
  <c r="AG469" i="13"/>
  <c r="AH469" i="13"/>
  <c r="AI469" i="13"/>
  <c r="AJ469" i="13"/>
  <c r="AK469" i="13"/>
  <c r="AF470" i="13"/>
  <c r="AG470" i="13"/>
  <c r="AH470" i="13"/>
  <c r="AI470" i="13"/>
  <c r="AJ470" i="13"/>
  <c r="AK470" i="13"/>
  <c r="AF471" i="13"/>
  <c r="AG471" i="13"/>
  <c r="AH471" i="13"/>
  <c r="AI471" i="13"/>
  <c r="AJ471" i="13"/>
  <c r="AK471" i="13"/>
  <c r="AF472" i="13"/>
  <c r="AG472" i="13"/>
  <c r="AH472" i="13"/>
  <c r="AI472" i="13"/>
  <c r="AJ472" i="13"/>
  <c r="AK472" i="13"/>
  <c r="AF473" i="13"/>
  <c r="AG473" i="13"/>
  <c r="AH473" i="13"/>
  <c r="AI473" i="13"/>
  <c r="AJ473" i="13"/>
  <c r="AK473" i="13"/>
  <c r="AF474" i="13"/>
  <c r="AG474" i="13"/>
  <c r="AH474" i="13"/>
  <c r="AI474" i="13"/>
  <c r="AJ474" i="13"/>
  <c r="AK474" i="13"/>
  <c r="AF475" i="13"/>
  <c r="AG475" i="13"/>
  <c r="AH475" i="13"/>
  <c r="AI475" i="13"/>
  <c r="AJ475" i="13"/>
  <c r="AK475" i="13"/>
  <c r="AF476" i="13"/>
  <c r="AG476" i="13"/>
  <c r="AH476" i="13"/>
  <c r="AI476" i="13"/>
  <c r="AJ476" i="13"/>
  <c r="AK476" i="13"/>
  <c r="AF477" i="13"/>
  <c r="AG477" i="13"/>
  <c r="AH477" i="13"/>
  <c r="AI477" i="13"/>
  <c r="AJ477" i="13"/>
  <c r="AK477" i="13"/>
  <c r="AF478" i="13"/>
  <c r="AG478" i="13"/>
  <c r="AH478" i="13"/>
  <c r="AI478" i="13"/>
  <c r="AJ478" i="13"/>
  <c r="AK478" i="13"/>
  <c r="AF479" i="13"/>
  <c r="AG479" i="13"/>
  <c r="AH479" i="13"/>
  <c r="AI479" i="13"/>
  <c r="AJ479" i="13"/>
  <c r="AK479" i="13"/>
  <c r="AF480" i="13"/>
  <c r="AG480" i="13"/>
  <c r="AH480" i="13"/>
  <c r="AI480" i="13"/>
  <c r="AJ480" i="13"/>
  <c r="AK480" i="13"/>
  <c r="AF481" i="13"/>
  <c r="AG481" i="13"/>
  <c r="AH481" i="13"/>
  <c r="AI481" i="13"/>
  <c r="AJ481" i="13"/>
  <c r="AK481" i="13"/>
  <c r="AF482" i="13"/>
  <c r="AG482" i="13"/>
  <c r="AH482" i="13"/>
  <c r="AI482" i="13"/>
  <c r="AJ482" i="13"/>
  <c r="AK482" i="13"/>
  <c r="AF483" i="13"/>
  <c r="AG483" i="13"/>
  <c r="AH483" i="13"/>
  <c r="AI483" i="13"/>
  <c r="AJ483" i="13"/>
  <c r="AK483" i="13"/>
  <c r="AF484" i="13"/>
  <c r="AG484" i="13"/>
  <c r="AH484" i="13"/>
  <c r="AI484" i="13"/>
  <c r="AJ484" i="13"/>
  <c r="AK484" i="13"/>
  <c r="AF485" i="13"/>
  <c r="AG485" i="13"/>
  <c r="AH485" i="13"/>
  <c r="AI485" i="13"/>
  <c r="AJ485" i="13"/>
  <c r="AK485" i="13"/>
  <c r="AF486" i="13"/>
  <c r="AG486" i="13"/>
  <c r="AH486" i="13"/>
  <c r="AI486" i="13"/>
  <c r="AJ486" i="13"/>
  <c r="AK486" i="13"/>
  <c r="AF487" i="13"/>
  <c r="AG487" i="13"/>
  <c r="AH487" i="13"/>
  <c r="AI487" i="13"/>
  <c r="AJ487" i="13"/>
  <c r="AK487" i="13"/>
  <c r="AF488" i="13"/>
  <c r="AG488" i="13"/>
  <c r="AH488" i="13"/>
  <c r="AI488" i="13"/>
  <c r="AJ488" i="13"/>
  <c r="AK488" i="13"/>
  <c r="AF489" i="13"/>
  <c r="AG489" i="13"/>
  <c r="AH489" i="13"/>
  <c r="AI489" i="13"/>
  <c r="AJ489" i="13"/>
  <c r="AK489" i="13"/>
  <c r="AF490" i="13"/>
  <c r="AG490" i="13"/>
  <c r="AH490" i="13"/>
  <c r="AI490" i="13"/>
  <c r="AJ490" i="13"/>
  <c r="AK490" i="13"/>
  <c r="AF491" i="13"/>
  <c r="AG491" i="13"/>
  <c r="AH491" i="13"/>
  <c r="AI491" i="13"/>
  <c r="AJ491" i="13"/>
  <c r="AK491" i="13"/>
  <c r="AF492" i="13"/>
  <c r="AG492" i="13"/>
  <c r="AH492" i="13"/>
  <c r="AI492" i="13"/>
  <c r="AJ492" i="13"/>
  <c r="AK492" i="13"/>
  <c r="AF493" i="13"/>
  <c r="AG493" i="13"/>
  <c r="AH493" i="13"/>
  <c r="AI493" i="13"/>
  <c r="AJ493" i="13"/>
  <c r="AK493" i="13"/>
  <c r="AG5" i="13"/>
  <c r="AH5" i="13"/>
  <c r="AI5" i="13"/>
  <c r="AJ5" i="13"/>
  <c r="AK5" i="13"/>
  <c r="AF5" i="13"/>
  <c r="W5" i="13"/>
  <c r="X5" i="13"/>
  <c r="Y5" i="13"/>
  <c r="Z5" i="13"/>
  <c r="AA5" i="13"/>
  <c r="AB5" i="13"/>
  <c r="W6" i="13"/>
  <c r="X6" i="13"/>
  <c r="Y6" i="13"/>
  <c r="Z6" i="13"/>
  <c r="AA6" i="13"/>
  <c r="AB6" i="13"/>
  <c r="W34" i="13"/>
  <c r="X34" i="13"/>
  <c r="Y34" i="13"/>
  <c r="Z7" i="13"/>
  <c r="AA7" i="13"/>
  <c r="AB7" i="13"/>
  <c r="W19" i="13"/>
  <c r="X19" i="13"/>
  <c r="Y19" i="13"/>
  <c r="Z8" i="13"/>
  <c r="AA8" i="13"/>
  <c r="AB8" i="13"/>
  <c r="W23" i="13"/>
  <c r="X23" i="13"/>
  <c r="Y23" i="13"/>
  <c r="Z9" i="13"/>
  <c r="AA9" i="13"/>
  <c r="AB9" i="13"/>
  <c r="W33" i="13"/>
  <c r="X33" i="13"/>
  <c r="Y33" i="13"/>
  <c r="Z10" i="13"/>
  <c r="AA10" i="13"/>
  <c r="AB10" i="13"/>
  <c r="W39" i="13"/>
  <c r="X39" i="13"/>
  <c r="Y39" i="13"/>
  <c r="Z11" i="13"/>
  <c r="AA11" i="13"/>
  <c r="AB11" i="13"/>
  <c r="W18" i="13"/>
  <c r="X18" i="13"/>
  <c r="Y18" i="13"/>
  <c r="Z12" i="13"/>
  <c r="AA12" i="13"/>
  <c r="AB12" i="13"/>
  <c r="W13" i="13"/>
  <c r="X13" i="13"/>
  <c r="Y13" i="13"/>
  <c r="Z13" i="13"/>
  <c r="AA13" i="13"/>
  <c r="AB13" i="13"/>
  <c r="W25" i="13"/>
  <c r="X25" i="13"/>
  <c r="Y25" i="13"/>
  <c r="Z14" i="13"/>
  <c r="AA14" i="13"/>
  <c r="AB14" i="13"/>
  <c r="W30" i="13"/>
  <c r="X30" i="13"/>
  <c r="Y30" i="13"/>
  <c r="Z15" i="13"/>
  <c r="AA15" i="13"/>
  <c r="AB15" i="13"/>
  <c r="W16" i="13"/>
  <c r="X16" i="13"/>
  <c r="Y16" i="13"/>
  <c r="Z16" i="13"/>
  <c r="AA16" i="13"/>
  <c r="AB16" i="13"/>
  <c r="W42" i="13"/>
  <c r="X42" i="13"/>
  <c r="Y42" i="13"/>
  <c r="Z17" i="13"/>
  <c r="AA17" i="13"/>
  <c r="AB17" i="13"/>
  <c r="W15" i="13"/>
  <c r="X15" i="13"/>
  <c r="Y15" i="13"/>
  <c r="Z18" i="13"/>
  <c r="AA18" i="13"/>
  <c r="AB18" i="13"/>
  <c r="W10" i="13"/>
  <c r="X10" i="13"/>
  <c r="Y10" i="13"/>
  <c r="Z19" i="13"/>
  <c r="AA19" i="13"/>
  <c r="AB19" i="13"/>
  <c r="W7" i="13"/>
  <c r="X7" i="13"/>
  <c r="Y7" i="13"/>
  <c r="Z20" i="13"/>
  <c r="AA20" i="13"/>
  <c r="AB20" i="13"/>
  <c r="W35" i="13"/>
  <c r="X35" i="13"/>
  <c r="Y35" i="13"/>
  <c r="Z21" i="13"/>
  <c r="AA21" i="13"/>
  <c r="AB21" i="13"/>
  <c r="W14" i="13"/>
  <c r="X14" i="13"/>
  <c r="Y14" i="13"/>
  <c r="Z22" i="13"/>
  <c r="AA22" i="13"/>
  <c r="AB22" i="13"/>
  <c r="W27" i="13"/>
  <c r="X27" i="13"/>
  <c r="Y27" i="13"/>
  <c r="Z23" i="13"/>
  <c r="AA23" i="13"/>
  <c r="AB23" i="13"/>
  <c r="W40" i="13"/>
  <c r="X40" i="13"/>
  <c r="Y40" i="13"/>
  <c r="Z24" i="13"/>
  <c r="AA24" i="13"/>
  <c r="AB24" i="13"/>
  <c r="W36" i="13"/>
  <c r="X36" i="13"/>
  <c r="Y36" i="13"/>
  <c r="Z25" i="13"/>
  <c r="AA25" i="13"/>
  <c r="AB25" i="13"/>
  <c r="W26" i="13"/>
  <c r="X26" i="13"/>
  <c r="Y26" i="13"/>
  <c r="Z26" i="13"/>
  <c r="AA26" i="13"/>
  <c r="AB26" i="13"/>
  <c r="W31" i="13"/>
  <c r="X31" i="13"/>
  <c r="Y31" i="13"/>
  <c r="Z27" i="13"/>
  <c r="AA27" i="13"/>
  <c r="AB27" i="13"/>
  <c r="W41" i="13"/>
  <c r="X41" i="13"/>
  <c r="Y41" i="13"/>
  <c r="Z28" i="13"/>
  <c r="AA28" i="13"/>
  <c r="AB28" i="13"/>
  <c r="W47" i="13"/>
  <c r="X47" i="13"/>
  <c r="Y47" i="13"/>
  <c r="Z29" i="13"/>
  <c r="AA29" i="13"/>
  <c r="AB29" i="13"/>
  <c r="W20" i="13"/>
  <c r="X20" i="13"/>
  <c r="Y20" i="13"/>
  <c r="Z30" i="13"/>
  <c r="AA30" i="13"/>
  <c r="AB30" i="13"/>
  <c r="W37" i="13"/>
  <c r="X37" i="13"/>
  <c r="Y37" i="13"/>
  <c r="Z31" i="13"/>
  <c r="AA31" i="13"/>
  <c r="AB31" i="13"/>
  <c r="W32" i="13"/>
  <c r="X32" i="13"/>
  <c r="Y32" i="13"/>
  <c r="Z32" i="13"/>
  <c r="AA32" i="13"/>
  <c r="AB32" i="13"/>
  <c r="W12" i="13"/>
  <c r="X12" i="13"/>
  <c r="Y12" i="13"/>
  <c r="Z33" i="13"/>
  <c r="AA33" i="13"/>
  <c r="AB33" i="13"/>
  <c r="W8" i="13"/>
  <c r="X8" i="13"/>
  <c r="Y8" i="13"/>
  <c r="Z34" i="13"/>
  <c r="AA34" i="13"/>
  <c r="AB34" i="13"/>
  <c r="W21" i="13"/>
  <c r="X21" i="13"/>
  <c r="Y21" i="13"/>
  <c r="Z35" i="13"/>
  <c r="AA35" i="13"/>
  <c r="AB35" i="13"/>
  <c r="W11" i="13"/>
  <c r="X11" i="13"/>
  <c r="Y11" i="13"/>
  <c r="Z36" i="13"/>
  <c r="AA36" i="13"/>
  <c r="AB36" i="13"/>
  <c r="W17" i="13"/>
  <c r="X17" i="13"/>
  <c r="Y17" i="13"/>
  <c r="Z37" i="13"/>
  <c r="AA37" i="13"/>
  <c r="AB37" i="13"/>
  <c r="W46" i="13"/>
  <c r="X46" i="13"/>
  <c r="Y46" i="13"/>
  <c r="Z38" i="13"/>
  <c r="AA38" i="13"/>
  <c r="AB38" i="13"/>
  <c r="W44" i="13"/>
  <c r="X44" i="13"/>
  <c r="Y44" i="13"/>
  <c r="Z39" i="13"/>
  <c r="AA39" i="13"/>
  <c r="AB39" i="13"/>
  <c r="W24" i="13"/>
  <c r="X24" i="13"/>
  <c r="Y24" i="13"/>
  <c r="Z40" i="13"/>
  <c r="AA40" i="13"/>
  <c r="AB40" i="13"/>
  <c r="W28" i="13"/>
  <c r="X28" i="13"/>
  <c r="Y28" i="13"/>
  <c r="Z41" i="13"/>
  <c r="AA41" i="13"/>
  <c r="AB41" i="13"/>
  <c r="W22" i="13"/>
  <c r="X22" i="13"/>
  <c r="Y22" i="13"/>
  <c r="Z42" i="13"/>
  <c r="AA42" i="13"/>
  <c r="AB42" i="13"/>
  <c r="W43" i="13"/>
  <c r="X43" i="13"/>
  <c r="Y43" i="13"/>
  <c r="Z43" i="13"/>
  <c r="AA43" i="13"/>
  <c r="AB43" i="13"/>
  <c r="W9" i="13"/>
  <c r="X9" i="13"/>
  <c r="Y9" i="13"/>
  <c r="Z44" i="13"/>
  <c r="AA44" i="13"/>
  <c r="AB44" i="13"/>
  <c r="W48" i="13"/>
  <c r="X48" i="13"/>
  <c r="Y48" i="13"/>
  <c r="Z45" i="13"/>
  <c r="AA45" i="13"/>
  <c r="AB45" i="13"/>
  <c r="W38" i="13"/>
  <c r="X38" i="13"/>
  <c r="Y38" i="13"/>
  <c r="Z46" i="13"/>
  <c r="AA46" i="13"/>
  <c r="AB46" i="13"/>
  <c r="W29" i="13"/>
  <c r="X29" i="13"/>
  <c r="Y29" i="13"/>
  <c r="Z47" i="13"/>
  <c r="AA47" i="13"/>
  <c r="AB47" i="13"/>
  <c r="W45" i="13"/>
  <c r="X45" i="13"/>
  <c r="Y45" i="13"/>
  <c r="Z48" i="13"/>
  <c r="AA48" i="13"/>
  <c r="AB48" i="13"/>
  <c r="W49" i="13"/>
  <c r="X49" i="13"/>
  <c r="Y49" i="13"/>
  <c r="Z49" i="13"/>
  <c r="AA49" i="13"/>
  <c r="AB49" i="13"/>
  <c r="W50" i="13"/>
  <c r="X50" i="13"/>
  <c r="Y50" i="13"/>
  <c r="Z50" i="13"/>
  <c r="AA50" i="13"/>
  <c r="AB50" i="13"/>
  <c r="W51" i="13"/>
  <c r="X51" i="13"/>
  <c r="Y51" i="13"/>
  <c r="Z51" i="13"/>
  <c r="AA51" i="13"/>
  <c r="AB51" i="13"/>
  <c r="W52" i="13"/>
  <c r="X52" i="13"/>
  <c r="Y52" i="13"/>
  <c r="Z52" i="13"/>
  <c r="AA52" i="13"/>
  <c r="AB52" i="13"/>
  <c r="U493" i="13"/>
  <c r="AB493" i="13"/>
  <c r="AA493" i="13"/>
  <c r="Z493" i="13"/>
  <c r="Y493" i="13"/>
  <c r="X493" i="13"/>
  <c r="W493" i="13"/>
  <c r="U492" i="13"/>
  <c r="AB492" i="13"/>
  <c r="AA492" i="13"/>
  <c r="Z492" i="13"/>
  <c r="Y492" i="13"/>
  <c r="X492" i="13"/>
  <c r="W492" i="13"/>
  <c r="D2" i="10"/>
  <c r="U491" i="13"/>
  <c r="AB491" i="13"/>
  <c r="AA491" i="13"/>
  <c r="Z491" i="13"/>
  <c r="Y491" i="13"/>
  <c r="X491" i="13"/>
  <c r="W491" i="13"/>
  <c r="AN463" i="13" l="1"/>
  <c r="CH5" i="13"/>
  <c r="AM364" i="13"/>
  <c r="AM332" i="13"/>
  <c r="AM300" i="13"/>
  <c r="AN413" i="13"/>
  <c r="AN16" i="13"/>
  <c r="AN234" i="13"/>
  <c r="AM48" i="13"/>
  <c r="AM32" i="13"/>
  <c r="AN24" i="13"/>
  <c r="AD35" i="13"/>
  <c r="AM380" i="13"/>
  <c r="AM372" i="13"/>
  <c r="AN431" i="13"/>
  <c r="AN423" i="13"/>
  <c r="AN419" i="13"/>
  <c r="AM268" i="13"/>
  <c r="AM252" i="13"/>
  <c r="AM244" i="13"/>
  <c r="AM240" i="13"/>
  <c r="AN395" i="13"/>
  <c r="AM172" i="13"/>
  <c r="AM108" i="13"/>
  <c r="AN479" i="13"/>
  <c r="AM140" i="13"/>
  <c r="AM124" i="13"/>
  <c r="AN471" i="13"/>
  <c r="AM316" i="13"/>
  <c r="AM308" i="13"/>
  <c r="AM116" i="13"/>
  <c r="AN447" i="13"/>
  <c r="AN439" i="13"/>
  <c r="AN433" i="13"/>
  <c r="AM284" i="13"/>
  <c r="AM276" i="13"/>
  <c r="AM272" i="13"/>
  <c r="AM76" i="13"/>
  <c r="AM60" i="13"/>
  <c r="AM52" i="13"/>
  <c r="AL52" i="13" s="1"/>
  <c r="AN405" i="13"/>
  <c r="AN401" i="13"/>
  <c r="AM348" i="13"/>
  <c r="AM340" i="13"/>
  <c r="AN202" i="13"/>
  <c r="AM188" i="13"/>
  <c r="AM180" i="13"/>
  <c r="AN20" i="13"/>
  <c r="AN487" i="13"/>
  <c r="AN455" i="13"/>
  <c r="AN427" i="13"/>
  <c r="AN409" i="13"/>
  <c r="AN387" i="13"/>
  <c r="AM356" i="13"/>
  <c r="AM324" i="13"/>
  <c r="AM292" i="13"/>
  <c r="AM260" i="13"/>
  <c r="AM256" i="13"/>
  <c r="AN218" i="13"/>
  <c r="AN210" i="13"/>
  <c r="AM156" i="13"/>
  <c r="AM148" i="13"/>
  <c r="AM92" i="13"/>
  <c r="AM84" i="13"/>
  <c r="AM40" i="13"/>
  <c r="AM36" i="13"/>
  <c r="AN8" i="13"/>
  <c r="AD51" i="13"/>
  <c r="AD47" i="13"/>
  <c r="AN483" i="13"/>
  <c r="AN467" i="13"/>
  <c r="AN451" i="13"/>
  <c r="AN435" i="13"/>
  <c r="AN425" i="13"/>
  <c r="AN415" i="13"/>
  <c r="AN407" i="13"/>
  <c r="AN399" i="13"/>
  <c r="AN383" i="13"/>
  <c r="AM368" i="13"/>
  <c r="AM352" i="13"/>
  <c r="AM336" i="13"/>
  <c r="AM320" i="13"/>
  <c r="AM304" i="13"/>
  <c r="AM288" i="13"/>
  <c r="AN491" i="13"/>
  <c r="AN475" i="13"/>
  <c r="AN459" i="13"/>
  <c r="AN443" i="13"/>
  <c r="AN429" i="13"/>
  <c r="AN421" i="13"/>
  <c r="AN411" i="13"/>
  <c r="AN403" i="13"/>
  <c r="AN391" i="13"/>
  <c r="AM376" i="13"/>
  <c r="AM360" i="13"/>
  <c r="AM344" i="13"/>
  <c r="AM328" i="13"/>
  <c r="AM312" i="13"/>
  <c r="AM296" i="13"/>
  <c r="AM280" i="13"/>
  <c r="AM264" i="13"/>
  <c r="AM248" i="13"/>
  <c r="AN226" i="13"/>
  <c r="AN194" i="13"/>
  <c r="AM164" i="13"/>
  <c r="AM132" i="13"/>
  <c r="AM100" i="13"/>
  <c r="AM68" i="13"/>
  <c r="AM44" i="13"/>
  <c r="AM28" i="13"/>
  <c r="AL28" i="13" s="1"/>
  <c r="AN12" i="13"/>
  <c r="CH7" i="13"/>
  <c r="CH8" i="13"/>
  <c r="CH14" i="13"/>
  <c r="CH16" i="13"/>
  <c r="CH18" i="13"/>
  <c r="CH11" i="13"/>
  <c r="CH17" i="13"/>
  <c r="CH20" i="13"/>
  <c r="CH23" i="13"/>
  <c r="CH21" i="13"/>
  <c r="CH25" i="13"/>
  <c r="CH28" i="13"/>
  <c r="CH30" i="13"/>
  <c r="CH32" i="13"/>
  <c r="CH34" i="13"/>
  <c r="CH36" i="13"/>
  <c r="CH6" i="13"/>
  <c r="CH9" i="13"/>
  <c r="CH10" i="13"/>
  <c r="CH12" i="13"/>
  <c r="CH15" i="13"/>
  <c r="CH13" i="13"/>
  <c r="CH19" i="13"/>
  <c r="CH22" i="13"/>
  <c r="CH24" i="13"/>
  <c r="CH26" i="13"/>
  <c r="CH27" i="13"/>
  <c r="CH29" i="13"/>
  <c r="CH31" i="13"/>
  <c r="CH33" i="13"/>
  <c r="CH35" i="13"/>
  <c r="CH37" i="13"/>
  <c r="AN493" i="13"/>
  <c r="AN485" i="13"/>
  <c r="AN477" i="13"/>
  <c r="AN469" i="13"/>
  <c r="AN461" i="13"/>
  <c r="AN453" i="13"/>
  <c r="AN445" i="13"/>
  <c r="AN437" i="13"/>
  <c r="AN417" i="13"/>
  <c r="AM152" i="13"/>
  <c r="AM136" i="13"/>
  <c r="AM120" i="13"/>
  <c r="AM104" i="13"/>
  <c r="AM88" i="13"/>
  <c r="AM72" i="13"/>
  <c r="AM56" i="13"/>
  <c r="AM46" i="13"/>
  <c r="AM38" i="13"/>
  <c r="AM30" i="13"/>
  <c r="AN22" i="13"/>
  <c r="AN14" i="13"/>
  <c r="AN6" i="13"/>
  <c r="AN489" i="13"/>
  <c r="AN481" i="13"/>
  <c r="AN473" i="13"/>
  <c r="AN465" i="13"/>
  <c r="AN457" i="13"/>
  <c r="AN449" i="13"/>
  <c r="AN441" i="13"/>
  <c r="AM144" i="13"/>
  <c r="AM128" i="13"/>
  <c r="AM112" i="13"/>
  <c r="AM96" i="13"/>
  <c r="AM80" i="13"/>
  <c r="AM64" i="13"/>
  <c r="AM50" i="13"/>
  <c r="AM42" i="13"/>
  <c r="AM34" i="13"/>
  <c r="AM26" i="13"/>
  <c r="AN18" i="13"/>
  <c r="AN10" i="13"/>
  <c r="AN492" i="13"/>
  <c r="AM491" i="13"/>
  <c r="AN488" i="13"/>
  <c r="AM487" i="13"/>
  <c r="AL487" i="13" s="1"/>
  <c r="AN484" i="13"/>
  <c r="AM483" i="13"/>
  <c r="AL483" i="13" s="1"/>
  <c r="AN480" i="13"/>
  <c r="AM479" i="13"/>
  <c r="AL479" i="13" s="1"/>
  <c r="AN476" i="13"/>
  <c r="AM475" i="13"/>
  <c r="AL475" i="13" s="1"/>
  <c r="AN472" i="13"/>
  <c r="AM471" i="13"/>
  <c r="AN468" i="13"/>
  <c r="AM467" i="13"/>
  <c r="AN464" i="13"/>
  <c r="AM463" i="13"/>
  <c r="AN460" i="13"/>
  <c r="AM459" i="13"/>
  <c r="AN456" i="13"/>
  <c r="AM455" i="13"/>
  <c r="AN452" i="13"/>
  <c r="AM451" i="13"/>
  <c r="AN448" i="13"/>
  <c r="AM447" i="13"/>
  <c r="AN444" i="13"/>
  <c r="AM443" i="13"/>
  <c r="AN440" i="13"/>
  <c r="AM439" i="13"/>
  <c r="AL439" i="13" s="1"/>
  <c r="AN436" i="13"/>
  <c r="AM435" i="13"/>
  <c r="AL435" i="13" s="1"/>
  <c r="AN432" i="13"/>
  <c r="AM431" i="13"/>
  <c r="AL431" i="13" s="1"/>
  <c r="AN428" i="13"/>
  <c r="AM427" i="13"/>
  <c r="AL427" i="13" s="1"/>
  <c r="AN424" i="13"/>
  <c r="AM423" i="13"/>
  <c r="AN420" i="13"/>
  <c r="AM419" i="13"/>
  <c r="AL419" i="13" s="1"/>
  <c r="AN416" i="13"/>
  <c r="AM415" i="13"/>
  <c r="AN412" i="13"/>
  <c r="AM411" i="13"/>
  <c r="AN408" i="13"/>
  <c r="AM407" i="13"/>
  <c r="AN404" i="13"/>
  <c r="AM403" i="13"/>
  <c r="AN400" i="13"/>
  <c r="AM399" i="13"/>
  <c r="AN393" i="13"/>
  <c r="AN392" i="13"/>
  <c r="AM391" i="13"/>
  <c r="AN385" i="13"/>
  <c r="AM378" i="13"/>
  <c r="AM370" i="13"/>
  <c r="AM362" i="13"/>
  <c r="AM354" i="13"/>
  <c r="AM346" i="13"/>
  <c r="AM338" i="13"/>
  <c r="AM330" i="13"/>
  <c r="AM322" i="13"/>
  <c r="AM314" i="13"/>
  <c r="AM306" i="13"/>
  <c r="AM298" i="13"/>
  <c r="AM290" i="13"/>
  <c r="AM282" i="13"/>
  <c r="AN281" i="13"/>
  <c r="AM274" i="13"/>
  <c r="AM266" i="13"/>
  <c r="AM258" i="13"/>
  <c r="AM250" i="13"/>
  <c r="AM242" i="13"/>
  <c r="AN230" i="13"/>
  <c r="AN214" i="13"/>
  <c r="AN198" i="13"/>
  <c r="AM184" i="13"/>
  <c r="AM168" i="13"/>
  <c r="AE52" i="13"/>
  <c r="AE493" i="13"/>
  <c r="AE50" i="13"/>
  <c r="AE48" i="13"/>
  <c r="AD6" i="13"/>
  <c r="AD5" i="13"/>
  <c r="AM5" i="13"/>
  <c r="AM493" i="13"/>
  <c r="AL493" i="13" s="1"/>
  <c r="AN490" i="13"/>
  <c r="AM489" i="13"/>
  <c r="AL489" i="13" s="1"/>
  <c r="AN486" i="13"/>
  <c r="AM485" i="13"/>
  <c r="AN482" i="13"/>
  <c r="AM481" i="13"/>
  <c r="AN478" i="13"/>
  <c r="AM477" i="13"/>
  <c r="AN474" i="13"/>
  <c r="AM473" i="13"/>
  <c r="AN470" i="13"/>
  <c r="AM469" i="13"/>
  <c r="AN466" i="13"/>
  <c r="AM465" i="13"/>
  <c r="AN462" i="13"/>
  <c r="AM461" i="13"/>
  <c r="AL461" i="13" s="1"/>
  <c r="AN458" i="13"/>
  <c r="AM457" i="13"/>
  <c r="AL457" i="13" s="1"/>
  <c r="AN442" i="13"/>
  <c r="AM441" i="13"/>
  <c r="AN438" i="13"/>
  <c r="AM437" i="13"/>
  <c r="AN434" i="13"/>
  <c r="AM433" i="13"/>
  <c r="AN430" i="13"/>
  <c r="AM429" i="13"/>
  <c r="AN426" i="13"/>
  <c r="AM425" i="13"/>
  <c r="AL425" i="13" s="1"/>
  <c r="AN422" i="13"/>
  <c r="AM421" i="13"/>
  <c r="AL421" i="13" s="1"/>
  <c r="AN418" i="13"/>
  <c r="AM417" i="13"/>
  <c r="AN414" i="13"/>
  <c r="AM413" i="13"/>
  <c r="AN410" i="13"/>
  <c r="AM409" i="13"/>
  <c r="AN406" i="13"/>
  <c r="AM405" i="13"/>
  <c r="AN402" i="13"/>
  <c r="AN397" i="13"/>
  <c r="AN396" i="13"/>
  <c r="AM395" i="13"/>
  <c r="AN389" i="13"/>
  <c r="AM382" i="13"/>
  <c r="AM374" i="13"/>
  <c r="AM366" i="13"/>
  <c r="AM358" i="13"/>
  <c r="AM350" i="13"/>
  <c r="AM342" i="13"/>
  <c r="AM334" i="13"/>
  <c r="AM326" i="13"/>
  <c r="AM318" i="13"/>
  <c r="AM310" i="13"/>
  <c r="AM302" i="13"/>
  <c r="AM294" i="13"/>
  <c r="AM286" i="13"/>
  <c r="AM278" i="13"/>
  <c r="AN277" i="13"/>
  <c r="AM270" i="13"/>
  <c r="AM262" i="13"/>
  <c r="AM254" i="13"/>
  <c r="AM246" i="13"/>
  <c r="AM238" i="13"/>
  <c r="AN222" i="13"/>
  <c r="AN206" i="13"/>
  <c r="AN190" i="13"/>
  <c r="AM176" i="13"/>
  <c r="AM160" i="13"/>
  <c r="AM401" i="13"/>
  <c r="AN398" i="13"/>
  <c r="AM397" i="13"/>
  <c r="AN394" i="13"/>
  <c r="AM393" i="13"/>
  <c r="AL393" i="13" s="1"/>
  <c r="AN390" i="13"/>
  <c r="AM389" i="13"/>
  <c r="AN386" i="13"/>
  <c r="AM385" i="13"/>
  <c r="AD43" i="13"/>
  <c r="AD31" i="13"/>
  <c r="AE44" i="13"/>
  <c r="AD25" i="13"/>
  <c r="AE32" i="13"/>
  <c r="AD33" i="13"/>
  <c r="AD49" i="13"/>
  <c r="AD21" i="13"/>
  <c r="AD23" i="13"/>
  <c r="AD45" i="13"/>
  <c r="AE36" i="13"/>
  <c r="AD17" i="13"/>
  <c r="AD13" i="13"/>
  <c r="AD8" i="13"/>
  <c r="AE40" i="13"/>
  <c r="AD39" i="13"/>
  <c r="AD15" i="13"/>
  <c r="AD14" i="13"/>
  <c r="AD12" i="13"/>
  <c r="AD9" i="13"/>
  <c r="AD29" i="13"/>
  <c r="AE46" i="13"/>
  <c r="AD27" i="13"/>
  <c r="AE42" i="13"/>
  <c r="AD41" i="13"/>
  <c r="AE38" i="13"/>
  <c r="AD37" i="13"/>
  <c r="AE34" i="13"/>
  <c r="AD19" i="13"/>
  <c r="AE30" i="13"/>
  <c r="AD7" i="13"/>
  <c r="AE26" i="13"/>
  <c r="AE22" i="13"/>
  <c r="AE18" i="13"/>
  <c r="AE14" i="13"/>
  <c r="AE12" i="13"/>
  <c r="AE9" i="13"/>
  <c r="AE7" i="13"/>
  <c r="AE28" i="13"/>
  <c r="AE24" i="13"/>
  <c r="AE20" i="13"/>
  <c r="AE16" i="13"/>
  <c r="AE13" i="13"/>
  <c r="AE11" i="13"/>
  <c r="AD11" i="13"/>
  <c r="AC11" i="13" s="1"/>
  <c r="AE10" i="13"/>
  <c r="AD10" i="13"/>
  <c r="AE8" i="13"/>
  <c r="AE6" i="13"/>
  <c r="AM453" i="13"/>
  <c r="AN450" i="13"/>
  <c r="AM449" i="13"/>
  <c r="AN446" i="13"/>
  <c r="AL446" i="13" s="1"/>
  <c r="AM445" i="13"/>
  <c r="AN377" i="13"/>
  <c r="AN373" i="13"/>
  <c r="AN365" i="13"/>
  <c r="AN357" i="13"/>
  <c r="AN345" i="13"/>
  <c r="AN341" i="13"/>
  <c r="AN333" i="13"/>
  <c r="AN329" i="13"/>
  <c r="AN325" i="13"/>
  <c r="AN317" i="13"/>
  <c r="AN313" i="13"/>
  <c r="AN305" i="13"/>
  <c r="AN297" i="13"/>
  <c r="AN293" i="13"/>
  <c r="AN289" i="13"/>
  <c r="AN285" i="13"/>
  <c r="AN273" i="13"/>
  <c r="AN269" i="13"/>
  <c r="AN265" i="13"/>
  <c r="AN261" i="13"/>
  <c r="AN257" i="13"/>
  <c r="AN253" i="13"/>
  <c r="AN249" i="13"/>
  <c r="AN245" i="13"/>
  <c r="AN241" i="13"/>
  <c r="AM237" i="13"/>
  <c r="AM235" i="13"/>
  <c r="AM229" i="13"/>
  <c r="AM227" i="13"/>
  <c r="AM221" i="13"/>
  <c r="AM219" i="13"/>
  <c r="AM213" i="13"/>
  <c r="AM211" i="13"/>
  <c r="AM205" i="13"/>
  <c r="AM203" i="13"/>
  <c r="AM197" i="13"/>
  <c r="AM195" i="13"/>
  <c r="AN189" i="13"/>
  <c r="AM189" i="13"/>
  <c r="AN181" i="13"/>
  <c r="AN173" i="13"/>
  <c r="AN165" i="13"/>
  <c r="AN157" i="13"/>
  <c r="AN149" i="13"/>
  <c r="AN141" i="13"/>
  <c r="AN133" i="13"/>
  <c r="AN125" i="13"/>
  <c r="AN117" i="13"/>
  <c r="AN109" i="13"/>
  <c r="AN101" i="13"/>
  <c r="AN93" i="13"/>
  <c r="AN85" i="13"/>
  <c r="AN77" i="13"/>
  <c r="AN69" i="13"/>
  <c r="AN61" i="13"/>
  <c r="AN53" i="13"/>
  <c r="AN49" i="13"/>
  <c r="AN45" i="13"/>
  <c r="AN41" i="13"/>
  <c r="AN37" i="13"/>
  <c r="AN33" i="13"/>
  <c r="AN29" i="13"/>
  <c r="AN25" i="13"/>
  <c r="AM23" i="13"/>
  <c r="AM21" i="13"/>
  <c r="AM19" i="13"/>
  <c r="AM17" i="13"/>
  <c r="AM15" i="13"/>
  <c r="AM13" i="13"/>
  <c r="AM11" i="13"/>
  <c r="AM9" i="13"/>
  <c r="AM7" i="13"/>
  <c r="AN454" i="13"/>
  <c r="AN388" i="13"/>
  <c r="AM387" i="13"/>
  <c r="AL387" i="13" s="1"/>
  <c r="AN384" i="13"/>
  <c r="AN381" i="13"/>
  <c r="AN369" i="13"/>
  <c r="AN361" i="13"/>
  <c r="AN353" i="13"/>
  <c r="AN349" i="13"/>
  <c r="AN337" i="13"/>
  <c r="AN321" i="13"/>
  <c r="AN309" i="13"/>
  <c r="AN301" i="13"/>
  <c r="AD52" i="13"/>
  <c r="AE51" i="13"/>
  <c r="AD50" i="13"/>
  <c r="AE49" i="13"/>
  <c r="AD48" i="13"/>
  <c r="AE47" i="13"/>
  <c r="AC47" i="13" s="1"/>
  <c r="AD46" i="13"/>
  <c r="AE45" i="13"/>
  <c r="AD44" i="13"/>
  <c r="AE43" i="13"/>
  <c r="AD42" i="13"/>
  <c r="AE41" i="13"/>
  <c r="AD40" i="13"/>
  <c r="AE39" i="13"/>
  <c r="AD38" i="13"/>
  <c r="AE37" i="13"/>
  <c r="AD36" i="13"/>
  <c r="AE35" i="13"/>
  <c r="AD34" i="13"/>
  <c r="AE33" i="13"/>
  <c r="AD32" i="13"/>
  <c r="AE31" i="13"/>
  <c r="AD30" i="13"/>
  <c r="AE29" i="13"/>
  <c r="AD28" i="13"/>
  <c r="AE27" i="13"/>
  <c r="AD26" i="13"/>
  <c r="AE25" i="13"/>
  <c r="AD24" i="13"/>
  <c r="AE23" i="13"/>
  <c r="AD22" i="13"/>
  <c r="AE21" i="13"/>
  <c r="AD20" i="13"/>
  <c r="AE19" i="13"/>
  <c r="AD18" i="13"/>
  <c r="AE17" i="13"/>
  <c r="AD16" i="13"/>
  <c r="AE15" i="13"/>
  <c r="AE5" i="13"/>
  <c r="AM492" i="13"/>
  <c r="AM490" i="13"/>
  <c r="AM488" i="13"/>
  <c r="AL488" i="13" s="1"/>
  <c r="AM486" i="13"/>
  <c r="AM484" i="13"/>
  <c r="AM482" i="13"/>
  <c r="AM480" i="13"/>
  <c r="AM478" i="13"/>
  <c r="AM476" i="13"/>
  <c r="AM474" i="13"/>
  <c r="AM472" i="13"/>
  <c r="AM470" i="13"/>
  <c r="AM468" i="13"/>
  <c r="AM466" i="13"/>
  <c r="AM464" i="13"/>
  <c r="AM462" i="13"/>
  <c r="AL462" i="13" s="1"/>
  <c r="AM460" i="13"/>
  <c r="AM458" i="13"/>
  <c r="AM456" i="13"/>
  <c r="AM454" i="13"/>
  <c r="AM452" i="13"/>
  <c r="AM450" i="13"/>
  <c r="AM448" i="13"/>
  <c r="AM446" i="13"/>
  <c r="AM444" i="13"/>
  <c r="AM442" i="13"/>
  <c r="AM440" i="13"/>
  <c r="AM438" i="13"/>
  <c r="AM436" i="13"/>
  <c r="AM434" i="13"/>
  <c r="AM432" i="13"/>
  <c r="AM430" i="13"/>
  <c r="AM428" i="13"/>
  <c r="AM426" i="13"/>
  <c r="AM424" i="13"/>
  <c r="AM422" i="13"/>
  <c r="AM420" i="13"/>
  <c r="AM418" i="13"/>
  <c r="AM416" i="13"/>
  <c r="AM414" i="13"/>
  <c r="AM412" i="13"/>
  <c r="AM410" i="13"/>
  <c r="AM408" i="13"/>
  <c r="AM406" i="13"/>
  <c r="AM404" i="13"/>
  <c r="AM402" i="13"/>
  <c r="AM400" i="13"/>
  <c r="AM398" i="13"/>
  <c r="AM396" i="13"/>
  <c r="AM394" i="13"/>
  <c r="AM392" i="13"/>
  <c r="AM390" i="13"/>
  <c r="AL390" i="13" s="1"/>
  <c r="AM388" i="13"/>
  <c r="AM386" i="13"/>
  <c r="AM384" i="13"/>
  <c r="AN379" i="13"/>
  <c r="AN375" i="13"/>
  <c r="AN371" i="13"/>
  <c r="AN367" i="13"/>
  <c r="AN363" i="13"/>
  <c r="AN359" i="13"/>
  <c r="AN355" i="13"/>
  <c r="AN351" i="13"/>
  <c r="AN347" i="13"/>
  <c r="AN343" i="13"/>
  <c r="AN339" i="13"/>
  <c r="AN335" i="13"/>
  <c r="AN331" i="13"/>
  <c r="AN327" i="13"/>
  <c r="AN323" i="13"/>
  <c r="AN319" i="13"/>
  <c r="AN315" i="13"/>
  <c r="AN311" i="13"/>
  <c r="AN307" i="13"/>
  <c r="AN303" i="13"/>
  <c r="AN299" i="13"/>
  <c r="AN295" i="13"/>
  <c r="AN291" i="13"/>
  <c r="AN287" i="13"/>
  <c r="AN283" i="13"/>
  <c r="AN279" i="13"/>
  <c r="AN275" i="13"/>
  <c r="AN271" i="13"/>
  <c r="AN267" i="13"/>
  <c r="AN263" i="13"/>
  <c r="AN259" i="13"/>
  <c r="AN255" i="13"/>
  <c r="AN251" i="13"/>
  <c r="AN247" i="13"/>
  <c r="AN243" i="13"/>
  <c r="AN239" i="13"/>
  <c r="AM233" i="13"/>
  <c r="AM231" i="13"/>
  <c r="AM225" i="13"/>
  <c r="AM223" i="13"/>
  <c r="AM217" i="13"/>
  <c r="AM215" i="13"/>
  <c r="AM209" i="13"/>
  <c r="AM207" i="13"/>
  <c r="AM201" i="13"/>
  <c r="AM199" i="13"/>
  <c r="AM193" i="13"/>
  <c r="AM191" i="13"/>
  <c r="AM190" i="13"/>
  <c r="AN185" i="13"/>
  <c r="AN177" i="13"/>
  <c r="AN169" i="13"/>
  <c r="AN161" i="13"/>
  <c r="AN153" i="13"/>
  <c r="AN145" i="13"/>
  <c r="AN137" i="13"/>
  <c r="AN129" i="13"/>
  <c r="AN121" i="13"/>
  <c r="AN113" i="13"/>
  <c r="AN105" i="13"/>
  <c r="AN97" i="13"/>
  <c r="AN89" i="13"/>
  <c r="AN81" i="13"/>
  <c r="AN73" i="13"/>
  <c r="AN65" i="13"/>
  <c r="AN57" i="13"/>
  <c r="AN51" i="13"/>
  <c r="AN47" i="13"/>
  <c r="AN43" i="13"/>
  <c r="AN39" i="13"/>
  <c r="AN35" i="13"/>
  <c r="AN31" i="13"/>
  <c r="AN27" i="13"/>
  <c r="AM24" i="13"/>
  <c r="AL24" i="13" s="1"/>
  <c r="AN23" i="13"/>
  <c r="AM22" i="13"/>
  <c r="AN21" i="13"/>
  <c r="AM20" i="13"/>
  <c r="AL20" i="13" s="1"/>
  <c r="AN19" i="13"/>
  <c r="AM18" i="13"/>
  <c r="AN17" i="13"/>
  <c r="AM16" i="13"/>
  <c r="AL16" i="13" s="1"/>
  <c r="AN15" i="13"/>
  <c r="AM14" i="13"/>
  <c r="AN13" i="13"/>
  <c r="AM12" i="13"/>
  <c r="AL12" i="13" s="1"/>
  <c r="AN11" i="13"/>
  <c r="AM10" i="13"/>
  <c r="AN9" i="13"/>
  <c r="AM8" i="13"/>
  <c r="AL8" i="13" s="1"/>
  <c r="AN7" i="13"/>
  <c r="AM6" i="13"/>
  <c r="AM383" i="13"/>
  <c r="AN382" i="13"/>
  <c r="AM381" i="13"/>
  <c r="AN380" i="13"/>
  <c r="AM379" i="13"/>
  <c r="AL379" i="13" s="1"/>
  <c r="AN378" i="13"/>
  <c r="AM377" i="13"/>
  <c r="AN376" i="13"/>
  <c r="AM375" i="13"/>
  <c r="AN374" i="13"/>
  <c r="AL374" i="13" s="1"/>
  <c r="AM373" i="13"/>
  <c r="AN372" i="13"/>
  <c r="AM371" i="13"/>
  <c r="AN370" i="13"/>
  <c r="AM369" i="13"/>
  <c r="AL369" i="13" s="1"/>
  <c r="AN368" i="13"/>
  <c r="AL368" i="13" s="1"/>
  <c r="AM367" i="13"/>
  <c r="AN366" i="13"/>
  <c r="AM365" i="13"/>
  <c r="AN364" i="13"/>
  <c r="AM363" i="13"/>
  <c r="AN362" i="13"/>
  <c r="AM361" i="13"/>
  <c r="AN360" i="13"/>
  <c r="AL360" i="13" s="1"/>
  <c r="AM359" i="13"/>
  <c r="AN358" i="13"/>
  <c r="AM357" i="13"/>
  <c r="AN356" i="13"/>
  <c r="AM355" i="13"/>
  <c r="AN354" i="13"/>
  <c r="AM353" i="13"/>
  <c r="AN352" i="13"/>
  <c r="AM351" i="13"/>
  <c r="AN350" i="13"/>
  <c r="AM349" i="13"/>
  <c r="AN348" i="13"/>
  <c r="AM347" i="13"/>
  <c r="AN346" i="13"/>
  <c r="AL346" i="13" s="1"/>
  <c r="AM345" i="13"/>
  <c r="AN344" i="13"/>
  <c r="AM343" i="13"/>
  <c r="AN342" i="13"/>
  <c r="AM341" i="13"/>
  <c r="AN340" i="13"/>
  <c r="AM339" i="13"/>
  <c r="AN338" i="13"/>
  <c r="AM337" i="13"/>
  <c r="AL337" i="13" s="1"/>
  <c r="AN336" i="13"/>
  <c r="AM335" i="13"/>
  <c r="AN334" i="13"/>
  <c r="AM333" i="13"/>
  <c r="AN332" i="13"/>
  <c r="AM331" i="13"/>
  <c r="AN330" i="13"/>
  <c r="AL330" i="13" s="1"/>
  <c r="AM329" i="13"/>
  <c r="AN328" i="13"/>
  <c r="AL328" i="13" s="1"/>
  <c r="AM327" i="13"/>
  <c r="AN326" i="13"/>
  <c r="AM325" i="13"/>
  <c r="AN324" i="13"/>
  <c r="AM323" i="13"/>
  <c r="AN322" i="13"/>
  <c r="AM321" i="13"/>
  <c r="AN320" i="13"/>
  <c r="AL320" i="13" s="1"/>
  <c r="AM319" i="13"/>
  <c r="AN318" i="13"/>
  <c r="AM317" i="13"/>
  <c r="AN316" i="13"/>
  <c r="AM315" i="13"/>
  <c r="AL315" i="13" s="1"/>
  <c r="AN314" i="13"/>
  <c r="AL314" i="13" s="1"/>
  <c r="AM313" i="13"/>
  <c r="AN312" i="13"/>
  <c r="AL312" i="13" s="1"/>
  <c r="AM311" i="13"/>
  <c r="AN310" i="13"/>
  <c r="AM309" i="13"/>
  <c r="AN308" i="13"/>
  <c r="AM307" i="13"/>
  <c r="AN306" i="13"/>
  <c r="AL306" i="13" s="1"/>
  <c r="AM305" i="13"/>
  <c r="AN304" i="13"/>
  <c r="AL304" i="13" s="1"/>
  <c r="AM303" i="13"/>
  <c r="AN302" i="13"/>
  <c r="AM301" i="13"/>
  <c r="AN300" i="13"/>
  <c r="AL300" i="13" s="1"/>
  <c r="AM299" i="13"/>
  <c r="AN298" i="13"/>
  <c r="AM297" i="13"/>
  <c r="AN296" i="13"/>
  <c r="AL296" i="13" s="1"/>
  <c r="AM295" i="13"/>
  <c r="AN294" i="13"/>
  <c r="AL294" i="13" s="1"/>
  <c r="AM293" i="13"/>
  <c r="AN292" i="13"/>
  <c r="AM291" i="13"/>
  <c r="AN290" i="13"/>
  <c r="AM289" i="13"/>
  <c r="AN288" i="13"/>
  <c r="AM287" i="13"/>
  <c r="AN286" i="13"/>
  <c r="AM285" i="13"/>
  <c r="AN284" i="13"/>
  <c r="AL284" i="13" s="1"/>
  <c r="AM283" i="13"/>
  <c r="AN282" i="13"/>
  <c r="AL282" i="13" s="1"/>
  <c r="AM281" i="13"/>
  <c r="AN280" i="13"/>
  <c r="AM279" i="13"/>
  <c r="AN278" i="13"/>
  <c r="AL278" i="13" s="1"/>
  <c r="AM277" i="13"/>
  <c r="AN276" i="13"/>
  <c r="AM275" i="13"/>
  <c r="AN274" i="13"/>
  <c r="AL274" i="13" s="1"/>
  <c r="AM273" i="13"/>
  <c r="AN272" i="13"/>
  <c r="AL272" i="13" s="1"/>
  <c r="AM271" i="13"/>
  <c r="AN270" i="13"/>
  <c r="AM269" i="13"/>
  <c r="AN268" i="13"/>
  <c r="AL268" i="13" s="1"/>
  <c r="AM267" i="13"/>
  <c r="AN266" i="13"/>
  <c r="AM265" i="13"/>
  <c r="AN264" i="13"/>
  <c r="AL264" i="13" s="1"/>
  <c r="AM263" i="13"/>
  <c r="AN262" i="13"/>
  <c r="AM261" i="13"/>
  <c r="AN260" i="13"/>
  <c r="AM259" i="13"/>
  <c r="AN258" i="13"/>
  <c r="AM257" i="13"/>
  <c r="AN256" i="13"/>
  <c r="AL256" i="13" s="1"/>
  <c r="AM255" i="13"/>
  <c r="AN254" i="13"/>
  <c r="AM253" i="13"/>
  <c r="AN252" i="13"/>
  <c r="AL252" i="13" s="1"/>
  <c r="AM251" i="13"/>
  <c r="AL251" i="13" s="1"/>
  <c r="AN250" i="13"/>
  <c r="AM249" i="13"/>
  <c r="AN248" i="13"/>
  <c r="AL248" i="13" s="1"/>
  <c r="AM247" i="13"/>
  <c r="AN246" i="13"/>
  <c r="AM245" i="13"/>
  <c r="AN244" i="13"/>
  <c r="AM243" i="13"/>
  <c r="AN242" i="13"/>
  <c r="AL242" i="13" s="1"/>
  <c r="AM241" i="13"/>
  <c r="AN240" i="13"/>
  <c r="AL240" i="13" s="1"/>
  <c r="AM239" i="13"/>
  <c r="AN238" i="13"/>
  <c r="AL238" i="13" s="1"/>
  <c r="AN236" i="13"/>
  <c r="AN232" i="13"/>
  <c r="AN228" i="13"/>
  <c r="AN224" i="13"/>
  <c r="AN220" i="13"/>
  <c r="AN216" i="13"/>
  <c r="AN212" i="13"/>
  <c r="AN208" i="13"/>
  <c r="AN204" i="13"/>
  <c r="AN200" i="13"/>
  <c r="AN196" i="13"/>
  <c r="AN192" i="13"/>
  <c r="AM54" i="13"/>
  <c r="AM53" i="13"/>
  <c r="AN52" i="13"/>
  <c r="AM51" i="13"/>
  <c r="AN50" i="13"/>
  <c r="AL50" i="13" s="1"/>
  <c r="AM49" i="13"/>
  <c r="AN48" i="13"/>
  <c r="AM47" i="13"/>
  <c r="AN46" i="13"/>
  <c r="AM45" i="13"/>
  <c r="AN44" i="13"/>
  <c r="AM43" i="13"/>
  <c r="AN42" i="13"/>
  <c r="AM41" i="13"/>
  <c r="AN40" i="13"/>
  <c r="AM39" i="13"/>
  <c r="AN38" i="13"/>
  <c r="AM37" i="13"/>
  <c r="AN36" i="13"/>
  <c r="AM35" i="13"/>
  <c r="AN34" i="13"/>
  <c r="AM33" i="13"/>
  <c r="AN32" i="13"/>
  <c r="AM31" i="13"/>
  <c r="AN30" i="13"/>
  <c r="AM29" i="13"/>
  <c r="AN28" i="13"/>
  <c r="AM27" i="13"/>
  <c r="AN26" i="13"/>
  <c r="AM25" i="13"/>
  <c r="BB5" i="13"/>
  <c r="BB493" i="13"/>
  <c r="BB492" i="13"/>
  <c r="BB491" i="13"/>
  <c r="BB490" i="13"/>
  <c r="BB489" i="13"/>
  <c r="BB488" i="13"/>
  <c r="BB487" i="13"/>
  <c r="BB486" i="13"/>
  <c r="BB485" i="13"/>
  <c r="BB484" i="13"/>
  <c r="BB483" i="13"/>
  <c r="BB482" i="13"/>
  <c r="BB481" i="13"/>
  <c r="BB480" i="13"/>
  <c r="BB479" i="13"/>
  <c r="BB478" i="13"/>
  <c r="BB477" i="13"/>
  <c r="BB476" i="13"/>
  <c r="BB475" i="13"/>
  <c r="BB474" i="13"/>
  <c r="BB473" i="13"/>
  <c r="BB472" i="13"/>
  <c r="BB471" i="13"/>
  <c r="BB470" i="13"/>
  <c r="BB469" i="13"/>
  <c r="BB468" i="13"/>
  <c r="BB467" i="13"/>
  <c r="BB466" i="13"/>
  <c r="BB465" i="13"/>
  <c r="BB464" i="13"/>
  <c r="BB463" i="13"/>
  <c r="BB462" i="13"/>
  <c r="BB461" i="13"/>
  <c r="BB460" i="13"/>
  <c r="BB459" i="13"/>
  <c r="BB458" i="13"/>
  <c r="BB457" i="13"/>
  <c r="BB456" i="13"/>
  <c r="BB455" i="13"/>
  <c r="BB454" i="13"/>
  <c r="BB453" i="13"/>
  <c r="BB452" i="13"/>
  <c r="BB451" i="13"/>
  <c r="BB450" i="13"/>
  <c r="BB449" i="13"/>
  <c r="BB448" i="13"/>
  <c r="BB447" i="13"/>
  <c r="BB446" i="13"/>
  <c r="BB445" i="13"/>
  <c r="BB444" i="13"/>
  <c r="BB443" i="13"/>
  <c r="BB442" i="13"/>
  <c r="BB441" i="13"/>
  <c r="BB440" i="13"/>
  <c r="BB439" i="13"/>
  <c r="BB438" i="13"/>
  <c r="BB437" i="13"/>
  <c r="BB436" i="13"/>
  <c r="BB435" i="13"/>
  <c r="BB434" i="13"/>
  <c r="BB433" i="13"/>
  <c r="BB432" i="13"/>
  <c r="BB431" i="13"/>
  <c r="BB430" i="13"/>
  <c r="BB429" i="13"/>
  <c r="BB428" i="13"/>
  <c r="BB427" i="13"/>
  <c r="BB426" i="13"/>
  <c r="BB425" i="13"/>
  <c r="BB424" i="13"/>
  <c r="BB423" i="13"/>
  <c r="BB422" i="13"/>
  <c r="BB421" i="13"/>
  <c r="BB420" i="13"/>
  <c r="BB419" i="13"/>
  <c r="BB418" i="13"/>
  <c r="BB417" i="13"/>
  <c r="BB416" i="13"/>
  <c r="BB415" i="13"/>
  <c r="BB414" i="13"/>
  <c r="BB413" i="13"/>
  <c r="BB412" i="13"/>
  <c r="BB411" i="13"/>
  <c r="BB410" i="13"/>
  <c r="BB409" i="13"/>
  <c r="BB408" i="13"/>
  <c r="BB407" i="13"/>
  <c r="BB406" i="13"/>
  <c r="BB405" i="13"/>
  <c r="BB404" i="13"/>
  <c r="BB403" i="13"/>
  <c r="BB402" i="13"/>
  <c r="BB401" i="13"/>
  <c r="BB400" i="13"/>
  <c r="BB399" i="13"/>
  <c r="BB398" i="13"/>
  <c r="BB397" i="13"/>
  <c r="BB396" i="13"/>
  <c r="BB395" i="13"/>
  <c r="BB394" i="13"/>
  <c r="BB393" i="13"/>
  <c r="BB392" i="13"/>
  <c r="BB391" i="13"/>
  <c r="BB390" i="13"/>
  <c r="BB389" i="13"/>
  <c r="BB388" i="13"/>
  <c r="BB387" i="13"/>
  <c r="BB386" i="13"/>
  <c r="BB385" i="13"/>
  <c r="BB384" i="13"/>
  <c r="BB383" i="13"/>
  <c r="BB382" i="13"/>
  <c r="BB381" i="13"/>
  <c r="BB380" i="13"/>
  <c r="BB379" i="13"/>
  <c r="BB378" i="13"/>
  <c r="BB377" i="13"/>
  <c r="BB376" i="13"/>
  <c r="BB375" i="13"/>
  <c r="BB374" i="13"/>
  <c r="BB373" i="13"/>
  <c r="BB372" i="13"/>
  <c r="BB371" i="13"/>
  <c r="BB370" i="13"/>
  <c r="BB369" i="13"/>
  <c r="BB368" i="13"/>
  <c r="BB367" i="13"/>
  <c r="BB366" i="13"/>
  <c r="BB365" i="13"/>
  <c r="BB364" i="13"/>
  <c r="BB363" i="13"/>
  <c r="BB362" i="13"/>
  <c r="BB361" i="13"/>
  <c r="BB360" i="13"/>
  <c r="BB359" i="13"/>
  <c r="BB358" i="13"/>
  <c r="BB357" i="13"/>
  <c r="BB356" i="13"/>
  <c r="BB355" i="13"/>
  <c r="BB354" i="13"/>
  <c r="BB353" i="13"/>
  <c r="BB352" i="13"/>
  <c r="BB351" i="13"/>
  <c r="BB350" i="13"/>
  <c r="BB349" i="13"/>
  <c r="BB348" i="13"/>
  <c r="BB347" i="13"/>
  <c r="BB346" i="13"/>
  <c r="BB345" i="13"/>
  <c r="BB344" i="13"/>
  <c r="BB343" i="13"/>
  <c r="BB342" i="13"/>
  <c r="BB341" i="13"/>
  <c r="BB340" i="13"/>
  <c r="BB339" i="13"/>
  <c r="BB338" i="13"/>
  <c r="BB337" i="13"/>
  <c r="BB336" i="13"/>
  <c r="BB335" i="13"/>
  <c r="BB334" i="13"/>
  <c r="BB333" i="13"/>
  <c r="BB332" i="13"/>
  <c r="BB331" i="13"/>
  <c r="BB330" i="13"/>
  <c r="BB329" i="13"/>
  <c r="BB328" i="13"/>
  <c r="BB327" i="13"/>
  <c r="BB326" i="13"/>
  <c r="BB325" i="13"/>
  <c r="BB324" i="13"/>
  <c r="BB323" i="13"/>
  <c r="BB322" i="13"/>
  <c r="BB321" i="13"/>
  <c r="BB320" i="13"/>
  <c r="BB319" i="13"/>
  <c r="BB318" i="13"/>
  <c r="BB317" i="13"/>
  <c r="BB316" i="13"/>
  <c r="BB315" i="13"/>
  <c r="BB314" i="13"/>
  <c r="BB313" i="13"/>
  <c r="BB312" i="13"/>
  <c r="BB311" i="13"/>
  <c r="BB310" i="13"/>
  <c r="BB309" i="13"/>
  <c r="BB308" i="13"/>
  <c r="BB307" i="13"/>
  <c r="BB306" i="13"/>
  <c r="BB305" i="13"/>
  <c r="BB304" i="13"/>
  <c r="BB303" i="13"/>
  <c r="BB302" i="13"/>
  <c r="BB301" i="13"/>
  <c r="BB300" i="13"/>
  <c r="BB299" i="13"/>
  <c r="BB298" i="13"/>
  <c r="BB297" i="13"/>
  <c r="BB296" i="13"/>
  <c r="BB295" i="13"/>
  <c r="BB294" i="13"/>
  <c r="BB293" i="13"/>
  <c r="BB292" i="13"/>
  <c r="BB291" i="13"/>
  <c r="BB290" i="13"/>
  <c r="BB289" i="13"/>
  <c r="BB288" i="13"/>
  <c r="BB287" i="13"/>
  <c r="BB286" i="13"/>
  <c r="BB285" i="13"/>
  <c r="BB284" i="13"/>
  <c r="BB283" i="13"/>
  <c r="BB282" i="13"/>
  <c r="BB281" i="13"/>
  <c r="BB280" i="13"/>
  <c r="BB279" i="13"/>
  <c r="BB278" i="13"/>
  <c r="BB277" i="13"/>
  <c r="BB276" i="13"/>
  <c r="BB275" i="13"/>
  <c r="BB274" i="13"/>
  <c r="BB273" i="13"/>
  <c r="BB272" i="13"/>
  <c r="BB271" i="13"/>
  <c r="BB270" i="13"/>
  <c r="BB269" i="13"/>
  <c r="BB268" i="13"/>
  <c r="BB267" i="13"/>
  <c r="BB266" i="13"/>
  <c r="BB265" i="13"/>
  <c r="BB264" i="13"/>
  <c r="BB263" i="13"/>
  <c r="BB262" i="13"/>
  <c r="BB261" i="13"/>
  <c r="BB260" i="13"/>
  <c r="BB259" i="13"/>
  <c r="BB258" i="13"/>
  <c r="BB257" i="13"/>
  <c r="BB256" i="13"/>
  <c r="BB255" i="13"/>
  <c r="BB254" i="13"/>
  <c r="BB253" i="13"/>
  <c r="BB252" i="13"/>
  <c r="BB251" i="13"/>
  <c r="BB250" i="13"/>
  <c r="BB249" i="13"/>
  <c r="BB248" i="13"/>
  <c r="BB247" i="13"/>
  <c r="BB246" i="13"/>
  <c r="BB245" i="13"/>
  <c r="BB244" i="13"/>
  <c r="BB243" i="13"/>
  <c r="BB242" i="13"/>
  <c r="BB241" i="13"/>
  <c r="BB240" i="13"/>
  <c r="BB239" i="13"/>
  <c r="BB238" i="13"/>
  <c r="BB237" i="13"/>
  <c r="BB236" i="13"/>
  <c r="BB235" i="13"/>
  <c r="BB234" i="13"/>
  <c r="BB233" i="13"/>
  <c r="BB232" i="13"/>
  <c r="BB231" i="13"/>
  <c r="BB230" i="13"/>
  <c r="BB229" i="13"/>
  <c r="BB228" i="13"/>
  <c r="BB227" i="13"/>
  <c r="BB226" i="13"/>
  <c r="BB225" i="13"/>
  <c r="BB224" i="13"/>
  <c r="BB223" i="13"/>
  <c r="BB222" i="13"/>
  <c r="BB221" i="13"/>
  <c r="BB220" i="13"/>
  <c r="BB219" i="13"/>
  <c r="BB218" i="13"/>
  <c r="BB217" i="13"/>
  <c r="BB216" i="13"/>
  <c r="BB215" i="13"/>
  <c r="BB214" i="13"/>
  <c r="BB213" i="13"/>
  <c r="BB212" i="13"/>
  <c r="BB211" i="13"/>
  <c r="BB210" i="13"/>
  <c r="BB209" i="13"/>
  <c r="BB208" i="13"/>
  <c r="BB207" i="13"/>
  <c r="BB206" i="13"/>
  <c r="BB205" i="13"/>
  <c r="BB204" i="13"/>
  <c r="BB203" i="13"/>
  <c r="BB202" i="13"/>
  <c r="BB201" i="13"/>
  <c r="BB200" i="13"/>
  <c r="BB199" i="13"/>
  <c r="BB198" i="13"/>
  <c r="BB197" i="13"/>
  <c r="BB196" i="13"/>
  <c r="BB195" i="13"/>
  <c r="BB194" i="13"/>
  <c r="BB193" i="13"/>
  <c r="BB192" i="13"/>
  <c r="BB191" i="13"/>
  <c r="BB190" i="13"/>
  <c r="BB189" i="13"/>
  <c r="BB188" i="13"/>
  <c r="BB187" i="13"/>
  <c r="BB186" i="13"/>
  <c r="BB185" i="13"/>
  <c r="BB184" i="13"/>
  <c r="BB183" i="13"/>
  <c r="BB182" i="13"/>
  <c r="BB181" i="13"/>
  <c r="BB180" i="13"/>
  <c r="BB179" i="13"/>
  <c r="BB178" i="13"/>
  <c r="BB177" i="13"/>
  <c r="BB176" i="13"/>
  <c r="BB175" i="13"/>
  <c r="BB174" i="13"/>
  <c r="BB173" i="13"/>
  <c r="BB172" i="13"/>
  <c r="BB171" i="13"/>
  <c r="BB170" i="13"/>
  <c r="BB169" i="13"/>
  <c r="BB168" i="13"/>
  <c r="BB167" i="13"/>
  <c r="BB166" i="13"/>
  <c r="BB165" i="13"/>
  <c r="BB164" i="13"/>
  <c r="BB163" i="13"/>
  <c r="BB162" i="13"/>
  <c r="BB161" i="13"/>
  <c r="BB160" i="13"/>
  <c r="BB159" i="13"/>
  <c r="BB158" i="13"/>
  <c r="BB157" i="13"/>
  <c r="BB156" i="13"/>
  <c r="BB155" i="13"/>
  <c r="BB154" i="13"/>
  <c r="BB153" i="13"/>
  <c r="BB152" i="13"/>
  <c r="BB151" i="13"/>
  <c r="BB150" i="13"/>
  <c r="BB149" i="13"/>
  <c r="BB148" i="13"/>
  <c r="BB147" i="13"/>
  <c r="BB146" i="13"/>
  <c r="BB145" i="13"/>
  <c r="BB144" i="13"/>
  <c r="BB143" i="13"/>
  <c r="BB142" i="13"/>
  <c r="BB141" i="13"/>
  <c r="BB140" i="13"/>
  <c r="BB139" i="13"/>
  <c r="BB138" i="13"/>
  <c r="BB137" i="13"/>
  <c r="BB136" i="13"/>
  <c r="BB135" i="13"/>
  <c r="BB134" i="13"/>
  <c r="BB133" i="13"/>
  <c r="BB132" i="13"/>
  <c r="BB131" i="13"/>
  <c r="BB130" i="13"/>
  <c r="BB129" i="13"/>
  <c r="BB128" i="13"/>
  <c r="BB127" i="13"/>
  <c r="BB126" i="13"/>
  <c r="BB125" i="13"/>
  <c r="BB124" i="13"/>
  <c r="BB123" i="13"/>
  <c r="BB122" i="13"/>
  <c r="BB121" i="13"/>
  <c r="BB120" i="13"/>
  <c r="BB119" i="13"/>
  <c r="BB118" i="13"/>
  <c r="BB117" i="13"/>
  <c r="BB116" i="13"/>
  <c r="BB115" i="13"/>
  <c r="BB114" i="13"/>
  <c r="BB113" i="13"/>
  <c r="BB112" i="13"/>
  <c r="BB111" i="13"/>
  <c r="BB110" i="13"/>
  <c r="BB109" i="13"/>
  <c r="BB108" i="13"/>
  <c r="BB107" i="13"/>
  <c r="BB106" i="13"/>
  <c r="BB105" i="13"/>
  <c r="BB104" i="13"/>
  <c r="BB103" i="13"/>
  <c r="BB102" i="13"/>
  <c r="BB101" i="13"/>
  <c r="BB100" i="13"/>
  <c r="BB99" i="13"/>
  <c r="BB98" i="13"/>
  <c r="BB97" i="13"/>
  <c r="BB96" i="13"/>
  <c r="BB95" i="13"/>
  <c r="BB94" i="13"/>
  <c r="BB93" i="13"/>
  <c r="BB92" i="13"/>
  <c r="BB91" i="13"/>
  <c r="BB90" i="13"/>
  <c r="BB89" i="13"/>
  <c r="BB88" i="13"/>
  <c r="BB87" i="13"/>
  <c r="BB86" i="13"/>
  <c r="BB85" i="13"/>
  <c r="BB84" i="13"/>
  <c r="BB83" i="13"/>
  <c r="BB82" i="13"/>
  <c r="BB81" i="13"/>
  <c r="BB80" i="13"/>
  <c r="BB79" i="13"/>
  <c r="BB78" i="13"/>
  <c r="BB77" i="13"/>
  <c r="BB76" i="13"/>
  <c r="BB75" i="13"/>
  <c r="BB74" i="13"/>
  <c r="BB73" i="13"/>
  <c r="BB72" i="13"/>
  <c r="BB71" i="13"/>
  <c r="BB70" i="13"/>
  <c r="BB69" i="13"/>
  <c r="BB68" i="13"/>
  <c r="BB67" i="13"/>
  <c r="BB66" i="13"/>
  <c r="BB65" i="13"/>
  <c r="BB64" i="13"/>
  <c r="BB63" i="13"/>
  <c r="BB62" i="13"/>
  <c r="BB61" i="13"/>
  <c r="BB60" i="13"/>
  <c r="BB59" i="13"/>
  <c r="BB58" i="13"/>
  <c r="BB57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AC5" i="13"/>
  <c r="AN5" i="13"/>
  <c r="AL486" i="13"/>
  <c r="AL478" i="13"/>
  <c r="AL470" i="13"/>
  <c r="AL442" i="13"/>
  <c r="AL434" i="13"/>
  <c r="AL426" i="13"/>
  <c r="AL418" i="13"/>
  <c r="AL410" i="13"/>
  <c r="AL402" i="13"/>
  <c r="AL398" i="13"/>
  <c r="AL364" i="13"/>
  <c r="AN237" i="13"/>
  <c r="AM234" i="13"/>
  <c r="AN233" i="13"/>
  <c r="AL233" i="13" s="1"/>
  <c r="AM230" i="13"/>
  <c r="AN229" i="13"/>
  <c r="AL229" i="13" s="1"/>
  <c r="AM226" i="13"/>
  <c r="AN225" i="13"/>
  <c r="AL225" i="13" s="1"/>
  <c r="AM222" i="13"/>
  <c r="AN221" i="13"/>
  <c r="AM218" i="13"/>
  <c r="AL218" i="13" s="1"/>
  <c r="AN217" i="13"/>
  <c r="AL217" i="13" s="1"/>
  <c r="AM214" i="13"/>
  <c r="AN213" i="13"/>
  <c r="AM210" i="13"/>
  <c r="AN209" i="13"/>
  <c r="AM206" i="13"/>
  <c r="AN205" i="13"/>
  <c r="AM202" i="13"/>
  <c r="AN201" i="13"/>
  <c r="AL201" i="13" s="1"/>
  <c r="AM198" i="13"/>
  <c r="AL198" i="13" s="1"/>
  <c r="AN197" i="13"/>
  <c r="AL197" i="13" s="1"/>
  <c r="AM194" i="13"/>
  <c r="AN193" i="13"/>
  <c r="AL193" i="13" s="1"/>
  <c r="AM236" i="13"/>
  <c r="AN235" i="13"/>
  <c r="AL235" i="13" s="1"/>
  <c r="AM232" i="13"/>
  <c r="AN231" i="13"/>
  <c r="AM228" i="13"/>
  <c r="AN227" i="13"/>
  <c r="AM224" i="13"/>
  <c r="AN223" i="13"/>
  <c r="AM220" i="13"/>
  <c r="AL220" i="13" s="1"/>
  <c r="AN219" i="13"/>
  <c r="AM216" i="13"/>
  <c r="AN215" i="13"/>
  <c r="AM212" i="13"/>
  <c r="AN211" i="13"/>
  <c r="AM208" i="13"/>
  <c r="AN207" i="13"/>
  <c r="AM204" i="13"/>
  <c r="AL204" i="13" s="1"/>
  <c r="AN203" i="13"/>
  <c r="AL203" i="13" s="1"/>
  <c r="AM200" i="13"/>
  <c r="AN199" i="13"/>
  <c r="AM196" i="13"/>
  <c r="AN195" i="13"/>
  <c r="AM192" i="13"/>
  <c r="AN191" i="13"/>
  <c r="AM187" i="13"/>
  <c r="AN186" i="13"/>
  <c r="AM183" i="13"/>
  <c r="AN182" i="13"/>
  <c r="AM179" i="13"/>
  <c r="AN178" i="13"/>
  <c r="AM175" i="13"/>
  <c r="AN174" i="13"/>
  <c r="AM171" i="13"/>
  <c r="AN170" i="13"/>
  <c r="AM167" i="13"/>
  <c r="AN166" i="13"/>
  <c r="AM163" i="13"/>
  <c r="AN162" i="13"/>
  <c r="AM159" i="13"/>
  <c r="AN158" i="13"/>
  <c r="AM155" i="13"/>
  <c r="AN154" i="13"/>
  <c r="AM151" i="13"/>
  <c r="AN150" i="13"/>
  <c r="AM147" i="13"/>
  <c r="AN146" i="13"/>
  <c r="AM143" i="13"/>
  <c r="AN142" i="13"/>
  <c r="AM139" i="13"/>
  <c r="AN138" i="13"/>
  <c r="AM135" i="13"/>
  <c r="AN134" i="13"/>
  <c r="AM131" i="13"/>
  <c r="AN130" i="13"/>
  <c r="AM127" i="13"/>
  <c r="AN126" i="13"/>
  <c r="AM123" i="13"/>
  <c r="AN122" i="13"/>
  <c r="AM119" i="13"/>
  <c r="AN118" i="13"/>
  <c r="AM115" i="13"/>
  <c r="AN114" i="13"/>
  <c r="AM111" i="13"/>
  <c r="AN110" i="13"/>
  <c r="AM107" i="13"/>
  <c r="AN106" i="13"/>
  <c r="AM103" i="13"/>
  <c r="AN102" i="13"/>
  <c r="AM99" i="13"/>
  <c r="AN98" i="13"/>
  <c r="AM95" i="13"/>
  <c r="AN94" i="13"/>
  <c r="AM91" i="13"/>
  <c r="AN90" i="13"/>
  <c r="AM87" i="13"/>
  <c r="AN86" i="13"/>
  <c r="AM83" i="13"/>
  <c r="AN82" i="13"/>
  <c r="AM79" i="13"/>
  <c r="AN78" i="13"/>
  <c r="AM75" i="13"/>
  <c r="AN74" i="13"/>
  <c r="AM71" i="13"/>
  <c r="AN70" i="13"/>
  <c r="AM67" i="13"/>
  <c r="AN66" i="13"/>
  <c r="AM63" i="13"/>
  <c r="AN62" i="13"/>
  <c r="AM59" i="13"/>
  <c r="AN58" i="13"/>
  <c r="AM55" i="13"/>
  <c r="AN54" i="13"/>
  <c r="AN188" i="13"/>
  <c r="AN187" i="13"/>
  <c r="AM186" i="13"/>
  <c r="AM185" i="13"/>
  <c r="AN184" i="13"/>
  <c r="AL184" i="13" s="1"/>
  <c r="AN183" i="13"/>
  <c r="AM182" i="13"/>
  <c r="AM181" i="13"/>
  <c r="AL181" i="13" s="1"/>
  <c r="AN180" i="13"/>
  <c r="AL180" i="13" s="1"/>
  <c r="AN179" i="13"/>
  <c r="AM178" i="13"/>
  <c r="AM177" i="13"/>
  <c r="AL177" i="13" s="1"/>
  <c r="AN176" i="13"/>
  <c r="AN175" i="13"/>
  <c r="AM174" i="13"/>
  <c r="AM173" i="13"/>
  <c r="AN172" i="13"/>
  <c r="AN171" i="13"/>
  <c r="AM170" i="13"/>
  <c r="AM169" i="13"/>
  <c r="AN168" i="13"/>
  <c r="AN167" i="13"/>
  <c r="AM166" i="13"/>
  <c r="AM165" i="13"/>
  <c r="AN164" i="13"/>
  <c r="AL164" i="13" s="1"/>
  <c r="AN163" i="13"/>
  <c r="AM162" i="13"/>
  <c r="AM161" i="13"/>
  <c r="AN160" i="13"/>
  <c r="AN159" i="13"/>
  <c r="AM158" i="13"/>
  <c r="AM157" i="13"/>
  <c r="AL157" i="13" s="1"/>
  <c r="AN156" i="13"/>
  <c r="AN155" i="13"/>
  <c r="AM154" i="13"/>
  <c r="AM153" i="13"/>
  <c r="AN152" i="13"/>
  <c r="AN151" i="13"/>
  <c r="AM150" i="13"/>
  <c r="AM149" i="13"/>
  <c r="AL149" i="13" s="1"/>
  <c r="AN148" i="13"/>
  <c r="AN147" i="13"/>
  <c r="AM146" i="13"/>
  <c r="AM145" i="13"/>
  <c r="AL145" i="13" s="1"/>
  <c r="AN144" i="13"/>
  <c r="AN143" i="13"/>
  <c r="AM142" i="13"/>
  <c r="AM141" i="13"/>
  <c r="AN140" i="13"/>
  <c r="AL140" i="13" s="1"/>
  <c r="AN139" i="13"/>
  <c r="AM138" i="13"/>
  <c r="AM137" i="13"/>
  <c r="AN136" i="13"/>
  <c r="AL136" i="13" s="1"/>
  <c r="AN135" i="13"/>
  <c r="AM134" i="13"/>
  <c r="AM133" i="13"/>
  <c r="AN132" i="13"/>
  <c r="AL132" i="13" s="1"/>
  <c r="AN131" i="13"/>
  <c r="AM130" i="13"/>
  <c r="AM129" i="13"/>
  <c r="AN128" i="13"/>
  <c r="AN127" i="13"/>
  <c r="AM126" i="13"/>
  <c r="AM125" i="13"/>
  <c r="AN124" i="13"/>
  <c r="AL124" i="13" s="1"/>
  <c r="AN123" i="13"/>
  <c r="AM122" i="13"/>
  <c r="AM121" i="13"/>
  <c r="AN120" i="13"/>
  <c r="AL120" i="13" s="1"/>
  <c r="AN119" i="13"/>
  <c r="AM118" i="13"/>
  <c r="AM117" i="13"/>
  <c r="AL117" i="13" s="1"/>
  <c r="AN116" i="13"/>
  <c r="AL116" i="13" s="1"/>
  <c r="AN115" i="13"/>
  <c r="AM114" i="13"/>
  <c r="AM113" i="13"/>
  <c r="AN112" i="13"/>
  <c r="AN111" i="13"/>
  <c r="AM110" i="13"/>
  <c r="AM109" i="13"/>
  <c r="AN108" i="13"/>
  <c r="AN107" i="13"/>
  <c r="AM106" i="13"/>
  <c r="AM105" i="13"/>
  <c r="AN104" i="13"/>
  <c r="AN103" i="13"/>
  <c r="AM102" i="13"/>
  <c r="AM101" i="13"/>
  <c r="AN100" i="13"/>
  <c r="AL100" i="13" s="1"/>
  <c r="AN99" i="13"/>
  <c r="AM98" i="13"/>
  <c r="AM97" i="13"/>
  <c r="AN96" i="13"/>
  <c r="AN95" i="13"/>
  <c r="AM94" i="13"/>
  <c r="AM93" i="13"/>
  <c r="AL93" i="13" s="1"/>
  <c r="AN92" i="13"/>
  <c r="AL92" i="13" s="1"/>
  <c r="AN91" i="13"/>
  <c r="AM90" i="13"/>
  <c r="AM89" i="13"/>
  <c r="AN88" i="13"/>
  <c r="AN87" i="13"/>
  <c r="AM86" i="13"/>
  <c r="AM85" i="13"/>
  <c r="AL85" i="13" s="1"/>
  <c r="AN84" i="13"/>
  <c r="AN83" i="13"/>
  <c r="AM82" i="13"/>
  <c r="AM81" i="13"/>
  <c r="AN80" i="13"/>
  <c r="AN79" i="13"/>
  <c r="AM78" i="13"/>
  <c r="AM77" i="13"/>
  <c r="AN76" i="13"/>
  <c r="AL76" i="13" s="1"/>
  <c r="AN75" i="13"/>
  <c r="AM74" i="13"/>
  <c r="AM73" i="13"/>
  <c r="AN72" i="13"/>
  <c r="AN71" i="13"/>
  <c r="AM70" i="13"/>
  <c r="AM69" i="13"/>
  <c r="AN68" i="13"/>
  <c r="AN67" i="13"/>
  <c r="AM66" i="13"/>
  <c r="AM65" i="13"/>
  <c r="AN64" i="13"/>
  <c r="AL64" i="13" s="1"/>
  <c r="AN63" i="13"/>
  <c r="AM62" i="13"/>
  <c r="AM61" i="13"/>
  <c r="AL61" i="13" s="1"/>
  <c r="AN60" i="13"/>
  <c r="AL60" i="13" s="1"/>
  <c r="AN59" i="13"/>
  <c r="AM58" i="13"/>
  <c r="AM57" i="13"/>
  <c r="AN56" i="13"/>
  <c r="AL56" i="13" s="1"/>
  <c r="AN55" i="13"/>
  <c r="AL48" i="13"/>
  <c r="AL36" i="13"/>
  <c r="AE492" i="13"/>
  <c r="AD493" i="13"/>
  <c r="AD491" i="13"/>
  <c r="AE491" i="13"/>
  <c r="AD492" i="13"/>
  <c r="U490" i="13"/>
  <c r="AB490" i="13"/>
  <c r="AA490" i="13"/>
  <c r="Z490" i="13"/>
  <c r="Y490" i="13"/>
  <c r="X490" i="13"/>
  <c r="W490" i="13"/>
  <c r="AL156" i="13" l="1"/>
  <c r="AL188" i="13"/>
  <c r="AL44" i="13"/>
  <c r="AL389" i="13"/>
  <c r="AL202" i="13"/>
  <c r="AL148" i="13"/>
  <c r="AL270" i="13"/>
  <c r="AC25" i="13"/>
  <c r="AL441" i="13"/>
  <c r="AL383" i="13"/>
  <c r="AL72" i="13"/>
  <c r="AL39" i="13"/>
  <c r="AL258" i="13"/>
  <c r="AL417" i="13"/>
  <c r="AL391" i="13"/>
  <c r="AL226" i="13"/>
  <c r="AL308" i="13"/>
  <c r="AL324" i="13"/>
  <c r="AL372" i="13"/>
  <c r="AL432" i="13"/>
  <c r="AL219" i="13"/>
  <c r="AL376" i="13"/>
  <c r="AL250" i="13"/>
  <c r="AL298" i="13"/>
  <c r="AL394" i="13"/>
  <c r="AL407" i="13"/>
  <c r="AC51" i="13"/>
  <c r="AL125" i="13"/>
  <c r="AL161" i="13"/>
  <c r="AL209" i="13"/>
  <c r="AL267" i="13"/>
  <c r="AL283" i="13"/>
  <c r="AL299" i="13"/>
  <c r="AL331" i="13"/>
  <c r="AL347" i="13"/>
  <c r="AL363" i="13"/>
  <c r="AL112" i="13"/>
  <c r="AL176" i="13"/>
  <c r="AL316" i="13"/>
  <c r="AL380" i="13"/>
  <c r="AL172" i="13"/>
  <c r="AL128" i="13"/>
  <c r="AC493" i="13"/>
  <c r="AL213" i="13"/>
  <c r="AC33" i="13"/>
  <c r="AL450" i="13"/>
  <c r="AL68" i="13"/>
  <c r="AL84" i="13"/>
  <c r="AL96" i="13"/>
  <c r="AL104" i="13"/>
  <c r="AL108" i="13"/>
  <c r="AL160" i="13"/>
  <c r="AL168" i="13"/>
  <c r="AL222" i="13"/>
  <c r="AL230" i="13"/>
  <c r="AL453" i="13"/>
  <c r="AL244" i="13"/>
  <c r="AL276" i="13"/>
  <c r="AL280" i="13"/>
  <c r="AL288" i="13"/>
  <c r="AL292" i="13"/>
  <c r="AL332" i="13"/>
  <c r="AL340" i="13"/>
  <c r="AL344" i="13"/>
  <c r="AL352" i="13"/>
  <c r="AC35" i="13"/>
  <c r="AL210" i="13"/>
  <c r="AL234" i="13"/>
  <c r="AL26" i="13"/>
  <c r="AL30" i="13"/>
  <c r="AL277" i="13"/>
  <c r="AL281" i="13"/>
  <c r="AL449" i="13"/>
  <c r="AL65" i="13"/>
  <c r="AL81" i="13"/>
  <c r="AL97" i="13"/>
  <c r="AL113" i="13"/>
  <c r="AL129" i="13"/>
  <c r="AL246" i="13"/>
  <c r="AL302" i="13"/>
  <c r="AL334" i="13"/>
  <c r="AL338" i="13"/>
  <c r="AL366" i="13"/>
  <c r="AL370" i="13"/>
  <c r="AL10" i="13"/>
  <c r="AL14" i="13"/>
  <c r="AL392" i="13"/>
  <c r="AC19" i="13"/>
  <c r="AC23" i="13"/>
  <c r="AC27" i="13"/>
  <c r="AC29" i="13"/>
  <c r="AC43" i="13"/>
  <c r="AL445" i="13"/>
  <c r="AC41" i="13"/>
  <c r="AC16" i="13"/>
  <c r="AL27" i="13"/>
  <c r="AL35" i="13"/>
  <c r="AL43" i="13"/>
  <c r="AL51" i="13"/>
  <c r="AL310" i="13"/>
  <c r="AL326" i="13"/>
  <c r="AL342" i="13"/>
  <c r="AL358" i="13"/>
  <c r="AL362" i="13"/>
  <c r="AL378" i="13"/>
  <c r="AL22" i="13"/>
  <c r="AL388" i="13"/>
  <c r="AL396" i="13"/>
  <c r="AL400" i="13"/>
  <c r="AL404" i="13"/>
  <c r="AL408" i="13"/>
  <c r="AL412" i="13"/>
  <c r="AL416" i="13"/>
  <c r="AL420" i="13"/>
  <c r="AL424" i="13"/>
  <c r="AL428" i="13"/>
  <c r="AL436" i="13"/>
  <c r="AL440" i="13"/>
  <c r="AL444" i="13"/>
  <c r="AL448" i="13"/>
  <c r="AL452" i="13"/>
  <c r="AL456" i="13"/>
  <c r="AL460" i="13"/>
  <c r="AL464" i="13"/>
  <c r="AL468" i="13"/>
  <c r="AL472" i="13"/>
  <c r="AL476" i="13"/>
  <c r="AL480" i="13"/>
  <c r="AL484" i="13"/>
  <c r="AL492" i="13"/>
  <c r="AC17" i="13"/>
  <c r="AC31" i="13"/>
  <c r="AC45" i="13"/>
  <c r="AL405" i="13"/>
  <c r="AL409" i="13"/>
  <c r="AL437" i="13"/>
  <c r="AL469" i="13"/>
  <c r="AL481" i="13"/>
  <c r="AL411" i="13"/>
  <c r="AL415" i="13"/>
  <c r="AL447" i="13"/>
  <c r="AL459" i="13"/>
  <c r="AL467" i="13"/>
  <c r="AL471" i="13"/>
  <c r="AL454" i="13"/>
  <c r="AC49" i="13"/>
  <c r="AL46" i="13"/>
  <c r="AL40" i="13"/>
  <c r="AL260" i="13"/>
  <c r="AL32" i="13"/>
  <c r="AL77" i="13"/>
  <c r="AL109" i="13"/>
  <c r="AL141" i="13"/>
  <c r="AL173" i="13"/>
  <c r="AL241" i="13"/>
  <c r="AL257" i="13"/>
  <c r="AL273" i="13"/>
  <c r="AL297" i="13"/>
  <c r="AL325" i="13"/>
  <c r="AL345" i="13"/>
  <c r="AL377" i="13"/>
  <c r="AL195" i="13"/>
  <c r="AL211" i="13"/>
  <c r="AL227" i="13"/>
  <c r="AL200" i="13"/>
  <c r="AL216" i="13"/>
  <c r="AL232" i="13"/>
  <c r="AL194" i="13"/>
  <c r="AL384" i="13"/>
  <c r="AL386" i="13"/>
  <c r="AL403" i="13"/>
  <c r="AL443" i="13"/>
  <c r="AL42" i="13"/>
  <c r="AL73" i="13"/>
  <c r="AL105" i="13"/>
  <c r="AL137" i="13"/>
  <c r="AL169" i="13"/>
  <c r="AL191" i="13"/>
  <c r="AL207" i="13"/>
  <c r="AL223" i="13"/>
  <c r="AL401" i="13"/>
  <c r="AL31" i="13"/>
  <c r="AL47" i="13"/>
  <c r="AL262" i="13"/>
  <c r="AL266" i="13"/>
  <c r="AL286" i="13"/>
  <c r="AL290" i="13"/>
  <c r="AL318" i="13"/>
  <c r="AL322" i="13"/>
  <c r="AL350" i="13"/>
  <c r="AL354" i="13"/>
  <c r="AL382" i="13"/>
  <c r="AC37" i="13"/>
  <c r="AL413" i="13"/>
  <c r="AL451" i="13"/>
  <c r="AC39" i="13"/>
  <c r="AL458" i="13"/>
  <c r="AL466" i="13"/>
  <c r="AL474" i="13"/>
  <c r="AL482" i="13"/>
  <c r="AL490" i="13"/>
  <c r="AC21" i="13"/>
  <c r="AL254" i="13"/>
  <c r="AL406" i="13"/>
  <c r="AL414" i="13"/>
  <c r="AL422" i="13"/>
  <c r="AL430" i="13"/>
  <c r="AL438" i="13"/>
  <c r="AL38" i="13"/>
  <c r="AL485" i="13"/>
  <c r="AL336" i="13"/>
  <c r="AL356" i="13"/>
  <c r="AL348" i="13"/>
  <c r="AL423" i="13"/>
  <c r="AL463" i="13"/>
  <c r="AL196" i="13"/>
  <c r="AL212" i="13"/>
  <c r="AL228" i="13"/>
  <c r="AL37" i="13"/>
  <c r="AL53" i="13"/>
  <c r="AC492" i="13"/>
  <c r="AL245" i="13"/>
  <c r="AL249" i="13"/>
  <c r="AL261" i="13"/>
  <c r="AL265" i="13"/>
  <c r="AL285" i="13"/>
  <c r="AL289" i="13"/>
  <c r="AL309" i="13"/>
  <c r="AL313" i="13"/>
  <c r="AL333" i="13"/>
  <c r="AL353" i="13"/>
  <c r="AL365" i="13"/>
  <c r="AC48" i="13"/>
  <c r="AL57" i="13"/>
  <c r="AL69" i="13"/>
  <c r="AL89" i="13"/>
  <c r="AL101" i="13"/>
  <c r="AL121" i="13"/>
  <c r="AL133" i="13"/>
  <c r="AL153" i="13"/>
  <c r="AL165" i="13"/>
  <c r="AL185" i="13"/>
  <c r="AL199" i="13"/>
  <c r="AL215" i="13"/>
  <c r="AL231" i="13"/>
  <c r="AL34" i="13"/>
  <c r="AL253" i="13"/>
  <c r="AL269" i="13"/>
  <c r="AL293" i="13"/>
  <c r="AL317" i="13"/>
  <c r="AL341" i="13"/>
  <c r="AL373" i="13"/>
  <c r="AC24" i="13"/>
  <c r="AC52" i="13"/>
  <c r="AC6" i="13"/>
  <c r="AC9" i="13"/>
  <c r="AL395" i="13"/>
  <c r="AL429" i="13"/>
  <c r="AL465" i="13"/>
  <c r="AL491" i="13"/>
  <c r="AL205" i="13"/>
  <c r="AL221" i="13"/>
  <c r="AL237" i="13"/>
  <c r="AC26" i="13"/>
  <c r="AC34" i="13"/>
  <c r="AC42" i="13"/>
  <c r="AL433" i="13"/>
  <c r="AL399" i="13"/>
  <c r="AL455" i="13"/>
  <c r="AL80" i="13"/>
  <c r="AL88" i="13"/>
  <c r="AL144" i="13"/>
  <c r="AL152" i="13"/>
  <c r="AL206" i="13"/>
  <c r="AL214" i="13"/>
  <c r="AL6" i="13"/>
  <c r="AC7" i="13"/>
  <c r="AL305" i="13"/>
  <c r="AL329" i="13"/>
  <c r="AL357" i="13"/>
  <c r="AC20" i="13"/>
  <c r="AC32" i="13"/>
  <c r="AL477" i="13"/>
  <c r="AC28" i="13"/>
  <c r="AC36" i="13"/>
  <c r="AC40" i="13"/>
  <c r="AC44" i="13"/>
  <c r="AL397" i="13"/>
  <c r="AL86" i="13"/>
  <c r="AL94" i="13"/>
  <c r="AL102" i="13"/>
  <c r="AL110" i="13"/>
  <c r="AL118" i="13"/>
  <c r="AL126" i="13"/>
  <c r="AL134" i="13"/>
  <c r="AL142" i="13"/>
  <c r="AL150" i="13"/>
  <c r="AL158" i="13"/>
  <c r="AL166" i="13"/>
  <c r="AL174" i="13"/>
  <c r="AL182" i="13"/>
  <c r="AL190" i="13"/>
  <c r="AC22" i="13"/>
  <c r="AC8" i="13"/>
  <c r="AL236" i="13"/>
  <c r="AL33" i="13"/>
  <c r="AL49" i="13"/>
  <c r="AL18" i="13"/>
  <c r="AC15" i="13"/>
  <c r="AC13" i="13"/>
  <c r="AL62" i="13"/>
  <c r="AL70" i="13"/>
  <c r="AL78" i="13"/>
  <c r="AL385" i="13"/>
  <c r="AL473" i="13"/>
  <c r="AL58" i="13"/>
  <c r="AL66" i="13"/>
  <c r="AL74" i="13"/>
  <c r="AL82" i="13"/>
  <c r="AL90" i="13"/>
  <c r="AL98" i="13"/>
  <c r="AL106" i="13"/>
  <c r="AL114" i="13"/>
  <c r="AL122" i="13"/>
  <c r="AL130" i="13"/>
  <c r="AL138" i="13"/>
  <c r="AL146" i="13"/>
  <c r="AL154" i="13"/>
  <c r="AL162" i="13"/>
  <c r="AL170" i="13"/>
  <c r="AL178" i="13"/>
  <c r="AL186" i="13"/>
  <c r="AL192" i="13"/>
  <c r="AL208" i="13"/>
  <c r="AL224" i="13"/>
  <c r="AL25" i="13"/>
  <c r="AL29" i="13"/>
  <c r="AL41" i="13"/>
  <c r="AL45" i="13"/>
  <c r="AL54" i="13"/>
  <c r="AL243" i="13"/>
  <c r="AL259" i="13"/>
  <c r="AL275" i="13"/>
  <c r="AL291" i="13"/>
  <c r="AL307" i="13"/>
  <c r="AL323" i="13"/>
  <c r="AL339" i="13"/>
  <c r="AL355" i="13"/>
  <c r="AL371" i="13"/>
  <c r="AC18" i="13"/>
  <c r="AC30" i="13"/>
  <c r="AC38" i="13"/>
  <c r="AC46" i="13"/>
  <c r="AC50" i="13"/>
  <c r="AC14" i="13"/>
  <c r="AL239" i="13"/>
  <c r="AL247" i="13"/>
  <c r="AL255" i="13"/>
  <c r="AL263" i="13"/>
  <c r="AL271" i="13"/>
  <c r="AL279" i="13"/>
  <c r="AL287" i="13"/>
  <c r="AL295" i="13"/>
  <c r="AL301" i="13"/>
  <c r="AL303" i="13"/>
  <c r="AL311" i="13"/>
  <c r="AL319" i="13"/>
  <c r="AL321" i="13"/>
  <c r="AL327" i="13"/>
  <c r="AL335" i="13"/>
  <c r="AL343" i="13"/>
  <c r="AL349" i="13"/>
  <c r="AL351" i="13"/>
  <c r="AL359" i="13"/>
  <c r="AL361" i="13"/>
  <c r="AL367" i="13"/>
  <c r="AL375" i="13"/>
  <c r="AL381" i="13"/>
  <c r="AL189" i="13"/>
  <c r="AC12" i="13"/>
  <c r="AC10" i="13"/>
  <c r="BP76" i="13"/>
  <c r="BP78" i="13"/>
  <c r="BP80" i="13"/>
  <c r="BP77" i="13"/>
  <c r="BP79" i="13"/>
  <c r="BP75" i="13"/>
  <c r="AL7" i="13"/>
  <c r="AL11" i="13"/>
  <c r="AL15" i="13"/>
  <c r="AL19" i="13"/>
  <c r="AL23" i="13"/>
  <c r="AL9" i="13"/>
  <c r="AL13" i="13"/>
  <c r="AL17" i="13"/>
  <c r="AL21" i="13"/>
  <c r="CH38" i="13"/>
  <c r="AL59" i="13"/>
  <c r="AL67" i="13"/>
  <c r="AL75" i="13"/>
  <c r="AL83" i="13"/>
  <c r="AL91" i="13"/>
  <c r="AL99" i="13"/>
  <c r="AL107" i="13"/>
  <c r="AL115" i="13"/>
  <c r="AL123" i="13"/>
  <c r="AL131" i="13"/>
  <c r="AL139" i="13"/>
  <c r="AL147" i="13"/>
  <c r="AL155" i="13"/>
  <c r="AL163" i="13"/>
  <c r="AL171" i="13"/>
  <c r="AL179" i="13"/>
  <c r="AL187" i="13"/>
  <c r="AL55" i="13"/>
  <c r="AL63" i="13"/>
  <c r="AL71" i="13"/>
  <c r="AL79" i="13"/>
  <c r="AL87" i="13"/>
  <c r="AL95" i="13"/>
  <c r="AL103" i="13"/>
  <c r="AL111" i="13"/>
  <c r="AL119" i="13"/>
  <c r="AL127" i="13"/>
  <c r="AL135" i="13"/>
  <c r="AL143" i="13"/>
  <c r="AL151" i="13"/>
  <c r="AL159" i="13"/>
  <c r="AL167" i="13"/>
  <c r="AL175" i="13"/>
  <c r="AL183" i="13"/>
  <c r="AC491" i="13"/>
  <c r="AE490" i="13"/>
  <c r="AD490" i="13"/>
  <c r="BB7" i="10"/>
  <c r="BC7" i="10" s="1"/>
  <c r="BD7" i="10" s="1"/>
  <c r="BE7" i="10" s="1"/>
  <c r="BF7" i="10" s="1"/>
  <c r="AZ8" i="10" s="1"/>
  <c r="BA8" i="10" s="1"/>
  <c r="AZ7" i="10"/>
  <c r="U489" i="13"/>
  <c r="AB489" i="13"/>
  <c r="AA489" i="13"/>
  <c r="Z489" i="13"/>
  <c r="Y489" i="13"/>
  <c r="X489" i="13"/>
  <c r="W489" i="13"/>
  <c r="W54" i="13"/>
  <c r="X54" i="13"/>
  <c r="Y54" i="13"/>
  <c r="Z54" i="13"/>
  <c r="AA54" i="13"/>
  <c r="AB54" i="13"/>
  <c r="W55" i="13"/>
  <c r="X55" i="13"/>
  <c r="Y55" i="13"/>
  <c r="Z55" i="13"/>
  <c r="AA55" i="13"/>
  <c r="AB55" i="13"/>
  <c r="W56" i="13"/>
  <c r="X56" i="13"/>
  <c r="Y56" i="13"/>
  <c r="Z56" i="13"/>
  <c r="AA56" i="13"/>
  <c r="AB56" i="13"/>
  <c r="W57" i="13"/>
  <c r="X57" i="13"/>
  <c r="Y57" i="13"/>
  <c r="Z57" i="13"/>
  <c r="AA57" i="13"/>
  <c r="AB57" i="13"/>
  <c r="W58" i="13"/>
  <c r="X58" i="13"/>
  <c r="Y58" i="13"/>
  <c r="Z58" i="13"/>
  <c r="AA58" i="13"/>
  <c r="AB58" i="13"/>
  <c r="W59" i="13"/>
  <c r="X59" i="13"/>
  <c r="Y59" i="13"/>
  <c r="Z59" i="13"/>
  <c r="AA59" i="13"/>
  <c r="AB59" i="13"/>
  <c r="W60" i="13"/>
  <c r="X60" i="13"/>
  <c r="Y60" i="13"/>
  <c r="Z60" i="13"/>
  <c r="AA60" i="13"/>
  <c r="AB60" i="13"/>
  <c r="W61" i="13"/>
  <c r="X61" i="13"/>
  <c r="Y61" i="13"/>
  <c r="Z61" i="13"/>
  <c r="AA61" i="13"/>
  <c r="AB61" i="13"/>
  <c r="W62" i="13"/>
  <c r="X62" i="13"/>
  <c r="Y62" i="13"/>
  <c r="Z62" i="13"/>
  <c r="AA62" i="13"/>
  <c r="AB62" i="13"/>
  <c r="W63" i="13"/>
  <c r="X63" i="13"/>
  <c r="Y63" i="13"/>
  <c r="Z63" i="13"/>
  <c r="AA63" i="13"/>
  <c r="AB63" i="13"/>
  <c r="W64" i="13"/>
  <c r="X64" i="13"/>
  <c r="Y64" i="13"/>
  <c r="Z64" i="13"/>
  <c r="AA64" i="13"/>
  <c r="AB64" i="13"/>
  <c r="W65" i="13"/>
  <c r="X65" i="13"/>
  <c r="Y65" i="13"/>
  <c r="Z65" i="13"/>
  <c r="AA65" i="13"/>
  <c r="AB65" i="13"/>
  <c r="W66" i="13"/>
  <c r="X66" i="13"/>
  <c r="Y66" i="13"/>
  <c r="Z66" i="13"/>
  <c r="AA66" i="13"/>
  <c r="AB66" i="13"/>
  <c r="W67" i="13"/>
  <c r="X67" i="13"/>
  <c r="Y67" i="13"/>
  <c r="Z67" i="13"/>
  <c r="AA67" i="13"/>
  <c r="AB67" i="13"/>
  <c r="W68" i="13"/>
  <c r="X68" i="13"/>
  <c r="Y68" i="13"/>
  <c r="Z68" i="13"/>
  <c r="AA68" i="13"/>
  <c r="AB68" i="13"/>
  <c r="W69" i="13"/>
  <c r="X69" i="13"/>
  <c r="Y69" i="13"/>
  <c r="Z69" i="13"/>
  <c r="AA69" i="13"/>
  <c r="AB69" i="13"/>
  <c r="W70" i="13"/>
  <c r="X70" i="13"/>
  <c r="Y70" i="13"/>
  <c r="Z70" i="13"/>
  <c r="AA70" i="13"/>
  <c r="AB70" i="13"/>
  <c r="W71" i="13"/>
  <c r="X71" i="13"/>
  <c r="Y71" i="13"/>
  <c r="Z71" i="13"/>
  <c r="AA71" i="13"/>
  <c r="AB71" i="13"/>
  <c r="W72" i="13"/>
  <c r="X72" i="13"/>
  <c r="Y72" i="13"/>
  <c r="Z72" i="13"/>
  <c r="AA72" i="13"/>
  <c r="AB72" i="13"/>
  <c r="W73" i="13"/>
  <c r="X73" i="13"/>
  <c r="Y73" i="13"/>
  <c r="Z73" i="13"/>
  <c r="AA73" i="13"/>
  <c r="AB73" i="13"/>
  <c r="W74" i="13"/>
  <c r="X74" i="13"/>
  <c r="Y74" i="13"/>
  <c r="Z74" i="13"/>
  <c r="AA74" i="13"/>
  <c r="AB74" i="13"/>
  <c r="W75" i="13"/>
  <c r="X75" i="13"/>
  <c r="Y75" i="13"/>
  <c r="Z75" i="13"/>
  <c r="AA75" i="13"/>
  <c r="AB75" i="13"/>
  <c r="W76" i="13"/>
  <c r="X76" i="13"/>
  <c r="Y76" i="13"/>
  <c r="Z76" i="13"/>
  <c r="AA76" i="13"/>
  <c r="AB76" i="13"/>
  <c r="W77" i="13"/>
  <c r="X77" i="13"/>
  <c r="Y77" i="13"/>
  <c r="Z77" i="13"/>
  <c r="AA77" i="13"/>
  <c r="AB77" i="13"/>
  <c r="W78" i="13"/>
  <c r="X78" i="13"/>
  <c r="Y78" i="13"/>
  <c r="Z78" i="13"/>
  <c r="AA78" i="13"/>
  <c r="AB78" i="13"/>
  <c r="W79" i="13"/>
  <c r="X79" i="13"/>
  <c r="Y79" i="13"/>
  <c r="Z79" i="13"/>
  <c r="AA79" i="13"/>
  <c r="AB79" i="13"/>
  <c r="W80" i="13"/>
  <c r="X80" i="13"/>
  <c r="Y80" i="13"/>
  <c r="Z80" i="13"/>
  <c r="AA80" i="13"/>
  <c r="AB80" i="13"/>
  <c r="W81" i="13"/>
  <c r="X81" i="13"/>
  <c r="Y81" i="13"/>
  <c r="Z81" i="13"/>
  <c r="AA81" i="13"/>
  <c r="AB81" i="13"/>
  <c r="W82" i="13"/>
  <c r="X82" i="13"/>
  <c r="Y82" i="13"/>
  <c r="Z82" i="13"/>
  <c r="AA82" i="13"/>
  <c r="AB82" i="13"/>
  <c r="W83" i="13"/>
  <c r="X83" i="13"/>
  <c r="Y83" i="13"/>
  <c r="Z83" i="13"/>
  <c r="AA83" i="13"/>
  <c r="AB83" i="13"/>
  <c r="W84" i="13"/>
  <c r="X84" i="13"/>
  <c r="Y84" i="13"/>
  <c r="Z84" i="13"/>
  <c r="AA84" i="13"/>
  <c r="AB84" i="13"/>
  <c r="W85" i="13"/>
  <c r="X85" i="13"/>
  <c r="Y85" i="13"/>
  <c r="Z85" i="13"/>
  <c r="AA85" i="13"/>
  <c r="AB85" i="13"/>
  <c r="W86" i="13"/>
  <c r="X86" i="13"/>
  <c r="Y86" i="13"/>
  <c r="Z86" i="13"/>
  <c r="AA86" i="13"/>
  <c r="AB86" i="13"/>
  <c r="W87" i="13"/>
  <c r="X87" i="13"/>
  <c r="Y87" i="13"/>
  <c r="Z87" i="13"/>
  <c r="AA87" i="13"/>
  <c r="AB87" i="13"/>
  <c r="W88" i="13"/>
  <c r="X88" i="13"/>
  <c r="Y88" i="13"/>
  <c r="Z88" i="13"/>
  <c r="AA88" i="13"/>
  <c r="AB88" i="13"/>
  <c r="W89" i="13"/>
  <c r="X89" i="13"/>
  <c r="Y89" i="13"/>
  <c r="Z89" i="13"/>
  <c r="AA89" i="13"/>
  <c r="AB89" i="13"/>
  <c r="W90" i="13"/>
  <c r="X90" i="13"/>
  <c r="Y90" i="13"/>
  <c r="Z90" i="13"/>
  <c r="AA90" i="13"/>
  <c r="AB90" i="13"/>
  <c r="W91" i="13"/>
  <c r="X91" i="13"/>
  <c r="Y91" i="13"/>
  <c r="Z91" i="13"/>
  <c r="AA91" i="13"/>
  <c r="AB91" i="13"/>
  <c r="W92" i="13"/>
  <c r="X92" i="13"/>
  <c r="Y92" i="13"/>
  <c r="Z92" i="13"/>
  <c r="AA92" i="13"/>
  <c r="AB92" i="13"/>
  <c r="W93" i="13"/>
  <c r="X93" i="13"/>
  <c r="Y93" i="13"/>
  <c r="Z93" i="13"/>
  <c r="AA93" i="13"/>
  <c r="AB93" i="13"/>
  <c r="W94" i="13"/>
  <c r="X94" i="13"/>
  <c r="Y94" i="13"/>
  <c r="Z94" i="13"/>
  <c r="AA94" i="13"/>
  <c r="AB94" i="13"/>
  <c r="W95" i="13"/>
  <c r="X95" i="13"/>
  <c r="Y95" i="13"/>
  <c r="Z95" i="13"/>
  <c r="AA95" i="13"/>
  <c r="AB95" i="13"/>
  <c r="W96" i="13"/>
  <c r="X96" i="13"/>
  <c r="Y96" i="13"/>
  <c r="Z96" i="13"/>
  <c r="AA96" i="13"/>
  <c r="AB96" i="13"/>
  <c r="W97" i="13"/>
  <c r="X97" i="13"/>
  <c r="Y97" i="13"/>
  <c r="Z97" i="13"/>
  <c r="AA97" i="13"/>
  <c r="AB97" i="13"/>
  <c r="W98" i="13"/>
  <c r="X98" i="13"/>
  <c r="Y98" i="13"/>
  <c r="Z98" i="13"/>
  <c r="AA98" i="13"/>
  <c r="AB98" i="13"/>
  <c r="W99" i="13"/>
  <c r="X99" i="13"/>
  <c r="Y99" i="13"/>
  <c r="Z99" i="13"/>
  <c r="AA99" i="13"/>
  <c r="AB99" i="13"/>
  <c r="W100" i="13"/>
  <c r="X100" i="13"/>
  <c r="Y100" i="13"/>
  <c r="Z100" i="13"/>
  <c r="AA100" i="13"/>
  <c r="AB100" i="13"/>
  <c r="W101" i="13"/>
  <c r="X101" i="13"/>
  <c r="Y101" i="13"/>
  <c r="Z101" i="13"/>
  <c r="AA101" i="13"/>
  <c r="AB101" i="13"/>
  <c r="W102" i="13"/>
  <c r="X102" i="13"/>
  <c r="Y102" i="13"/>
  <c r="Z102" i="13"/>
  <c r="AA102" i="13"/>
  <c r="AB102" i="13"/>
  <c r="W103" i="13"/>
  <c r="X103" i="13"/>
  <c r="Y103" i="13"/>
  <c r="Z103" i="13"/>
  <c r="AA103" i="13"/>
  <c r="AB103" i="13"/>
  <c r="W104" i="13"/>
  <c r="X104" i="13"/>
  <c r="Y104" i="13"/>
  <c r="Z104" i="13"/>
  <c r="AA104" i="13"/>
  <c r="AB104" i="13"/>
  <c r="W105" i="13"/>
  <c r="X105" i="13"/>
  <c r="Y105" i="13"/>
  <c r="Z105" i="13"/>
  <c r="AA105" i="13"/>
  <c r="AB105" i="13"/>
  <c r="W106" i="13"/>
  <c r="X106" i="13"/>
  <c r="Y106" i="13"/>
  <c r="Z106" i="13"/>
  <c r="AA106" i="13"/>
  <c r="AB106" i="13"/>
  <c r="W107" i="13"/>
  <c r="X107" i="13"/>
  <c r="Y107" i="13"/>
  <c r="Z107" i="13"/>
  <c r="AA107" i="13"/>
  <c r="AB107" i="13"/>
  <c r="W108" i="13"/>
  <c r="X108" i="13"/>
  <c r="Y108" i="13"/>
  <c r="Z108" i="13"/>
  <c r="AA108" i="13"/>
  <c r="AB108" i="13"/>
  <c r="W109" i="13"/>
  <c r="X109" i="13"/>
  <c r="Y109" i="13"/>
  <c r="Z109" i="13"/>
  <c r="AA109" i="13"/>
  <c r="AB109" i="13"/>
  <c r="W110" i="13"/>
  <c r="X110" i="13"/>
  <c r="Y110" i="13"/>
  <c r="Z110" i="13"/>
  <c r="AA110" i="13"/>
  <c r="AB110" i="13"/>
  <c r="W111" i="13"/>
  <c r="X111" i="13"/>
  <c r="Y111" i="13"/>
  <c r="Z111" i="13"/>
  <c r="AA111" i="13"/>
  <c r="AB111" i="13"/>
  <c r="W112" i="13"/>
  <c r="X112" i="13"/>
  <c r="Y112" i="13"/>
  <c r="Z112" i="13"/>
  <c r="AA112" i="13"/>
  <c r="AB112" i="13"/>
  <c r="W113" i="13"/>
  <c r="X113" i="13"/>
  <c r="Y113" i="13"/>
  <c r="Z113" i="13"/>
  <c r="AA113" i="13"/>
  <c r="AB113" i="13"/>
  <c r="W114" i="13"/>
  <c r="X114" i="13"/>
  <c r="Y114" i="13"/>
  <c r="Z114" i="13"/>
  <c r="AA114" i="13"/>
  <c r="AB114" i="13"/>
  <c r="W115" i="13"/>
  <c r="X115" i="13"/>
  <c r="Y115" i="13"/>
  <c r="Z115" i="13"/>
  <c r="AA115" i="13"/>
  <c r="AB115" i="13"/>
  <c r="W116" i="13"/>
  <c r="X116" i="13"/>
  <c r="Y116" i="13"/>
  <c r="Z116" i="13"/>
  <c r="AA116" i="13"/>
  <c r="AB116" i="13"/>
  <c r="W117" i="13"/>
  <c r="X117" i="13"/>
  <c r="Y117" i="13"/>
  <c r="Z117" i="13"/>
  <c r="AA117" i="13"/>
  <c r="AB117" i="13"/>
  <c r="W118" i="13"/>
  <c r="X118" i="13"/>
  <c r="Y118" i="13"/>
  <c r="Z118" i="13"/>
  <c r="AA118" i="13"/>
  <c r="AB118" i="13"/>
  <c r="W119" i="13"/>
  <c r="X119" i="13"/>
  <c r="Y119" i="13"/>
  <c r="Z119" i="13"/>
  <c r="AA119" i="13"/>
  <c r="AB119" i="13"/>
  <c r="W120" i="13"/>
  <c r="X120" i="13"/>
  <c r="Y120" i="13"/>
  <c r="Z120" i="13"/>
  <c r="AA120" i="13"/>
  <c r="AB120" i="13"/>
  <c r="W121" i="13"/>
  <c r="X121" i="13"/>
  <c r="Y121" i="13"/>
  <c r="Z121" i="13"/>
  <c r="AA121" i="13"/>
  <c r="AB121" i="13"/>
  <c r="W122" i="13"/>
  <c r="X122" i="13"/>
  <c r="Y122" i="13"/>
  <c r="Z122" i="13"/>
  <c r="AA122" i="13"/>
  <c r="AB122" i="13"/>
  <c r="W123" i="13"/>
  <c r="X123" i="13"/>
  <c r="Y123" i="13"/>
  <c r="Z123" i="13"/>
  <c r="AA123" i="13"/>
  <c r="AB123" i="13"/>
  <c r="W124" i="13"/>
  <c r="X124" i="13"/>
  <c r="Y124" i="13"/>
  <c r="Z124" i="13"/>
  <c r="AA124" i="13"/>
  <c r="AB124" i="13"/>
  <c r="W125" i="13"/>
  <c r="X125" i="13"/>
  <c r="Y125" i="13"/>
  <c r="Z125" i="13"/>
  <c r="AA125" i="13"/>
  <c r="AB125" i="13"/>
  <c r="W126" i="13"/>
  <c r="X126" i="13"/>
  <c r="Y126" i="13"/>
  <c r="Z126" i="13"/>
  <c r="AA126" i="13"/>
  <c r="AB126" i="13"/>
  <c r="W127" i="13"/>
  <c r="X127" i="13"/>
  <c r="Y127" i="13"/>
  <c r="Z127" i="13"/>
  <c r="AA127" i="13"/>
  <c r="AB127" i="13"/>
  <c r="W128" i="13"/>
  <c r="X128" i="13"/>
  <c r="Y128" i="13"/>
  <c r="Z128" i="13"/>
  <c r="AA128" i="13"/>
  <c r="AB128" i="13"/>
  <c r="W129" i="13"/>
  <c r="X129" i="13"/>
  <c r="Y129" i="13"/>
  <c r="Z129" i="13"/>
  <c r="AA129" i="13"/>
  <c r="AB129" i="13"/>
  <c r="W130" i="13"/>
  <c r="X130" i="13"/>
  <c r="Y130" i="13"/>
  <c r="Z130" i="13"/>
  <c r="AA130" i="13"/>
  <c r="AB130" i="13"/>
  <c r="W131" i="13"/>
  <c r="X131" i="13"/>
  <c r="Y131" i="13"/>
  <c r="Z131" i="13"/>
  <c r="AA131" i="13"/>
  <c r="AB131" i="13"/>
  <c r="W132" i="13"/>
  <c r="X132" i="13"/>
  <c r="Y132" i="13"/>
  <c r="Z132" i="13"/>
  <c r="AA132" i="13"/>
  <c r="AB132" i="13"/>
  <c r="W133" i="13"/>
  <c r="X133" i="13"/>
  <c r="Y133" i="13"/>
  <c r="Z133" i="13"/>
  <c r="AA133" i="13"/>
  <c r="AB133" i="13"/>
  <c r="W134" i="13"/>
  <c r="X134" i="13"/>
  <c r="Y134" i="13"/>
  <c r="Z134" i="13"/>
  <c r="AA134" i="13"/>
  <c r="AB134" i="13"/>
  <c r="W135" i="13"/>
  <c r="X135" i="13"/>
  <c r="Y135" i="13"/>
  <c r="Z135" i="13"/>
  <c r="AA135" i="13"/>
  <c r="AB135" i="13"/>
  <c r="W136" i="13"/>
  <c r="X136" i="13"/>
  <c r="Y136" i="13"/>
  <c r="Z136" i="13"/>
  <c r="AA136" i="13"/>
  <c r="AB136" i="13"/>
  <c r="W137" i="13"/>
  <c r="X137" i="13"/>
  <c r="Y137" i="13"/>
  <c r="Z137" i="13"/>
  <c r="AA137" i="13"/>
  <c r="AB137" i="13"/>
  <c r="W138" i="13"/>
  <c r="X138" i="13"/>
  <c r="Y138" i="13"/>
  <c r="Z138" i="13"/>
  <c r="AA138" i="13"/>
  <c r="AB138" i="13"/>
  <c r="W139" i="13"/>
  <c r="X139" i="13"/>
  <c r="Y139" i="13"/>
  <c r="Z139" i="13"/>
  <c r="AA139" i="13"/>
  <c r="AB139" i="13"/>
  <c r="W140" i="13"/>
  <c r="X140" i="13"/>
  <c r="Y140" i="13"/>
  <c r="Z140" i="13"/>
  <c r="AA140" i="13"/>
  <c r="AB140" i="13"/>
  <c r="W141" i="13"/>
  <c r="X141" i="13"/>
  <c r="Y141" i="13"/>
  <c r="Z141" i="13"/>
  <c r="AA141" i="13"/>
  <c r="AB141" i="13"/>
  <c r="W142" i="13"/>
  <c r="X142" i="13"/>
  <c r="Y142" i="13"/>
  <c r="Z142" i="13"/>
  <c r="AA142" i="13"/>
  <c r="AB142" i="13"/>
  <c r="W143" i="13"/>
  <c r="X143" i="13"/>
  <c r="Y143" i="13"/>
  <c r="Z143" i="13"/>
  <c r="AA143" i="13"/>
  <c r="AB143" i="13"/>
  <c r="W144" i="13"/>
  <c r="X144" i="13"/>
  <c r="Y144" i="13"/>
  <c r="Z144" i="13"/>
  <c r="AA144" i="13"/>
  <c r="AB144" i="13"/>
  <c r="W145" i="13"/>
  <c r="X145" i="13"/>
  <c r="Y145" i="13"/>
  <c r="Z145" i="13"/>
  <c r="AA145" i="13"/>
  <c r="AB145" i="13"/>
  <c r="W146" i="13"/>
  <c r="X146" i="13"/>
  <c r="Y146" i="13"/>
  <c r="Z146" i="13"/>
  <c r="AA146" i="13"/>
  <c r="AB146" i="13"/>
  <c r="W147" i="13"/>
  <c r="X147" i="13"/>
  <c r="Y147" i="13"/>
  <c r="Z147" i="13"/>
  <c r="AA147" i="13"/>
  <c r="AB147" i="13"/>
  <c r="W148" i="13"/>
  <c r="X148" i="13"/>
  <c r="Y148" i="13"/>
  <c r="Z148" i="13"/>
  <c r="AA148" i="13"/>
  <c r="AB148" i="13"/>
  <c r="W149" i="13"/>
  <c r="X149" i="13"/>
  <c r="Y149" i="13"/>
  <c r="Z149" i="13"/>
  <c r="AA149" i="13"/>
  <c r="AB149" i="13"/>
  <c r="W150" i="13"/>
  <c r="X150" i="13"/>
  <c r="Y150" i="13"/>
  <c r="Z150" i="13"/>
  <c r="AA150" i="13"/>
  <c r="AB150" i="13"/>
  <c r="W151" i="13"/>
  <c r="X151" i="13"/>
  <c r="Y151" i="13"/>
  <c r="Z151" i="13"/>
  <c r="AA151" i="13"/>
  <c r="AB151" i="13"/>
  <c r="W152" i="13"/>
  <c r="X152" i="13"/>
  <c r="Y152" i="13"/>
  <c r="Z152" i="13"/>
  <c r="AA152" i="13"/>
  <c r="AB152" i="13"/>
  <c r="W153" i="13"/>
  <c r="X153" i="13"/>
  <c r="Y153" i="13"/>
  <c r="Z153" i="13"/>
  <c r="AA153" i="13"/>
  <c r="AB153" i="13"/>
  <c r="W154" i="13"/>
  <c r="X154" i="13"/>
  <c r="Y154" i="13"/>
  <c r="Z154" i="13"/>
  <c r="AA154" i="13"/>
  <c r="AB154" i="13"/>
  <c r="W155" i="13"/>
  <c r="X155" i="13"/>
  <c r="Y155" i="13"/>
  <c r="Z155" i="13"/>
  <c r="AA155" i="13"/>
  <c r="AB155" i="13"/>
  <c r="W156" i="13"/>
  <c r="X156" i="13"/>
  <c r="Y156" i="13"/>
  <c r="Z156" i="13"/>
  <c r="AA156" i="13"/>
  <c r="AB156" i="13"/>
  <c r="W157" i="13"/>
  <c r="X157" i="13"/>
  <c r="Y157" i="13"/>
  <c r="Z157" i="13"/>
  <c r="AA157" i="13"/>
  <c r="AB157" i="13"/>
  <c r="W158" i="13"/>
  <c r="X158" i="13"/>
  <c r="Y158" i="13"/>
  <c r="Z158" i="13"/>
  <c r="AA158" i="13"/>
  <c r="AB158" i="13"/>
  <c r="W159" i="13"/>
  <c r="X159" i="13"/>
  <c r="Y159" i="13"/>
  <c r="Z159" i="13"/>
  <c r="AA159" i="13"/>
  <c r="AB159" i="13"/>
  <c r="W160" i="13"/>
  <c r="X160" i="13"/>
  <c r="Y160" i="13"/>
  <c r="Z160" i="13"/>
  <c r="AA160" i="13"/>
  <c r="AB160" i="13"/>
  <c r="W161" i="13"/>
  <c r="X161" i="13"/>
  <c r="Y161" i="13"/>
  <c r="Z161" i="13"/>
  <c r="AA161" i="13"/>
  <c r="AB161" i="13"/>
  <c r="W162" i="13"/>
  <c r="X162" i="13"/>
  <c r="Y162" i="13"/>
  <c r="Z162" i="13"/>
  <c r="AA162" i="13"/>
  <c r="AB162" i="13"/>
  <c r="W163" i="13"/>
  <c r="X163" i="13"/>
  <c r="Y163" i="13"/>
  <c r="Z163" i="13"/>
  <c r="AA163" i="13"/>
  <c r="AB163" i="13"/>
  <c r="W164" i="13"/>
  <c r="X164" i="13"/>
  <c r="Y164" i="13"/>
  <c r="Z164" i="13"/>
  <c r="AA164" i="13"/>
  <c r="AB164" i="13"/>
  <c r="W165" i="13"/>
  <c r="X165" i="13"/>
  <c r="Y165" i="13"/>
  <c r="Z165" i="13"/>
  <c r="AA165" i="13"/>
  <c r="AB165" i="13"/>
  <c r="W166" i="13"/>
  <c r="X166" i="13"/>
  <c r="Y166" i="13"/>
  <c r="Z166" i="13"/>
  <c r="AA166" i="13"/>
  <c r="AB166" i="13"/>
  <c r="W167" i="13"/>
  <c r="X167" i="13"/>
  <c r="Y167" i="13"/>
  <c r="Z167" i="13"/>
  <c r="AA167" i="13"/>
  <c r="AB167" i="13"/>
  <c r="W168" i="13"/>
  <c r="X168" i="13"/>
  <c r="Y168" i="13"/>
  <c r="Z168" i="13"/>
  <c r="AA168" i="13"/>
  <c r="AB168" i="13"/>
  <c r="W169" i="13"/>
  <c r="X169" i="13"/>
  <c r="Y169" i="13"/>
  <c r="Z169" i="13"/>
  <c r="AA169" i="13"/>
  <c r="AB169" i="13"/>
  <c r="W170" i="13"/>
  <c r="X170" i="13"/>
  <c r="Y170" i="13"/>
  <c r="Z170" i="13"/>
  <c r="AA170" i="13"/>
  <c r="AB170" i="13"/>
  <c r="W171" i="13"/>
  <c r="X171" i="13"/>
  <c r="Y171" i="13"/>
  <c r="Z171" i="13"/>
  <c r="AA171" i="13"/>
  <c r="AB171" i="13"/>
  <c r="W172" i="13"/>
  <c r="X172" i="13"/>
  <c r="Y172" i="13"/>
  <c r="Z172" i="13"/>
  <c r="AA172" i="13"/>
  <c r="AB172" i="13"/>
  <c r="W173" i="13"/>
  <c r="X173" i="13"/>
  <c r="Y173" i="13"/>
  <c r="Z173" i="13"/>
  <c r="AA173" i="13"/>
  <c r="AB173" i="13"/>
  <c r="W174" i="13"/>
  <c r="X174" i="13"/>
  <c r="Y174" i="13"/>
  <c r="Z174" i="13"/>
  <c r="AA174" i="13"/>
  <c r="AB174" i="13"/>
  <c r="W175" i="13"/>
  <c r="X175" i="13"/>
  <c r="Y175" i="13"/>
  <c r="Z175" i="13"/>
  <c r="AA175" i="13"/>
  <c r="AB175" i="13"/>
  <c r="W176" i="13"/>
  <c r="X176" i="13"/>
  <c r="Y176" i="13"/>
  <c r="Z176" i="13"/>
  <c r="AA176" i="13"/>
  <c r="AB176" i="13"/>
  <c r="W177" i="13"/>
  <c r="X177" i="13"/>
  <c r="Y177" i="13"/>
  <c r="Z177" i="13"/>
  <c r="AA177" i="13"/>
  <c r="AB177" i="13"/>
  <c r="W178" i="13"/>
  <c r="X178" i="13"/>
  <c r="Y178" i="13"/>
  <c r="Z178" i="13"/>
  <c r="AA178" i="13"/>
  <c r="AB178" i="13"/>
  <c r="W179" i="13"/>
  <c r="X179" i="13"/>
  <c r="Y179" i="13"/>
  <c r="Z179" i="13"/>
  <c r="AA179" i="13"/>
  <c r="AB179" i="13"/>
  <c r="W180" i="13"/>
  <c r="X180" i="13"/>
  <c r="Y180" i="13"/>
  <c r="Z180" i="13"/>
  <c r="AA180" i="13"/>
  <c r="AB180" i="13"/>
  <c r="W181" i="13"/>
  <c r="X181" i="13"/>
  <c r="Y181" i="13"/>
  <c r="Z181" i="13"/>
  <c r="AA181" i="13"/>
  <c r="AB181" i="13"/>
  <c r="W182" i="13"/>
  <c r="X182" i="13"/>
  <c r="Y182" i="13"/>
  <c r="Z182" i="13"/>
  <c r="AA182" i="13"/>
  <c r="AB182" i="13"/>
  <c r="W183" i="13"/>
  <c r="X183" i="13"/>
  <c r="Y183" i="13"/>
  <c r="Z183" i="13"/>
  <c r="AA183" i="13"/>
  <c r="AB183" i="13"/>
  <c r="W184" i="13"/>
  <c r="X184" i="13"/>
  <c r="Y184" i="13"/>
  <c r="Z184" i="13"/>
  <c r="AA184" i="13"/>
  <c r="AB184" i="13"/>
  <c r="W185" i="13"/>
  <c r="X185" i="13"/>
  <c r="Y185" i="13"/>
  <c r="Z185" i="13"/>
  <c r="AA185" i="13"/>
  <c r="AB185" i="13"/>
  <c r="W186" i="13"/>
  <c r="X186" i="13"/>
  <c r="Y186" i="13"/>
  <c r="Z186" i="13"/>
  <c r="AA186" i="13"/>
  <c r="AB186" i="13"/>
  <c r="W187" i="13"/>
  <c r="X187" i="13"/>
  <c r="Y187" i="13"/>
  <c r="Z187" i="13"/>
  <c r="AA187" i="13"/>
  <c r="AB187" i="13"/>
  <c r="W188" i="13"/>
  <c r="X188" i="13"/>
  <c r="Y188" i="13"/>
  <c r="Z188" i="13"/>
  <c r="AA188" i="13"/>
  <c r="AB188" i="13"/>
  <c r="W189" i="13"/>
  <c r="X189" i="13"/>
  <c r="Y189" i="13"/>
  <c r="Z189" i="13"/>
  <c r="AA189" i="13"/>
  <c r="AB189" i="13"/>
  <c r="W190" i="13"/>
  <c r="X190" i="13"/>
  <c r="Y190" i="13"/>
  <c r="Z190" i="13"/>
  <c r="AA190" i="13"/>
  <c r="AB190" i="13"/>
  <c r="W191" i="13"/>
  <c r="X191" i="13"/>
  <c r="Y191" i="13"/>
  <c r="Z191" i="13"/>
  <c r="AA191" i="13"/>
  <c r="AB191" i="13"/>
  <c r="W192" i="13"/>
  <c r="X192" i="13"/>
  <c r="Y192" i="13"/>
  <c r="Z192" i="13"/>
  <c r="AA192" i="13"/>
  <c r="AB192" i="13"/>
  <c r="W193" i="13"/>
  <c r="X193" i="13"/>
  <c r="Y193" i="13"/>
  <c r="Z193" i="13"/>
  <c r="AA193" i="13"/>
  <c r="AB193" i="13"/>
  <c r="W194" i="13"/>
  <c r="X194" i="13"/>
  <c r="Y194" i="13"/>
  <c r="Z194" i="13"/>
  <c r="AA194" i="13"/>
  <c r="AB194" i="13"/>
  <c r="W195" i="13"/>
  <c r="X195" i="13"/>
  <c r="Y195" i="13"/>
  <c r="Z195" i="13"/>
  <c r="AA195" i="13"/>
  <c r="AB195" i="13"/>
  <c r="W196" i="13"/>
  <c r="X196" i="13"/>
  <c r="Y196" i="13"/>
  <c r="Z196" i="13"/>
  <c r="AA196" i="13"/>
  <c r="AB196" i="13"/>
  <c r="W197" i="13"/>
  <c r="X197" i="13"/>
  <c r="Y197" i="13"/>
  <c r="Z197" i="13"/>
  <c r="AA197" i="13"/>
  <c r="AB197" i="13"/>
  <c r="W198" i="13"/>
  <c r="X198" i="13"/>
  <c r="Y198" i="13"/>
  <c r="Z198" i="13"/>
  <c r="AA198" i="13"/>
  <c r="AB198" i="13"/>
  <c r="W199" i="13"/>
  <c r="X199" i="13"/>
  <c r="Y199" i="13"/>
  <c r="Z199" i="13"/>
  <c r="AA199" i="13"/>
  <c r="AB199" i="13"/>
  <c r="W200" i="13"/>
  <c r="X200" i="13"/>
  <c r="Y200" i="13"/>
  <c r="Z200" i="13"/>
  <c r="AA200" i="13"/>
  <c r="AB200" i="13"/>
  <c r="W201" i="13"/>
  <c r="X201" i="13"/>
  <c r="Y201" i="13"/>
  <c r="Z201" i="13"/>
  <c r="AA201" i="13"/>
  <c r="AB201" i="13"/>
  <c r="W202" i="13"/>
  <c r="X202" i="13"/>
  <c r="Y202" i="13"/>
  <c r="Z202" i="13"/>
  <c r="AA202" i="13"/>
  <c r="AB202" i="13"/>
  <c r="W203" i="13"/>
  <c r="X203" i="13"/>
  <c r="Y203" i="13"/>
  <c r="Z203" i="13"/>
  <c r="AA203" i="13"/>
  <c r="AB203" i="13"/>
  <c r="W204" i="13"/>
  <c r="X204" i="13"/>
  <c r="Y204" i="13"/>
  <c r="Z204" i="13"/>
  <c r="AA204" i="13"/>
  <c r="AB204" i="13"/>
  <c r="W205" i="13"/>
  <c r="X205" i="13"/>
  <c r="Y205" i="13"/>
  <c r="Z205" i="13"/>
  <c r="AA205" i="13"/>
  <c r="AB205" i="13"/>
  <c r="W206" i="13"/>
  <c r="X206" i="13"/>
  <c r="Y206" i="13"/>
  <c r="Z206" i="13"/>
  <c r="AA206" i="13"/>
  <c r="AB206" i="13"/>
  <c r="W207" i="13"/>
  <c r="X207" i="13"/>
  <c r="Y207" i="13"/>
  <c r="Z207" i="13"/>
  <c r="AA207" i="13"/>
  <c r="AB207" i="13"/>
  <c r="W208" i="13"/>
  <c r="X208" i="13"/>
  <c r="Y208" i="13"/>
  <c r="Z208" i="13"/>
  <c r="AA208" i="13"/>
  <c r="AB208" i="13"/>
  <c r="W209" i="13"/>
  <c r="X209" i="13"/>
  <c r="Y209" i="13"/>
  <c r="Z209" i="13"/>
  <c r="AA209" i="13"/>
  <c r="AB209" i="13"/>
  <c r="W210" i="13"/>
  <c r="X210" i="13"/>
  <c r="Y210" i="13"/>
  <c r="Z210" i="13"/>
  <c r="AA210" i="13"/>
  <c r="AB210" i="13"/>
  <c r="W211" i="13"/>
  <c r="X211" i="13"/>
  <c r="Y211" i="13"/>
  <c r="Z211" i="13"/>
  <c r="AA211" i="13"/>
  <c r="AB211" i="13"/>
  <c r="W212" i="13"/>
  <c r="X212" i="13"/>
  <c r="Y212" i="13"/>
  <c r="Z212" i="13"/>
  <c r="AA212" i="13"/>
  <c r="AB212" i="13"/>
  <c r="W213" i="13"/>
  <c r="X213" i="13"/>
  <c r="Y213" i="13"/>
  <c r="Z213" i="13"/>
  <c r="AA213" i="13"/>
  <c r="AB213" i="13"/>
  <c r="W214" i="13"/>
  <c r="X214" i="13"/>
  <c r="Y214" i="13"/>
  <c r="Z214" i="13"/>
  <c r="AA214" i="13"/>
  <c r="AB214" i="13"/>
  <c r="W215" i="13"/>
  <c r="X215" i="13"/>
  <c r="Y215" i="13"/>
  <c r="Z215" i="13"/>
  <c r="AA215" i="13"/>
  <c r="AB215" i="13"/>
  <c r="W216" i="13"/>
  <c r="X216" i="13"/>
  <c r="Y216" i="13"/>
  <c r="Z216" i="13"/>
  <c r="AA216" i="13"/>
  <c r="AB216" i="13"/>
  <c r="W217" i="13"/>
  <c r="X217" i="13"/>
  <c r="Y217" i="13"/>
  <c r="Z217" i="13"/>
  <c r="AA217" i="13"/>
  <c r="AB217" i="13"/>
  <c r="W218" i="13"/>
  <c r="X218" i="13"/>
  <c r="Y218" i="13"/>
  <c r="Z218" i="13"/>
  <c r="AA218" i="13"/>
  <c r="AB218" i="13"/>
  <c r="W219" i="13"/>
  <c r="X219" i="13"/>
  <c r="Y219" i="13"/>
  <c r="Z219" i="13"/>
  <c r="AA219" i="13"/>
  <c r="AB219" i="13"/>
  <c r="W220" i="13"/>
  <c r="X220" i="13"/>
  <c r="Y220" i="13"/>
  <c r="Z220" i="13"/>
  <c r="AA220" i="13"/>
  <c r="AB220" i="13"/>
  <c r="W221" i="13"/>
  <c r="X221" i="13"/>
  <c r="Y221" i="13"/>
  <c r="Z221" i="13"/>
  <c r="AA221" i="13"/>
  <c r="AB221" i="13"/>
  <c r="W222" i="13"/>
  <c r="X222" i="13"/>
  <c r="Y222" i="13"/>
  <c r="Z222" i="13"/>
  <c r="AA222" i="13"/>
  <c r="AB222" i="13"/>
  <c r="W223" i="13"/>
  <c r="X223" i="13"/>
  <c r="Y223" i="13"/>
  <c r="Z223" i="13"/>
  <c r="AA223" i="13"/>
  <c r="AB223" i="13"/>
  <c r="W224" i="13"/>
  <c r="X224" i="13"/>
  <c r="Y224" i="13"/>
  <c r="Z224" i="13"/>
  <c r="AA224" i="13"/>
  <c r="AB224" i="13"/>
  <c r="W225" i="13"/>
  <c r="X225" i="13"/>
  <c r="Y225" i="13"/>
  <c r="Z225" i="13"/>
  <c r="AA225" i="13"/>
  <c r="AB225" i="13"/>
  <c r="W226" i="13"/>
  <c r="X226" i="13"/>
  <c r="Y226" i="13"/>
  <c r="Z226" i="13"/>
  <c r="AA226" i="13"/>
  <c r="AB226" i="13"/>
  <c r="W227" i="13"/>
  <c r="X227" i="13"/>
  <c r="Y227" i="13"/>
  <c r="Z227" i="13"/>
  <c r="AA227" i="13"/>
  <c r="AB227" i="13"/>
  <c r="W228" i="13"/>
  <c r="X228" i="13"/>
  <c r="Y228" i="13"/>
  <c r="Z228" i="13"/>
  <c r="AA228" i="13"/>
  <c r="AB228" i="13"/>
  <c r="W229" i="13"/>
  <c r="X229" i="13"/>
  <c r="Y229" i="13"/>
  <c r="Z229" i="13"/>
  <c r="AA229" i="13"/>
  <c r="AB229" i="13"/>
  <c r="W230" i="13"/>
  <c r="X230" i="13"/>
  <c r="Y230" i="13"/>
  <c r="Z230" i="13"/>
  <c r="AA230" i="13"/>
  <c r="AB230" i="13"/>
  <c r="W231" i="13"/>
  <c r="X231" i="13"/>
  <c r="Y231" i="13"/>
  <c r="Z231" i="13"/>
  <c r="AA231" i="13"/>
  <c r="AB231" i="13"/>
  <c r="W232" i="13"/>
  <c r="X232" i="13"/>
  <c r="Y232" i="13"/>
  <c r="Z232" i="13"/>
  <c r="AA232" i="13"/>
  <c r="AB232" i="13"/>
  <c r="W233" i="13"/>
  <c r="X233" i="13"/>
  <c r="Y233" i="13"/>
  <c r="Z233" i="13"/>
  <c r="AA233" i="13"/>
  <c r="AB233" i="13"/>
  <c r="W234" i="13"/>
  <c r="X234" i="13"/>
  <c r="Y234" i="13"/>
  <c r="Z234" i="13"/>
  <c r="AA234" i="13"/>
  <c r="AB234" i="13"/>
  <c r="W235" i="13"/>
  <c r="X235" i="13"/>
  <c r="Y235" i="13"/>
  <c r="Z235" i="13"/>
  <c r="AA235" i="13"/>
  <c r="AB235" i="13"/>
  <c r="W236" i="13"/>
  <c r="X236" i="13"/>
  <c r="Y236" i="13"/>
  <c r="Z236" i="13"/>
  <c r="AA236" i="13"/>
  <c r="AB236" i="13"/>
  <c r="W237" i="13"/>
  <c r="X237" i="13"/>
  <c r="Y237" i="13"/>
  <c r="Z237" i="13"/>
  <c r="AA237" i="13"/>
  <c r="AB237" i="13"/>
  <c r="W238" i="13"/>
  <c r="X238" i="13"/>
  <c r="Y238" i="13"/>
  <c r="Z238" i="13"/>
  <c r="AA238" i="13"/>
  <c r="AB238" i="13"/>
  <c r="W239" i="13"/>
  <c r="X239" i="13"/>
  <c r="Y239" i="13"/>
  <c r="Z239" i="13"/>
  <c r="AA239" i="13"/>
  <c r="AB239" i="13"/>
  <c r="W240" i="13"/>
  <c r="X240" i="13"/>
  <c r="Y240" i="13"/>
  <c r="Z240" i="13"/>
  <c r="AA240" i="13"/>
  <c r="AB240" i="13"/>
  <c r="W241" i="13"/>
  <c r="X241" i="13"/>
  <c r="Y241" i="13"/>
  <c r="Z241" i="13"/>
  <c r="AA241" i="13"/>
  <c r="AB241" i="13"/>
  <c r="W242" i="13"/>
  <c r="X242" i="13"/>
  <c r="Y242" i="13"/>
  <c r="Z242" i="13"/>
  <c r="AA242" i="13"/>
  <c r="AB242" i="13"/>
  <c r="W243" i="13"/>
  <c r="X243" i="13"/>
  <c r="Y243" i="13"/>
  <c r="Z243" i="13"/>
  <c r="AA243" i="13"/>
  <c r="AB243" i="13"/>
  <c r="W244" i="13"/>
  <c r="X244" i="13"/>
  <c r="Y244" i="13"/>
  <c r="Z244" i="13"/>
  <c r="AA244" i="13"/>
  <c r="AB244" i="13"/>
  <c r="W245" i="13"/>
  <c r="X245" i="13"/>
  <c r="Y245" i="13"/>
  <c r="Z245" i="13"/>
  <c r="AA245" i="13"/>
  <c r="AB245" i="13"/>
  <c r="W246" i="13"/>
  <c r="X246" i="13"/>
  <c r="Y246" i="13"/>
  <c r="Z246" i="13"/>
  <c r="AA246" i="13"/>
  <c r="AB246" i="13"/>
  <c r="W247" i="13"/>
  <c r="X247" i="13"/>
  <c r="Y247" i="13"/>
  <c r="Z247" i="13"/>
  <c r="AA247" i="13"/>
  <c r="AB247" i="13"/>
  <c r="W248" i="13"/>
  <c r="X248" i="13"/>
  <c r="Y248" i="13"/>
  <c r="Z248" i="13"/>
  <c r="AA248" i="13"/>
  <c r="AB248" i="13"/>
  <c r="W249" i="13"/>
  <c r="X249" i="13"/>
  <c r="Y249" i="13"/>
  <c r="Z249" i="13"/>
  <c r="AA249" i="13"/>
  <c r="AB249" i="13"/>
  <c r="W250" i="13"/>
  <c r="X250" i="13"/>
  <c r="Y250" i="13"/>
  <c r="Z250" i="13"/>
  <c r="AA250" i="13"/>
  <c r="AB250" i="13"/>
  <c r="W251" i="13"/>
  <c r="X251" i="13"/>
  <c r="Y251" i="13"/>
  <c r="Z251" i="13"/>
  <c r="AA251" i="13"/>
  <c r="AB251" i="13"/>
  <c r="W252" i="13"/>
  <c r="X252" i="13"/>
  <c r="Y252" i="13"/>
  <c r="Z252" i="13"/>
  <c r="AA252" i="13"/>
  <c r="AB252" i="13"/>
  <c r="W253" i="13"/>
  <c r="X253" i="13"/>
  <c r="Y253" i="13"/>
  <c r="Z253" i="13"/>
  <c r="AA253" i="13"/>
  <c r="AB253" i="13"/>
  <c r="W254" i="13"/>
  <c r="X254" i="13"/>
  <c r="Y254" i="13"/>
  <c r="Z254" i="13"/>
  <c r="AA254" i="13"/>
  <c r="AB254" i="13"/>
  <c r="W255" i="13"/>
  <c r="X255" i="13"/>
  <c r="Y255" i="13"/>
  <c r="Z255" i="13"/>
  <c r="AA255" i="13"/>
  <c r="AB255" i="13"/>
  <c r="W256" i="13"/>
  <c r="X256" i="13"/>
  <c r="Y256" i="13"/>
  <c r="Z256" i="13"/>
  <c r="AA256" i="13"/>
  <c r="AB256" i="13"/>
  <c r="W257" i="13"/>
  <c r="X257" i="13"/>
  <c r="Y257" i="13"/>
  <c r="Z257" i="13"/>
  <c r="AA257" i="13"/>
  <c r="AB257" i="13"/>
  <c r="W258" i="13"/>
  <c r="X258" i="13"/>
  <c r="Y258" i="13"/>
  <c r="Z258" i="13"/>
  <c r="AA258" i="13"/>
  <c r="AB258" i="13"/>
  <c r="W259" i="13"/>
  <c r="X259" i="13"/>
  <c r="Y259" i="13"/>
  <c r="Z259" i="13"/>
  <c r="AA259" i="13"/>
  <c r="AB259" i="13"/>
  <c r="W260" i="13"/>
  <c r="X260" i="13"/>
  <c r="Y260" i="13"/>
  <c r="Z260" i="13"/>
  <c r="AA260" i="13"/>
  <c r="AB260" i="13"/>
  <c r="W261" i="13"/>
  <c r="X261" i="13"/>
  <c r="Y261" i="13"/>
  <c r="Z261" i="13"/>
  <c r="AA261" i="13"/>
  <c r="AB261" i="13"/>
  <c r="W262" i="13"/>
  <c r="X262" i="13"/>
  <c r="Y262" i="13"/>
  <c r="Z262" i="13"/>
  <c r="AA262" i="13"/>
  <c r="AB262" i="13"/>
  <c r="W263" i="13"/>
  <c r="X263" i="13"/>
  <c r="Y263" i="13"/>
  <c r="Z263" i="13"/>
  <c r="AA263" i="13"/>
  <c r="AB263" i="13"/>
  <c r="W264" i="13"/>
  <c r="X264" i="13"/>
  <c r="Y264" i="13"/>
  <c r="Z264" i="13"/>
  <c r="AA264" i="13"/>
  <c r="AB264" i="13"/>
  <c r="W265" i="13"/>
  <c r="X265" i="13"/>
  <c r="Y265" i="13"/>
  <c r="Z265" i="13"/>
  <c r="AA265" i="13"/>
  <c r="AB265" i="13"/>
  <c r="W266" i="13"/>
  <c r="X266" i="13"/>
  <c r="Y266" i="13"/>
  <c r="Z266" i="13"/>
  <c r="AA266" i="13"/>
  <c r="AB266" i="13"/>
  <c r="W267" i="13"/>
  <c r="X267" i="13"/>
  <c r="Y267" i="13"/>
  <c r="Z267" i="13"/>
  <c r="AA267" i="13"/>
  <c r="AB267" i="13"/>
  <c r="W268" i="13"/>
  <c r="X268" i="13"/>
  <c r="Y268" i="13"/>
  <c r="Z268" i="13"/>
  <c r="AA268" i="13"/>
  <c r="AB268" i="13"/>
  <c r="W269" i="13"/>
  <c r="X269" i="13"/>
  <c r="Y269" i="13"/>
  <c r="Z269" i="13"/>
  <c r="AA269" i="13"/>
  <c r="AB269" i="13"/>
  <c r="W270" i="13"/>
  <c r="X270" i="13"/>
  <c r="Y270" i="13"/>
  <c r="Z270" i="13"/>
  <c r="AA270" i="13"/>
  <c r="AB270" i="13"/>
  <c r="W271" i="13"/>
  <c r="X271" i="13"/>
  <c r="Y271" i="13"/>
  <c r="Z271" i="13"/>
  <c r="AA271" i="13"/>
  <c r="AB271" i="13"/>
  <c r="W272" i="13"/>
  <c r="X272" i="13"/>
  <c r="Y272" i="13"/>
  <c r="Z272" i="13"/>
  <c r="AA272" i="13"/>
  <c r="AB272" i="13"/>
  <c r="W273" i="13"/>
  <c r="X273" i="13"/>
  <c r="Y273" i="13"/>
  <c r="Z273" i="13"/>
  <c r="AA273" i="13"/>
  <c r="AB273" i="13"/>
  <c r="W274" i="13"/>
  <c r="X274" i="13"/>
  <c r="Y274" i="13"/>
  <c r="Z274" i="13"/>
  <c r="AA274" i="13"/>
  <c r="AB274" i="13"/>
  <c r="W275" i="13"/>
  <c r="X275" i="13"/>
  <c r="Y275" i="13"/>
  <c r="Z275" i="13"/>
  <c r="AA275" i="13"/>
  <c r="AB275" i="13"/>
  <c r="W276" i="13"/>
  <c r="X276" i="13"/>
  <c r="Y276" i="13"/>
  <c r="Z276" i="13"/>
  <c r="AA276" i="13"/>
  <c r="AB276" i="13"/>
  <c r="W277" i="13"/>
  <c r="X277" i="13"/>
  <c r="Y277" i="13"/>
  <c r="Z277" i="13"/>
  <c r="AA277" i="13"/>
  <c r="AB277" i="13"/>
  <c r="W278" i="13"/>
  <c r="X278" i="13"/>
  <c r="Y278" i="13"/>
  <c r="Z278" i="13"/>
  <c r="AA278" i="13"/>
  <c r="AB278" i="13"/>
  <c r="W279" i="13"/>
  <c r="X279" i="13"/>
  <c r="Y279" i="13"/>
  <c r="Z279" i="13"/>
  <c r="AA279" i="13"/>
  <c r="AB279" i="13"/>
  <c r="W280" i="13"/>
  <c r="X280" i="13"/>
  <c r="Y280" i="13"/>
  <c r="Z280" i="13"/>
  <c r="AA280" i="13"/>
  <c r="AB280" i="13"/>
  <c r="W281" i="13"/>
  <c r="X281" i="13"/>
  <c r="Y281" i="13"/>
  <c r="Z281" i="13"/>
  <c r="AA281" i="13"/>
  <c r="AB281" i="13"/>
  <c r="W282" i="13"/>
  <c r="X282" i="13"/>
  <c r="Y282" i="13"/>
  <c r="Z282" i="13"/>
  <c r="AA282" i="13"/>
  <c r="AB282" i="13"/>
  <c r="W283" i="13"/>
  <c r="X283" i="13"/>
  <c r="Y283" i="13"/>
  <c r="Z283" i="13"/>
  <c r="AA283" i="13"/>
  <c r="AB283" i="13"/>
  <c r="W284" i="13"/>
  <c r="X284" i="13"/>
  <c r="Y284" i="13"/>
  <c r="Z284" i="13"/>
  <c r="AA284" i="13"/>
  <c r="AB284" i="13"/>
  <c r="W285" i="13"/>
  <c r="X285" i="13"/>
  <c r="Y285" i="13"/>
  <c r="Z285" i="13"/>
  <c r="AA285" i="13"/>
  <c r="AB285" i="13"/>
  <c r="W286" i="13"/>
  <c r="X286" i="13"/>
  <c r="Y286" i="13"/>
  <c r="Z286" i="13"/>
  <c r="AA286" i="13"/>
  <c r="AB286" i="13"/>
  <c r="W287" i="13"/>
  <c r="X287" i="13"/>
  <c r="Y287" i="13"/>
  <c r="Z287" i="13"/>
  <c r="AA287" i="13"/>
  <c r="AB287" i="13"/>
  <c r="W288" i="13"/>
  <c r="X288" i="13"/>
  <c r="Y288" i="13"/>
  <c r="Z288" i="13"/>
  <c r="AA288" i="13"/>
  <c r="AB288" i="13"/>
  <c r="W289" i="13"/>
  <c r="X289" i="13"/>
  <c r="Y289" i="13"/>
  <c r="Z289" i="13"/>
  <c r="AA289" i="13"/>
  <c r="AB289" i="13"/>
  <c r="W290" i="13"/>
  <c r="X290" i="13"/>
  <c r="Y290" i="13"/>
  <c r="Z290" i="13"/>
  <c r="AA290" i="13"/>
  <c r="AB290" i="13"/>
  <c r="W291" i="13"/>
  <c r="X291" i="13"/>
  <c r="Y291" i="13"/>
  <c r="Z291" i="13"/>
  <c r="AA291" i="13"/>
  <c r="AB291" i="13"/>
  <c r="W292" i="13"/>
  <c r="X292" i="13"/>
  <c r="Y292" i="13"/>
  <c r="Z292" i="13"/>
  <c r="AA292" i="13"/>
  <c r="AB292" i="13"/>
  <c r="W293" i="13"/>
  <c r="X293" i="13"/>
  <c r="Y293" i="13"/>
  <c r="Z293" i="13"/>
  <c r="AA293" i="13"/>
  <c r="AB293" i="13"/>
  <c r="W294" i="13"/>
  <c r="X294" i="13"/>
  <c r="Y294" i="13"/>
  <c r="Z294" i="13"/>
  <c r="AA294" i="13"/>
  <c r="AB294" i="13"/>
  <c r="W295" i="13"/>
  <c r="X295" i="13"/>
  <c r="Y295" i="13"/>
  <c r="Z295" i="13"/>
  <c r="AA295" i="13"/>
  <c r="AB295" i="13"/>
  <c r="W296" i="13"/>
  <c r="X296" i="13"/>
  <c r="Y296" i="13"/>
  <c r="Z296" i="13"/>
  <c r="AA296" i="13"/>
  <c r="AB296" i="13"/>
  <c r="W297" i="13"/>
  <c r="X297" i="13"/>
  <c r="Y297" i="13"/>
  <c r="Z297" i="13"/>
  <c r="AA297" i="13"/>
  <c r="AB297" i="13"/>
  <c r="W298" i="13"/>
  <c r="X298" i="13"/>
  <c r="Y298" i="13"/>
  <c r="Z298" i="13"/>
  <c r="AA298" i="13"/>
  <c r="AB298" i="13"/>
  <c r="W299" i="13"/>
  <c r="X299" i="13"/>
  <c r="Y299" i="13"/>
  <c r="Z299" i="13"/>
  <c r="AA299" i="13"/>
  <c r="AB299" i="13"/>
  <c r="W300" i="13"/>
  <c r="X300" i="13"/>
  <c r="Y300" i="13"/>
  <c r="Z300" i="13"/>
  <c r="AA300" i="13"/>
  <c r="AB300" i="13"/>
  <c r="W301" i="13"/>
  <c r="X301" i="13"/>
  <c r="Y301" i="13"/>
  <c r="Z301" i="13"/>
  <c r="AA301" i="13"/>
  <c r="AB301" i="13"/>
  <c r="W302" i="13"/>
  <c r="X302" i="13"/>
  <c r="Y302" i="13"/>
  <c r="Z302" i="13"/>
  <c r="AA302" i="13"/>
  <c r="AB302" i="13"/>
  <c r="W303" i="13"/>
  <c r="X303" i="13"/>
  <c r="Y303" i="13"/>
  <c r="Z303" i="13"/>
  <c r="AA303" i="13"/>
  <c r="AB303" i="13"/>
  <c r="W304" i="13"/>
  <c r="X304" i="13"/>
  <c r="Y304" i="13"/>
  <c r="Z304" i="13"/>
  <c r="AA304" i="13"/>
  <c r="AB304" i="13"/>
  <c r="W305" i="13"/>
  <c r="X305" i="13"/>
  <c r="Y305" i="13"/>
  <c r="Z305" i="13"/>
  <c r="AA305" i="13"/>
  <c r="AB305" i="13"/>
  <c r="W306" i="13"/>
  <c r="X306" i="13"/>
  <c r="Y306" i="13"/>
  <c r="Z306" i="13"/>
  <c r="AA306" i="13"/>
  <c r="AB306" i="13"/>
  <c r="W307" i="13"/>
  <c r="X307" i="13"/>
  <c r="Y307" i="13"/>
  <c r="Z307" i="13"/>
  <c r="AA307" i="13"/>
  <c r="AB307" i="13"/>
  <c r="W308" i="13"/>
  <c r="X308" i="13"/>
  <c r="Y308" i="13"/>
  <c r="Z308" i="13"/>
  <c r="AA308" i="13"/>
  <c r="AB308" i="13"/>
  <c r="W309" i="13"/>
  <c r="X309" i="13"/>
  <c r="Y309" i="13"/>
  <c r="Z309" i="13"/>
  <c r="AA309" i="13"/>
  <c r="AB309" i="13"/>
  <c r="W310" i="13"/>
  <c r="X310" i="13"/>
  <c r="Y310" i="13"/>
  <c r="Z310" i="13"/>
  <c r="AA310" i="13"/>
  <c r="AB310" i="13"/>
  <c r="W311" i="13"/>
  <c r="X311" i="13"/>
  <c r="Y311" i="13"/>
  <c r="Z311" i="13"/>
  <c r="AA311" i="13"/>
  <c r="AB311" i="13"/>
  <c r="W312" i="13"/>
  <c r="X312" i="13"/>
  <c r="Y312" i="13"/>
  <c r="Z312" i="13"/>
  <c r="AA312" i="13"/>
  <c r="AB312" i="13"/>
  <c r="W313" i="13"/>
  <c r="X313" i="13"/>
  <c r="Y313" i="13"/>
  <c r="Z313" i="13"/>
  <c r="AA313" i="13"/>
  <c r="AB313" i="13"/>
  <c r="W314" i="13"/>
  <c r="X314" i="13"/>
  <c r="Y314" i="13"/>
  <c r="Z314" i="13"/>
  <c r="AA314" i="13"/>
  <c r="AB314" i="13"/>
  <c r="W315" i="13"/>
  <c r="X315" i="13"/>
  <c r="Y315" i="13"/>
  <c r="Z315" i="13"/>
  <c r="AA315" i="13"/>
  <c r="AB315" i="13"/>
  <c r="W316" i="13"/>
  <c r="X316" i="13"/>
  <c r="Y316" i="13"/>
  <c r="Z316" i="13"/>
  <c r="AA316" i="13"/>
  <c r="AB316" i="13"/>
  <c r="W317" i="13"/>
  <c r="X317" i="13"/>
  <c r="Y317" i="13"/>
  <c r="Z317" i="13"/>
  <c r="AA317" i="13"/>
  <c r="AB317" i="13"/>
  <c r="W318" i="13"/>
  <c r="X318" i="13"/>
  <c r="Y318" i="13"/>
  <c r="Z318" i="13"/>
  <c r="AA318" i="13"/>
  <c r="AB318" i="13"/>
  <c r="W319" i="13"/>
  <c r="X319" i="13"/>
  <c r="Y319" i="13"/>
  <c r="Z319" i="13"/>
  <c r="AA319" i="13"/>
  <c r="AB319" i="13"/>
  <c r="W320" i="13"/>
  <c r="X320" i="13"/>
  <c r="Y320" i="13"/>
  <c r="Z320" i="13"/>
  <c r="AA320" i="13"/>
  <c r="AB320" i="13"/>
  <c r="W321" i="13"/>
  <c r="X321" i="13"/>
  <c r="Y321" i="13"/>
  <c r="Z321" i="13"/>
  <c r="AA321" i="13"/>
  <c r="AB321" i="13"/>
  <c r="W322" i="13"/>
  <c r="X322" i="13"/>
  <c r="Y322" i="13"/>
  <c r="Z322" i="13"/>
  <c r="AA322" i="13"/>
  <c r="AB322" i="13"/>
  <c r="W323" i="13"/>
  <c r="X323" i="13"/>
  <c r="Y323" i="13"/>
  <c r="Z323" i="13"/>
  <c r="AA323" i="13"/>
  <c r="AB323" i="13"/>
  <c r="W324" i="13"/>
  <c r="X324" i="13"/>
  <c r="Y324" i="13"/>
  <c r="Z324" i="13"/>
  <c r="AA324" i="13"/>
  <c r="AB324" i="13"/>
  <c r="W325" i="13"/>
  <c r="X325" i="13"/>
  <c r="Y325" i="13"/>
  <c r="Z325" i="13"/>
  <c r="AA325" i="13"/>
  <c r="AB325" i="13"/>
  <c r="W326" i="13"/>
  <c r="X326" i="13"/>
  <c r="Y326" i="13"/>
  <c r="Z326" i="13"/>
  <c r="AA326" i="13"/>
  <c r="AB326" i="13"/>
  <c r="W327" i="13"/>
  <c r="X327" i="13"/>
  <c r="Y327" i="13"/>
  <c r="Z327" i="13"/>
  <c r="AA327" i="13"/>
  <c r="AB327" i="13"/>
  <c r="W328" i="13"/>
  <c r="X328" i="13"/>
  <c r="Y328" i="13"/>
  <c r="Z328" i="13"/>
  <c r="AA328" i="13"/>
  <c r="AB328" i="13"/>
  <c r="W329" i="13"/>
  <c r="X329" i="13"/>
  <c r="Y329" i="13"/>
  <c r="Z329" i="13"/>
  <c r="AA329" i="13"/>
  <c r="AB329" i="13"/>
  <c r="W330" i="13"/>
  <c r="X330" i="13"/>
  <c r="Y330" i="13"/>
  <c r="Z330" i="13"/>
  <c r="AA330" i="13"/>
  <c r="AB330" i="13"/>
  <c r="W331" i="13"/>
  <c r="X331" i="13"/>
  <c r="Y331" i="13"/>
  <c r="Z331" i="13"/>
  <c r="AA331" i="13"/>
  <c r="AB331" i="13"/>
  <c r="W332" i="13"/>
  <c r="X332" i="13"/>
  <c r="Y332" i="13"/>
  <c r="Z332" i="13"/>
  <c r="AA332" i="13"/>
  <c r="AB332" i="13"/>
  <c r="W333" i="13"/>
  <c r="X333" i="13"/>
  <c r="Y333" i="13"/>
  <c r="Z333" i="13"/>
  <c r="AA333" i="13"/>
  <c r="AB333" i="13"/>
  <c r="W334" i="13"/>
  <c r="X334" i="13"/>
  <c r="Y334" i="13"/>
  <c r="Z334" i="13"/>
  <c r="AA334" i="13"/>
  <c r="AB334" i="13"/>
  <c r="W335" i="13"/>
  <c r="X335" i="13"/>
  <c r="Y335" i="13"/>
  <c r="Z335" i="13"/>
  <c r="AA335" i="13"/>
  <c r="AB335" i="13"/>
  <c r="W336" i="13"/>
  <c r="X336" i="13"/>
  <c r="Y336" i="13"/>
  <c r="Z336" i="13"/>
  <c r="AA336" i="13"/>
  <c r="AB336" i="13"/>
  <c r="W337" i="13"/>
  <c r="X337" i="13"/>
  <c r="Y337" i="13"/>
  <c r="Z337" i="13"/>
  <c r="AA337" i="13"/>
  <c r="AB337" i="13"/>
  <c r="W338" i="13"/>
  <c r="X338" i="13"/>
  <c r="Y338" i="13"/>
  <c r="Z338" i="13"/>
  <c r="AA338" i="13"/>
  <c r="AB338" i="13"/>
  <c r="W339" i="13"/>
  <c r="X339" i="13"/>
  <c r="Y339" i="13"/>
  <c r="Z339" i="13"/>
  <c r="AA339" i="13"/>
  <c r="AB339" i="13"/>
  <c r="W340" i="13"/>
  <c r="X340" i="13"/>
  <c r="Y340" i="13"/>
  <c r="Z340" i="13"/>
  <c r="AA340" i="13"/>
  <c r="AB340" i="13"/>
  <c r="W341" i="13"/>
  <c r="X341" i="13"/>
  <c r="Y341" i="13"/>
  <c r="Z341" i="13"/>
  <c r="AA341" i="13"/>
  <c r="AB341" i="13"/>
  <c r="W342" i="13"/>
  <c r="X342" i="13"/>
  <c r="Y342" i="13"/>
  <c r="Z342" i="13"/>
  <c r="AA342" i="13"/>
  <c r="AB342" i="13"/>
  <c r="W343" i="13"/>
  <c r="X343" i="13"/>
  <c r="Y343" i="13"/>
  <c r="Z343" i="13"/>
  <c r="AA343" i="13"/>
  <c r="AB343" i="13"/>
  <c r="W344" i="13"/>
  <c r="X344" i="13"/>
  <c r="Y344" i="13"/>
  <c r="Z344" i="13"/>
  <c r="AA344" i="13"/>
  <c r="AB344" i="13"/>
  <c r="W345" i="13"/>
  <c r="X345" i="13"/>
  <c r="Y345" i="13"/>
  <c r="Z345" i="13"/>
  <c r="AA345" i="13"/>
  <c r="AB345" i="13"/>
  <c r="W346" i="13"/>
  <c r="X346" i="13"/>
  <c r="Y346" i="13"/>
  <c r="Z346" i="13"/>
  <c r="AA346" i="13"/>
  <c r="AB346" i="13"/>
  <c r="W347" i="13"/>
  <c r="X347" i="13"/>
  <c r="Y347" i="13"/>
  <c r="Z347" i="13"/>
  <c r="AA347" i="13"/>
  <c r="AB347" i="13"/>
  <c r="W348" i="13"/>
  <c r="X348" i="13"/>
  <c r="Y348" i="13"/>
  <c r="Z348" i="13"/>
  <c r="AA348" i="13"/>
  <c r="AB348" i="13"/>
  <c r="W349" i="13"/>
  <c r="X349" i="13"/>
  <c r="Y349" i="13"/>
  <c r="Z349" i="13"/>
  <c r="AA349" i="13"/>
  <c r="AB349" i="13"/>
  <c r="W350" i="13"/>
  <c r="X350" i="13"/>
  <c r="Y350" i="13"/>
  <c r="Z350" i="13"/>
  <c r="AA350" i="13"/>
  <c r="AB350" i="13"/>
  <c r="W351" i="13"/>
  <c r="X351" i="13"/>
  <c r="Y351" i="13"/>
  <c r="Z351" i="13"/>
  <c r="AA351" i="13"/>
  <c r="AB351" i="13"/>
  <c r="W352" i="13"/>
  <c r="X352" i="13"/>
  <c r="Y352" i="13"/>
  <c r="Z352" i="13"/>
  <c r="AA352" i="13"/>
  <c r="AB352" i="13"/>
  <c r="W353" i="13"/>
  <c r="X353" i="13"/>
  <c r="Y353" i="13"/>
  <c r="Z353" i="13"/>
  <c r="AA353" i="13"/>
  <c r="AB353" i="13"/>
  <c r="W354" i="13"/>
  <c r="X354" i="13"/>
  <c r="Y354" i="13"/>
  <c r="Z354" i="13"/>
  <c r="AA354" i="13"/>
  <c r="AB354" i="13"/>
  <c r="W355" i="13"/>
  <c r="X355" i="13"/>
  <c r="Y355" i="13"/>
  <c r="Z355" i="13"/>
  <c r="AA355" i="13"/>
  <c r="AB355" i="13"/>
  <c r="W356" i="13"/>
  <c r="X356" i="13"/>
  <c r="Y356" i="13"/>
  <c r="Z356" i="13"/>
  <c r="AA356" i="13"/>
  <c r="AB356" i="13"/>
  <c r="W357" i="13"/>
  <c r="X357" i="13"/>
  <c r="Y357" i="13"/>
  <c r="Z357" i="13"/>
  <c r="AA357" i="13"/>
  <c r="AB357" i="13"/>
  <c r="W358" i="13"/>
  <c r="X358" i="13"/>
  <c r="Y358" i="13"/>
  <c r="Z358" i="13"/>
  <c r="AA358" i="13"/>
  <c r="AB358" i="13"/>
  <c r="W359" i="13"/>
  <c r="X359" i="13"/>
  <c r="Y359" i="13"/>
  <c r="Z359" i="13"/>
  <c r="AA359" i="13"/>
  <c r="AB359" i="13"/>
  <c r="W360" i="13"/>
  <c r="X360" i="13"/>
  <c r="Y360" i="13"/>
  <c r="Z360" i="13"/>
  <c r="AA360" i="13"/>
  <c r="AB360" i="13"/>
  <c r="W361" i="13"/>
  <c r="X361" i="13"/>
  <c r="Y361" i="13"/>
  <c r="Z361" i="13"/>
  <c r="AA361" i="13"/>
  <c r="AB361" i="13"/>
  <c r="W362" i="13"/>
  <c r="X362" i="13"/>
  <c r="Y362" i="13"/>
  <c r="Z362" i="13"/>
  <c r="AA362" i="13"/>
  <c r="AB362" i="13"/>
  <c r="W363" i="13"/>
  <c r="X363" i="13"/>
  <c r="Y363" i="13"/>
  <c r="Z363" i="13"/>
  <c r="AA363" i="13"/>
  <c r="AB363" i="13"/>
  <c r="W364" i="13"/>
  <c r="X364" i="13"/>
  <c r="Y364" i="13"/>
  <c r="Z364" i="13"/>
  <c r="AA364" i="13"/>
  <c r="AB364" i="13"/>
  <c r="W365" i="13"/>
  <c r="X365" i="13"/>
  <c r="Y365" i="13"/>
  <c r="Z365" i="13"/>
  <c r="AA365" i="13"/>
  <c r="AB365" i="13"/>
  <c r="W366" i="13"/>
  <c r="X366" i="13"/>
  <c r="Y366" i="13"/>
  <c r="Z366" i="13"/>
  <c r="AA366" i="13"/>
  <c r="AB366" i="13"/>
  <c r="W367" i="13"/>
  <c r="X367" i="13"/>
  <c r="Y367" i="13"/>
  <c r="Z367" i="13"/>
  <c r="AA367" i="13"/>
  <c r="AB367" i="13"/>
  <c r="W368" i="13"/>
  <c r="X368" i="13"/>
  <c r="Y368" i="13"/>
  <c r="Z368" i="13"/>
  <c r="AA368" i="13"/>
  <c r="AB368" i="13"/>
  <c r="W369" i="13"/>
  <c r="X369" i="13"/>
  <c r="Y369" i="13"/>
  <c r="Z369" i="13"/>
  <c r="AA369" i="13"/>
  <c r="AB369" i="13"/>
  <c r="W370" i="13"/>
  <c r="X370" i="13"/>
  <c r="Y370" i="13"/>
  <c r="Z370" i="13"/>
  <c r="AA370" i="13"/>
  <c r="AB370" i="13"/>
  <c r="W371" i="13"/>
  <c r="X371" i="13"/>
  <c r="Y371" i="13"/>
  <c r="Z371" i="13"/>
  <c r="AA371" i="13"/>
  <c r="AB371" i="13"/>
  <c r="W372" i="13"/>
  <c r="X372" i="13"/>
  <c r="Y372" i="13"/>
  <c r="Z372" i="13"/>
  <c r="AA372" i="13"/>
  <c r="AB372" i="13"/>
  <c r="W373" i="13"/>
  <c r="X373" i="13"/>
  <c r="Y373" i="13"/>
  <c r="Z373" i="13"/>
  <c r="AA373" i="13"/>
  <c r="AB373" i="13"/>
  <c r="W374" i="13"/>
  <c r="X374" i="13"/>
  <c r="Y374" i="13"/>
  <c r="Z374" i="13"/>
  <c r="AA374" i="13"/>
  <c r="AB374" i="13"/>
  <c r="W375" i="13"/>
  <c r="X375" i="13"/>
  <c r="Y375" i="13"/>
  <c r="Z375" i="13"/>
  <c r="AA375" i="13"/>
  <c r="AB375" i="13"/>
  <c r="W376" i="13"/>
  <c r="X376" i="13"/>
  <c r="Y376" i="13"/>
  <c r="Z376" i="13"/>
  <c r="AA376" i="13"/>
  <c r="AB376" i="13"/>
  <c r="W377" i="13"/>
  <c r="X377" i="13"/>
  <c r="Y377" i="13"/>
  <c r="Z377" i="13"/>
  <c r="AA377" i="13"/>
  <c r="AB377" i="13"/>
  <c r="W378" i="13"/>
  <c r="X378" i="13"/>
  <c r="Y378" i="13"/>
  <c r="Z378" i="13"/>
  <c r="AA378" i="13"/>
  <c r="AB378" i="13"/>
  <c r="W379" i="13"/>
  <c r="X379" i="13"/>
  <c r="Y379" i="13"/>
  <c r="Z379" i="13"/>
  <c r="AA379" i="13"/>
  <c r="AB379" i="13"/>
  <c r="W380" i="13"/>
  <c r="X380" i="13"/>
  <c r="Y380" i="13"/>
  <c r="Z380" i="13"/>
  <c r="AA380" i="13"/>
  <c r="AB380" i="13"/>
  <c r="W381" i="13"/>
  <c r="X381" i="13"/>
  <c r="Y381" i="13"/>
  <c r="Z381" i="13"/>
  <c r="AA381" i="13"/>
  <c r="AB381" i="13"/>
  <c r="W382" i="13"/>
  <c r="X382" i="13"/>
  <c r="Y382" i="13"/>
  <c r="Z382" i="13"/>
  <c r="AA382" i="13"/>
  <c r="AB382" i="13"/>
  <c r="W383" i="13"/>
  <c r="X383" i="13"/>
  <c r="Y383" i="13"/>
  <c r="Z383" i="13"/>
  <c r="AA383" i="13"/>
  <c r="AB383" i="13"/>
  <c r="W384" i="13"/>
  <c r="X384" i="13"/>
  <c r="Y384" i="13"/>
  <c r="Z384" i="13"/>
  <c r="AA384" i="13"/>
  <c r="AB384" i="13"/>
  <c r="W385" i="13"/>
  <c r="X385" i="13"/>
  <c r="Y385" i="13"/>
  <c r="Z385" i="13"/>
  <c r="AA385" i="13"/>
  <c r="AB385" i="13"/>
  <c r="W386" i="13"/>
  <c r="X386" i="13"/>
  <c r="Y386" i="13"/>
  <c r="Z386" i="13"/>
  <c r="AA386" i="13"/>
  <c r="AB386" i="13"/>
  <c r="W387" i="13"/>
  <c r="X387" i="13"/>
  <c r="Y387" i="13"/>
  <c r="Z387" i="13"/>
  <c r="AA387" i="13"/>
  <c r="AB387" i="13"/>
  <c r="W388" i="13"/>
  <c r="X388" i="13"/>
  <c r="Y388" i="13"/>
  <c r="Z388" i="13"/>
  <c r="AA388" i="13"/>
  <c r="AB388" i="13"/>
  <c r="W389" i="13"/>
  <c r="X389" i="13"/>
  <c r="Y389" i="13"/>
  <c r="Z389" i="13"/>
  <c r="AA389" i="13"/>
  <c r="AB389" i="13"/>
  <c r="W390" i="13"/>
  <c r="X390" i="13"/>
  <c r="Y390" i="13"/>
  <c r="Z390" i="13"/>
  <c r="AA390" i="13"/>
  <c r="AB390" i="13"/>
  <c r="W391" i="13"/>
  <c r="X391" i="13"/>
  <c r="Y391" i="13"/>
  <c r="Z391" i="13"/>
  <c r="AA391" i="13"/>
  <c r="AB391" i="13"/>
  <c r="W392" i="13"/>
  <c r="X392" i="13"/>
  <c r="Y392" i="13"/>
  <c r="Z392" i="13"/>
  <c r="AA392" i="13"/>
  <c r="AB392" i="13"/>
  <c r="W393" i="13"/>
  <c r="X393" i="13"/>
  <c r="Y393" i="13"/>
  <c r="Z393" i="13"/>
  <c r="AA393" i="13"/>
  <c r="AB393" i="13"/>
  <c r="W394" i="13"/>
  <c r="X394" i="13"/>
  <c r="Y394" i="13"/>
  <c r="Z394" i="13"/>
  <c r="AA394" i="13"/>
  <c r="AB394" i="13"/>
  <c r="W395" i="13"/>
  <c r="X395" i="13"/>
  <c r="Y395" i="13"/>
  <c r="Z395" i="13"/>
  <c r="AA395" i="13"/>
  <c r="AB395" i="13"/>
  <c r="W396" i="13"/>
  <c r="X396" i="13"/>
  <c r="Y396" i="13"/>
  <c r="Z396" i="13"/>
  <c r="AA396" i="13"/>
  <c r="AB396" i="13"/>
  <c r="W397" i="13"/>
  <c r="X397" i="13"/>
  <c r="Y397" i="13"/>
  <c r="Z397" i="13"/>
  <c r="AA397" i="13"/>
  <c r="AB397" i="13"/>
  <c r="W398" i="13"/>
  <c r="X398" i="13"/>
  <c r="Y398" i="13"/>
  <c r="Z398" i="13"/>
  <c r="AA398" i="13"/>
  <c r="AB398" i="13"/>
  <c r="W399" i="13"/>
  <c r="X399" i="13"/>
  <c r="Y399" i="13"/>
  <c r="Z399" i="13"/>
  <c r="AA399" i="13"/>
  <c r="AB399" i="13"/>
  <c r="W400" i="13"/>
  <c r="X400" i="13"/>
  <c r="Y400" i="13"/>
  <c r="Z400" i="13"/>
  <c r="AA400" i="13"/>
  <c r="AB400" i="13"/>
  <c r="W401" i="13"/>
  <c r="X401" i="13"/>
  <c r="Y401" i="13"/>
  <c r="Z401" i="13"/>
  <c r="AA401" i="13"/>
  <c r="AB401" i="13"/>
  <c r="W402" i="13"/>
  <c r="X402" i="13"/>
  <c r="Y402" i="13"/>
  <c r="Z402" i="13"/>
  <c r="AA402" i="13"/>
  <c r="AB402" i="13"/>
  <c r="W403" i="13"/>
  <c r="X403" i="13"/>
  <c r="Y403" i="13"/>
  <c r="Z403" i="13"/>
  <c r="AA403" i="13"/>
  <c r="AB403" i="13"/>
  <c r="W404" i="13"/>
  <c r="X404" i="13"/>
  <c r="Y404" i="13"/>
  <c r="Z404" i="13"/>
  <c r="AA404" i="13"/>
  <c r="AB404" i="13"/>
  <c r="W405" i="13"/>
  <c r="X405" i="13"/>
  <c r="Y405" i="13"/>
  <c r="Z405" i="13"/>
  <c r="AA405" i="13"/>
  <c r="AB405" i="13"/>
  <c r="W406" i="13"/>
  <c r="X406" i="13"/>
  <c r="Y406" i="13"/>
  <c r="Z406" i="13"/>
  <c r="AA406" i="13"/>
  <c r="AB406" i="13"/>
  <c r="W407" i="13"/>
  <c r="X407" i="13"/>
  <c r="Y407" i="13"/>
  <c r="Z407" i="13"/>
  <c r="AA407" i="13"/>
  <c r="AB407" i="13"/>
  <c r="W408" i="13"/>
  <c r="X408" i="13"/>
  <c r="Y408" i="13"/>
  <c r="Z408" i="13"/>
  <c r="AA408" i="13"/>
  <c r="AB408" i="13"/>
  <c r="W409" i="13"/>
  <c r="X409" i="13"/>
  <c r="Y409" i="13"/>
  <c r="Z409" i="13"/>
  <c r="AA409" i="13"/>
  <c r="AB409" i="13"/>
  <c r="W410" i="13"/>
  <c r="X410" i="13"/>
  <c r="Y410" i="13"/>
  <c r="Z410" i="13"/>
  <c r="AA410" i="13"/>
  <c r="AB410" i="13"/>
  <c r="W411" i="13"/>
  <c r="X411" i="13"/>
  <c r="Y411" i="13"/>
  <c r="Z411" i="13"/>
  <c r="AA411" i="13"/>
  <c r="AB411" i="13"/>
  <c r="W412" i="13"/>
  <c r="X412" i="13"/>
  <c r="Y412" i="13"/>
  <c r="Z412" i="13"/>
  <c r="AA412" i="13"/>
  <c r="AB412" i="13"/>
  <c r="W413" i="13"/>
  <c r="X413" i="13"/>
  <c r="Y413" i="13"/>
  <c r="Z413" i="13"/>
  <c r="AA413" i="13"/>
  <c r="AB413" i="13"/>
  <c r="W414" i="13"/>
  <c r="X414" i="13"/>
  <c r="Y414" i="13"/>
  <c r="Z414" i="13"/>
  <c r="AA414" i="13"/>
  <c r="AB414" i="13"/>
  <c r="W415" i="13"/>
  <c r="X415" i="13"/>
  <c r="Y415" i="13"/>
  <c r="Z415" i="13"/>
  <c r="AA415" i="13"/>
  <c r="AB415" i="13"/>
  <c r="W416" i="13"/>
  <c r="X416" i="13"/>
  <c r="Y416" i="13"/>
  <c r="Z416" i="13"/>
  <c r="AA416" i="13"/>
  <c r="AB416" i="13"/>
  <c r="W417" i="13"/>
  <c r="X417" i="13"/>
  <c r="Y417" i="13"/>
  <c r="Z417" i="13"/>
  <c r="AA417" i="13"/>
  <c r="AB417" i="13"/>
  <c r="W418" i="13"/>
  <c r="X418" i="13"/>
  <c r="Y418" i="13"/>
  <c r="Z418" i="13"/>
  <c r="AA418" i="13"/>
  <c r="AB418" i="13"/>
  <c r="W419" i="13"/>
  <c r="X419" i="13"/>
  <c r="Y419" i="13"/>
  <c r="Z419" i="13"/>
  <c r="AA419" i="13"/>
  <c r="AB419" i="13"/>
  <c r="W420" i="13"/>
  <c r="X420" i="13"/>
  <c r="Y420" i="13"/>
  <c r="Z420" i="13"/>
  <c r="AA420" i="13"/>
  <c r="AB420" i="13"/>
  <c r="W421" i="13"/>
  <c r="X421" i="13"/>
  <c r="Y421" i="13"/>
  <c r="Z421" i="13"/>
  <c r="AA421" i="13"/>
  <c r="AB421" i="13"/>
  <c r="W422" i="13"/>
  <c r="X422" i="13"/>
  <c r="Y422" i="13"/>
  <c r="Z422" i="13"/>
  <c r="AA422" i="13"/>
  <c r="AB422" i="13"/>
  <c r="W423" i="13"/>
  <c r="X423" i="13"/>
  <c r="Y423" i="13"/>
  <c r="Z423" i="13"/>
  <c r="AA423" i="13"/>
  <c r="AB423" i="13"/>
  <c r="W424" i="13"/>
  <c r="X424" i="13"/>
  <c r="Y424" i="13"/>
  <c r="Z424" i="13"/>
  <c r="AA424" i="13"/>
  <c r="AB424" i="13"/>
  <c r="W425" i="13"/>
  <c r="X425" i="13"/>
  <c r="Y425" i="13"/>
  <c r="Z425" i="13"/>
  <c r="AA425" i="13"/>
  <c r="AB425" i="13"/>
  <c r="W426" i="13"/>
  <c r="X426" i="13"/>
  <c r="Y426" i="13"/>
  <c r="Z426" i="13"/>
  <c r="AA426" i="13"/>
  <c r="AB426" i="13"/>
  <c r="W427" i="13"/>
  <c r="X427" i="13"/>
  <c r="Y427" i="13"/>
  <c r="Z427" i="13"/>
  <c r="AA427" i="13"/>
  <c r="AB427" i="13"/>
  <c r="W428" i="13"/>
  <c r="X428" i="13"/>
  <c r="Y428" i="13"/>
  <c r="Z428" i="13"/>
  <c r="AA428" i="13"/>
  <c r="AB428" i="13"/>
  <c r="W429" i="13"/>
  <c r="X429" i="13"/>
  <c r="Y429" i="13"/>
  <c r="Z429" i="13"/>
  <c r="AA429" i="13"/>
  <c r="AB429" i="13"/>
  <c r="W430" i="13"/>
  <c r="X430" i="13"/>
  <c r="Y430" i="13"/>
  <c r="Z430" i="13"/>
  <c r="AA430" i="13"/>
  <c r="AB430" i="13"/>
  <c r="W431" i="13"/>
  <c r="X431" i="13"/>
  <c r="Y431" i="13"/>
  <c r="Z431" i="13"/>
  <c r="AA431" i="13"/>
  <c r="AB431" i="13"/>
  <c r="W432" i="13"/>
  <c r="X432" i="13"/>
  <c r="Y432" i="13"/>
  <c r="Z432" i="13"/>
  <c r="AA432" i="13"/>
  <c r="AB432" i="13"/>
  <c r="W433" i="13"/>
  <c r="X433" i="13"/>
  <c r="Y433" i="13"/>
  <c r="Z433" i="13"/>
  <c r="AA433" i="13"/>
  <c r="AB433" i="13"/>
  <c r="W434" i="13"/>
  <c r="X434" i="13"/>
  <c r="Y434" i="13"/>
  <c r="Z434" i="13"/>
  <c r="AA434" i="13"/>
  <c r="AB434" i="13"/>
  <c r="W435" i="13"/>
  <c r="X435" i="13"/>
  <c r="Y435" i="13"/>
  <c r="Z435" i="13"/>
  <c r="AA435" i="13"/>
  <c r="AB435" i="13"/>
  <c r="W436" i="13"/>
  <c r="X436" i="13"/>
  <c r="Y436" i="13"/>
  <c r="Z436" i="13"/>
  <c r="AA436" i="13"/>
  <c r="AB436" i="13"/>
  <c r="W437" i="13"/>
  <c r="X437" i="13"/>
  <c r="Y437" i="13"/>
  <c r="Z437" i="13"/>
  <c r="AA437" i="13"/>
  <c r="AB437" i="13"/>
  <c r="W438" i="13"/>
  <c r="X438" i="13"/>
  <c r="Y438" i="13"/>
  <c r="Z438" i="13"/>
  <c r="AA438" i="13"/>
  <c r="AB438" i="13"/>
  <c r="W439" i="13"/>
  <c r="X439" i="13"/>
  <c r="Y439" i="13"/>
  <c r="Z439" i="13"/>
  <c r="AA439" i="13"/>
  <c r="AB439" i="13"/>
  <c r="W440" i="13"/>
  <c r="X440" i="13"/>
  <c r="Y440" i="13"/>
  <c r="Z440" i="13"/>
  <c r="AA440" i="13"/>
  <c r="AB440" i="13"/>
  <c r="W441" i="13"/>
  <c r="X441" i="13"/>
  <c r="Y441" i="13"/>
  <c r="Z441" i="13"/>
  <c r="AA441" i="13"/>
  <c r="AB441" i="13"/>
  <c r="W442" i="13"/>
  <c r="X442" i="13"/>
  <c r="Y442" i="13"/>
  <c r="Z442" i="13"/>
  <c r="AA442" i="13"/>
  <c r="AB442" i="13"/>
  <c r="W443" i="13"/>
  <c r="X443" i="13"/>
  <c r="Y443" i="13"/>
  <c r="Z443" i="13"/>
  <c r="AA443" i="13"/>
  <c r="AB443" i="13"/>
  <c r="W444" i="13"/>
  <c r="X444" i="13"/>
  <c r="Y444" i="13"/>
  <c r="Z444" i="13"/>
  <c r="AA444" i="13"/>
  <c r="AB444" i="13"/>
  <c r="W445" i="13"/>
  <c r="X445" i="13"/>
  <c r="Y445" i="13"/>
  <c r="Z445" i="13"/>
  <c r="AA445" i="13"/>
  <c r="AB445" i="13"/>
  <c r="W446" i="13"/>
  <c r="X446" i="13"/>
  <c r="Y446" i="13"/>
  <c r="Z446" i="13"/>
  <c r="AA446" i="13"/>
  <c r="AB446" i="13"/>
  <c r="W447" i="13"/>
  <c r="X447" i="13"/>
  <c r="Y447" i="13"/>
  <c r="Z447" i="13"/>
  <c r="AA447" i="13"/>
  <c r="AB447" i="13"/>
  <c r="W448" i="13"/>
  <c r="X448" i="13"/>
  <c r="Y448" i="13"/>
  <c r="Z448" i="13"/>
  <c r="AA448" i="13"/>
  <c r="AB448" i="13"/>
  <c r="W449" i="13"/>
  <c r="X449" i="13"/>
  <c r="Y449" i="13"/>
  <c r="Z449" i="13"/>
  <c r="AA449" i="13"/>
  <c r="AB449" i="13"/>
  <c r="W450" i="13"/>
  <c r="X450" i="13"/>
  <c r="Y450" i="13"/>
  <c r="Z450" i="13"/>
  <c r="AA450" i="13"/>
  <c r="AB450" i="13"/>
  <c r="W451" i="13"/>
  <c r="X451" i="13"/>
  <c r="Y451" i="13"/>
  <c r="Z451" i="13"/>
  <c r="AA451" i="13"/>
  <c r="AB451" i="13"/>
  <c r="W452" i="13"/>
  <c r="X452" i="13"/>
  <c r="Y452" i="13"/>
  <c r="Z452" i="13"/>
  <c r="AA452" i="13"/>
  <c r="AB452" i="13"/>
  <c r="W453" i="13"/>
  <c r="X453" i="13"/>
  <c r="Y453" i="13"/>
  <c r="Z453" i="13"/>
  <c r="AA453" i="13"/>
  <c r="AB453" i="13"/>
  <c r="W454" i="13"/>
  <c r="X454" i="13"/>
  <c r="Y454" i="13"/>
  <c r="Z454" i="13"/>
  <c r="AA454" i="13"/>
  <c r="AB454" i="13"/>
  <c r="W455" i="13"/>
  <c r="X455" i="13"/>
  <c r="Y455" i="13"/>
  <c r="Z455" i="13"/>
  <c r="AA455" i="13"/>
  <c r="AB455" i="13"/>
  <c r="W456" i="13"/>
  <c r="X456" i="13"/>
  <c r="Y456" i="13"/>
  <c r="Z456" i="13"/>
  <c r="AA456" i="13"/>
  <c r="AB456" i="13"/>
  <c r="W457" i="13"/>
  <c r="X457" i="13"/>
  <c r="Y457" i="13"/>
  <c r="Z457" i="13"/>
  <c r="AA457" i="13"/>
  <c r="AB457" i="13"/>
  <c r="W458" i="13"/>
  <c r="X458" i="13"/>
  <c r="Y458" i="13"/>
  <c r="Z458" i="13"/>
  <c r="AA458" i="13"/>
  <c r="AB458" i="13"/>
  <c r="W459" i="13"/>
  <c r="X459" i="13"/>
  <c r="Y459" i="13"/>
  <c r="Z459" i="13"/>
  <c r="AA459" i="13"/>
  <c r="AB459" i="13"/>
  <c r="W460" i="13"/>
  <c r="X460" i="13"/>
  <c r="Y460" i="13"/>
  <c r="Z460" i="13"/>
  <c r="AA460" i="13"/>
  <c r="AB460" i="13"/>
  <c r="W461" i="13"/>
  <c r="X461" i="13"/>
  <c r="Y461" i="13"/>
  <c r="Z461" i="13"/>
  <c r="AA461" i="13"/>
  <c r="AB461" i="13"/>
  <c r="W462" i="13"/>
  <c r="X462" i="13"/>
  <c r="Y462" i="13"/>
  <c r="Z462" i="13"/>
  <c r="AA462" i="13"/>
  <c r="AB462" i="13"/>
  <c r="W463" i="13"/>
  <c r="X463" i="13"/>
  <c r="Y463" i="13"/>
  <c r="Z463" i="13"/>
  <c r="AA463" i="13"/>
  <c r="AB463" i="13"/>
  <c r="W464" i="13"/>
  <c r="X464" i="13"/>
  <c r="Y464" i="13"/>
  <c r="Z464" i="13"/>
  <c r="AA464" i="13"/>
  <c r="AB464" i="13"/>
  <c r="W465" i="13"/>
  <c r="X465" i="13"/>
  <c r="Y465" i="13"/>
  <c r="Z465" i="13"/>
  <c r="AA465" i="13"/>
  <c r="AB465" i="13"/>
  <c r="W466" i="13"/>
  <c r="X466" i="13"/>
  <c r="Y466" i="13"/>
  <c r="Z466" i="13"/>
  <c r="AA466" i="13"/>
  <c r="AB466" i="13"/>
  <c r="W467" i="13"/>
  <c r="X467" i="13"/>
  <c r="Y467" i="13"/>
  <c r="Z467" i="13"/>
  <c r="AA467" i="13"/>
  <c r="AB467" i="13"/>
  <c r="W468" i="13"/>
  <c r="X468" i="13"/>
  <c r="Y468" i="13"/>
  <c r="Z468" i="13"/>
  <c r="AA468" i="13"/>
  <c r="AB468" i="13"/>
  <c r="W469" i="13"/>
  <c r="X469" i="13"/>
  <c r="Y469" i="13"/>
  <c r="Z469" i="13"/>
  <c r="AA469" i="13"/>
  <c r="AB469" i="13"/>
  <c r="W470" i="13"/>
  <c r="X470" i="13"/>
  <c r="Y470" i="13"/>
  <c r="Z470" i="13"/>
  <c r="AA470" i="13"/>
  <c r="AB470" i="13"/>
  <c r="W471" i="13"/>
  <c r="X471" i="13"/>
  <c r="Y471" i="13"/>
  <c r="Z471" i="13"/>
  <c r="AA471" i="13"/>
  <c r="AB471" i="13"/>
  <c r="W472" i="13"/>
  <c r="X472" i="13"/>
  <c r="Y472" i="13"/>
  <c r="Z472" i="13"/>
  <c r="AA472" i="13"/>
  <c r="AB472" i="13"/>
  <c r="W473" i="13"/>
  <c r="X473" i="13"/>
  <c r="Y473" i="13"/>
  <c r="Z473" i="13"/>
  <c r="AA473" i="13"/>
  <c r="AB473" i="13"/>
  <c r="W474" i="13"/>
  <c r="X474" i="13"/>
  <c r="Y474" i="13"/>
  <c r="Z474" i="13"/>
  <c r="AA474" i="13"/>
  <c r="AB474" i="13"/>
  <c r="W475" i="13"/>
  <c r="X475" i="13"/>
  <c r="Y475" i="13"/>
  <c r="Z475" i="13"/>
  <c r="AA475" i="13"/>
  <c r="AB475" i="13"/>
  <c r="W476" i="13"/>
  <c r="X476" i="13"/>
  <c r="Y476" i="13"/>
  <c r="Z476" i="13"/>
  <c r="AA476" i="13"/>
  <c r="AB476" i="13"/>
  <c r="W477" i="13"/>
  <c r="X477" i="13"/>
  <c r="Y477" i="13"/>
  <c r="Z477" i="13"/>
  <c r="AA477" i="13"/>
  <c r="AB477" i="13"/>
  <c r="W478" i="13"/>
  <c r="X478" i="13"/>
  <c r="Y478" i="13"/>
  <c r="Z478" i="13"/>
  <c r="AA478" i="13"/>
  <c r="AB478" i="13"/>
  <c r="W479" i="13"/>
  <c r="X479" i="13"/>
  <c r="Y479" i="13"/>
  <c r="Z479" i="13"/>
  <c r="AA479" i="13"/>
  <c r="AB479" i="13"/>
  <c r="W480" i="13"/>
  <c r="X480" i="13"/>
  <c r="Y480" i="13"/>
  <c r="Z480" i="13"/>
  <c r="AA480" i="13"/>
  <c r="AB480" i="13"/>
  <c r="W481" i="13"/>
  <c r="X481" i="13"/>
  <c r="Y481" i="13"/>
  <c r="Z481" i="13"/>
  <c r="AA481" i="13"/>
  <c r="AB481" i="13"/>
  <c r="W482" i="13"/>
  <c r="X482" i="13"/>
  <c r="Y482" i="13"/>
  <c r="Z482" i="13"/>
  <c r="AA482" i="13"/>
  <c r="AB482" i="13"/>
  <c r="W483" i="13"/>
  <c r="X483" i="13"/>
  <c r="Y483" i="13"/>
  <c r="Z483" i="13"/>
  <c r="AA483" i="13"/>
  <c r="AB483" i="13"/>
  <c r="W484" i="13"/>
  <c r="X484" i="13"/>
  <c r="Y484" i="13"/>
  <c r="Z484" i="13"/>
  <c r="AA484" i="13"/>
  <c r="AB484" i="13"/>
  <c r="W485" i="13"/>
  <c r="X485" i="13"/>
  <c r="Y485" i="13"/>
  <c r="Z485" i="13"/>
  <c r="AA485" i="13"/>
  <c r="AB485" i="13"/>
  <c r="W486" i="13"/>
  <c r="X486" i="13"/>
  <c r="Y486" i="13"/>
  <c r="Z486" i="13"/>
  <c r="AA486" i="13"/>
  <c r="AB486" i="13"/>
  <c r="W487" i="13"/>
  <c r="X487" i="13"/>
  <c r="Y487" i="13"/>
  <c r="Z487" i="13"/>
  <c r="AA487" i="13"/>
  <c r="AB487" i="13"/>
  <c r="W488" i="13"/>
  <c r="X488" i="13"/>
  <c r="Y488" i="13"/>
  <c r="Z488" i="13"/>
  <c r="AA488" i="13"/>
  <c r="AB488" i="13"/>
  <c r="AB53" i="13"/>
  <c r="X53" i="13"/>
  <c r="Y53" i="13"/>
  <c r="Z53" i="13"/>
  <c r="AA53" i="13"/>
  <c r="W53" i="13"/>
  <c r="BT6" i="13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T31" i="13"/>
  <c r="BT32" i="13"/>
  <c r="BT33" i="13"/>
  <c r="BT34" i="13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S7" i="13"/>
  <c r="BS8" i="13"/>
  <c r="BS9" i="13"/>
  <c r="BS10" i="13"/>
  <c r="BS11" i="13"/>
  <c r="BS12" i="13"/>
  <c r="BS13" i="13"/>
  <c r="BS14" i="13"/>
  <c r="BS15" i="13"/>
  <c r="BS16" i="13"/>
  <c r="BS17" i="13"/>
  <c r="BS18" i="13"/>
  <c r="BS19" i="13"/>
  <c r="BS21" i="13"/>
  <c r="BS22" i="13"/>
  <c r="BS23" i="13"/>
  <c r="BS24" i="13"/>
  <c r="BS25" i="13"/>
  <c r="BS26" i="13"/>
  <c r="BS27" i="13"/>
  <c r="BS28" i="13"/>
  <c r="BS29" i="13"/>
  <c r="BS30" i="13"/>
  <c r="BS31" i="13"/>
  <c r="BS32" i="13"/>
  <c r="BS33" i="13"/>
  <c r="BS34" i="13"/>
  <c r="BS35" i="13"/>
  <c r="BS36" i="13"/>
  <c r="BS37" i="13"/>
  <c r="BS38" i="13"/>
  <c r="BS39" i="13"/>
  <c r="BS40" i="13"/>
  <c r="BS41" i="13"/>
  <c r="BS42" i="13"/>
  <c r="BS43" i="13"/>
  <c r="BS44" i="13"/>
  <c r="BS45" i="13"/>
  <c r="BS46" i="13"/>
  <c r="BS47" i="13"/>
  <c r="BS48" i="13"/>
  <c r="BS49" i="13"/>
  <c r="U240" i="13"/>
  <c r="U241" i="13"/>
  <c r="U242" i="13"/>
  <c r="U243" i="13"/>
  <c r="U244" i="13"/>
  <c r="U245" i="13"/>
  <c r="U246" i="13"/>
  <c r="U247" i="13"/>
  <c r="U248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U273" i="13"/>
  <c r="U274" i="13"/>
  <c r="U275" i="13"/>
  <c r="U276" i="13"/>
  <c r="U277" i="13"/>
  <c r="U278" i="13"/>
  <c r="U279" i="13"/>
  <c r="U280" i="13"/>
  <c r="U281" i="13"/>
  <c r="U282" i="13"/>
  <c r="U283" i="13"/>
  <c r="U284" i="13"/>
  <c r="U285" i="13"/>
  <c r="U286" i="13"/>
  <c r="U287" i="13"/>
  <c r="U288" i="13"/>
  <c r="U289" i="13"/>
  <c r="U290" i="13"/>
  <c r="U291" i="13"/>
  <c r="U292" i="13"/>
  <c r="U293" i="13"/>
  <c r="U294" i="13"/>
  <c r="U295" i="13"/>
  <c r="U296" i="13"/>
  <c r="U297" i="13"/>
  <c r="U298" i="13"/>
  <c r="U299" i="13"/>
  <c r="U300" i="13"/>
  <c r="U301" i="13"/>
  <c r="U302" i="13"/>
  <c r="U303" i="13"/>
  <c r="U304" i="13"/>
  <c r="U305" i="13"/>
  <c r="U306" i="13"/>
  <c r="U307" i="13"/>
  <c r="U308" i="13"/>
  <c r="U309" i="13"/>
  <c r="U310" i="13"/>
  <c r="U311" i="13"/>
  <c r="U312" i="13"/>
  <c r="U313" i="13"/>
  <c r="U314" i="13"/>
  <c r="U315" i="13"/>
  <c r="U316" i="13"/>
  <c r="U317" i="13"/>
  <c r="U318" i="13"/>
  <c r="U319" i="13"/>
  <c r="U320" i="13"/>
  <c r="U321" i="13"/>
  <c r="U322" i="13"/>
  <c r="U323" i="13"/>
  <c r="U324" i="13"/>
  <c r="U325" i="13"/>
  <c r="U326" i="13"/>
  <c r="U327" i="13"/>
  <c r="U328" i="13"/>
  <c r="U329" i="13"/>
  <c r="U330" i="13"/>
  <c r="U331" i="13"/>
  <c r="U332" i="13"/>
  <c r="U333" i="13"/>
  <c r="U334" i="13"/>
  <c r="U335" i="13"/>
  <c r="U336" i="13"/>
  <c r="U337" i="13"/>
  <c r="U338" i="13"/>
  <c r="U339" i="13"/>
  <c r="U340" i="13"/>
  <c r="U341" i="13"/>
  <c r="U342" i="13"/>
  <c r="U343" i="13"/>
  <c r="U344" i="13"/>
  <c r="U345" i="13"/>
  <c r="U346" i="13"/>
  <c r="U347" i="13"/>
  <c r="U348" i="13"/>
  <c r="U349" i="13"/>
  <c r="U350" i="13"/>
  <c r="U351" i="13"/>
  <c r="U352" i="13"/>
  <c r="U353" i="13"/>
  <c r="U354" i="13"/>
  <c r="U355" i="13"/>
  <c r="U356" i="13"/>
  <c r="U357" i="13"/>
  <c r="U358" i="13"/>
  <c r="U359" i="13"/>
  <c r="U360" i="13"/>
  <c r="U361" i="13"/>
  <c r="U362" i="13"/>
  <c r="U363" i="13"/>
  <c r="U364" i="13"/>
  <c r="U365" i="13"/>
  <c r="U366" i="13"/>
  <c r="U367" i="13"/>
  <c r="U368" i="13"/>
  <c r="U369" i="13"/>
  <c r="U370" i="13"/>
  <c r="U371" i="13"/>
  <c r="U372" i="13"/>
  <c r="U373" i="13"/>
  <c r="U374" i="13"/>
  <c r="U375" i="13"/>
  <c r="U376" i="13"/>
  <c r="U377" i="13"/>
  <c r="U378" i="13"/>
  <c r="U379" i="13"/>
  <c r="U380" i="13"/>
  <c r="U381" i="13"/>
  <c r="U382" i="13"/>
  <c r="U383" i="13"/>
  <c r="U384" i="13"/>
  <c r="U385" i="13"/>
  <c r="U386" i="13"/>
  <c r="U387" i="13"/>
  <c r="U388" i="13"/>
  <c r="U389" i="13"/>
  <c r="U390" i="13"/>
  <c r="U391" i="13"/>
  <c r="U392" i="13"/>
  <c r="U393" i="13"/>
  <c r="U394" i="13"/>
  <c r="U395" i="13"/>
  <c r="U396" i="13"/>
  <c r="U397" i="13"/>
  <c r="U398" i="13"/>
  <c r="U399" i="13"/>
  <c r="U400" i="13"/>
  <c r="U401" i="13"/>
  <c r="U402" i="13"/>
  <c r="U403" i="13"/>
  <c r="U404" i="13"/>
  <c r="U405" i="13"/>
  <c r="U406" i="13"/>
  <c r="U407" i="13"/>
  <c r="U408" i="13"/>
  <c r="U409" i="13"/>
  <c r="U410" i="13"/>
  <c r="U411" i="13"/>
  <c r="U412" i="13"/>
  <c r="U413" i="13"/>
  <c r="U414" i="13"/>
  <c r="U415" i="13"/>
  <c r="U416" i="13"/>
  <c r="U417" i="13"/>
  <c r="U418" i="13"/>
  <c r="U419" i="13"/>
  <c r="U420" i="13"/>
  <c r="U421" i="13"/>
  <c r="U422" i="13"/>
  <c r="U423" i="13"/>
  <c r="U424" i="13"/>
  <c r="U425" i="13"/>
  <c r="U426" i="13"/>
  <c r="U427" i="13"/>
  <c r="U428" i="13"/>
  <c r="U429" i="13"/>
  <c r="U430" i="13"/>
  <c r="U431" i="13"/>
  <c r="U432" i="13"/>
  <c r="U433" i="13"/>
  <c r="U434" i="13"/>
  <c r="U435" i="13"/>
  <c r="U436" i="13"/>
  <c r="U437" i="13"/>
  <c r="U438" i="13"/>
  <c r="U439" i="13"/>
  <c r="U440" i="13"/>
  <c r="U441" i="13"/>
  <c r="U442" i="13"/>
  <c r="U443" i="13"/>
  <c r="U444" i="13"/>
  <c r="U445" i="13"/>
  <c r="U446" i="13"/>
  <c r="U447" i="13"/>
  <c r="U448" i="13"/>
  <c r="U449" i="13"/>
  <c r="U450" i="13"/>
  <c r="U451" i="13"/>
  <c r="U452" i="13"/>
  <c r="U453" i="13"/>
  <c r="U454" i="13"/>
  <c r="U455" i="13"/>
  <c r="U456" i="13"/>
  <c r="U457" i="13"/>
  <c r="U458" i="13"/>
  <c r="U459" i="13"/>
  <c r="U460" i="13"/>
  <c r="U461" i="13"/>
  <c r="U462" i="13"/>
  <c r="U463" i="13"/>
  <c r="U464" i="13"/>
  <c r="U465" i="13"/>
  <c r="U466" i="13"/>
  <c r="U467" i="13"/>
  <c r="U468" i="13"/>
  <c r="U469" i="13"/>
  <c r="U470" i="13"/>
  <c r="U471" i="13"/>
  <c r="U472" i="13"/>
  <c r="U473" i="13"/>
  <c r="U474" i="13"/>
  <c r="U475" i="13"/>
  <c r="U476" i="13"/>
  <c r="U477" i="13"/>
  <c r="U478" i="13"/>
  <c r="U479" i="13"/>
  <c r="U480" i="13"/>
  <c r="U481" i="13"/>
  <c r="U482" i="13"/>
  <c r="U483" i="13"/>
  <c r="U484" i="13"/>
  <c r="U485" i="13"/>
  <c r="U486" i="13"/>
  <c r="U487" i="13"/>
  <c r="U488" i="13"/>
  <c r="CI34" i="13" l="1"/>
  <c r="CI5" i="13"/>
  <c r="BU47" i="13"/>
  <c r="BV47" i="13" s="1"/>
  <c r="BU43" i="13"/>
  <c r="BV43" i="13" s="1"/>
  <c r="BU39" i="13"/>
  <c r="BV39" i="13" s="1"/>
  <c r="BU35" i="13"/>
  <c r="BV35" i="13" s="1"/>
  <c r="BU31" i="13"/>
  <c r="BV31" i="13" s="1"/>
  <c r="BU27" i="13"/>
  <c r="BV27" i="13" s="1"/>
  <c r="BU23" i="13"/>
  <c r="BV23" i="13" s="1"/>
  <c r="BU19" i="13"/>
  <c r="BV19" i="13" s="1"/>
  <c r="BU49" i="13"/>
  <c r="BV49" i="13" s="1"/>
  <c r="BU45" i="13"/>
  <c r="BV45" i="13" s="1"/>
  <c r="BU41" i="13"/>
  <c r="BV41" i="13" s="1"/>
  <c r="BU37" i="13"/>
  <c r="BV37" i="13" s="1"/>
  <c r="BU33" i="13"/>
  <c r="BV33" i="13" s="1"/>
  <c r="BU29" i="13"/>
  <c r="BV29" i="13" s="1"/>
  <c r="BU25" i="13"/>
  <c r="BV25" i="13" s="1"/>
  <c r="BU21" i="13"/>
  <c r="BV21" i="13" s="1"/>
  <c r="BU17" i="13"/>
  <c r="BV17" i="13" s="1"/>
  <c r="BU13" i="13"/>
  <c r="BV13" i="13" s="1"/>
  <c r="BU9" i="13"/>
  <c r="BV9" i="13" s="1"/>
  <c r="BU15" i="13"/>
  <c r="BV15" i="13" s="1"/>
  <c r="BU11" i="13"/>
  <c r="BV11" i="13" s="1"/>
  <c r="BU7" i="13"/>
  <c r="BV7" i="13" s="1"/>
  <c r="BU5" i="13"/>
  <c r="BV5" i="13" s="1"/>
  <c r="BU46" i="13"/>
  <c r="BV46" i="13" s="1"/>
  <c r="BU48" i="13"/>
  <c r="BV48" i="13" s="1"/>
  <c r="BU44" i="13"/>
  <c r="BV44" i="13" s="1"/>
  <c r="BU40" i="13"/>
  <c r="BV40" i="13" s="1"/>
  <c r="BU36" i="13"/>
  <c r="BV36" i="13" s="1"/>
  <c r="BU32" i="13"/>
  <c r="BV32" i="13" s="1"/>
  <c r="BU28" i="13"/>
  <c r="BV28" i="13" s="1"/>
  <c r="BU24" i="13"/>
  <c r="BV24" i="13" s="1"/>
  <c r="BU20" i="13"/>
  <c r="BV20" i="13" s="1"/>
  <c r="BU16" i="13"/>
  <c r="BV16" i="13" s="1"/>
  <c r="BU12" i="13"/>
  <c r="BV12" i="13" s="1"/>
  <c r="BU8" i="13"/>
  <c r="BV8" i="13" s="1"/>
  <c r="BU42" i="13"/>
  <c r="BV42" i="13" s="1"/>
  <c r="BU38" i="13"/>
  <c r="BV38" i="13" s="1"/>
  <c r="BU34" i="13"/>
  <c r="BV34" i="13" s="1"/>
  <c r="BU30" i="13"/>
  <c r="BV30" i="13" s="1"/>
  <c r="BU26" i="13"/>
  <c r="BV26" i="13" s="1"/>
  <c r="BU22" i="13"/>
  <c r="BV22" i="13" s="1"/>
  <c r="BU18" i="13"/>
  <c r="BV18" i="13" s="1"/>
  <c r="BU14" i="13"/>
  <c r="BV14" i="13" s="1"/>
  <c r="BU10" i="13"/>
  <c r="BV10" i="13" s="1"/>
  <c r="BU6" i="13"/>
  <c r="BV6" i="13" s="1"/>
  <c r="T3" i="13"/>
  <c r="T2" i="13"/>
  <c r="CI29" i="13"/>
  <c r="CI32" i="13"/>
  <c r="CI30" i="13"/>
  <c r="CI36" i="13"/>
  <c r="CI13" i="13"/>
  <c r="CI8" i="13"/>
  <c r="CI6" i="13"/>
  <c r="CI14" i="13"/>
  <c r="CI26" i="13"/>
  <c r="CI20" i="13"/>
  <c r="CI25" i="13"/>
  <c r="CI12" i="13"/>
  <c r="CI23" i="13"/>
  <c r="CI19" i="13"/>
  <c r="CI28" i="13"/>
  <c r="AD58" i="13"/>
  <c r="AE489" i="13"/>
  <c r="CI24" i="13"/>
  <c r="CI9" i="13"/>
  <c r="CI18" i="13"/>
  <c r="CI37" i="13"/>
  <c r="CI21" i="13"/>
  <c r="CI17" i="13"/>
  <c r="CI16" i="13"/>
  <c r="CI35" i="13"/>
  <c r="CI22" i="13"/>
  <c r="CI7" i="13"/>
  <c r="CI15" i="13"/>
  <c r="CI33" i="13"/>
  <c r="CI27" i="13"/>
  <c r="CI11" i="13"/>
  <c r="CI10" i="13"/>
  <c r="CI31" i="13"/>
  <c r="BP81" i="13"/>
  <c r="BQ79" i="13" s="1"/>
  <c r="AE424" i="13"/>
  <c r="AE408" i="13"/>
  <c r="AE392" i="13"/>
  <c r="AD83" i="13"/>
  <c r="AD74" i="13"/>
  <c r="AD67" i="13"/>
  <c r="AE57" i="13"/>
  <c r="AD328" i="13"/>
  <c r="AE55" i="13"/>
  <c r="AE56" i="13"/>
  <c r="AD216" i="13"/>
  <c r="AE54" i="13"/>
  <c r="AC490" i="13"/>
  <c r="AD264" i="13"/>
  <c r="AD248" i="13"/>
  <c r="AD57" i="13"/>
  <c r="AD55" i="13"/>
  <c r="AE472" i="13"/>
  <c r="AD124" i="13"/>
  <c r="AD56" i="13"/>
  <c r="AD54" i="13"/>
  <c r="AE488" i="13"/>
  <c r="AD296" i="13"/>
  <c r="AD180" i="13"/>
  <c r="AD132" i="13"/>
  <c r="AD489" i="13"/>
  <c r="AE440" i="13"/>
  <c r="AD96" i="13"/>
  <c r="AD82" i="13"/>
  <c r="AD66" i="13"/>
  <c r="BB8" i="10"/>
  <c r="BC8" i="10" s="1"/>
  <c r="BD8" i="10" s="1"/>
  <c r="BE8" i="10" s="1"/>
  <c r="BF8" i="10" s="1"/>
  <c r="AZ9" i="10" s="1"/>
  <c r="BA9" i="10" s="1"/>
  <c r="BB9" i="10" s="1"/>
  <c r="BC9" i="10" s="1"/>
  <c r="BD9" i="10" s="1"/>
  <c r="BE9" i="10" s="1"/>
  <c r="BF9" i="10" s="1"/>
  <c r="AZ10" i="10" s="1"/>
  <c r="BA10" i="10" s="1"/>
  <c r="BB10" i="10" s="1"/>
  <c r="BC10" i="10" s="1"/>
  <c r="BD10" i="10" s="1"/>
  <c r="BE10" i="10" s="1"/>
  <c r="BF10" i="10" s="1"/>
  <c r="AZ11" i="10" s="1"/>
  <c r="BA11" i="10" s="1"/>
  <c r="BB11" i="10" s="1"/>
  <c r="BC11" i="10" s="1"/>
  <c r="BD11" i="10" s="1"/>
  <c r="BE11" i="10" s="1"/>
  <c r="BF11" i="10" s="1"/>
  <c r="AZ12" i="10" s="1"/>
  <c r="BA12" i="10" s="1"/>
  <c r="BB12" i="10" s="1"/>
  <c r="AE53" i="13"/>
  <c r="AE456" i="13"/>
  <c r="AD312" i="13"/>
  <c r="AD196" i="13"/>
  <c r="AD88" i="13"/>
  <c r="AD70" i="13"/>
  <c r="AE376" i="13"/>
  <c r="AD360" i="13"/>
  <c r="AD344" i="13"/>
  <c r="AD280" i="13"/>
  <c r="AD232" i="13"/>
  <c r="AD164" i="13"/>
  <c r="AD148" i="13"/>
  <c r="AD108" i="13"/>
  <c r="AD78" i="13"/>
  <c r="AD62" i="13"/>
  <c r="AE464" i="13"/>
  <c r="AE432" i="13"/>
  <c r="AE400" i="13"/>
  <c r="AE368" i="13"/>
  <c r="AD336" i="13"/>
  <c r="AD304" i="13"/>
  <c r="AD272" i="13"/>
  <c r="AD240" i="13"/>
  <c r="AD204" i="13"/>
  <c r="AD172" i="13"/>
  <c r="AD140" i="13"/>
  <c r="AD116" i="13"/>
  <c r="AD92" i="13"/>
  <c r="AD80" i="13"/>
  <c r="AD72" i="13"/>
  <c r="AD64" i="13"/>
  <c r="AE480" i="13"/>
  <c r="AE448" i="13"/>
  <c r="AE416" i="13"/>
  <c r="AE384" i="13"/>
  <c r="AD352" i="13"/>
  <c r="AD320" i="13"/>
  <c r="AD288" i="13"/>
  <c r="AD256" i="13"/>
  <c r="AD224" i="13"/>
  <c r="AD188" i="13"/>
  <c r="AD156" i="13"/>
  <c r="AE100" i="13"/>
  <c r="AD86" i="13"/>
  <c r="AD76" i="13"/>
  <c r="AD68" i="13"/>
  <c r="AD60" i="13"/>
  <c r="AE476" i="13"/>
  <c r="AE460" i="13"/>
  <c r="AE444" i="13"/>
  <c r="AE428" i="13"/>
  <c r="AE412" i="13"/>
  <c r="AE396" i="13"/>
  <c r="AE380" i="13"/>
  <c r="AE364" i="13"/>
  <c r="AD348" i="13"/>
  <c r="AD332" i="13"/>
  <c r="AD316" i="13"/>
  <c r="AD300" i="13"/>
  <c r="AD284" i="13"/>
  <c r="AD268" i="13"/>
  <c r="AD252" i="13"/>
  <c r="AD236" i="13"/>
  <c r="AD220" i="13"/>
  <c r="AD200" i="13"/>
  <c r="AD184" i="13"/>
  <c r="AD168" i="13"/>
  <c r="AD152" i="13"/>
  <c r="AD136" i="13"/>
  <c r="AD120" i="13"/>
  <c r="AE104" i="13"/>
  <c r="AD101" i="13"/>
  <c r="AD94" i="13"/>
  <c r="AD87" i="13"/>
  <c r="AD81" i="13"/>
  <c r="AD77" i="13"/>
  <c r="AD73" i="13"/>
  <c r="AD69" i="13"/>
  <c r="AD65" i="13"/>
  <c r="AE64" i="13"/>
  <c r="AD61" i="13"/>
  <c r="AE484" i="13"/>
  <c r="AE468" i="13"/>
  <c r="AE452" i="13"/>
  <c r="AE436" i="13"/>
  <c r="AE420" i="13"/>
  <c r="AE404" i="13"/>
  <c r="AE388" i="13"/>
  <c r="AE372" i="13"/>
  <c r="AD356" i="13"/>
  <c r="AD340" i="13"/>
  <c r="AD324" i="13"/>
  <c r="AD308" i="13"/>
  <c r="AD292" i="13"/>
  <c r="AD276" i="13"/>
  <c r="AD260" i="13"/>
  <c r="AD244" i="13"/>
  <c r="AD228" i="13"/>
  <c r="AD212" i="13"/>
  <c r="AD208" i="13"/>
  <c r="AD192" i="13"/>
  <c r="AD176" i="13"/>
  <c r="AD160" i="13"/>
  <c r="AD144" i="13"/>
  <c r="AD128" i="13"/>
  <c r="AD112" i="13"/>
  <c r="AE98" i="13"/>
  <c r="AD90" i="13"/>
  <c r="AD84" i="13"/>
  <c r="AD79" i="13"/>
  <c r="AD75" i="13"/>
  <c r="AD71" i="13"/>
  <c r="AE67" i="13"/>
  <c r="AD63" i="13"/>
  <c r="AD59" i="13"/>
  <c r="AE482" i="13"/>
  <c r="AE474" i="13"/>
  <c r="AE466" i="13"/>
  <c r="AE458" i="13"/>
  <c r="AE450" i="13"/>
  <c r="AE442" i="13"/>
  <c r="AE434" i="13"/>
  <c r="AE426" i="13"/>
  <c r="AE418" i="13"/>
  <c r="AE410" i="13"/>
  <c r="AE402" i="13"/>
  <c r="AE394" i="13"/>
  <c r="AE386" i="13"/>
  <c r="AE378" i="13"/>
  <c r="AE370" i="13"/>
  <c r="AD362" i="13"/>
  <c r="AD354" i="13"/>
  <c r="AD346" i="13"/>
  <c r="AD338" i="13"/>
  <c r="AD330" i="13"/>
  <c r="AD322" i="13"/>
  <c r="AD314" i="13"/>
  <c r="AD306" i="13"/>
  <c r="AD298" i="13"/>
  <c r="AD290" i="13"/>
  <c r="AD282" i="13"/>
  <c r="AD274" i="13"/>
  <c r="AD266" i="13"/>
  <c r="AD258" i="13"/>
  <c r="AD250" i="13"/>
  <c r="AD242" i="13"/>
  <c r="AD234" i="13"/>
  <c r="AD226" i="13"/>
  <c r="AD218" i="13"/>
  <c r="AD210" i="13"/>
  <c r="AD202" i="13"/>
  <c r="AD194" i="13"/>
  <c r="AD186" i="13"/>
  <c r="AD178" i="13"/>
  <c r="AD170" i="13"/>
  <c r="AD162" i="13"/>
  <c r="AD154" i="13"/>
  <c r="AD146" i="13"/>
  <c r="AD138" i="13"/>
  <c r="AD130" i="13"/>
  <c r="AD122" i="13"/>
  <c r="AD114" i="13"/>
  <c r="AE106" i="13"/>
  <c r="AD95" i="13"/>
  <c r="AD91" i="13"/>
  <c r="AD85" i="13"/>
  <c r="AE486" i="13"/>
  <c r="AE478" i="13"/>
  <c r="AE470" i="13"/>
  <c r="AE462" i="13"/>
  <c r="AE454" i="13"/>
  <c r="AE446" i="13"/>
  <c r="AE438" i="13"/>
  <c r="AE430" i="13"/>
  <c r="AE422" i="13"/>
  <c r="AE414" i="13"/>
  <c r="AE406" i="13"/>
  <c r="AE398" i="13"/>
  <c r="AE390" i="13"/>
  <c r="AE382" i="13"/>
  <c r="AE374" i="13"/>
  <c r="AE366" i="13"/>
  <c r="AD358" i="13"/>
  <c r="AD350" i="13"/>
  <c r="AD342" i="13"/>
  <c r="AD334" i="13"/>
  <c r="AD326" i="13"/>
  <c r="AD318" i="13"/>
  <c r="AD310" i="13"/>
  <c r="AD302" i="13"/>
  <c r="AD294" i="13"/>
  <c r="AD286" i="13"/>
  <c r="AD278" i="13"/>
  <c r="AD270" i="13"/>
  <c r="AD262" i="13"/>
  <c r="AD254" i="13"/>
  <c r="AD246" i="13"/>
  <c r="AD238" i="13"/>
  <c r="AD230" i="13"/>
  <c r="AD222" i="13"/>
  <c r="AD214" i="13"/>
  <c r="AD206" i="13"/>
  <c r="AD198" i="13"/>
  <c r="AD190" i="13"/>
  <c r="AD182" i="13"/>
  <c r="AD174" i="13"/>
  <c r="AD166" i="13"/>
  <c r="AD158" i="13"/>
  <c r="AD150" i="13"/>
  <c r="AD142" i="13"/>
  <c r="AD134" i="13"/>
  <c r="AD126" i="13"/>
  <c r="AD118" i="13"/>
  <c r="AD110" i="13"/>
  <c r="AE102" i="13"/>
  <c r="AD93" i="13"/>
  <c r="AD89" i="13"/>
  <c r="AE393" i="13"/>
  <c r="AE389" i="13"/>
  <c r="AE385" i="13"/>
  <c r="AE381" i="13"/>
  <c r="AD341" i="13"/>
  <c r="AD337" i="13"/>
  <c r="AD333" i="13"/>
  <c r="AD329" i="13"/>
  <c r="AD325" i="13"/>
  <c r="AD321" i="13"/>
  <c r="AD317" i="13"/>
  <c r="AD313" i="13"/>
  <c r="AD309" i="13"/>
  <c r="AD305" i="13"/>
  <c r="AD301" i="13"/>
  <c r="AD297" i="13"/>
  <c r="AD293" i="13"/>
  <c r="AD289" i="13"/>
  <c r="AD285" i="13"/>
  <c r="AD281" i="13"/>
  <c r="AD277" i="13"/>
  <c r="AD273" i="13"/>
  <c r="AD269" i="13"/>
  <c r="AD265" i="13"/>
  <c r="AD261" i="13"/>
  <c r="AD257" i="13"/>
  <c r="AD253" i="13"/>
  <c r="AD249" i="13"/>
  <c r="AD245" i="13"/>
  <c r="AD241" i="13"/>
  <c r="AD237" i="13"/>
  <c r="AD233" i="13"/>
  <c r="AD229" i="13"/>
  <c r="AD225" i="13"/>
  <c r="AD221" i="13"/>
  <c r="AD217" i="13"/>
  <c r="AD213" i="13"/>
  <c r="AD209" i="13"/>
  <c r="AD205" i="13"/>
  <c r="AD201" i="13"/>
  <c r="AD197" i="13"/>
  <c r="AD193" i="13"/>
  <c r="AD189" i="13"/>
  <c r="AD185" i="13"/>
  <c r="AD181" i="13"/>
  <c r="AD177" i="13"/>
  <c r="AD173" i="13"/>
  <c r="AD169" i="13"/>
  <c r="AD165" i="13"/>
  <c r="AD161" i="13"/>
  <c r="AD157" i="13"/>
  <c r="AD153" i="13"/>
  <c r="AD149" i="13"/>
  <c r="AD145" i="13"/>
  <c r="AD141" i="13"/>
  <c r="AD137" i="13"/>
  <c r="AD133" i="13"/>
  <c r="AD129" i="13"/>
  <c r="AD125" i="13"/>
  <c r="AD121" i="13"/>
  <c r="AD117" i="13"/>
  <c r="AD113" i="13"/>
  <c r="AD109" i="13"/>
  <c r="AE101" i="13"/>
  <c r="AD99" i="13"/>
  <c r="AD97" i="13"/>
  <c r="AE94" i="13"/>
  <c r="AE92" i="13"/>
  <c r="AE90" i="13"/>
  <c r="AE88" i="13"/>
  <c r="AE86" i="13"/>
  <c r="AE84" i="13"/>
  <c r="AE82" i="13"/>
  <c r="AE80" i="13"/>
  <c r="AE78" i="13"/>
  <c r="AE76" i="13"/>
  <c r="AE74" i="13"/>
  <c r="AE72" i="13"/>
  <c r="AE70" i="13"/>
  <c r="AE68" i="13"/>
  <c r="AE65" i="13"/>
  <c r="AE63" i="13"/>
  <c r="AE61" i="13"/>
  <c r="AE59" i="13"/>
  <c r="AC59" i="13" s="1"/>
  <c r="AE395" i="13"/>
  <c r="AE391" i="13"/>
  <c r="AE387" i="13"/>
  <c r="AE383" i="13"/>
  <c r="AD343" i="13"/>
  <c r="AD339" i="13"/>
  <c r="AD335" i="13"/>
  <c r="AD331" i="13"/>
  <c r="AD327" i="13"/>
  <c r="AD323" i="13"/>
  <c r="AD319" i="13"/>
  <c r="AD315" i="13"/>
  <c r="AD311" i="13"/>
  <c r="AD307" i="13"/>
  <c r="AD303" i="13"/>
  <c r="AD299" i="13"/>
  <c r="AD295" i="13"/>
  <c r="AD291" i="13"/>
  <c r="AD287" i="13"/>
  <c r="AD283" i="13"/>
  <c r="AD279" i="13"/>
  <c r="AD275" i="13"/>
  <c r="AD271" i="13"/>
  <c r="AD267" i="13"/>
  <c r="AD263" i="13"/>
  <c r="AD259" i="13"/>
  <c r="AD255" i="13"/>
  <c r="AD251" i="13"/>
  <c r="AD247" i="13"/>
  <c r="AD243" i="13"/>
  <c r="AD239" i="13"/>
  <c r="AD235" i="13"/>
  <c r="AD231" i="13"/>
  <c r="AD227" i="13"/>
  <c r="AD223" i="13"/>
  <c r="AD219" i="13"/>
  <c r="AD215" i="13"/>
  <c r="AD211" i="13"/>
  <c r="AD207" i="13"/>
  <c r="AD203" i="13"/>
  <c r="AD199" i="13"/>
  <c r="AD195" i="13"/>
  <c r="AD191" i="13"/>
  <c r="AD187" i="13"/>
  <c r="AD183" i="13"/>
  <c r="AD179" i="13"/>
  <c r="AD175" i="13"/>
  <c r="AD171" i="13"/>
  <c r="AD167" i="13"/>
  <c r="AD163" i="13"/>
  <c r="AD159" i="13"/>
  <c r="AD155" i="13"/>
  <c r="AD151" i="13"/>
  <c r="AD147" i="13"/>
  <c r="AD143" i="13"/>
  <c r="AD139" i="13"/>
  <c r="AD135" i="13"/>
  <c r="AD131" i="13"/>
  <c r="AD127" i="13"/>
  <c r="AD123" i="13"/>
  <c r="AD119" i="13"/>
  <c r="AD115" i="13"/>
  <c r="AD111" i="13"/>
  <c r="AD100" i="13"/>
  <c r="AE99" i="13"/>
  <c r="AD98" i="13"/>
  <c r="AE97" i="13"/>
  <c r="AE93" i="13"/>
  <c r="AE91" i="13"/>
  <c r="AE89" i="13"/>
  <c r="AE87" i="13"/>
  <c r="AE85" i="13"/>
  <c r="AE83" i="13"/>
  <c r="AC83" i="13" s="1"/>
  <c r="AE81" i="13"/>
  <c r="AE79" i="13"/>
  <c r="AE77" i="13"/>
  <c r="AE75" i="13"/>
  <c r="AC75" i="13" s="1"/>
  <c r="AE73" i="13"/>
  <c r="AE71" i="13"/>
  <c r="AE69" i="13"/>
  <c r="AC69" i="13" s="1"/>
  <c r="AE66" i="13"/>
  <c r="AE62" i="13"/>
  <c r="AE60" i="13"/>
  <c r="AC60" i="13" s="1"/>
  <c r="AD377" i="13"/>
  <c r="AE377" i="13"/>
  <c r="AD373" i="13"/>
  <c r="AE373" i="13"/>
  <c r="AD369" i="13"/>
  <c r="AE369" i="13"/>
  <c r="AD365" i="13"/>
  <c r="AE365" i="13"/>
  <c r="AD53" i="13"/>
  <c r="AC53" i="13" s="1"/>
  <c r="AD487" i="13"/>
  <c r="AD485" i="13"/>
  <c r="AD483" i="13"/>
  <c r="AD481" i="13"/>
  <c r="AD479" i="13"/>
  <c r="AD477" i="13"/>
  <c r="AD475" i="13"/>
  <c r="AD473" i="13"/>
  <c r="AD471" i="13"/>
  <c r="AD469" i="13"/>
  <c r="AD467" i="13"/>
  <c r="AD465" i="13"/>
  <c r="AD463" i="13"/>
  <c r="AD461" i="13"/>
  <c r="AD459" i="13"/>
  <c r="AD457" i="13"/>
  <c r="AD455" i="13"/>
  <c r="AD453" i="13"/>
  <c r="AD451" i="13"/>
  <c r="AD449" i="13"/>
  <c r="AD447" i="13"/>
  <c r="AD445" i="13"/>
  <c r="AD443" i="13"/>
  <c r="AD441" i="13"/>
  <c r="AD439" i="13"/>
  <c r="AD437" i="13"/>
  <c r="AD435" i="13"/>
  <c r="AD433" i="13"/>
  <c r="AD431" i="13"/>
  <c r="AD429" i="13"/>
  <c r="AD427" i="13"/>
  <c r="AD425" i="13"/>
  <c r="AD423" i="13"/>
  <c r="AD421" i="13"/>
  <c r="AD419" i="13"/>
  <c r="AD417" i="13"/>
  <c r="AD415" i="13"/>
  <c r="AD413" i="13"/>
  <c r="AD411" i="13"/>
  <c r="AD409" i="13"/>
  <c r="AD407" i="13"/>
  <c r="AD405" i="13"/>
  <c r="AD403" i="13"/>
  <c r="AD401" i="13"/>
  <c r="AD399" i="13"/>
  <c r="AD397" i="13"/>
  <c r="AD395" i="13"/>
  <c r="AC395" i="13" s="1"/>
  <c r="AD393" i="13"/>
  <c r="AD391" i="13"/>
  <c r="AD389" i="13"/>
  <c r="AD387" i="13"/>
  <c r="AC387" i="13" s="1"/>
  <c r="AD385" i="13"/>
  <c r="AD383" i="13"/>
  <c r="AD381" i="13"/>
  <c r="AD361" i="13"/>
  <c r="AD357" i="13"/>
  <c r="AD353" i="13"/>
  <c r="AD349" i="13"/>
  <c r="AD345" i="13"/>
  <c r="AD379" i="13"/>
  <c r="AE379" i="13"/>
  <c r="AD375" i="13"/>
  <c r="AE375" i="13"/>
  <c r="AD371" i="13"/>
  <c r="AE371" i="13"/>
  <c r="AD367" i="13"/>
  <c r="AE367" i="13"/>
  <c r="AD488" i="13"/>
  <c r="AC488" i="13" s="1"/>
  <c r="AE487" i="13"/>
  <c r="AD486" i="13"/>
  <c r="AE485" i="13"/>
  <c r="AD484" i="13"/>
  <c r="AC484" i="13" s="1"/>
  <c r="AE483" i="13"/>
  <c r="AD482" i="13"/>
  <c r="AC482" i="13" s="1"/>
  <c r="AE481" i="13"/>
  <c r="AD480" i="13"/>
  <c r="AC480" i="13" s="1"/>
  <c r="AE479" i="13"/>
  <c r="AD478" i="13"/>
  <c r="AE477" i="13"/>
  <c r="AD476" i="13"/>
  <c r="AC476" i="13" s="1"/>
  <c r="AE475" i="13"/>
  <c r="AD474" i="13"/>
  <c r="AE473" i="13"/>
  <c r="AD472" i="13"/>
  <c r="AE471" i="13"/>
  <c r="AD470" i="13"/>
  <c r="AE469" i="13"/>
  <c r="AD468" i="13"/>
  <c r="AE467" i="13"/>
  <c r="AD466" i="13"/>
  <c r="AE465" i="13"/>
  <c r="AD464" i="13"/>
  <c r="AC464" i="13" s="1"/>
  <c r="AE463" i="13"/>
  <c r="AD462" i="13"/>
  <c r="AE461" i="13"/>
  <c r="AD460" i="13"/>
  <c r="AE459" i="13"/>
  <c r="AD458" i="13"/>
  <c r="AE457" i="13"/>
  <c r="AD456" i="13"/>
  <c r="AE455" i="13"/>
  <c r="AD454" i="13"/>
  <c r="AE453" i="13"/>
  <c r="AD452" i="13"/>
  <c r="AC452" i="13" s="1"/>
  <c r="AE451" i="13"/>
  <c r="AD450" i="13"/>
  <c r="AE449" i="13"/>
  <c r="AD448" i="13"/>
  <c r="AE447" i="13"/>
  <c r="AD446" i="13"/>
  <c r="AE445" i="13"/>
  <c r="AD444" i="13"/>
  <c r="AC444" i="13" s="1"/>
  <c r="AE443" i="13"/>
  <c r="AD442" i="13"/>
  <c r="AE441" i="13"/>
  <c r="AD440" i="13"/>
  <c r="AE439" i="13"/>
  <c r="AD438" i="13"/>
  <c r="AE437" i="13"/>
  <c r="AD436" i="13"/>
  <c r="AE435" i="13"/>
  <c r="AD434" i="13"/>
  <c r="AE433" i="13"/>
  <c r="AD432" i="13"/>
  <c r="AE431" i="13"/>
  <c r="AD430" i="13"/>
  <c r="AE429" i="13"/>
  <c r="AD428" i="13"/>
  <c r="AE427" i="13"/>
  <c r="AD426" i="13"/>
  <c r="AE425" i="13"/>
  <c r="AD424" i="13"/>
  <c r="AC424" i="13" s="1"/>
  <c r="AE423" i="13"/>
  <c r="AD422" i="13"/>
  <c r="AE421" i="13"/>
  <c r="AD420" i="13"/>
  <c r="AC420" i="13" s="1"/>
  <c r="AE419" i="13"/>
  <c r="AD418" i="13"/>
  <c r="AE417" i="13"/>
  <c r="AD416" i="13"/>
  <c r="AC416" i="13" s="1"/>
  <c r="AE415" i="13"/>
  <c r="AD414" i="13"/>
  <c r="AC414" i="13" s="1"/>
  <c r="AE413" i="13"/>
  <c r="AD412" i="13"/>
  <c r="AC412" i="13" s="1"/>
  <c r="AE411" i="13"/>
  <c r="AD410" i="13"/>
  <c r="AE409" i="13"/>
  <c r="AD408" i="13"/>
  <c r="AE407" i="13"/>
  <c r="AD406" i="13"/>
  <c r="AE405" i="13"/>
  <c r="AD404" i="13"/>
  <c r="AE403" i="13"/>
  <c r="AD402" i="13"/>
  <c r="AE401" i="13"/>
  <c r="AD400" i="13"/>
  <c r="AC400" i="13" s="1"/>
  <c r="AE399" i="13"/>
  <c r="AD398" i="13"/>
  <c r="AE397" i="13"/>
  <c r="AD396" i="13"/>
  <c r="AD394" i="13"/>
  <c r="AC394" i="13" s="1"/>
  <c r="AD392" i="13"/>
  <c r="AD390" i="13"/>
  <c r="AC390" i="13" s="1"/>
  <c r="AD388" i="13"/>
  <c r="AC388" i="13" s="1"/>
  <c r="AD386" i="13"/>
  <c r="AD384" i="13"/>
  <c r="AD382" i="13"/>
  <c r="AD363" i="13"/>
  <c r="AD359" i="13"/>
  <c r="AD355" i="13"/>
  <c r="AD351" i="13"/>
  <c r="AD347" i="13"/>
  <c r="AE302" i="13"/>
  <c r="AE300" i="13"/>
  <c r="AE298" i="13"/>
  <c r="AE296" i="13"/>
  <c r="AE294" i="13"/>
  <c r="AC294" i="13" s="1"/>
  <c r="AE292" i="13"/>
  <c r="AE290" i="13"/>
  <c r="AE288" i="13"/>
  <c r="AC288" i="13" s="1"/>
  <c r="AE286" i="13"/>
  <c r="AE284" i="13"/>
  <c r="AE282" i="13"/>
  <c r="AE280" i="13"/>
  <c r="AE278" i="13"/>
  <c r="AE276" i="13"/>
  <c r="AE274" i="13"/>
  <c r="AE272" i="13"/>
  <c r="AC272" i="13" s="1"/>
  <c r="AE270" i="13"/>
  <c r="AE268" i="13"/>
  <c r="AE266" i="13"/>
  <c r="AC266" i="13" s="1"/>
  <c r="AE264" i="13"/>
  <c r="AE262" i="13"/>
  <c r="AC262" i="13" s="1"/>
  <c r="AE260" i="13"/>
  <c r="AC260" i="13" s="1"/>
  <c r="AE258" i="13"/>
  <c r="AE256" i="13"/>
  <c r="AE254" i="13"/>
  <c r="AE252" i="13"/>
  <c r="AE250" i="13"/>
  <c r="AE248" i="13"/>
  <c r="AC248" i="13" s="1"/>
  <c r="AE246" i="13"/>
  <c r="AE244" i="13"/>
  <c r="AE242" i="13"/>
  <c r="AE240" i="13"/>
  <c r="AE238" i="13"/>
  <c r="AE236" i="13"/>
  <c r="AE234" i="13"/>
  <c r="AC234" i="13" s="1"/>
  <c r="AE232" i="13"/>
  <c r="AE230" i="13"/>
  <c r="AC230" i="13" s="1"/>
  <c r="AE228" i="13"/>
  <c r="AE226" i="13"/>
  <c r="AE224" i="13"/>
  <c r="AC224" i="13" s="1"/>
  <c r="AE222" i="13"/>
  <c r="AE220" i="13"/>
  <c r="AC220" i="13" s="1"/>
  <c r="AE218" i="13"/>
  <c r="AE216" i="13"/>
  <c r="AE214" i="13"/>
  <c r="AE212" i="13"/>
  <c r="AE210" i="13"/>
  <c r="AE208" i="13"/>
  <c r="AC208" i="13" s="1"/>
  <c r="AE206" i="13"/>
  <c r="AE204" i="13"/>
  <c r="AE202" i="13"/>
  <c r="AC202" i="13" s="1"/>
  <c r="AE200" i="13"/>
  <c r="AE198" i="13"/>
  <c r="AE196" i="13"/>
  <c r="AE194" i="13"/>
  <c r="AE192" i="13"/>
  <c r="AE190" i="13"/>
  <c r="AE188" i="13"/>
  <c r="AE186" i="13"/>
  <c r="AE184" i="13"/>
  <c r="AC184" i="13" s="1"/>
  <c r="AE182" i="13"/>
  <c r="AE180" i="13"/>
  <c r="AE178" i="13"/>
  <c r="AE176" i="13"/>
  <c r="AC176" i="13" s="1"/>
  <c r="AE174" i="13"/>
  <c r="AE172" i="13"/>
  <c r="AE170" i="13"/>
  <c r="AE168" i="13"/>
  <c r="AE166" i="13"/>
  <c r="AC166" i="13" s="1"/>
  <c r="AE164" i="13"/>
  <c r="AE162" i="13"/>
  <c r="AE160" i="13"/>
  <c r="AE158" i="13"/>
  <c r="AE156" i="13"/>
  <c r="AE154" i="13"/>
  <c r="AE152" i="13"/>
  <c r="AC152" i="13" s="1"/>
  <c r="AE150" i="13"/>
  <c r="AE148" i="13"/>
  <c r="AE146" i="13"/>
  <c r="AE144" i="13"/>
  <c r="AE142" i="13"/>
  <c r="AE140" i="13"/>
  <c r="AE138" i="13"/>
  <c r="AC138" i="13" s="1"/>
  <c r="AE136" i="13"/>
  <c r="AE134" i="13"/>
  <c r="AC134" i="13" s="1"/>
  <c r="AE132" i="13"/>
  <c r="AE130" i="13"/>
  <c r="AE128" i="13"/>
  <c r="AE126" i="13"/>
  <c r="AE124" i="13"/>
  <c r="AE122" i="13"/>
  <c r="AE120" i="13"/>
  <c r="AC120" i="13" s="1"/>
  <c r="AE118" i="13"/>
  <c r="AE116" i="13"/>
  <c r="AE114" i="13"/>
  <c r="AE112" i="13"/>
  <c r="AE110" i="13"/>
  <c r="AE108" i="13"/>
  <c r="AD107" i="13"/>
  <c r="AD105" i="13"/>
  <c r="AD103" i="13"/>
  <c r="AE96" i="13"/>
  <c r="AD380" i="13"/>
  <c r="AD378" i="13"/>
  <c r="AD376" i="13"/>
  <c r="AD374" i="13"/>
  <c r="AD372" i="13"/>
  <c r="AD370" i="13"/>
  <c r="AC370" i="13" s="1"/>
  <c r="AD368" i="13"/>
  <c r="AC368" i="13" s="1"/>
  <c r="AD366" i="13"/>
  <c r="AD364" i="13"/>
  <c r="AC364" i="13" s="1"/>
  <c r="AE301" i="13"/>
  <c r="AE299" i="13"/>
  <c r="AE297" i="13"/>
  <c r="AE295" i="13"/>
  <c r="AE293" i="13"/>
  <c r="AE291" i="13"/>
  <c r="AE289" i="13"/>
  <c r="AE287" i="13"/>
  <c r="AE285" i="13"/>
  <c r="AC285" i="13" s="1"/>
  <c r="AE283" i="13"/>
  <c r="AE281" i="13"/>
  <c r="AE279" i="13"/>
  <c r="AE277" i="13"/>
  <c r="AC277" i="13" s="1"/>
  <c r="AE275" i="13"/>
  <c r="AE273" i="13"/>
  <c r="AE271" i="13"/>
  <c r="AE269" i="13"/>
  <c r="AC269" i="13" s="1"/>
  <c r="AE267" i="13"/>
  <c r="AE265" i="13"/>
  <c r="AE263" i="13"/>
  <c r="AE261" i="13"/>
  <c r="AC261" i="13" s="1"/>
  <c r="AE259" i="13"/>
  <c r="AE257" i="13"/>
  <c r="AE255" i="13"/>
  <c r="AE253" i="13"/>
  <c r="AC253" i="13" s="1"/>
  <c r="AE251" i="13"/>
  <c r="AE249" i="13"/>
  <c r="AE247" i="13"/>
  <c r="AE245" i="13"/>
  <c r="AC245" i="13" s="1"/>
  <c r="AE243" i="13"/>
  <c r="AE241" i="13"/>
  <c r="AE239" i="13"/>
  <c r="AE237" i="13"/>
  <c r="AE235" i="13"/>
  <c r="AE233" i="13"/>
  <c r="AE231" i="13"/>
  <c r="AE229" i="13"/>
  <c r="AE227" i="13"/>
  <c r="AE225" i="13"/>
  <c r="AE223" i="13"/>
  <c r="AE221" i="13"/>
  <c r="AC221" i="13" s="1"/>
  <c r="AE219" i="13"/>
  <c r="AE217" i="13"/>
  <c r="AE215" i="13"/>
  <c r="AE213" i="13"/>
  <c r="AC213" i="13" s="1"/>
  <c r="AE211" i="13"/>
  <c r="AE209" i="13"/>
  <c r="AE207" i="13"/>
  <c r="AE205" i="13"/>
  <c r="AC205" i="13" s="1"/>
  <c r="AE203" i="13"/>
  <c r="AE201" i="13"/>
  <c r="AE199" i="13"/>
  <c r="AE197" i="13"/>
  <c r="AC197" i="13" s="1"/>
  <c r="AE195" i="13"/>
  <c r="AE193" i="13"/>
  <c r="AE191" i="13"/>
  <c r="AE189" i="13"/>
  <c r="AC189" i="13" s="1"/>
  <c r="AE187" i="13"/>
  <c r="AE185" i="13"/>
  <c r="AE183" i="13"/>
  <c r="AE181" i="13"/>
  <c r="AC181" i="13" s="1"/>
  <c r="AE179" i="13"/>
  <c r="AE177" i="13"/>
  <c r="AE175" i="13"/>
  <c r="AE173" i="13"/>
  <c r="AE171" i="13"/>
  <c r="AE169" i="13"/>
  <c r="AE167" i="13"/>
  <c r="AE165" i="13"/>
  <c r="AE163" i="13"/>
  <c r="AE161" i="13"/>
  <c r="AE159" i="13"/>
  <c r="AE157" i="13"/>
  <c r="AC157" i="13" s="1"/>
  <c r="AE155" i="13"/>
  <c r="AE153" i="13"/>
  <c r="AE151" i="13"/>
  <c r="AE149" i="13"/>
  <c r="AC149" i="13" s="1"/>
  <c r="AE147" i="13"/>
  <c r="AE145" i="13"/>
  <c r="AE143" i="13"/>
  <c r="AE141" i="13"/>
  <c r="AC141" i="13" s="1"/>
  <c r="AE139" i="13"/>
  <c r="AE137" i="13"/>
  <c r="AE135" i="13"/>
  <c r="AE133" i="13"/>
  <c r="AC133" i="13" s="1"/>
  <c r="AE131" i="13"/>
  <c r="AE129" i="13"/>
  <c r="AE127" i="13"/>
  <c r="AE125" i="13"/>
  <c r="AC125" i="13" s="1"/>
  <c r="AE123" i="13"/>
  <c r="AE121" i="13"/>
  <c r="AE119" i="13"/>
  <c r="AE117" i="13"/>
  <c r="AC117" i="13" s="1"/>
  <c r="AE115" i="13"/>
  <c r="AE113" i="13"/>
  <c r="AE111" i="13"/>
  <c r="AE109" i="13"/>
  <c r="AE107" i="13"/>
  <c r="AD106" i="13"/>
  <c r="AE105" i="13"/>
  <c r="AD104" i="13"/>
  <c r="AE103" i="13"/>
  <c r="AD102" i="13"/>
  <c r="AE95" i="13"/>
  <c r="AE58" i="13"/>
  <c r="AE362" i="13"/>
  <c r="AC362" i="13" s="1"/>
  <c r="AE360" i="13"/>
  <c r="AE358" i="13"/>
  <c r="AE356" i="13"/>
  <c r="AE354" i="13"/>
  <c r="AE352" i="13"/>
  <c r="AC352" i="13" s="1"/>
  <c r="AE350" i="13"/>
  <c r="AE348" i="13"/>
  <c r="AE346" i="13"/>
  <c r="AE344" i="13"/>
  <c r="AE342" i="13"/>
  <c r="AE340" i="13"/>
  <c r="AE338" i="13"/>
  <c r="AE336" i="13"/>
  <c r="AC336" i="13" s="1"/>
  <c r="AE334" i="13"/>
  <c r="AE332" i="13"/>
  <c r="AE330" i="13"/>
  <c r="AE328" i="13"/>
  <c r="AE326" i="13"/>
  <c r="AE324" i="13"/>
  <c r="AE322" i="13"/>
  <c r="AE320" i="13"/>
  <c r="AE318" i="13"/>
  <c r="AE316" i="13"/>
  <c r="AE314" i="13"/>
  <c r="AE312" i="13"/>
  <c r="AE310" i="13"/>
  <c r="AE308" i="13"/>
  <c r="AE306" i="13"/>
  <c r="AE304" i="13"/>
  <c r="AE363" i="13"/>
  <c r="AE361" i="13"/>
  <c r="AE359" i="13"/>
  <c r="AE357" i="13"/>
  <c r="AE355" i="13"/>
  <c r="AE353" i="13"/>
  <c r="AE351" i="13"/>
  <c r="AE349" i="13"/>
  <c r="AE347" i="13"/>
  <c r="AE345" i="13"/>
  <c r="AE343" i="13"/>
  <c r="AE341" i="13"/>
  <c r="AE339" i="13"/>
  <c r="AE337" i="13"/>
  <c r="AE335" i="13"/>
  <c r="AE333" i="13"/>
  <c r="AC333" i="13" s="1"/>
  <c r="AE331" i="13"/>
  <c r="AE329" i="13"/>
  <c r="AE327" i="13"/>
  <c r="AE325" i="13"/>
  <c r="AE323" i="13"/>
  <c r="AE321" i="13"/>
  <c r="AE319" i="13"/>
  <c r="AE317" i="13"/>
  <c r="AC317" i="13" s="1"/>
  <c r="AE315" i="13"/>
  <c r="AE313" i="13"/>
  <c r="AE311" i="13"/>
  <c r="AE309" i="13"/>
  <c r="AE307" i="13"/>
  <c r="AE305" i="13"/>
  <c r="AE303" i="13"/>
  <c r="J34" i="10"/>
  <c r="L4" i="10"/>
  <c r="L34" i="10"/>
  <c r="J4" i="10"/>
  <c r="G48" i="10"/>
  <c r="H48" i="10"/>
  <c r="I48" i="10"/>
  <c r="J48" i="10"/>
  <c r="K48" i="10"/>
  <c r="L48" i="10"/>
  <c r="G49" i="10"/>
  <c r="H49" i="10"/>
  <c r="I49" i="10"/>
  <c r="J49" i="10"/>
  <c r="K49" i="10"/>
  <c r="L49" i="10"/>
  <c r="AC96" i="13" l="1"/>
  <c r="AC293" i="13"/>
  <c r="AC232" i="13"/>
  <c r="AC165" i="13"/>
  <c r="AC344" i="13"/>
  <c r="AC198" i="13"/>
  <c r="AC478" i="13"/>
  <c r="AC316" i="13"/>
  <c r="AC76" i="13"/>
  <c r="AC170" i="13"/>
  <c r="AC446" i="13"/>
  <c r="AC144" i="13"/>
  <c r="AC204" i="13"/>
  <c r="AC237" i="13"/>
  <c r="AC418" i="13"/>
  <c r="AC450" i="13"/>
  <c r="AC298" i="13"/>
  <c r="AC109" i="13"/>
  <c r="AC55" i="13"/>
  <c r="AC173" i="13"/>
  <c r="AC301" i="13"/>
  <c r="AC180" i="13"/>
  <c r="AC356" i="13"/>
  <c r="AC216" i="13"/>
  <c r="AC326" i="13"/>
  <c r="AC358" i="13"/>
  <c r="AC86" i="13"/>
  <c r="AC229" i="13"/>
  <c r="AC112" i="13"/>
  <c r="AC324" i="13"/>
  <c r="AC84" i="13"/>
  <c r="AC284" i="13"/>
  <c r="AC348" i="13"/>
  <c r="AC148" i="13"/>
  <c r="AC330" i="13"/>
  <c r="I12" i="10"/>
  <c r="I11" i="10"/>
  <c r="K12" i="10"/>
  <c r="L11" i="10"/>
  <c r="H11" i="10"/>
  <c r="K11" i="10"/>
  <c r="G11" i="10"/>
  <c r="F11" i="10"/>
  <c r="E11" i="10"/>
  <c r="D11" i="10"/>
  <c r="C11" i="10"/>
  <c r="N11" i="10"/>
  <c r="P11" i="10"/>
  <c r="Q11" i="10"/>
  <c r="O11" i="10"/>
  <c r="M11" i="10"/>
  <c r="G12" i="10"/>
  <c r="F12" i="10"/>
  <c r="D12" i="10"/>
  <c r="C12" i="10"/>
  <c r="E12" i="10"/>
  <c r="Q12" i="10"/>
  <c r="P12" i="10"/>
  <c r="N12" i="10"/>
  <c r="M12" i="10"/>
  <c r="O12" i="10"/>
  <c r="J12" i="10"/>
  <c r="L12" i="10"/>
  <c r="H12" i="10"/>
  <c r="J11" i="10"/>
  <c r="AC310" i="13"/>
  <c r="AC342" i="13"/>
  <c r="AC372" i="13"/>
  <c r="AC122" i="13"/>
  <c r="AC154" i="13"/>
  <c r="AC186" i="13"/>
  <c r="AC218" i="13"/>
  <c r="AC250" i="13"/>
  <c r="AC282" i="13"/>
  <c r="AC314" i="13"/>
  <c r="AC346" i="13"/>
  <c r="AC118" i="13"/>
  <c r="AC74" i="13"/>
  <c r="AC305" i="13"/>
  <c r="AC313" i="13"/>
  <c r="AC321" i="13"/>
  <c r="AC329" i="13"/>
  <c r="AC337" i="13"/>
  <c r="AC304" i="13"/>
  <c r="AC308" i="13"/>
  <c r="AC320" i="13"/>
  <c r="AC328" i="13"/>
  <c r="AC332" i="13"/>
  <c r="AC340" i="13"/>
  <c r="AC360" i="13"/>
  <c r="AC58" i="13"/>
  <c r="AC102" i="13"/>
  <c r="AC104" i="13"/>
  <c r="AC106" i="13"/>
  <c r="AC113" i="13"/>
  <c r="AC121" i="13"/>
  <c r="AC129" i="13"/>
  <c r="AC108" i="13"/>
  <c r="AC132" i="13"/>
  <c r="AC307" i="13"/>
  <c r="AC323" i="13"/>
  <c r="AC339" i="13"/>
  <c r="AC71" i="13"/>
  <c r="AC137" i="13"/>
  <c r="AC145" i="13"/>
  <c r="AC153" i="13"/>
  <c r="AC161" i="13"/>
  <c r="AC169" i="13"/>
  <c r="AC177" i="13"/>
  <c r="AC185" i="13"/>
  <c r="AC193" i="13"/>
  <c r="AC201" i="13"/>
  <c r="AC209" i="13"/>
  <c r="AC217" i="13"/>
  <c r="AC225" i="13"/>
  <c r="AC233" i="13"/>
  <c r="AC241" i="13"/>
  <c r="AC249" i="13"/>
  <c r="AC257" i="13"/>
  <c r="AC265" i="13"/>
  <c r="AC273" i="13"/>
  <c r="AC281" i="13"/>
  <c r="AC289" i="13"/>
  <c r="AC297" i="13"/>
  <c r="AC374" i="13"/>
  <c r="AC378" i="13"/>
  <c r="AC116" i="13"/>
  <c r="AC128" i="13"/>
  <c r="AC136" i="13"/>
  <c r="AC160" i="13"/>
  <c r="AC164" i="13"/>
  <c r="AC168" i="13"/>
  <c r="AC172" i="13"/>
  <c r="AC188" i="13"/>
  <c r="AC192" i="13"/>
  <c r="AC196" i="13"/>
  <c r="AC200" i="13"/>
  <c r="AC212" i="13"/>
  <c r="AC236" i="13"/>
  <c r="AC240" i="13"/>
  <c r="AC244" i="13"/>
  <c r="AC256" i="13"/>
  <c r="AC264" i="13"/>
  <c r="AC268" i="13"/>
  <c r="AC276" i="13"/>
  <c r="AC280" i="13"/>
  <c r="AC296" i="13"/>
  <c r="AC300" i="13"/>
  <c r="AC384" i="13"/>
  <c r="AC396" i="13"/>
  <c r="AC404" i="13"/>
  <c r="AC408" i="13"/>
  <c r="AC410" i="13"/>
  <c r="AC422" i="13"/>
  <c r="AC426" i="13"/>
  <c r="AC428" i="13"/>
  <c r="AC432" i="13"/>
  <c r="AC436" i="13"/>
  <c r="AC440" i="13"/>
  <c r="AC442" i="13"/>
  <c r="AC448" i="13"/>
  <c r="AC454" i="13"/>
  <c r="AC456" i="13"/>
  <c r="AC458" i="13"/>
  <c r="AC460" i="13"/>
  <c r="AC468" i="13"/>
  <c r="AC472" i="13"/>
  <c r="AC474" i="13"/>
  <c r="AC486" i="13"/>
  <c r="AC62" i="13"/>
  <c r="AC73" i="13"/>
  <c r="AC81" i="13"/>
  <c r="AC98" i="13"/>
  <c r="AC100" i="13"/>
  <c r="AC65" i="13"/>
  <c r="AC389" i="13"/>
  <c r="AC306" i="13"/>
  <c r="AC338" i="13"/>
  <c r="AC376" i="13"/>
  <c r="AC309" i="13"/>
  <c r="AC124" i="13"/>
  <c r="AC140" i="13"/>
  <c r="AC156" i="13"/>
  <c r="AC392" i="13"/>
  <c r="AC325" i="13"/>
  <c r="AC341" i="13"/>
  <c r="AC312" i="13"/>
  <c r="AC315" i="13"/>
  <c r="AC331" i="13"/>
  <c r="AC334" i="13"/>
  <c r="AC380" i="13"/>
  <c r="AC123" i="13"/>
  <c r="AC139" i="13"/>
  <c r="AC155" i="13"/>
  <c r="AC171" i="13"/>
  <c r="AC187" i="13"/>
  <c r="AC203" i="13"/>
  <c r="AC219" i="13"/>
  <c r="AC235" i="13"/>
  <c r="AC251" i="13"/>
  <c r="AC267" i="13"/>
  <c r="AC283" i="13"/>
  <c r="AC299" i="13"/>
  <c r="AC66" i="13"/>
  <c r="AC72" i="13"/>
  <c r="AC366" i="13"/>
  <c r="AC228" i="13"/>
  <c r="AC252" i="13"/>
  <c r="AC292" i="13"/>
  <c r="AC398" i="13"/>
  <c r="AC402" i="13"/>
  <c r="AC430" i="13"/>
  <c r="AC434" i="13"/>
  <c r="AC462" i="13"/>
  <c r="AC466" i="13"/>
  <c r="AC78" i="13"/>
  <c r="AC114" i="13"/>
  <c r="AC146" i="13"/>
  <c r="AC178" i="13"/>
  <c r="AC210" i="13"/>
  <c r="AC242" i="13"/>
  <c r="AC274" i="13"/>
  <c r="AC79" i="13"/>
  <c r="AC87" i="13"/>
  <c r="AC68" i="13"/>
  <c r="AC381" i="13"/>
  <c r="V55" i="10"/>
  <c r="V54" i="10"/>
  <c r="AK163" i="10"/>
  <c r="AK162" i="10"/>
  <c r="CI39" i="13"/>
  <c r="AC91" i="13"/>
  <c r="AC70" i="13"/>
  <c r="AC406" i="13"/>
  <c r="AC438" i="13"/>
  <c r="AC470" i="13"/>
  <c r="AC80" i="13"/>
  <c r="AC115" i="13"/>
  <c r="AC131" i="13"/>
  <c r="AC147" i="13"/>
  <c r="AC163" i="13"/>
  <c r="AC179" i="13"/>
  <c r="AC195" i="13"/>
  <c r="AC211" i="13"/>
  <c r="AC227" i="13"/>
  <c r="AC243" i="13"/>
  <c r="AC259" i="13"/>
  <c r="AC275" i="13"/>
  <c r="AC291" i="13"/>
  <c r="AC150" i="13"/>
  <c r="AC182" i="13"/>
  <c r="AC214" i="13"/>
  <c r="AC246" i="13"/>
  <c r="AC278" i="13"/>
  <c r="AC82" i="13"/>
  <c r="AC318" i="13"/>
  <c r="AC350" i="13"/>
  <c r="AC95" i="13"/>
  <c r="AC119" i="13"/>
  <c r="AC135" i="13"/>
  <c r="AC151" i="13"/>
  <c r="AC167" i="13"/>
  <c r="AC183" i="13"/>
  <c r="AC199" i="13"/>
  <c r="AC215" i="13"/>
  <c r="AC231" i="13"/>
  <c r="AC247" i="13"/>
  <c r="AC255" i="13"/>
  <c r="AC263" i="13"/>
  <c r="AC271" i="13"/>
  <c r="AC279" i="13"/>
  <c r="AC287" i="13"/>
  <c r="AC295" i="13"/>
  <c r="AC130" i="13"/>
  <c r="AC162" i="13"/>
  <c r="AC194" i="13"/>
  <c r="AC226" i="13"/>
  <c r="AC258" i="13"/>
  <c r="AC290" i="13"/>
  <c r="AC382" i="13"/>
  <c r="AC63" i="13"/>
  <c r="AC88" i="13"/>
  <c r="AC303" i="13"/>
  <c r="AC311" i="13"/>
  <c r="AC319" i="13"/>
  <c r="AC327" i="13"/>
  <c r="AC335" i="13"/>
  <c r="AC343" i="13"/>
  <c r="AC322" i="13"/>
  <c r="AC354" i="13"/>
  <c r="AC110" i="13"/>
  <c r="AC126" i="13"/>
  <c r="AC142" i="13"/>
  <c r="AC158" i="13"/>
  <c r="AC174" i="13"/>
  <c r="AC190" i="13"/>
  <c r="AC206" i="13"/>
  <c r="AC222" i="13"/>
  <c r="AC238" i="13"/>
  <c r="AC254" i="13"/>
  <c r="AC270" i="13"/>
  <c r="AC286" i="13"/>
  <c r="AC302" i="13"/>
  <c r="AC386" i="13"/>
  <c r="AC385" i="13"/>
  <c r="AC393" i="13"/>
  <c r="AC77" i="13"/>
  <c r="AC85" i="13"/>
  <c r="AC92" i="13"/>
  <c r="AC101" i="13"/>
  <c r="CJ5" i="13"/>
  <c r="E2" i="10"/>
  <c r="AC56" i="13"/>
  <c r="AC61" i="13"/>
  <c r="AC94" i="13"/>
  <c r="AC111" i="13"/>
  <c r="AC127" i="13"/>
  <c r="AC143" i="13"/>
  <c r="AC159" i="13"/>
  <c r="AC175" i="13"/>
  <c r="AC191" i="13"/>
  <c r="AC207" i="13"/>
  <c r="AC223" i="13"/>
  <c r="AC239" i="13"/>
  <c r="CJ37" i="13"/>
  <c r="CJ27" i="13"/>
  <c r="CJ8" i="13"/>
  <c r="AC93" i="13"/>
  <c r="AC67" i="13"/>
  <c r="CJ35" i="13"/>
  <c r="CJ33" i="13"/>
  <c r="CJ10" i="13"/>
  <c r="CJ6" i="13"/>
  <c r="CJ13" i="13"/>
  <c r="CJ29" i="13"/>
  <c r="CJ30" i="13"/>
  <c r="CJ7" i="13"/>
  <c r="CJ17" i="13"/>
  <c r="CJ9" i="13"/>
  <c r="CJ34" i="13"/>
  <c r="CJ36" i="13"/>
  <c r="CJ32" i="13"/>
  <c r="CJ31" i="13"/>
  <c r="CJ11" i="13"/>
  <c r="CJ28" i="13"/>
  <c r="CJ23" i="13"/>
  <c r="CJ25" i="13"/>
  <c r="CJ26" i="13"/>
  <c r="CJ14" i="13"/>
  <c r="AC89" i="13"/>
  <c r="AC64" i="13"/>
  <c r="AC489" i="13"/>
  <c r="AC57" i="13"/>
  <c r="CJ15" i="13"/>
  <c r="CJ22" i="13"/>
  <c r="CJ16" i="13"/>
  <c r="CJ21" i="13"/>
  <c r="CJ18" i="13"/>
  <c r="CJ24" i="13"/>
  <c r="CI38" i="13"/>
  <c r="CJ19" i="13"/>
  <c r="CJ12" i="13"/>
  <c r="CJ20" i="13"/>
  <c r="BQ78" i="13"/>
  <c r="BQ77" i="13"/>
  <c r="BQ75" i="13"/>
  <c r="BQ80" i="13"/>
  <c r="BQ76" i="13"/>
  <c r="AC54" i="13"/>
  <c r="AC383" i="13"/>
  <c r="AC391" i="13"/>
  <c r="AC90" i="13"/>
  <c r="B4" i="10"/>
  <c r="AC97" i="13"/>
  <c r="B34" i="10"/>
  <c r="E4" i="10" s="1"/>
  <c r="AC105" i="13"/>
  <c r="AC365" i="13"/>
  <c r="AC369" i="13"/>
  <c r="AC373" i="13"/>
  <c r="AC377" i="13"/>
  <c r="AC99" i="13"/>
  <c r="AC103" i="13"/>
  <c r="AC107" i="13"/>
  <c r="AC367" i="13"/>
  <c r="AC371" i="13"/>
  <c r="AC375" i="13"/>
  <c r="AC379" i="13"/>
  <c r="AC397" i="13"/>
  <c r="AC401" i="13"/>
  <c r="AC405" i="13"/>
  <c r="AC409" i="13"/>
  <c r="AC413" i="13"/>
  <c r="AC417" i="13"/>
  <c r="AC421" i="13"/>
  <c r="AC425" i="13"/>
  <c r="AC429" i="13"/>
  <c r="AC433" i="13"/>
  <c r="AC437" i="13"/>
  <c r="AC441" i="13"/>
  <c r="AC445" i="13"/>
  <c r="AC449" i="13"/>
  <c r="AC453" i="13"/>
  <c r="AC457" i="13"/>
  <c r="AC461" i="13"/>
  <c r="AC465" i="13"/>
  <c r="AC469" i="13"/>
  <c r="AC473" i="13"/>
  <c r="AC477" i="13"/>
  <c r="AC481" i="13"/>
  <c r="AC485" i="13"/>
  <c r="AC347" i="13"/>
  <c r="AC351" i="13"/>
  <c r="AC355" i="13"/>
  <c r="AC359" i="13"/>
  <c r="AC363" i="13"/>
  <c r="AC345" i="13"/>
  <c r="AC349" i="13"/>
  <c r="AC353" i="13"/>
  <c r="AC357" i="13"/>
  <c r="AC361" i="13"/>
  <c r="AC399" i="13"/>
  <c r="AC403" i="13"/>
  <c r="AC407" i="13"/>
  <c r="AC411" i="13"/>
  <c r="AC415" i="13"/>
  <c r="AC419" i="13"/>
  <c r="AC423" i="13"/>
  <c r="AC427" i="13"/>
  <c r="AC431" i="13"/>
  <c r="AC435" i="13"/>
  <c r="AC439" i="13"/>
  <c r="AC443" i="13"/>
  <c r="AC447" i="13"/>
  <c r="AC451" i="13"/>
  <c r="AC455" i="13"/>
  <c r="AC459" i="13"/>
  <c r="AC463" i="13"/>
  <c r="AC467" i="13"/>
  <c r="AC471" i="13"/>
  <c r="AC475" i="13"/>
  <c r="AC479" i="13"/>
  <c r="AC483" i="13"/>
  <c r="AC487" i="13"/>
  <c r="B2" i="10"/>
  <c r="G47" i="10"/>
  <c r="H47" i="10"/>
  <c r="I47" i="10"/>
  <c r="J47" i="10"/>
  <c r="K47" i="10"/>
  <c r="L47" i="10"/>
  <c r="BP22" i="13"/>
  <c r="BP23" i="13"/>
  <c r="BP13" i="13"/>
  <c r="BP18" i="13"/>
  <c r="BP28" i="13"/>
  <c r="BP26" i="13"/>
  <c r="BP16" i="13"/>
  <c r="BP49" i="13"/>
  <c r="BP35" i="13"/>
  <c r="BP24" i="13"/>
  <c r="BP32" i="13"/>
  <c r="BP15" i="13"/>
  <c r="BP17" i="13"/>
  <c r="BP40" i="13"/>
  <c r="BP36" i="13"/>
  <c r="BP12" i="13"/>
  <c r="BP33" i="13"/>
  <c r="BP30" i="13"/>
  <c r="BP5" i="13"/>
  <c r="BP39" i="13"/>
  <c r="BP48" i="13"/>
  <c r="BP42" i="13"/>
  <c r="BP29" i="13"/>
  <c r="BP27" i="13"/>
  <c r="BP14" i="13"/>
  <c r="BP8" i="13"/>
  <c r="BP47" i="13"/>
  <c r="BP45" i="13"/>
  <c r="BP43" i="13"/>
  <c r="BP19" i="13"/>
  <c r="BP44" i="13"/>
  <c r="BP21" i="13"/>
  <c r="BP11" i="13"/>
  <c r="BP31" i="13"/>
  <c r="BP38" i="13"/>
  <c r="BP9" i="13"/>
  <c r="BP34" i="13"/>
  <c r="BP20" i="13"/>
  <c r="BP7" i="13"/>
  <c r="BP46" i="13"/>
  <c r="BP41" i="13"/>
  <c r="BP10" i="13"/>
  <c r="BP25" i="13"/>
  <c r="BP37" i="13"/>
  <c r="G44" i="10"/>
  <c r="H44" i="10"/>
  <c r="I44" i="10"/>
  <c r="J44" i="10"/>
  <c r="K44" i="10"/>
  <c r="L44" i="10"/>
  <c r="G45" i="10"/>
  <c r="H45" i="10"/>
  <c r="I45" i="10"/>
  <c r="J45" i="10"/>
  <c r="K45" i="10"/>
  <c r="L45" i="10"/>
  <c r="G46" i="10"/>
  <c r="H46" i="10"/>
  <c r="I46" i="10"/>
  <c r="J46" i="10"/>
  <c r="K46" i="10"/>
  <c r="L46" i="10"/>
  <c r="I7" i="10" l="1"/>
  <c r="I8" i="10"/>
  <c r="I9" i="10"/>
  <c r="I10" i="10"/>
  <c r="K9" i="10"/>
  <c r="K7" i="10"/>
  <c r="K109" i="10" s="1"/>
  <c r="L10" i="10"/>
  <c r="J7" i="10"/>
  <c r="G7" i="10"/>
  <c r="F7" i="10"/>
  <c r="F109" i="10" s="1"/>
  <c r="Q7" i="10"/>
  <c r="E7" i="10"/>
  <c r="E109" i="10" s="1"/>
  <c r="D7" i="10"/>
  <c r="D109" i="10" s="1"/>
  <c r="C7" i="10"/>
  <c r="C109" i="10" s="1"/>
  <c r="N7" i="10"/>
  <c r="N109" i="10" s="1"/>
  <c r="M7" i="10"/>
  <c r="M109" i="10" s="1"/>
  <c r="O7" i="10"/>
  <c r="P7" i="10"/>
  <c r="P109" i="10" s="1"/>
  <c r="H10" i="10"/>
  <c r="J9" i="10"/>
  <c r="H8" i="10"/>
  <c r="K8" i="10"/>
  <c r="K110" i="10" s="1"/>
  <c r="G8" i="10"/>
  <c r="E8" i="10"/>
  <c r="D8" i="10"/>
  <c r="C8" i="10"/>
  <c r="F8" i="10"/>
  <c r="O8" i="10"/>
  <c r="Q8" i="10"/>
  <c r="Q110" i="10" s="1"/>
  <c r="M8" i="10"/>
  <c r="M110" i="10" s="1"/>
  <c r="N8" i="10"/>
  <c r="P8" i="10"/>
  <c r="P110" i="10" s="1"/>
  <c r="K10" i="10"/>
  <c r="G10" i="10"/>
  <c r="G112" i="10" s="1"/>
  <c r="C10" i="10"/>
  <c r="F10" i="10"/>
  <c r="F112" i="10" s="1"/>
  <c r="E10" i="10"/>
  <c r="D10" i="10"/>
  <c r="D112" i="10" s="1"/>
  <c r="P10" i="10"/>
  <c r="P112" i="10" s="1"/>
  <c r="O10" i="10"/>
  <c r="Q10" i="10"/>
  <c r="M10" i="10"/>
  <c r="M112" i="10" s="1"/>
  <c r="N10" i="10"/>
  <c r="N112" i="10" s="1"/>
  <c r="G9" i="10"/>
  <c r="G111" i="10" s="1"/>
  <c r="D9" i="10"/>
  <c r="C9" i="10"/>
  <c r="C111" i="10" s="1"/>
  <c r="F9" i="10"/>
  <c r="F111" i="10" s="1"/>
  <c r="E9" i="10"/>
  <c r="E111" i="10" s="1"/>
  <c r="O9" i="10"/>
  <c r="N9" i="10"/>
  <c r="N111" i="10" s="1"/>
  <c r="P9" i="10"/>
  <c r="P111" i="10" s="1"/>
  <c r="Q9" i="10"/>
  <c r="Q111" i="10" s="1"/>
  <c r="M9" i="10"/>
  <c r="L8" i="10"/>
  <c r="L110" i="10" s="1"/>
  <c r="L9" i="10"/>
  <c r="L111" i="10" s="1"/>
  <c r="H9" i="10"/>
  <c r="J8" i="10"/>
  <c r="J110" i="10" s="1"/>
  <c r="L7" i="10"/>
  <c r="L109" i="10" s="1"/>
  <c r="H7" i="10"/>
  <c r="H109" i="10" s="1"/>
  <c r="J10" i="10"/>
  <c r="J112" i="10" s="1"/>
  <c r="E110" i="10"/>
  <c r="F110" i="10"/>
  <c r="O110" i="10"/>
  <c r="N110" i="10"/>
  <c r="K112" i="10"/>
  <c r="Q112" i="10"/>
  <c r="K111" i="10"/>
  <c r="M111" i="10"/>
  <c r="I110" i="10"/>
  <c r="O109" i="10"/>
  <c r="L112" i="10"/>
  <c r="I111" i="10"/>
  <c r="I109" i="10"/>
  <c r="E112" i="10"/>
  <c r="O112" i="10"/>
  <c r="D110" i="10"/>
  <c r="I112" i="10"/>
  <c r="J109" i="10"/>
  <c r="G166" i="10"/>
  <c r="G109" i="10"/>
  <c r="AK107" i="10"/>
  <c r="AK177" i="10"/>
  <c r="AK170" i="10"/>
  <c r="AB14" i="10"/>
  <c r="AB15" i="10" s="1"/>
  <c r="Y14" i="10"/>
  <c r="Y15" i="10" s="1"/>
  <c r="AC14" i="10"/>
  <c r="AC15" i="10" s="1"/>
  <c r="AD14" i="10"/>
  <c r="AD15" i="10" s="1"/>
  <c r="AH14" i="10"/>
  <c r="AH15" i="10" s="1"/>
  <c r="U14" i="10"/>
  <c r="U15" i="10" s="1"/>
  <c r="W14" i="10"/>
  <c r="W15" i="10" s="1"/>
  <c r="AA14" i="10"/>
  <c r="AA15" i="10" s="1"/>
  <c r="AG14" i="10"/>
  <c r="AG15" i="10" s="1"/>
  <c r="AF14" i="10"/>
  <c r="AF15" i="10" s="1"/>
  <c r="R14" i="10"/>
  <c r="R15" i="10" s="1"/>
  <c r="Z14" i="10"/>
  <c r="Z15" i="10" s="1"/>
  <c r="V177" i="10"/>
  <c r="V170" i="10"/>
  <c r="V135" i="10"/>
  <c r="V149" i="10"/>
  <c r="V128" i="10"/>
  <c r="V114" i="10"/>
  <c r="V121" i="10"/>
  <c r="V142" i="10"/>
  <c r="V156" i="10"/>
  <c r="V163" i="10"/>
  <c r="V107" i="10"/>
  <c r="AK169" i="10"/>
  <c r="AK176" i="10"/>
  <c r="V176" i="10"/>
  <c r="V169" i="10"/>
  <c r="V113" i="10"/>
  <c r="V134" i="10"/>
  <c r="V148" i="10"/>
  <c r="V127" i="10"/>
  <c r="V162" i="10"/>
  <c r="V141" i="10"/>
  <c r="V155" i="10"/>
  <c r="V120" i="10"/>
  <c r="V106" i="10"/>
  <c r="Y170" i="10"/>
  <c r="Y177" i="10"/>
  <c r="Z170" i="10"/>
  <c r="Z177" i="10"/>
  <c r="AD170" i="10"/>
  <c r="AD177" i="10"/>
  <c r="AG170" i="10"/>
  <c r="AG177" i="10"/>
  <c r="AI170" i="10"/>
  <c r="AI177" i="10"/>
  <c r="AC170" i="10"/>
  <c r="AC177" i="10"/>
  <c r="AB170" i="10"/>
  <c r="AB177" i="10"/>
  <c r="AH170" i="10"/>
  <c r="AH177" i="10"/>
  <c r="R170" i="10"/>
  <c r="R177" i="10"/>
  <c r="S170" i="10"/>
  <c r="S177" i="10"/>
  <c r="T170" i="10"/>
  <c r="T177" i="10"/>
  <c r="AE170" i="10"/>
  <c r="AE177" i="10"/>
  <c r="X170" i="10"/>
  <c r="X177" i="10"/>
  <c r="AF170" i="10"/>
  <c r="AF177" i="10"/>
  <c r="U170" i="10"/>
  <c r="U177" i="10"/>
  <c r="AA170" i="10"/>
  <c r="AA177" i="10"/>
  <c r="W170" i="10"/>
  <c r="W177" i="10"/>
  <c r="AJ170" i="10"/>
  <c r="AJ177" i="10"/>
  <c r="AA169" i="10"/>
  <c r="AA176" i="10"/>
  <c r="U169" i="10"/>
  <c r="U176" i="10"/>
  <c r="AI169" i="10"/>
  <c r="AI176" i="10"/>
  <c r="Y169" i="10"/>
  <c r="Y176" i="10"/>
  <c r="X169" i="10"/>
  <c r="X176" i="10"/>
  <c r="R169" i="10"/>
  <c r="R176" i="10"/>
  <c r="AC169" i="10"/>
  <c r="AC176" i="10"/>
  <c r="AB169" i="10"/>
  <c r="AB176" i="10"/>
  <c r="T169" i="10"/>
  <c r="T176" i="10"/>
  <c r="AF169" i="10"/>
  <c r="AF176" i="10"/>
  <c r="AH169" i="10"/>
  <c r="AH176" i="10"/>
  <c r="AE169" i="10"/>
  <c r="AE176" i="10"/>
  <c r="W169" i="10"/>
  <c r="W176" i="10"/>
  <c r="S169" i="10"/>
  <c r="S176" i="10"/>
  <c r="Z169" i="10"/>
  <c r="Z176" i="10"/>
  <c r="AJ169" i="10"/>
  <c r="AJ176" i="10"/>
  <c r="AG169" i="10"/>
  <c r="AG176" i="10"/>
  <c r="AD169" i="10"/>
  <c r="AD176" i="10"/>
  <c r="Y163" i="10"/>
  <c r="Z163" i="10"/>
  <c r="AD163" i="10"/>
  <c r="AG163" i="10"/>
  <c r="AI163" i="10"/>
  <c r="AC163" i="10"/>
  <c r="AB163" i="10"/>
  <c r="AH163" i="10"/>
  <c r="R163" i="10"/>
  <c r="S163" i="10"/>
  <c r="T163" i="10"/>
  <c r="AE163" i="10"/>
  <c r="X163" i="10"/>
  <c r="AF163" i="10"/>
  <c r="U163" i="10"/>
  <c r="AA163" i="10"/>
  <c r="W163" i="10"/>
  <c r="AJ163" i="10"/>
  <c r="AA162" i="10"/>
  <c r="U162" i="10"/>
  <c r="AI162" i="10"/>
  <c r="Y162" i="10"/>
  <c r="X162" i="10"/>
  <c r="R162" i="10"/>
  <c r="AC162" i="10"/>
  <c r="AB162" i="10"/>
  <c r="T162" i="10"/>
  <c r="AF162" i="10"/>
  <c r="AH162" i="10"/>
  <c r="AE162" i="10"/>
  <c r="W162" i="10"/>
  <c r="S162" i="10"/>
  <c r="Z162" i="10"/>
  <c r="AJ162" i="10"/>
  <c r="AG162" i="10"/>
  <c r="AD162" i="10"/>
  <c r="AC127" i="10"/>
  <c r="AC134" i="10"/>
  <c r="AC141" i="10"/>
  <c r="AC148" i="10"/>
  <c r="AC155" i="10"/>
  <c r="AB134" i="10"/>
  <c r="AB141" i="10"/>
  <c r="AB148" i="10"/>
  <c r="AB155" i="10"/>
  <c r="T134" i="10"/>
  <c r="T141" i="10"/>
  <c r="T148" i="10"/>
  <c r="T155" i="10"/>
  <c r="S134" i="10"/>
  <c r="S141" i="10"/>
  <c r="S148" i="10"/>
  <c r="S155" i="10"/>
  <c r="S128" i="10"/>
  <c r="S135" i="10"/>
  <c r="S142" i="10"/>
  <c r="S149" i="10"/>
  <c r="S156" i="10"/>
  <c r="T128" i="10"/>
  <c r="T135" i="10"/>
  <c r="T142" i="10"/>
  <c r="T149" i="10"/>
  <c r="T156" i="10"/>
  <c r="AE128" i="10"/>
  <c r="AE135" i="10"/>
  <c r="AE142" i="10"/>
  <c r="AE149" i="10"/>
  <c r="AE156" i="10"/>
  <c r="X135" i="10"/>
  <c r="X142" i="10"/>
  <c r="X149" i="10"/>
  <c r="X156" i="10"/>
  <c r="AJ135" i="10"/>
  <c r="AJ142" i="10"/>
  <c r="AJ149" i="10"/>
  <c r="AJ156" i="10"/>
  <c r="AK134" i="10"/>
  <c r="AK141" i="10"/>
  <c r="AK148" i="10"/>
  <c r="AK155" i="10"/>
  <c r="AA127" i="10"/>
  <c r="AA134" i="10"/>
  <c r="AA141" i="10"/>
  <c r="AA148" i="10"/>
  <c r="AA155" i="10"/>
  <c r="U134" i="10"/>
  <c r="U141" i="10"/>
  <c r="U148" i="10"/>
  <c r="U155" i="10"/>
  <c r="AI134" i="10"/>
  <c r="AI141" i="10"/>
  <c r="AI148" i="10"/>
  <c r="AI155" i="10"/>
  <c r="AF127" i="10"/>
  <c r="AF134" i="10"/>
  <c r="AF141" i="10"/>
  <c r="AF148" i="10"/>
  <c r="AF155" i="10"/>
  <c r="AH134" i="10"/>
  <c r="AH141" i="10"/>
  <c r="AH148" i="10"/>
  <c r="AH155" i="10"/>
  <c r="AI135" i="10"/>
  <c r="AI142" i="10"/>
  <c r="AI149" i="10"/>
  <c r="AI156" i="10"/>
  <c r="AC135" i="10"/>
  <c r="AC142" i="10"/>
  <c r="AC149" i="10"/>
  <c r="AC156" i="10"/>
  <c r="AB128" i="10"/>
  <c r="AB135" i="10"/>
  <c r="AB142" i="10"/>
  <c r="AB149" i="10"/>
  <c r="AB156" i="10"/>
  <c r="R128" i="10"/>
  <c r="R135" i="10"/>
  <c r="R142" i="10"/>
  <c r="R149" i="10"/>
  <c r="R156" i="10"/>
  <c r="AF128" i="10"/>
  <c r="AF135" i="10"/>
  <c r="AF142" i="10"/>
  <c r="AF149" i="10"/>
  <c r="AF156" i="10"/>
  <c r="AK128" i="10"/>
  <c r="AK135" i="10"/>
  <c r="AK142" i="10"/>
  <c r="AK149" i="10"/>
  <c r="AK156" i="10"/>
  <c r="Z127" i="10"/>
  <c r="Z134" i="10"/>
  <c r="Z141" i="10"/>
  <c r="Z148" i="10"/>
  <c r="Z155" i="10"/>
  <c r="AJ134" i="10"/>
  <c r="AJ141" i="10"/>
  <c r="AJ148" i="10"/>
  <c r="AJ155" i="10"/>
  <c r="AG134" i="10"/>
  <c r="AG141" i="10"/>
  <c r="AG148" i="10"/>
  <c r="AG155" i="10"/>
  <c r="Y127" i="10"/>
  <c r="Y134" i="10"/>
  <c r="Y141" i="10"/>
  <c r="Y148" i="10"/>
  <c r="Y155" i="10"/>
  <c r="X127" i="10"/>
  <c r="X134" i="10"/>
  <c r="X141" i="10"/>
  <c r="X148" i="10"/>
  <c r="X155" i="10"/>
  <c r="Y135" i="10"/>
  <c r="Y142" i="10"/>
  <c r="Y149" i="10"/>
  <c r="Y156" i="10"/>
  <c r="Z128" i="10"/>
  <c r="Z135" i="10"/>
  <c r="Z142" i="10"/>
  <c r="Z149" i="10"/>
  <c r="Z156" i="10"/>
  <c r="AD128" i="10"/>
  <c r="AD135" i="10"/>
  <c r="AD142" i="10"/>
  <c r="AD149" i="10"/>
  <c r="AD156" i="10"/>
  <c r="AG128" i="10"/>
  <c r="AG135" i="10"/>
  <c r="AG142" i="10"/>
  <c r="AG149" i="10"/>
  <c r="AG156" i="10"/>
  <c r="AH128" i="10"/>
  <c r="AH135" i="10"/>
  <c r="AH142" i="10"/>
  <c r="AH149" i="10"/>
  <c r="AH156" i="10"/>
  <c r="AE127" i="10"/>
  <c r="AE134" i="10"/>
  <c r="AE141" i="10"/>
  <c r="AE148" i="10"/>
  <c r="AE155" i="10"/>
  <c r="W134" i="10"/>
  <c r="W141" i="10"/>
  <c r="W148" i="10"/>
  <c r="W155" i="10"/>
  <c r="R134" i="10"/>
  <c r="R141" i="10"/>
  <c r="R148" i="10"/>
  <c r="R155" i="10"/>
  <c r="AD127" i="10"/>
  <c r="AD134" i="10"/>
  <c r="AD141" i="10"/>
  <c r="AD148" i="10"/>
  <c r="AD155" i="10"/>
  <c r="U128" i="10"/>
  <c r="U135" i="10"/>
  <c r="U142" i="10"/>
  <c r="U149" i="10"/>
  <c r="U156" i="10"/>
  <c r="AA135" i="10"/>
  <c r="AA142" i="10"/>
  <c r="AA149" i="10"/>
  <c r="AA156" i="10"/>
  <c r="W128" i="10"/>
  <c r="W135" i="10"/>
  <c r="W142" i="10"/>
  <c r="W149" i="10"/>
  <c r="W156" i="10"/>
  <c r="AB120" i="10"/>
  <c r="AB127" i="10"/>
  <c r="T120" i="10"/>
  <c r="T127" i="10"/>
  <c r="S120" i="10"/>
  <c r="S127" i="10"/>
  <c r="X121" i="10"/>
  <c r="X128" i="10"/>
  <c r="AJ121" i="10"/>
  <c r="AJ128" i="10"/>
  <c r="U120" i="10"/>
  <c r="U127" i="10"/>
  <c r="AI120" i="10"/>
  <c r="AI127" i="10"/>
  <c r="AH120" i="10"/>
  <c r="AH127" i="10"/>
  <c r="AI121" i="10"/>
  <c r="AI128" i="10"/>
  <c r="AC121" i="10"/>
  <c r="AC128" i="10"/>
  <c r="AJ120" i="10"/>
  <c r="AJ127" i="10"/>
  <c r="AG120" i="10"/>
  <c r="AG127" i="10"/>
  <c r="Y121" i="10"/>
  <c r="Y128" i="10"/>
  <c r="AK120" i="10"/>
  <c r="AK127" i="10"/>
  <c r="W120" i="10"/>
  <c r="W127" i="10"/>
  <c r="R120" i="10"/>
  <c r="R127" i="10"/>
  <c r="AA121" i="10"/>
  <c r="AA128" i="10"/>
  <c r="AA113" i="10"/>
  <c r="AA120" i="10"/>
  <c r="AF113" i="10"/>
  <c r="AF120" i="10"/>
  <c r="AB114" i="10"/>
  <c r="AB121" i="10"/>
  <c r="R114" i="10"/>
  <c r="R121" i="10"/>
  <c r="AF114" i="10"/>
  <c r="AF121" i="10"/>
  <c r="AC113" i="10"/>
  <c r="AC120" i="10"/>
  <c r="AK114" i="10"/>
  <c r="AK121" i="10"/>
  <c r="Z113" i="10"/>
  <c r="Z120" i="10"/>
  <c r="Y113" i="10"/>
  <c r="Y120" i="10"/>
  <c r="X113" i="10"/>
  <c r="X120" i="10"/>
  <c r="Z114" i="10"/>
  <c r="Z121" i="10"/>
  <c r="AD114" i="10"/>
  <c r="AD121" i="10"/>
  <c r="AG114" i="10"/>
  <c r="AG121" i="10"/>
  <c r="AH114" i="10"/>
  <c r="AH121" i="10"/>
  <c r="S114" i="10"/>
  <c r="S121" i="10"/>
  <c r="T114" i="10"/>
  <c r="T121" i="10"/>
  <c r="AE114" i="10"/>
  <c r="AE121" i="10"/>
  <c r="AE113" i="10"/>
  <c r="AE120" i="10"/>
  <c r="AD113" i="10"/>
  <c r="AD120" i="10"/>
  <c r="U114" i="10"/>
  <c r="U121" i="10"/>
  <c r="W114" i="10"/>
  <c r="W121" i="10"/>
  <c r="AB106" i="10"/>
  <c r="AB113" i="10"/>
  <c r="T106" i="10"/>
  <c r="T113" i="10"/>
  <c r="S106" i="10"/>
  <c r="S113" i="10"/>
  <c r="X107" i="10"/>
  <c r="X114" i="10"/>
  <c r="AJ107" i="10"/>
  <c r="AJ114" i="10"/>
  <c r="U106" i="10"/>
  <c r="U113" i="10"/>
  <c r="AI106" i="10"/>
  <c r="AI113" i="10"/>
  <c r="AH106" i="10"/>
  <c r="AH113" i="10"/>
  <c r="AI107" i="10"/>
  <c r="AI114" i="10"/>
  <c r="AC107" i="10"/>
  <c r="AC114" i="10"/>
  <c r="AJ106" i="10"/>
  <c r="AJ113" i="10"/>
  <c r="AG106" i="10"/>
  <c r="AG113" i="10"/>
  <c r="Y107" i="10"/>
  <c r="Y114" i="10"/>
  <c r="AK106" i="10"/>
  <c r="AK113" i="10"/>
  <c r="W106" i="10"/>
  <c r="W113" i="10"/>
  <c r="R106" i="10"/>
  <c r="R113" i="10"/>
  <c r="AA107" i="10"/>
  <c r="AA114" i="10"/>
  <c r="AC54" i="10"/>
  <c r="AC106" i="10"/>
  <c r="S55" i="10"/>
  <c r="S107" i="10"/>
  <c r="T55" i="10"/>
  <c r="T107" i="10"/>
  <c r="AE55" i="10"/>
  <c r="AE107" i="10"/>
  <c r="AA54" i="10"/>
  <c r="AA106" i="10"/>
  <c r="AF54" i="10"/>
  <c r="AF106" i="10"/>
  <c r="AB55" i="10"/>
  <c r="AB107" i="10"/>
  <c r="R55" i="10"/>
  <c r="R107" i="10"/>
  <c r="AF55" i="10"/>
  <c r="AF107" i="10"/>
  <c r="Z54" i="10"/>
  <c r="Z106" i="10"/>
  <c r="Y54" i="10"/>
  <c r="Y106" i="10"/>
  <c r="X54" i="10"/>
  <c r="X106" i="10"/>
  <c r="Z55" i="10"/>
  <c r="Z107" i="10"/>
  <c r="AD55" i="10"/>
  <c r="AD107" i="10"/>
  <c r="AG55" i="10"/>
  <c r="AG107" i="10"/>
  <c r="AH55" i="10"/>
  <c r="AH107" i="10"/>
  <c r="AE54" i="10"/>
  <c r="AE106" i="10"/>
  <c r="AD54" i="10"/>
  <c r="AD106" i="10"/>
  <c r="U55" i="10"/>
  <c r="U107" i="10"/>
  <c r="W55" i="10"/>
  <c r="W107" i="10"/>
  <c r="V51" i="10"/>
  <c r="R159" i="10"/>
  <c r="AK160" i="10"/>
  <c r="AK159" i="10"/>
  <c r="AK158" i="10"/>
  <c r="AK161" i="10"/>
  <c r="AJ197" i="10"/>
  <c r="AJ184" i="10"/>
  <c r="AJ203" i="10"/>
  <c r="AJ190" i="10"/>
  <c r="AK202" i="10"/>
  <c r="AK189" i="10"/>
  <c r="AK196" i="10"/>
  <c r="AK183" i="10"/>
  <c r="AI184" i="10"/>
  <c r="AI203" i="10"/>
  <c r="AI190" i="10"/>
  <c r="AI197" i="10"/>
  <c r="AJ189" i="10"/>
  <c r="AJ196" i="10"/>
  <c r="AJ183" i="10"/>
  <c r="AJ202" i="10"/>
  <c r="AK190" i="10"/>
  <c r="AK197" i="10"/>
  <c r="AK184" i="10"/>
  <c r="AK203" i="10"/>
  <c r="AI196" i="10"/>
  <c r="AI183" i="10"/>
  <c r="AI202" i="10"/>
  <c r="AI189" i="10"/>
  <c r="AJ94" i="10"/>
  <c r="AJ55" i="10"/>
  <c r="AJ84" i="10"/>
  <c r="AJ100" i="10"/>
  <c r="AK94" i="10"/>
  <c r="AK84" i="10"/>
  <c r="AK55" i="10"/>
  <c r="AK100" i="10"/>
  <c r="AK54" i="10"/>
  <c r="AK83" i="10"/>
  <c r="AK99" i="10"/>
  <c r="AK93" i="10"/>
  <c r="AI93" i="10"/>
  <c r="AI54" i="10"/>
  <c r="AI83" i="10"/>
  <c r="AI99" i="10"/>
  <c r="AI94" i="10"/>
  <c r="AI55" i="10"/>
  <c r="AI84" i="10"/>
  <c r="AI100" i="10"/>
  <c r="AJ99" i="10"/>
  <c r="AJ93" i="10"/>
  <c r="AJ83" i="10"/>
  <c r="AJ54" i="10"/>
  <c r="AG183" i="10"/>
  <c r="AG189" i="10"/>
  <c r="AG196" i="10"/>
  <c r="AG202" i="10"/>
  <c r="AB183" i="10"/>
  <c r="AB189" i="10"/>
  <c r="AB196" i="10"/>
  <c r="AB202" i="10"/>
  <c r="X183" i="10"/>
  <c r="X189" i="10"/>
  <c r="X196" i="10"/>
  <c r="X202" i="10"/>
  <c r="AC183" i="10"/>
  <c r="AC189" i="10"/>
  <c r="AC196" i="10"/>
  <c r="AC202" i="10"/>
  <c r="AE183" i="10"/>
  <c r="AE189" i="10"/>
  <c r="AE196" i="10"/>
  <c r="AE202" i="10"/>
  <c r="T184" i="10"/>
  <c r="T190" i="10"/>
  <c r="T197" i="10"/>
  <c r="T203" i="10"/>
  <c r="W184" i="10"/>
  <c r="W190" i="10"/>
  <c r="W197" i="10"/>
  <c r="W203" i="10"/>
  <c r="U184" i="10"/>
  <c r="U190" i="10"/>
  <c r="U197" i="10"/>
  <c r="U203" i="10"/>
  <c r="T183" i="10"/>
  <c r="T189" i="10"/>
  <c r="T196" i="10"/>
  <c r="T202" i="10"/>
  <c r="S183" i="10"/>
  <c r="S189" i="10"/>
  <c r="S196" i="10"/>
  <c r="S202" i="10"/>
  <c r="R183" i="10"/>
  <c r="R189" i="10"/>
  <c r="R196" i="10"/>
  <c r="R202" i="10"/>
  <c r="AD183" i="10"/>
  <c r="AD189" i="10"/>
  <c r="AD196" i="10"/>
  <c r="AD202" i="10"/>
  <c r="W183" i="10"/>
  <c r="W189" i="10"/>
  <c r="W196" i="10"/>
  <c r="W202" i="10"/>
  <c r="V183" i="10"/>
  <c r="V189" i="10"/>
  <c r="V196" i="10"/>
  <c r="V202" i="10"/>
  <c r="Y184" i="10"/>
  <c r="Y190" i="10"/>
  <c r="Y197" i="10"/>
  <c r="Y203" i="10"/>
  <c r="AC184" i="10"/>
  <c r="AC190" i="10"/>
  <c r="AC197" i="10"/>
  <c r="AC203" i="10"/>
  <c r="X184" i="10"/>
  <c r="X190" i="10"/>
  <c r="X197" i="10"/>
  <c r="X203" i="10"/>
  <c r="AA184" i="10"/>
  <c r="AA190" i="10"/>
  <c r="AA197" i="10"/>
  <c r="AA203" i="10"/>
  <c r="R184" i="10"/>
  <c r="R190" i="10"/>
  <c r="R197" i="10"/>
  <c r="R203" i="10"/>
  <c r="Z183" i="10"/>
  <c r="Z189" i="10"/>
  <c r="Z196" i="10"/>
  <c r="Z202" i="10"/>
  <c r="AA183" i="10"/>
  <c r="AA189" i="10"/>
  <c r="AA196" i="10"/>
  <c r="AA202" i="10"/>
  <c r="V184" i="10"/>
  <c r="V190" i="10"/>
  <c r="V197" i="10"/>
  <c r="V203" i="10"/>
  <c r="AG184" i="10"/>
  <c r="AG190" i="10"/>
  <c r="AG197" i="10"/>
  <c r="AG203" i="10"/>
  <c r="AB184" i="10"/>
  <c r="AB190" i="10"/>
  <c r="AB197" i="10"/>
  <c r="AB203" i="10"/>
  <c r="AH184" i="10"/>
  <c r="AH190" i="10"/>
  <c r="AH197" i="10"/>
  <c r="AH203" i="10"/>
  <c r="U183" i="10"/>
  <c r="U189" i="10"/>
  <c r="U196" i="10"/>
  <c r="U202" i="10"/>
  <c r="AF183" i="10"/>
  <c r="AF189" i="10"/>
  <c r="AF196" i="10"/>
  <c r="AF202" i="10"/>
  <c r="AH183" i="10"/>
  <c r="AH189" i="10"/>
  <c r="AH196" i="10"/>
  <c r="AH202" i="10"/>
  <c r="Y183" i="10"/>
  <c r="Y189" i="10"/>
  <c r="Y196" i="10"/>
  <c r="Y202" i="10"/>
  <c r="AF184" i="10"/>
  <c r="AF190" i="10"/>
  <c r="AF197" i="10"/>
  <c r="AF203" i="10"/>
  <c r="S184" i="10"/>
  <c r="S190" i="10"/>
  <c r="S197" i="10"/>
  <c r="S203" i="10"/>
  <c r="Z184" i="10"/>
  <c r="Z190" i="10"/>
  <c r="Z197" i="10"/>
  <c r="Z203" i="10"/>
  <c r="AD184" i="10"/>
  <c r="AD190" i="10"/>
  <c r="AD197" i="10"/>
  <c r="AD203" i="10"/>
  <c r="AE184" i="10"/>
  <c r="AE190" i="10"/>
  <c r="AE197" i="10"/>
  <c r="AE203" i="10"/>
  <c r="U54" i="10"/>
  <c r="AH54" i="10"/>
  <c r="AG83" i="10"/>
  <c r="AG93" i="10"/>
  <c r="AG99" i="10"/>
  <c r="AB83" i="10"/>
  <c r="AB93" i="10"/>
  <c r="AB99" i="10"/>
  <c r="X83" i="10"/>
  <c r="X93" i="10"/>
  <c r="X99" i="10"/>
  <c r="AC83" i="10"/>
  <c r="AC93" i="10"/>
  <c r="AC99" i="10"/>
  <c r="AE83" i="10"/>
  <c r="AE99" i="10"/>
  <c r="AE93" i="10"/>
  <c r="T84" i="10"/>
  <c r="T94" i="10"/>
  <c r="T100" i="10"/>
  <c r="W84" i="10"/>
  <c r="W94" i="10"/>
  <c r="W100" i="10"/>
  <c r="U84" i="10"/>
  <c r="U100" i="10"/>
  <c r="U94" i="10"/>
  <c r="T83" i="10"/>
  <c r="T93" i="10"/>
  <c r="T99" i="10"/>
  <c r="S83" i="10"/>
  <c r="S99" i="10"/>
  <c r="S93" i="10"/>
  <c r="R83" i="10"/>
  <c r="R93" i="10"/>
  <c r="R99" i="10"/>
  <c r="AD83" i="10"/>
  <c r="AD93" i="10"/>
  <c r="AD99" i="10"/>
  <c r="W83" i="10"/>
  <c r="W99" i="10"/>
  <c r="W93" i="10"/>
  <c r="V83" i="10"/>
  <c r="V93" i="10"/>
  <c r="V99" i="10"/>
  <c r="Y84" i="10"/>
  <c r="Y94" i="10"/>
  <c r="Y100" i="10"/>
  <c r="AC84" i="10"/>
  <c r="AC94" i="10"/>
  <c r="AC100" i="10"/>
  <c r="X84" i="10"/>
  <c r="X94" i="10"/>
  <c r="X100" i="10"/>
  <c r="AA84" i="10"/>
  <c r="AA94" i="10"/>
  <c r="AA100" i="10"/>
  <c r="R84" i="10"/>
  <c r="R94" i="10"/>
  <c r="R100" i="10"/>
  <c r="Z83" i="10"/>
  <c r="Z93" i="10"/>
  <c r="Z99" i="10"/>
  <c r="AA83" i="10"/>
  <c r="AA99" i="10"/>
  <c r="AA93" i="10"/>
  <c r="V84" i="10"/>
  <c r="V94" i="10"/>
  <c r="V100" i="10"/>
  <c r="AG84" i="10"/>
  <c r="AG94" i="10"/>
  <c r="AG100" i="10"/>
  <c r="AB84" i="10"/>
  <c r="AB94" i="10"/>
  <c r="AB100" i="10"/>
  <c r="AH84" i="10"/>
  <c r="AH94" i="10"/>
  <c r="AH100" i="10"/>
  <c r="U83" i="10"/>
  <c r="U93" i="10"/>
  <c r="U99" i="10"/>
  <c r="AF83" i="10"/>
  <c r="AF93" i="10"/>
  <c r="AF99" i="10"/>
  <c r="AH83" i="10"/>
  <c r="AH93" i="10"/>
  <c r="AH99" i="10"/>
  <c r="Y83" i="10"/>
  <c r="Y93" i="10"/>
  <c r="Y99" i="10"/>
  <c r="AF84" i="10"/>
  <c r="AF94" i="10"/>
  <c r="AF100" i="10"/>
  <c r="S84" i="10"/>
  <c r="S94" i="10"/>
  <c r="S100" i="10"/>
  <c r="Z84" i="10"/>
  <c r="Z94" i="10"/>
  <c r="Z100" i="10"/>
  <c r="AD84" i="10"/>
  <c r="AD94" i="10"/>
  <c r="AD100" i="10"/>
  <c r="AE84" i="10"/>
  <c r="AE94" i="10"/>
  <c r="AE100" i="10"/>
  <c r="AG54" i="10"/>
  <c r="AB54" i="10"/>
  <c r="T54" i="10"/>
  <c r="S54" i="10"/>
  <c r="R54" i="10"/>
  <c r="W54" i="10"/>
  <c r="Y55" i="10"/>
  <c r="AC55" i="10"/>
  <c r="X55" i="10"/>
  <c r="AA55" i="10"/>
  <c r="BP59" i="13"/>
  <c r="BP58" i="13"/>
  <c r="BP54" i="13"/>
  <c r="BP55" i="13"/>
  <c r="BQ81" i="13"/>
  <c r="BP53" i="13"/>
  <c r="BP56" i="13"/>
  <c r="BP57" i="13"/>
  <c r="G4" i="10"/>
  <c r="G34" i="10"/>
  <c r="E34" i="10"/>
  <c r="BQ37" i="13"/>
  <c r="BQ6" i="13"/>
  <c r="BQ25" i="13"/>
  <c r="BQ41" i="13"/>
  <c r="BQ7" i="13"/>
  <c r="BQ34" i="13"/>
  <c r="BQ38" i="13"/>
  <c r="BQ11" i="13"/>
  <c r="BQ44" i="13"/>
  <c r="BQ43" i="13"/>
  <c r="BQ47" i="13"/>
  <c r="BQ14" i="13"/>
  <c r="BQ29" i="13"/>
  <c r="BQ48" i="13"/>
  <c r="BQ5" i="13"/>
  <c r="BQ33" i="13"/>
  <c r="BQ36" i="13"/>
  <c r="BQ17" i="13"/>
  <c r="BQ32" i="13"/>
  <c r="BQ35" i="13"/>
  <c r="BQ16" i="13"/>
  <c r="BQ28" i="13"/>
  <c r="BQ13" i="13"/>
  <c r="BQ22" i="13"/>
  <c r="BQ10" i="13"/>
  <c r="BQ46" i="13"/>
  <c r="BQ20" i="13"/>
  <c r="BQ9" i="13"/>
  <c r="BQ31" i="13"/>
  <c r="BQ21" i="13"/>
  <c r="BQ19" i="13"/>
  <c r="BQ45" i="13"/>
  <c r="BQ8" i="13"/>
  <c r="BQ27" i="13"/>
  <c r="BQ42" i="13"/>
  <c r="BQ39" i="13"/>
  <c r="BQ30" i="13"/>
  <c r="BQ12" i="13"/>
  <c r="BQ40" i="13"/>
  <c r="BQ15" i="13"/>
  <c r="BQ24" i="13"/>
  <c r="BQ49" i="13"/>
  <c r="BQ26" i="13"/>
  <c r="BQ18" i="13"/>
  <c r="BQ23" i="13"/>
  <c r="G110" i="10" l="1"/>
  <c r="D167" i="10"/>
  <c r="D111" i="10"/>
  <c r="H166" i="10"/>
  <c r="H110" i="10"/>
  <c r="O167" i="10"/>
  <c r="O111" i="10"/>
  <c r="H167" i="10"/>
  <c r="H111" i="10"/>
  <c r="C168" i="10"/>
  <c r="C112" i="10"/>
  <c r="H168" i="10"/>
  <c r="H112" i="10"/>
  <c r="C166" i="10"/>
  <c r="C110" i="10"/>
  <c r="J167" i="10"/>
  <c r="J111" i="10"/>
  <c r="Q165" i="10"/>
  <c r="Q109" i="10"/>
  <c r="H165" i="10"/>
  <c r="M167" i="10"/>
  <c r="E167" i="10"/>
  <c r="K167" i="10"/>
  <c r="N168" i="10"/>
  <c r="E168" i="10"/>
  <c r="G168" i="10"/>
  <c r="M166" i="10"/>
  <c r="F166" i="10"/>
  <c r="K166" i="10"/>
  <c r="F167" i="10"/>
  <c r="J168" i="10"/>
  <c r="L167" i="10"/>
  <c r="O168" i="10"/>
  <c r="F168" i="10"/>
  <c r="N166" i="10"/>
  <c r="I167" i="10"/>
  <c r="Q168" i="10"/>
  <c r="Q167" i="10"/>
  <c r="I166" i="10"/>
  <c r="P167" i="10"/>
  <c r="C167" i="10"/>
  <c r="L166" i="10"/>
  <c r="M168" i="10"/>
  <c r="O166" i="10"/>
  <c r="D166" i="10"/>
  <c r="K168" i="10"/>
  <c r="Q166" i="10"/>
  <c r="I168" i="10"/>
  <c r="N167" i="10"/>
  <c r="G167" i="10"/>
  <c r="J166" i="10"/>
  <c r="L168" i="10"/>
  <c r="P168" i="10"/>
  <c r="D168" i="10"/>
  <c r="P166" i="10"/>
  <c r="E166" i="10"/>
  <c r="M165" i="10"/>
  <c r="F165" i="10"/>
  <c r="L165" i="10"/>
  <c r="O165" i="10"/>
  <c r="D165" i="10"/>
  <c r="I165" i="10"/>
  <c r="N165" i="10"/>
  <c r="G165" i="10"/>
  <c r="J165" i="10"/>
  <c r="P165" i="10"/>
  <c r="E165" i="10"/>
  <c r="K165" i="10"/>
  <c r="C165" i="10"/>
  <c r="D174" i="10"/>
  <c r="C175" i="10"/>
  <c r="C173" i="10"/>
  <c r="Q172" i="10"/>
  <c r="P175" i="10"/>
  <c r="E175" i="10"/>
  <c r="K175" i="10"/>
  <c r="Q173" i="10"/>
  <c r="D173" i="10"/>
  <c r="K173" i="10"/>
  <c r="L173" i="10"/>
  <c r="N174" i="10"/>
  <c r="E174" i="10"/>
  <c r="G174" i="10"/>
  <c r="L174" i="10"/>
  <c r="H173" i="10"/>
  <c r="M175" i="10"/>
  <c r="D175" i="10"/>
  <c r="O173" i="10"/>
  <c r="F173" i="10"/>
  <c r="I174" i="10"/>
  <c r="J174" i="10"/>
  <c r="P174" i="10"/>
  <c r="C174" i="10"/>
  <c r="K174" i="10"/>
  <c r="J173" i="10"/>
  <c r="Q175" i="10"/>
  <c r="N175" i="10"/>
  <c r="N173" i="10"/>
  <c r="P173" i="10"/>
  <c r="E173" i="10"/>
  <c r="L175" i="10"/>
  <c r="I175" i="10"/>
  <c r="I173" i="10"/>
  <c r="O174" i="10"/>
  <c r="J175" i="10"/>
  <c r="H174" i="10"/>
  <c r="O175" i="10"/>
  <c r="F175" i="10"/>
  <c r="G175" i="10"/>
  <c r="M173" i="10"/>
  <c r="G173" i="10"/>
  <c r="Q174" i="10"/>
  <c r="M174" i="10"/>
  <c r="F174" i="10"/>
  <c r="H175" i="10"/>
  <c r="J172" i="10"/>
  <c r="O172" i="10"/>
  <c r="F172" i="10"/>
  <c r="L172" i="10"/>
  <c r="P172" i="10"/>
  <c r="D172" i="10"/>
  <c r="G172" i="10"/>
  <c r="I172" i="10"/>
  <c r="M172" i="10"/>
  <c r="E172" i="10"/>
  <c r="K172" i="10"/>
  <c r="H172" i="10"/>
  <c r="N172" i="10"/>
  <c r="C172" i="10"/>
  <c r="C159" i="10"/>
  <c r="D160" i="10"/>
  <c r="D161" i="10"/>
  <c r="C160" i="10"/>
  <c r="C161" i="10"/>
  <c r="Q123" i="10"/>
  <c r="Q95" i="10"/>
  <c r="C137" i="10"/>
  <c r="C130" i="10"/>
  <c r="C116" i="10"/>
  <c r="C102" i="10"/>
  <c r="C123" i="10"/>
  <c r="C140" i="10"/>
  <c r="C126" i="10"/>
  <c r="C133" i="10"/>
  <c r="C119" i="10"/>
  <c r="C105" i="10"/>
  <c r="C132" i="10"/>
  <c r="C118" i="10"/>
  <c r="C104" i="10"/>
  <c r="C139" i="10"/>
  <c r="C125" i="10"/>
  <c r="C131" i="10"/>
  <c r="C117" i="10"/>
  <c r="C103" i="10"/>
  <c r="C138" i="10"/>
  <c r="C124" i="10"/>
  <c r="D137" i="10"/>
  <c r="D130" i="10"/>
  <c r="D123" i="10"/>
  <c r="D116" i="10"/>
  <c r="D102" i="10"/>
  <c r="D139" i="10"/>
  <c r="D132" i="10"/>
  <c r="D125" i="10"/>
  <c r="D118" i="10"/>
  <c r="D104" i="10"/>
  <c r="D126" i="10"/>
  <c r="D119" i="10"/>
  <c r="D105" i="10"/>
  <c r="D140" i="10"/>
  <c r="D133" i="10"/>
  <c r="D138" i="10"/>
  <c r="D131" i="10"/>
  <c r="D124" i="10"/>
  <c r="D117" i="10"/>
  <c r="D103" i="10"/>
  <c r="O133" i="10"/>
  <c r="O140" i="10"/>
  <c r="Q131" i="10"/>
  <c r="Q138" i="10"/>
  <c r="I131" i="10"/>
  <c r="I138" i="10"/>
  <c r="P132" i="10"/>
  <c r="P139" i="10"/>
  <c r="G132" i="10"/>
  <c r="G139" i="10"/>
  <c r="L131" i="10"/>
  <c r="L138" i="10"/>
  <c r="J133" i="10"/>
  <c r="J140" i="10"/>
  <c r="F131" i="10"/>
  <c r="F138" i="10"/>
  <c r="N133" i="10"/>
  <c r="N140" i="10"/>
  <c r="G133" i="10"/>
  <c r="G140" i="10"/>
  <c r="P131" i="10"/>
  <c r="P138" i="10"/>
  <c r="K131" i="10"/>
  <c r="K138" i="10"/>
  <c r="O132" i="10"/>
  <c r="O139" i="10"/>
  <c r="I132" i="10"/>
  <c r="I139" i="10"/>
  <c r="H132" i="10"/>
  <c r="H139" i="10"/>
  <c r="L133" i="10"/>
  <c r="L140" i="10"/>
  <c r="E131" i="10"/>
  <c r="E138" i="10"/>
  <c r="F132" i="10"/>
  <c r="F139" i="10"/>
  <c r="M133" i="10"/>
  <c r="M140" i="10"/>
  <c r="I133" i="10"/>
  <c r="I140" i="10"/>
  <c r="N131" i="10"/>
  <c r="N138" i="10"/>
  <c r="O131" i="10"/>
  <c r="O138" i="10"/>
  <c r="M132" i="10"/>
  <c r="M139" i="10"/>
  <c r="N132" i="10"/>
  <c r="N139" i="10"/>
  <c r="K132" i="10"/>
  <c r="K139" i="10"/>
  <c r="J132" i="10"/>
  <c r="J139" i="10"/>
  <c r="J131" i="10"/>
  <c r="J138" i="10"/>
  <c r="E132" i="10"/>
  <c r="E139" i="10"/>
  <c r="P133" i="10"/>
  <c r="P140" i="10"/>
  <c r="Q133" i="10"/>
  <c r="Q140" i="10"/>
  <c r="K133" i="10"/>
  <c r="K140" i="10"/>
  <c r="M131" i="10"/>
  <c r="M138" i="10"/>
  <c r="G131" i="10"/>
  <c r="G138" i="10"/>
  <c r="Q132" i="10"/>
  <c r="Q139" i="10"/>
  <c r="H131" i="10"/>
  <c r="H138" i="10"/>
  <c r="H133" i="10"/>
  <c r="H140" i="10"/>
  <c r="L132" i="10"/>
  <c r="L139" i="10"/>
  <c r="E133" i="10"/>
  <c r="E140" i="10"/>
  <c r="F133" i="10"/>
  <c r="F140" i="10"/>
  <c r="L130" i="10"/>
  <c r="L137" i="10"/>
  <c r="Q130" i="10"/>
  <c r="Q137" i="10"/>
  <c r="I130" i="10"/>
  <c r="I137" i="10"/>
  <c r="E130" i="10"/>
  <c r="E137" i="10"/>
  <c r="O130" i="10"/>
  <c r="O137" i="10"/>
  <c r="P130" i="10"/>
  <c r="P137" i="10"/>
  <c r="K130" i="10"/>
  <c r="K137" i="10"/>
  <c r="H130" i="10"/>
  <c r="H137" i="10"/>
  <c r="N130" i="10"/>
  <c r="N137" i="10"/>
  <c r="G130" i="10"/>
  <c r="G137" i="10"/>
  <c r="F130" i="10"/>
  <c r="F137" i="10"/>
  <c r="J130" i="10"/>
  <c r="J137" i="10"/>
  <c r="M130" i="10"/>
  <c r="M137" i="10"/>
  <c r="M119" i="10"/>
  <c r="M126" i="10"/>
  <c r="I119" i="10"/>
  <c r="I126" i="10"/>
  <c r="N117" i="10"/>
  <c r="N124" i="10"/>
  <c r="O117" i="10"/>
  <c r="O124" i="10"/>
  <c r="M118" i="10"/>
  <c r="M125" i="10"/>
  <c r="N118" i="10"/>
  <c r="N125" i="10"/>
  <c r="K118" i="10"/>
  <c r="K125" i="10"/>
  <c r="J118" i="10"/>
  <c r="J125" i="10"/>
  <c r="J117" i="10"/>
  <c r="J124" i="10"/>
  <c r="E118" i="10"/>
  <c r="E125" i="10"/>
  <c r="F117" i="10"/>
  <c r="F124" i="10"/>
  <c r="P119" i="10"/>
  <c r="P126" i="10"/>
  <c r="Q119" i="10"/>
  <c r="Q126" i="10"/>
  <c r="K119" i="10"/>
  <c r="K126" i="10"/>
  <c r="M117" i="10"/>
  <c r="M124" i="10"/>
  <c r="G117" i="10"/>
  <c r="G124" i="10"/>
  <c r="Q118" i="10"/>
  <c r="Q125" i="10"/>
  <c r="H117" i="10"/>
  <c r="H124" i="10"/>
  <c r="H119" i="10"/>
  <c r="H126" i="10"/>
  <c r="L118" i="10"/>
  <c r="L125" i="10"/>
  <c r="E119" i="10"/>
  <c r="E126" i="10"/>
  <c r="F118" i="10"/>
  <c r="F125" i="10"/>
  <c r="O119" i="10"/>
  <c r="O126" i="10"/>
  <c r="Q117" i="10"/>
  <c r="Q124" i="10"/>
  <c r="I117" i="10"/>
  <c r="I124" i="10"/>
  <c r="P118" i="10"/>
  <c r="P125" i="10"/>
  <c r="G118" i="10"/>
  <c r="G125" i="10"/>
  <c r="L117" i="10"/>
  <c r="L124" i="10"/>
  <c r="J119" i="10"/>
  <c r="J126" i="10"/>
  <c r="N119" i="10"/>
  <c r="N126" i="10"/>
  <c r="G119" i="10"/>
  <c r="G126" i="10"/>
  <c r="P117" i="10"/>
  <c r="P124" i="10"/>
  <c r="K117" i="10"/>
  <c r="K124" i="10"/>
  <c r="O118" i="10"/>
  <c r="O125" i="10"/>
  <c r="I118" i="10"/>
  <c r="I125" i="10"/>
  <c r="H118" i="10"/>
  <c r="H125" i="10"/>
  <c r="L119" i="10"/>
  <c r="L126" i="10"/>
  <c r="E117" i="10"/>
  <c r="E124" i="10"/>
  <c r="F119" i="10"/>
  <c r="F126" i="10"/>
  <c r="H116" i="10"/>
  <c r="H123" i="10"/>
  <c r="N116" i="10"/>
  <c r="N123" i="10"/>
  <c r="G116" i="10"/>
  <c r="G123" i="10"/>
  <c r="L116" i="10"/>
  <c r="L123" i="10"/>
  <c r="Q116" i="10"/>
  <c r="I116" i="10"/>
  <c r="I123" i="10"/>
  <c r="E116" i="10"/>
  <c r="E123" i="10"/>
  <c r="F116" i="10"/>
  <c r="F123" i="10"/>
  <c r="J116" i="10"/>
  <c r="J123" i="10"/>
  <c r="M116" i="10"/>
  <c r="M123" i="10"/>
  <c r="O116" i="10"/>
  <c r="O123" i="10"/>
  <c r="P116" i="10"/>
  <c r="P123" i="10"/>
  <c r="K116" i="10"/>
  <c r="K123" i="10"/>
  <c r="O105" i="10"/>
  <c r="Q103" i="10"/>
  <c r="I103" i="10"/>
  <c r="P104" i="10"/>
  <c r="G104" i="10"/>
  <c r="L103" i="10"/>
  <c r="J105" i="10"/>
  <c r="N105" i="10"/>
  <c r="G105" i="10"/>
  <c r="P103" i="10"/>
  <c r="K103" i="10"/>
  <c r="O104" i="10"/>
  <c r="I104" i="10"/>
  <c r="H104" i="10"/>
  <c r="L105" i="10"/>
  <c r="E103" i="10"/>
  <c r="F105" i="10"/>
  <c r="M105" i="10"/>
  <c r="I105" i="10"/>
  <c r="N103" i="10"/>
  <c r="O103" i="10"/>
  <c r="M104" i="10"/>
  <c r="N104" i="10"/>
  <c r="K104" i="10"/>
  <c r="J104" i="10"/>
  <c r="J103" i="10"/>
  <c r="E104" i="10"/>
  <c r="F103" i="10"/>
  <c r="P105" i="10"/>
  <c r="Q105" i="10"/>
  <c r="K105" i="10"/>
  <c r="M103" i="10"/>
  <c r="G103" i="10"/>
  <c r="Q104" i="10"/>
  <c r="H103" i="10"/>
  <c r="H105" i="10"/>
  <c r="L104" i="10"/>
  <c r="E105" i="10"/>
  <c r="F104" i="10"/>
  <c r="H102" i="10"/>
  <c r="N102" i="10"/>
  <c r="G102" i="10"/>
  <c r="J102" i="10"/>
  <c r="M102" i="10"/>
  <c r="L102" i="10"/>
  <c r="Q102" i="10"/>
  <c r="I102" i="10"/>
  <c r="E102" i="10"/>
  <c r="F102" i="10"/>
  <c r="O102" i="10"/>
  <c r="P102" i="10"/>
  <c r="K102" i="10"/>
  <c r="M161" i="10"/>
  <c r="G161" i="10"/>
  <c r="H161" i="10"/>
  <c r="E161" i="10"/>
  <c r="P161" i="10"/>
  <c r="Q161" i="10"/>
  <c r="I161" i="10"/>
  <c r="J161" i="10"/>
  <c r="L161" i="10"/>
  <c r="O161" i="10"/>
  <c r="K161" i="10"/>
  <c r="N161" i="10"/>
  <c r="F161" i="10"/>
  <c r="P160" i="10"/>
  <c r="F160" i="10"/>
  <c r="L160" i="10"/>
  <c r="O160" i="10"/>
  <c r="G160" i="10"/>
  <c r="M160" i="10"/>
  <c r="N160" i="10"/>
  <c r="I160" i="10"/>
  <c r="H160" i="10"/>
  <c r="Q160" i="10"/>
  <c r="K160" i="10"/>
  <c r="J160" i="10"/>
  <c r="E160" i="10"/>
  <c r="P159" i="10"/>
  <c r="I159" i="10"/>
  <c r="H159" i="10"/>
  <c r="N159" i="10"/>
  <c r="O159" i="10"/>
  <c r="K159" i="10"/>
  <c r="L159" i="10"/>
  <c r="M159" i="10"/>
  <c r="F159" i="10"/>
  <c r="E159" i="10"/>
  <c r="Q159" i="10"/>
  <c r="G159" i="10"/>
  <c r="J159" i="10"/>
  <c r="J158" i="10"/>
  <c r="O158" i="10"/>
  <c r="M158" i="10"/>
  <c r="P158" i="10"/>
  <c r="F158" i="10"/>
  <c r="I158" i="10"/>
  <c r="H158" i="10"/>
  <c r="L158" i="10"/>
  <c r="N158" i="10"/>
  <c r="Q158" i="10"/>
  <c r="G158" i="10"/>
  <c r="K158" i="10"/>
  <c r="E158" i="10"/>
  <c r="C158" i="10"/>
  <c r="D159" i="10"/>
  <c r="D158" i="10"/>
  <c r="F50" i="10"/>
  <c r="F59" i="10" s="1"/>
  <c r="E50" i="10"/>
  <c r="E59" i="10" s="1"/>
  <c r="E53" i="10"/>
  <c r="E52" i="10"/>
  <c r="F53" i="10"/>
  <c r="C51" i="10"/>
  <c r="C64" i="10" s="1"/>
  <c r="D53" i="10"/>
  <c r="E51" i="10"/>
  <c r="E64" i="10" s="1"/>
  <c r="F52" i="10"/>
  <c r="F61" i="10"/>
  <c r="D50" i="10"/>
  <c r="D59" i="10" s="1"/>
  <c r="F51" i="10"/>
  <c r="F64" i="10" s="1"/>
  <c r="F60" i="10"/>
  <c r="C53" i="10"/>
  <c r="C52" i="10"/>
  <c r="D51" i="10"/>
  <c r="D64" i="10" s="1"/>
  <c r="C50" i="10"/>
  <c r="C60" i="10" s="1"/>
  <c r="D52" i="10"/>
  <c r="AE14" i="10"/>
  <c r="AE15" i="10" s="1"/>
  <c r="AI14" i="10"/>
  <c r="AI15" i="10" s="1"/>
  <c r="T14" i="10"/>
  <c r="T15" i="10" s="1"/>
  <c r="AL14" i="10"/>
  <c r="AL15" i="10" s="1"/>
  <c r="AL18" i="10"/>
  <c r="X14" i="10"/>
  <c r="X15" i="10" s="1"/>
  <c r="S14" i="10"/>
  <c r="S15" i="10" s="1"/>
  <c r="AO14" i="10"/>
  <c r="AO15" i="10" s="1"/>
  <c r="AO18" i="10"/>
  <c r="AS14" i="10"/>
  <c r="AS15" i="10" s="1"/>
  <c r="AS18" i="10"/>
  <c r="AM14" i="10"/>
  <c r="AM15" i="10" s="1"/>
  <c r="AM18" i="10"/>
  <c r="AQ14" i="10"/>
  <c r="AQ15" i="10" s="1"/>
  <c r="AQ18" i="10"/>
  <c r="AN14" i="10"/>
  <c r="AN15" i="10" s="1"/>
  <c r="AN18" i="10"/>
  <c r="AP14" i="10"/>
  <c r="AP15" i="10" s="1"/>
  <c r="AP18" i="10"/>
  <c r="AP24" i="10"/>
  <c r="AP26" i="10"/>
  <c r="AP23" i="10"/>
  <c r="AP25" i="10"/>
  <c r="AP27" i="10"/>
  <c r="AP28" i="10"/>
  <c r="AP30" i="10"/>
  <c r="AP29" i="10"/>
  <c r="AT14" i="10"/>
  <c r="AT15" i="10" s="1"/>
  <c r="AT18" i="10"/>
  <c r="AU14" i="10"/>
  <c r="AU15" i="10" s="1"/>
  <c r="AU18" i="10"/>
  <c r="AR14" i="10"/>
  <c r="AR15" i="10" s="1"/>
  <c r="AR18" i="10"/>
  <c r="AJ14" i="10"/>
  <c r="AJ15" i="10" s="1"/>
  <c r="AK14" i="10"/>
  <c r="AK15" i="10" s="1"/>
  <c r="AK165" i="10"/>
  <c r="AK172" i="10"/>
  <c r="V175" i="10"/>
  <c r="V168" i="10"/>
  <c r="V140" i="10"/>
  <c r="V154" i="10"/>
  <c r="V119" i="10"/>
  <c r="V105" i="10"/>
  <c r="V161" i="10"/>
  <c r="V133" i="10"/>
  <c r="V147" i="10"/>
  <c r="V126" i="10"/>
  <c r="V112" i="10"/>
  <c r="AK173" i="10"/>
  <c r="AK166" i="10"/>
  <c r="V14" i="10"/>
  <c r="V15" i="10" s="1"/>
  <c r="V172" i="10"/>
  <c r="V165" i="10"/>
  <c r="V130" i="10"/>
  <c r="V144" i="10"/>
  <c r="V123" i="10"/>
  <c r="V158" i="10"/>
  <c r="V137" i="10"/>
  <c r="V151" i="10"/>
  <c r="V116" i="10"/>
  <c r="V102" i="10"/>
  <c r="V109" i="10"/>
  <c r="V173" i="10"/>
  <c r="V166" i="10"/>
  <c r="V131" i="10"/>
  <c r="V145" i="10"/>
  <c r="V124" i="10"/>
  <c r="V110" i="10"/>
  <c r="V138" i="10"/>
  <c r="V152" i="10"/>
  <c r="V117" i="10"/>
  <c r="V103" i="10"/>
  <c r="V159" i="10"/>
  <c r="AK175" i="10"/>
  <c r="AK168" i="10"/>
  <c r="V174" i="10"/>
  <c r="V167" i="10"/>
  <c r="V160" i="10"/>
  <c r="V118" i="10"/>
  <c r="V139" i="10"/>
  <c r="V153" i="10"/>
  <c r="V132" i="10"/>
  <c r="V146" i="10"/>
  <c r="V125" i="10"/>
  <c r="V111" i="10"/>
  <c r="V104" i="10"/>
  <c r="AK167" i="10"/>
  <c r="AK174" i="10"/>
  <c r="C151" i="10"/>
  <c r="C144" i="10"/>
  <c r="D144" i="10"/>
  <c r="D151" i="10"/>
  <c r="W168" i="10"/>
  <c r="W175" i="10"/>
  <c r="Y168" i="10"/>
  <c r="Y175" i="10"/>
  <c r="AE168" i="10"/>
  <c r="AE175" i="10"/>
  <c r="Z168" i="10"/>
  <c r="Z175" i="10"/>
  <c r="T168" i="10"/>
  <c r="T175" i="10"/>
  <c r="R168" i="10"/>
  <c r="R175" i="10"/>
  <c r="X168" i="10"/>
  <c r="X175" i="10"/>
  <c r="AA168" i="10"/>
  <c r="AA175" i="10"/>
  <c r="AI168" i="10"/>
  <c r="AI175" i="10"/>
  <c r="AD168" i="10"/>
  <c r="AD175" i="10"/>
  <c r="AJ168" i="10"/>
  <c r="AJ175" i="10"/>
  <c r="AC168" i="10"/>
  <c r="AC175" i="10"/>
  <c r="AG168" i="10"/>
  <c r="AG175" i="10"/>
  <c r="S168" i="10"/>
  <c r="S175" i="10"/>
  <c r="U168" i="10"/>
  <c r="U175" i="10"/>
  <c r="AB168" i="10"/>
  <c r="AB175" i="10"/>
  <c r="AF168" i="10"/>
  <c r="AF175" i="10"/>
  <c r="AH168" i="10"/>
  <c r="AH175" i="10"/>
  <c r="W167" i="10"/>
  <c r="W174" i="10"/>
  <c r="AA167" i="10"/>
  <c r="AA174" i="10"/>
  <c r="AC167" i="10"/>
  <c r="AC174" i="10"/>
  <c r="AD167" i="10"/>
  <c r="AD174" i="10"/>
  <c r="U167" i="10"/>
  <c r="U174" i="10"/>
  <c r="X167" i="10"/>
  <c r="X174" i="10"/>
  <c r="AG167" i="10"/>
  <c r="AG174" i="10"/>
  <c r="S167" i="10"/>
  <c r="S174" i="10"/>
  <c r="R167" i="10"/>
  <c r="R174" i="10"/>
  <c r="AI167" i="10"/>
  <c r="AI174" i="10"/>
  <c r="Y167" i="10"/>
  <c r="Y174" i="10"/>
  <c r="AE167" i="10"/>
  <c r="AE174" i="10"/>
  <c r="AF167" i="10"/>
  <c r="AF174" i="10"/>
  <c r="AH167" i="10"/>
  <c r="AH174" i="10"/>
  <c r="AJ167" i="10"/>
  <c r="AJ174" i="10"/>
  <c r="AB167" i="10"/>
  <c r="AB174" i="10"/>
  <c r="Z167" i="10"/>
  <c r="Z174" i="10"/>
  <c r="T167" i="10"/>
  <c r="T174" i="10"/>
  <c r="Y166" i="10"/>
  <c r="Y173" i="10"/>
  <c r="AJ166" i="10"/>
  <c r="AJ173" i="10"/>
  <c r="AF166" i="10"/>
  <c r="AF173" i="10"/>
  <c r="S166" i="10"/>
  <c r="S173" i="10"/>
  <c r="AG166" i="10"/>
  <c r="AG173" i="10"/>
  <c r="AH166" i="10"/>
  <c r="AH173" i="10"/>
  <c r="U166" i="10"/>
  <c r="U173" i="10"/>
  <c r="Z166" i="10"/>
  <c r="Z173" i="10"/>
  <c r="AD166" i="10"/>
  <c r="AD173" i="10"/>
  <c r="T166" i="10"/>
  <c r="T173" i="10"/>
  <c r="AB166" i="10"/>
  <c r="AB173" i="10"/>
  <c r="R166" i="10"/>
  <c r="R173" i="10"/>
  <c r="AE166" i="10"/>
  <c r="AE173" i="10"/>
  <c r="AC166" i="10"/>
  <c r="AC173" i="10"/>
  <c r="W166" i="10"/>
  <c r="W173" i="10"/>
  <c r="X166" i="10"/>
  <c r="X173" i="10"/>
  <c r="AA166" i="10"/>
  <c r="AA173" i="10"/>
  <c r="AI166" i="10"/>
  <c r="AI173" i="10"/>
  <c r="AC165" i="10"/>
  <c r="AC172" i="10"/>
  <c r="W165" i="10"/>
  <c r="W172" i="10"/>
  <c r="S165" i="10"/>
  <c r="S172" i="10"/>
  <c r="AG165" i="10"/>
  <c r="AG172" i="10"/>
  <c r="AA165" i="10"/>
  <c r="AA172" i="10"/>
  <c r="AJ165" i="10"/>
  <c r="AJ172" i="10"/>
  <c r="T165" i="10"/>
  <c r="T172" i="10"/>
  <c r="U165" i="10"/>
  <c r="U172" i="10"/>
  <c r="Z165" i="10"/>
  <c r="Z172" i="10"/>
  <c r="X165" i="10"/>
  <c r="X172" i="10"/>
  <c r="AI165" i="10"/>
  <c r="AI172" i="10"/>
  <c r="AB165" i="10"/>
  <c r="AB172" i="10"/>
  <c r="AE165" i="10"/>
  <c r="AE172" i="10"/>
  <c r="AD165" i="10"/>
  <c r="AD172" i="10"/>
  <c r="Y165" i="10"/>
  <c r="Y172" i="10"/>
  <c r="AF165" i="10"/>
  <c r="AF172" i="10"/>
  <c r="AH165" i="10"/>
  <c r="AH172" i="10"/>
  <c r="R165" i="10"/>
  <c r="R172" i="10"/>
  <c r="AJ161" i="10"/>
  <c r="AC161" i="10"/>
  <c r="AG161" i="10"/>
  <c r="S161" i="10"/>
  <c r="U161" i="10"/>
  <c r="AB161" i="10"/>
  <c r="AF161" i="10"/>
  <c r="AH161" i="10"/>
  <c r="W161" i="10"/>
  <c r="Y161" i="10"/>
  <c r="AE161" i="10"/>
  <c r="Z161" i="10"/>
  <c r="T161" i="10"/>
  <c r="R161" i="10"/>
  <c r="X161" i="10"/>
  <c r="AA161" i="10"/>
  <c r="AI161" i="10"/>
  <c r="AD161" i="10"/>
  <c r="AI160" i="10"/>
  <c r="Y160" i="10"/>
  <c r="AE160" i="10"/>
  <c r="AF160" i="10"/>
  <c r="AH160" i="10"/>
  <c r="AJ160" i="10"/>
  <c r="AB160" i="10"/>
  <c r="Z160" i="10"/>
  <c r="T160" i="10"/>
  <c r="W160" i="10"/>
  <c r="AA160" i="10"/>
  <c r="AC160" i="10"/>
  <c r="AD160" i="10"/>
  <c r="U160" i="10"/>
  <c r="X160" i="10"/>
  <c r="AG160" i="10"/>
  <c r="S160" i="10"/>
  <c r="R160" i="10"/>
  <c r="Z159" i="10"/>
  <c r="AD159" i="10"/>
  <c r="T159" i="10"/>
  <c r="AB159" i="10"/>
  <c r="AE159" i="10"/>
  <c r="AC159" i="10"/>
  <c r="W159" i="10"/>
  <c r="X159" i="10"/>
  <c r="AA159" i="10"/>
  <c r="AI159" i="10"/>
  <c r="Y159" i="10"/>
  <c r="AJ159" i="10"/>
  <c r="AF159" i="10"/>
  <c r="S159" i="10"/>
  <c r="AG159" i="10"/>
  <c r="AH159" i="10"/>
  <c r="U159" i="10"/>
  <c r="Z158" i="10"/>
  <c r="X158" i="10"/>
  <c r="AI158" i="10"/>
  <c r="AB158" i="10"/>
  <c r="AE158" i="10"/>
  <c r="AD158" i="10"/>
  <c r="Y158" i="10"/>
  <c r="AF158" i="10"/>
  <c r="AH158" i="10"/>
  <c r="R158" i="10"/>
  <c r="AC158" i="10"/>
  <c r="W158" i="10"/>
  <c r="S158" i="10"/>
  <c r="AG158" i="10"/>
  <c r="AA158" i="10"/>
  <c r="AJ158" i="10"/>
  <c r="T158" i="10"/>
  <c r="U158" i="10"/>
  <c r="G154" i="10"/>
  <c r="J154" i="10"/>
  <c r="K154" i="10"/>
  <c r="D154" i="10"/>
  <c r="F154" i="10"/>
  <c r="C154" i="10"/>
  <c r="I154" i="10"/>
  <c r="L154" i="10"/>
  <c r="E154" i="10"/>
  <c r="H154" i="10"/>
  <c r="N53" i="10"/>
  <c r="F153" i="10"/>
  <c r="G153" i="10"/>
  <c r="Q52" i="10"/>
  <c r="M52" i="10"/>
  <c r="I153" i="10"/>
  <c r="D153" i="10"/>
  <c r="J153" i="10"/>
  <c r="E153" i="10"/>
  <c r="H153" i="10"/>
  <c r="C153" i="10"/>
  <c r="L153" i="10"/>
  <c r="K153" i="10"/>
  <c r="J152" i="10"/>
  <c r="E152" i="10"/>
  <c r="P51" i="10"/>
  <c r="Q51" i="10"/>
  <c r="Q64" i="10" s="1"/>
  <c r="C152" i="10"/>
  <c r="D152" i="10"/>
  <c r="F152" i="10"/>
  <c r="G152" i="10"/>
  <c r="L152" i="10"/>
  <c r="J151" i="10"/>
  <c r="H151" i="10"/>
  <c r="E151" i="10"/>
  <c r="AI144" i="10"/>
  <c r="K151" i="10"/>
  <c r="L151" i="10"/>
  <c r="M50" i="10"/>
  <c r="F151" i="10"/>
  <c r="G151" i="10"/>
  <c r="I151" i="10"/>
  <c r="AK133" i="10"/>
  <c r="AK140" i="10"/>
  <c r="AK147" i="10"/>
  <c r="AK154" i="10"/>
  <c r="AK123" i="10"/>
  <c r="AK130" i="10"/>
  <c r="AK137" i="10"/>
  <c r="AK144" i="10"/>
  <c r="AK151" i="10"/>
  <c r="X132" i="10"/>
  <c r="X139" i="10"/>
  <c r="X146" i="10"/>
  <c r="X153" i="10"/>
  <c r="AG132" i="10"/>
  <c r="AG139" i="10"/>
  <c r="AG146" i="10"/>
  <c r="AG153" i="10"/>
  <c r="AH132" i="10"/>
  <c r="AH139" i="10"/>
  <c r="AH146" i="10"/>
  <c r="AH153" i="10"/>
  <c r="AJ133" i="10"/>
  <c r="AJ140" i="10"/>
  <c r="AJ147" i="10"/>
  <c r="AJ154" i="10"/>
  <c r="AC133" i="10"/>
  <c r="AC140" i="10"/>
  <c r="AC147" i="10"/>
  <c r="AC154" i="10"/>
  <c r="AF133" i="10"/>
  <c r="AF140" i="10"/>
  <c r="AF147" i="10"/>
  <c r="AF154" i="10"/>
  <c r="AH133" i="10"/>
  <c r="AH140" i="10"/>
  <c r="AH147" i="10"/>
  <c r="AH154" i="10"/>
  <c r="AE130" i="10"/>
  <c r="AE137" i="10"/>
  <c r="AE144" i="10"/>
  <c r="AE151" i="10"/>
  <c r="AD130" i="10"/>
  <c r="AD137" i="10"/>
  <c r="AD144" i="10"/>
  <c r="AD151" i="10"/>
  <c r="Y130" i="10"/>
  <c r="Y137" i="10"/>
  <c r="Y144" i="10"/>
  <c r="Y151" i="10"/>
  <c r="S130" i="10"/>
  <c r="S137" i="10"/>
  <c r="S151" i="10"/>
  <c r="S144" i="10"/>
  <c r="AG130" i="10"/>
  <c r="AG137" i="10"/>
  <c r="AG144" i="10"/>
  <c r="AG151" i="10"/>
  <c r="Y124" i="10"/>
  <c r="Y131" i="10"/>
  <c r="Y138" i="10"/>
  <c r="Y145" i="10"/>
  <c r="Y152" i="10"/>
  <c r="AJ131" i="10"/>
  <c r="AJ138" i="10"/>
  <c r="AJ145" i="10"/>
  <c r="AJ152" i="10"/>
  <c r="AF131" i="10"/>
  <c r="AF138" i="10"/>
  <c r="AF145" i="10"/>
  <c r="AF152" i="10"/>
  <c r="W132" i="10"/>
  <c r="W139" i="10"/>
  <c r="W146" i="10"/>
  <c r="W153" i="10"/>
  <c r="AA125" i="10"/>
  <c r="AA132" i="10"/>
  <c r="AA139" i="10"/>
  <c r="AA153" i="10"/>
  <c r="AA146" i="10"/>
  <c r="AC125" i="10"/>
  <c r="AC132" i="10"/>
  <c r="AC139" i="10"/>
  <c r="AC146" i="10"/>
  <c r="AC153" i="10"/>
  <c r="AD132" i="10"/>
  <c r="AD139" i="10"/>
  <c r="AD146" i="10"/>
  <c r="AD153" i="10"/>
  <c r="U132" i="10"/>
  <c r="U139" i="10"/>
  <c r="U146" i="10"/>
  <c r="U153" i="10"/>
  <c r="S132" i="10"/>
  <c r="S139" i="10"/>
  <c r="S153" i="10"/>
  <c r="S146" i="10"/>
  <c r="X133" i="10"/>
  <c r="X140" i="10"/>
  <c r="X147" i="10"/>
  <c r="X154" i="10"/>
  <c r="AA133" i="10"/>
  <c r="AA140" i="10"/>
  <c r="AA147" i="10"/>
  <c r="AA154" i="10"/>
  <c r="R133" i="10"/>
  <c r="R140" i="10"/>
  <c r="R147" i="10"/>
  <c r="R154" i="10"/>
  <c r="AG126" i="10"/>
  <c r="AG133" i="10"/>
  <c r="AG140" i="10"/>
  <c r="AG147" i="10"/>
  <c r="AG154" i="10"/>
  <c r="S133" i="10"/>
  <c r="S140" i="10"/>
  <c r="S147" i="10"/>
  <c r="S154" i="10"/>
  <c r="Z130" i="10"/>
  <c r="Z137" i="10"/>
  <c r="Z144" i="10"/>
  <c r="Z151" i="10"/>
  <c r="X130" i="10"/>
  <c r="X137" i="10"/>
  <c r="X144" i="10"/>
  <c r="X151" i="10"/>
  <c r="AI130" i="10"/>
  <c r="AI137" i="10"/>
  <c r="AI151" i="10"/>
  <c r="AF130" i="10"/>
  <c r="AF137" i="10"/>
  <c r="AF144" i="10"/>
  <c r="AF151" i="10"/>
  <c r="AH130" i="10"/>
  <c r="AH137" i="10"/>
  <c r="AH144" i="10"/>
  <c r="AH151" i="10"/>
  <c r="AE131" i="10"/>
  <c r="AE138" i="10"/>
  <c r="AE152" i="10"/>
  <c r="AE145" i="10"/>
  <c r="AC131" i="10"/>
  <c r="AC138" i="10"/>
  <c r="AC145" i="10"/>
  <c r="AC152" i="10"/>
  <c r="W131" i="10"/>
  <c r="W138" i="10"/>
  <c r="W152" i="10"/>
  <c r="W145" i="10"/>
  <c r="X131" i="10"/>
  <c r="X138" i="10"/>
  <c r="X145" i="10"/>
  <c r="X152" i="10"/>
  <c r="AA131" i="10"/>
  <c r="AA138" i="10"/>
  <c r="AA145" i="10"/>
  <c r="AA152" i="10"/>
  <c r="AI131" i="10"/>
  <c r="AI138" i="10"/>
  <c r="AI145" i="10"/>
  <c r="AI152" i="10"/>
  <c r="AK131" i="10"/>
  <c r="AK138" i="10"/>
  <c r="AK145" i="10"/>
  <c r="AK152" i="10"/>
  <c r="AK132" i="10"/>
  <c r="AK139" i="10"/>
  <c r="AK146" i="10"/>
  <c r="AK153" i="10"/>
  <c r="AJ132" i="10"/>
  <c r="AJ139" i="10"/>
  <c r="AJ146" i="10"/>
  <c r="AJ153" i="10"/>
  <c r="AB132" i="10"/>
  <c r="AB139" i="10"/>
  <c r="AB146" i="10"/>
  <c r="AB153" i="10"/>
  <c r="Z132" i="10"/>
  <c r="Z146" i="10"/>
  <c r="Z139" i="10"/>
  <c r="Z153" i="10"/>
  <c r="T132" i="10"/>
  <c r="T139" i="10"/>
  <c r="T146" i="10"/>
  <c r="T153" i="10"/>
  <c r="W133" i="10"/>
  <c r="W140" i="10"/>
  <c r="W147" i="10"/>
  <c r="W154" i="10"/>
  <c r="Y133" i="10"/>
  <c r="Y140" i="10"/>
  <c r="Y147" i="10"/>
  <c r="Y154" i="10"/>
  <c r="AI133" i="10"/>
  <c r="AI140" i="10"/>
  <c r="AI147" i="10"/>
  <c r="AI154" i="10"/>
  <c r="AD126" i="10"/>
  <c r="AD133" i="10"/>
  <c r="AD140" i="10"/>
  <c r="AD147" i="10"/>
  <c r="AD154" i="10"/>
  <c r="AA130" i="10"/>
  <c r="AA137" i="10"/>
  <c r="AA151" i="10"/>
  <c r="AA144" i="10"/>
  <c r="AJ130" i="10"/>
  <c r="AJ137" i="10"/>
  <c r="AJ144" i="10"/>
  <c r="AJ151" i="10"/>
  <c r="AB130" i="10"/>
  <c r="AB137" i="10"/>
  <c r="AB144" i="10"/>
  <c r="AB151" i="10"/>
  <c r="Z131" i="10"/>
  <c r="Z138" i="10"/>
  <c r="Z145" i="10"/>
  <c r="Z152" i="10"/>
  <c r="AD131" i="10"/>
  <c r="AD145" i="10"/>
  <c r="AD138" i="10"/>
  <c r="AD152" i="10"/>
  <c r="T124" i="10"/>
  <c r="T131" i="10"/>
  <c r="T138" i="10"/>
  <c r="T145" i="10"/>
  <c r="T152" i="10"/>
  <c r="R131" i="10"/>
  <c r="R138" i="10"/>
  <c r="R145" i="10"/>
  <c r="R152" i="10"/>
  <c r="AB131" i="10"/>
  <c r="AB138" i="10"/>
  <c r="AB145" i="10"/>
  <c r="AB152" i="10"/>
  <c r="AI132" i="10"/>
  <c r="AI139" i="10"/>
  <c r="AI153" i="10"/>
  <c r="AI146" i="10"/>
  <c r="Y132" i="10"/>
  <c r="Y139" i="10"/>
  <c r="Y146" i="10"/>
  <c r="Y153" i="10"/>
  <c r="AE132" i="10"/>
  <c r="AE139" i="10"/>
  <c r="AE146" i="10"/>
  <c r="AE153" i="10"/>
  <c r="AF132" i="10"/>
  <c r="AF139" i="10"/>
  <c r="AF146" i="10"/>
  <c r="AF153" i="10"/>
  <c r="R132" i="10"/>
  <c r="R139" i="10"/>
  <c r="R146" i="10"/>
  <c r="R153" i="10"/>
  <c r="U133" i="10"/>
  <c r="U140" i="10"/>
  <c r="U147" i="10"/>
  <c r="U154" i="10"/>
  <c r="AB133" i="10"/>
  <c r="AB140" i="10"/>
  <c r="AB147" i="10"/>
  <c r="AB154" i="10"/>
  <c r="AE133" i="10"/>
  <c r="AE140" i="10"/>
  <c r="AE147" i="10"/>
  <c r="AE154" i="10"/>
  <c r="Z133" i="10"/>
  <c r="Z140" i="10"/>
  <c r="Z147" i="10"/>
  <c r="Z154" i="10"/>
  <c r="T126" i="10"/>
  <c r="T133" i="10"/>
  <c r="T140" i="10"/>
  <c r="T147" i="10"/>
  <c r="T154" i="10"/>
  <c r="AC130" i="10"/>
  <c r="AC137" i="10"/>
  <c r="AC144" i="10"/>
  <c r="AC151" i="10"/>
  <c r="W130" i="10"/>
  <c r="W137" i="10"/>
  <c r="W144" i="10"/>
  <c r="W151" i="10"/>
  <c r="R130" i="10"/>
  <c r="R137" i="10"/>
  <c r="R144" i="10"/>
  <c r="R151" i="10"/>
  <c r="T130" i="10"/>
  <c r="T137" i="10"/>
  <c r="T144" i="10"/>
  <c r="T151" i="10"/>
  <c r="U130" i="10"/>
  <c r="U137" i="10"/>
  <c r="U144" i="10"/>
  <c r="U151" i="10"/>
  <c r="S131" i="10"/>
  <c r="S138" i="10"/>
  <c r="S145" i="10"/>
  <c r="S152" i="10"/>
  <c r="AG131" i="10"/>
  <c r="AG138" i="10"/>
  <c r="AG145" i="10"/>
  <c r="AG152" i="10"/>
  <c r="AH131" i="10"/>
  <c r="AH138" i="10"/>
  <c r="AH145" i="10"/>
  <c r="AH152" i="10"/>
  <c r="U124" i="10"/>
  <c r="U131" i="10"/>
  <c r="U138" i="10"/>
  <c r="U145" i="10"/>
  <c r="U152" i="10"/>
  <c r="AI118" i="10"/>
  <c r="AI125" i="10"/>
  <c r="Y118" i="10"/>
  <c r="Y125" i="10"/>
  <c r="AE118" i="10"/>
  <c r="AE125" i="10"/>
  <c r="AF118" i="10"/>
  <c r="AF125" i="10"/>
  <c r="R118" i="10"/>
  <c r="R125" i="10"/>
  <c r="U119" i="10"/>
  <c r="U126" i="10"/>
  <c r="AB119" i="10"/>
  <c r="AB126" i="10"/>
  <c r="AE119" i="10"/>
  <c r="AE126" i="10"/>
  <c r="Z119" i="10"/>
  <c r="Z126" i="10"/>
  <c r="AC116" i="10"/>
  <c r="AC123" i="10"/>
  <c r="W116" i="10"/>
  <c r="W123" i="10"/>
  <c r="R116" i="10"/>
  <c r="R123" i="10"/>
  <c r="T116" i="10"/>
  <c r="T123" i="10"/>
  <c r="U116" i="10"/>
  <c r="U123" i="10"/>
  <c r="S117" i="10"/>
  <c r="S124" i="10"/>
  <c r="AG117" i="10"/>
  <c r="AG124" i="10"/>
  <c r="AH117" i="10"/>
  <c r="AH124" i="10"/>
  <c r="AK119" i="10"/>
  <c r="AK126" i="10"/>
  <c r="X118" i="10"/>
  <c r="X125" i="10"/>
  <c r="AG118" i="10"/>
  <c r="AG125" i="10"/>
  <c r="AH118" i="10"/>
  <c r="AH125" i="10"/>
  <c r="AJ119" i="10"/>
  <c r="AJ126" i="10"/>
  <c r="AC119" i="10"/>
  <c r="AC126" i="10"/>
  <c r="AF119" i="10"/>
  <c r="AF126" i="10"/>
  <c r="AH119" i="10"/>
  <c r="AH126" i="10"/>
  <c r="AE116" i="10"/>
  <c r="AE123" i="10"/>
  <c r="AD116" i="10"/>
  <c r="AD123" i="10"/>
  <c r="Y116" i="10"/>
  <c r="Y123" i="10"/>
  <c r="S116" i="10"/>
  <c r="S123" i="10"/>
  <c r="AG116" i="10"/>
  <c r="AG123" i="10"/>
  <c r="AJ117" i="10"/>
  <c r="AJ124" i="10"/>
  <c r="AF117" i="10"/>
  <c r="AF124" i="10"/>
  <c r="W118" i="10"/>
  <c r="W125" i="10"/>
  <c r="AD118" i="10"/>
  <c r="AD125" i="10"/>
  <c r="U118" i="10"/>
  <c r="U125" i="10"/>
  <c r="S118" i="10"/>
  <c r="S125" i="10"/>
  <c r="X119" i="10"/>
  <c r="X126" i="10"/>
  <c r="AA119" i="10"/>
  <c r="AA126" i="10"/>
  <c r="R119" i="10"/>
  <c r="R126" i="10"/>
  <c r="S119" i="10"/>
  <c r="S126" i="10"/>
  <c r="Z116" i="10"/>
  <c r="Z123" i="10"/>
  <c r="X116" i="10"/>
  <c r="X123" i="10"/>
  <c r="AI116" i="10"/>
  <c r="AI123" i="10"/>
  <c r="AF116" i="10"/>
  <c r="AF123" i="10"/>
  <c r="AF129" i="10" s="1"/>
  <c r="AF23" i="10" s="1"/>
  <c r="AH116" i="10"/>
  <c r="AH122" i="10" s="1"/>
  <c r="AH22" i="10" s="1"/>
  <c r="AH123" i="10"/>
  <c r="AH129" i="10" s="1"/>
  <c r="AH23" i="10" s="1"/>
  <c r="AE117" i="10"/>
  <c r="AE124" i="10"/>
  <c r="AC117" i="10"/>
  <c r="AC124" i="10"/>
  <c r="W117" i="10"/>
  <c r="W124" i="10"/>
  <c r="X117" i="10"/>
  <c r="X124" i="10"/>
  <c r="AA117" i="10"/>
  <c r="AA124" i="10"/>
  <c r="AI117" i="10"/>
  <c r="AI124" i="10"/>
  <c r="AK117" i="10"/>
  <c r="AK124" i="10"/>
  <c r="AK118" i="10"/>
  <c r="AK125" i="10"/>
  <c r="AJ118" i="10"/>
  <c r="AJ125" i="10"/>
  <c r="AB118" i="10"/>
  <c r="AB125" i="10"/>
  <c r="Z118" i="10"/>
  <c r="Z125" i="10"/>
  <c r="T118" i="10"/>
  <c r="T125" i="10"/>
  <c r="W119" i="10"/>
  <c r="W126" i="10"/>
  <c r="Y119" i="10"/>
  <c r="Y126" i="10"/>
  <c r="AI119" i="10"/>
  <c r="AI126" i="10"/>
  <c r="AA116" i="10"/>
  <c r="AA123" i="10"/>
  <c r="AJ116" i="10"/>
  <c r="AJ123" i="10"/>
  <c r="AB116" i="10"/>
  <c r="AB123" i="10"/>
  <c r="Z117" i="10"/>
  <c r="Z124" i="10"/>
  <c r="AD117" i="10"/>
  <c r="AD124" i="10"/>
  <c r="R117" i="10"/>
  <c r="R124" i="10"/>
  <c r="AB117" i="10"/>
  <c r="AB124" i="10"/>
  <c r="AA111" i="10"/>
  <c r="AA118" i="10"/>
  <c r="AC111" i="10"/>
  <c r="AC118" i="10"/>
  <c r="AG112" i="10"/>
  <c r="AG119" i="10"/>
  <c r="AD112" i="10"/>
  <c r="AD119" i="10"/>
  <c r="T110" i="10"/>
  <c r="T117" i="10"/>
  <c r="T112" i="10"/>
  <c r="T119" i="10"/>
  <c r="U110" i="10"/>
  <c r="U117" i="10"/>
  <c r="AK109" i="10"/>
  <c r="AK116" i="10"/>
  <c r="Y110" i="10"/>
  <c r="Y117" i="10"/>
  <c r="AK105" i="10"/>
  <c r="AK112" i="10"/>
  <c r="AK102" i="10"/>
  <c r="X104" i="10"/>
  <c r="X111" i="10"/>
  <c r="AG104" i="10"/>
  <c r="AG111" i="10"/>
  <c r="AH104" i="10"/>
  <c r="AH111" i="10"/>
  <c r="AJ105" i="10"/>
  <c r="AJ112" i="10"/>
  <c r="AC105" i="10"/>
  <c r="AC112" i="10"/>
  <c r="AF105" i="10"/>
  <c r="AF112" i="10"/>
  <c r="AH105" i="10"/>
  <c r="AH112" i="10"/>
  <c r="AE102" i="10"/>
  <c r="AE109" i="10"/>
  <c r="AD102" i="10"/>
  <c r="AD109" i="10"/>
  <c r="Y102" i="10"/>
  <c r="Y109" i="10"/>
  <c r="S102" i="10"/>
  <c r="S109" i="10"/>
  <c r="AG102" i="10"/>
  <c r="AG109" i="10"/>
  <c r="AJ103" i="10"/>
  <c r="AJ110" i="10"/>
  <c r="AF103" i="10"/>
  <c r="AF110" i="10"/>
  <c r="W104" i="10"/>
  <c r="W111" i="10"/>
  <c r="AD104" i="10"/>
  <c r="AD111" i="10"/>
  <c r="U104" i="10"/>
  <c r="U111" i="10"/>
  <c r="S104" i="10"/>
  <c r="S111" i="10"/>
  <c r="X105" i="10"/>
  <c r="X112" i="10"/>
  <c r="AA105" i="10"/>
  <c r="AA112" i="10"/>
  <c r="R105" i="10"/>
  <c r="R112" i="10"/>
  <c r="S105" i="10"/>
  <c r="S112" i="10"/>
  <c r="Z102" i="10"/>
  <c r="Z109" i="10"/>
  <c r="X102" i="10"/>
  <c r="X109" i="10"/>
  <c r="AI102" i="10"/>
  <c r="AI109" i="10"/>
  <c r="AF102" i="10"/>
  <c r="AF109" i="10"/>
  <c r="AH102" i="10"/>
  <c r="AH109" i="10"/>
  <c r="AE103" i="10"/>
  <c r="AE110" i="10"/>
  <c r="AC103" i="10"/>
  <c r="AC110" i="10"/>
  <c r="W103" i="10"/>
  <c r="W110" i="10"/>
  <c r="X103" i="10"/>
  <c r="X110" i="10"/>
  <c r="AA103" i="10"/>
  <c r="AA110" i="10"/>
  <c r="AI103" i="10"/>
  <c r="AI110" i="10"/>
  <c r="AK103" i="10"/>
  <c r="AK110" i="10"/>
  <c r="AK104" i="10"/>
  <c r="AK111" i="10"/>
  <c r="AJ104" i="10"/>
  <c r="AJ111" i="10"/>
  <c r="AB104" i="10"/>
  <c r="AB111" i="10"/>
  <c r="Z104" i="10"/>
  <c r="Z111" i="10"/>
  <c r="T104" i="10"/>
  <c r="T111" i="10"/>
  <c r="W105" i="10"/>
  <c r="W112" i="10"/>
  <c r="Y105" i="10"/>
  <c r="Y112" i="10"/>
  <c r="AI105" i="10"/>
  <c r="AI112" i="10"/>
  <c r="AA102" i="10"/>
  <c r="AA109" i="10"/>
  <c r="AJ102" i="10"/>
  <c r="AJ109" i="10"/>
  <c r="AB102" i="10"/>
  <c r="AB109" i="10"/>
  <c r="Z103" i="10"/>
  <c r="Z110" i="10"/>
  <c r="AD103" i="10"/>
  <c r="AD110" i="10"/>
  <c r="R103" i="10"/>
  <c r="R110" i="10"/>
  <c r="AB103" i="10"/>
  <c r="AB110" i="10"/>
  <c r="AI104" i="10"/>
  <c r="AI111" i="10"/>
  <c r="Y104" i="10"/>
  <c r="Y111" i="10"/>
  <c r="AE104" i="10"/>
  <c r="AE111" i="10"/>
  <c r="AF104" i="10"/>
  <c r="AF111" i="10"/>
  <c r="R104" i="10"/>
  <c r="R111" i="10"/>
  <c r="U105" i="10"/>
  <c r="U112" i="10"/>
  <c r="AB105" i="10"/>
  <c r="AB112" i="10"/>
  <c r="AE105" i="10"/>
  <c r="AE112" i="10"/>
  <c r="Z105" i="10"/>
  <c r="Z112" i="10"/>
  <c r="AC102" i="10"/>
  <c r="AC109" i="10"/>
  <c r="W102" i="10"/>
  <c r="W109" i="10"/>
  <c r="R102" i="10"/>
  <c r="R109" i="10"/>
  <c r="T102" i="10"/>
  <c r="T109" i="10"/>
  <c r="U102" i="10"/>
  <c r="U109" i="10"/>
  <c r="S103" i="10"/>
  <c r="S110" i="10"/>
  <c r="AG103" i="10"/>
  <c r="AG110" i="10"/>
  <c r="AH103" i="10"/>
  <c r="AH110" i="10"/>
  <c r="Y51" i="10"/>
  <c r="Y103" i="10"/>
  <c r="AA52" i="10"/>
  <c r="AA104" i="10"/>
  <c r="AC52" i="10"/>
  <c r="AC104" i="10"/>
  <c r="AG53" i="10"/>
  <c r="AG105" i="10"/>
  <c r="AD53" i="10"/>
  <c r="AD105" i="10"/>
  <c r="T51" i="10"/>
  <c r="T103" i="10"/>
  <c r="T53" i="10"/>
  <c r="T105" i="10"/>
  <c r="U51" i="10"/>
  <c r="U103" i="10"/>
  <c r="Q50" i="10"/>
  <c r="AK182" i="10"/>
  <c r="AK201" i="10"/>
  <c r="AK188" i="10"/>
  <c r="AK195" i="10"/>
  <c r="AK70" i="10"/>
  <c r="AK198" i="10"/>
  <c r="AK185" i="10"/>
  <c r="AK192" i="10"/>
  <c r="AK179" i="10"/>
  <c r="AJ193" i="10"/>
  <c r="AJ180" i="10"/>
  <c r="AJ199" i="10"/>
  <c r="AJ186" i="10"/>
  <c r="AJ201" i="10"/>
  <c r="AJ188" i="10"/>
  <c r="AJ195" i="10"/>
  <c r="AJ182" i="10"/>
  <c r="AJ185" i="10"/>
  <c r="AJ192" i="10"/>
  <c r="AJ179" i="10"/>
  <c r="AJ198" i="10"/>
  <c r="AJ181" i="10"/>
  <c r="AJ200" i="10"/>
  <c r="AJ187" i="10"/>
  <c r="AJ194" i="10"/>
  <c r="AI188" i="10"/>
  <c r="AI195" i="10"/>
  <c r="AI182" i="10"/>
  <c r="AI201" i="10"/>
  <c r="AI77" i="10"/>
  <c r="AI180" i="10"/>
  <c r="AI199" i="10"/>
  <c r="AI186" i="10"/>
  <c r="AI193" i="10"/>
  <c r="AI200" i="10"/>
  <c r="AI187" i="10"/>
  <c r="AI194" i="10"/>
  <c r="AI181" i="10"/>
  <c r="AI192" i="10"/>
  <c r="AI179" i="10"/>
  <c r="AI198" i="10"/>
  <c r="AI185" i="10"/>
  <c r="AK186" i="10"/>
  <c r="AK193" i="10"/>
  <c r="AK180" i="10"/>
  <c r="AK199" i="10"/>
  <c r="AK194" i="10"/>
  <c r="AK181" i="10"/>
  <c r="AK200" i="10"/>
  <c r="AK187" i="10"/>
  <c r="AI89" i="10"/>
  <c r="AI66" i="10"/>
  <c r="AI72" i="10"/>
  <c r="AI88" i="10"/>
  <c r="AI209" i="10" s="1"/>
  <c r="AI50" i="10"/>
  <c r="AI79" i="10"/>
  <c r="AI95" i="10"/>
  <c r="AK67" i="10"/>
  <c r="AK51" i="10"/>
  <c r="AK96" i="10"/>
  <c r="AK90" i="10"/>
  <c r="AK80" i="10"/>
  <c r="AK73" i="10"/>
  <c r="AK91" i="10"/>
  <c r="AK68" i="10"/>
  <c r="AK74" i="10"/>
  <c r="AK52" i="10"/>
  <c r="AK81" i="10"/>
  <c r="AK97" i="10"/>
  <c r="AK75" i="10"/>
  <c r="AK53" i="10"/>
  <c r="AK82" i="10"/>
  <c r="AK98" i="10"/>
  <c r="AK69" i="10"/>
  <c r="AK92" i="10"/>
  <c r="AK50" i="10"/>
  <c r="AK79" i="10"/>
  <c r="AK95" i="10"/>
  <c r="AK66" i="10"/>
  <c r="AK89" i="10"/>
  <c r="AK72" i="10"/>
  <c r="AK88" i="10"/>
  <c r="AK209" i="10" s="1"/>
  <c r="AJ90" i="10"/>
  <c r="AJ73" i="10"/>
  <c r="AJ51" i="10"/>
  <c r="AJ80" i="10"/>
  <c r="AJ96" i="10"/>
  <c r="AJ67" i="10"/>
  <c r="AK76" i="10"/>
  <c r="AJ77" i="10"/>
  <c r="AJ53" i="10"/>
  <c r="AJ82" i="10"/>
  <c r="AJ98" i="10"/>
  <c r="AJ69" i="10"/>
  <c r="AJ92" i="10"/>
  <c r="AJ75" i="10"/>
  <c r="AJ66" i="10"/>
  <c r="AJ89" i="10"/>
  <c r="AJ79" i="10"/>
  <c r="AJ72" i="10"/>
  <c r="AJ88" i="10"/>
  <c r="AJ209" i="10" s="1"/>
  <c r="AJ50" i="10"/>
  <c r="AJ95" i="10"/>
  <c r="AJ74" i="10"/>
  <c r="AJ91" i="10"/>
  <c r="AJ52" i="10"/>
  <c r="AJ81" i="10"/>
  <c r="AJ97" i="10"/>
  <c r="AJ68" i="10"/>
  <c r="AJ76" i="10"/>
  <c r="AI70" i="10"/>
  <c r="AI76" i="10"/>
  <c r="AK77" i="10"/>
  <c r="AI69" i="10"/>
  <c r="AI92" i="10"/>
  <c r="AI82" i="10"/>
  <c r="AI75" i="10"/>
  <c r="AI53" i="10"/>
  <c r="AI98" i="10"/>
  <c r="AI73" i="10"/>
  <c r="AI90" i="10"/>
  <c r="AI51" i="10"/>
  <c r="AI80" i="10"/>
  <c r="AI96" i="10"/>
  <c r="AI67" i="10"/>
  <c r="AI52" i="10"/>
  <c r="AI81" i="10"/>
  <c r="AI97" i="10"/>
  <c r="AI68" i="10"/>
  <c r="AI91" i="10"/>
  <c r="AI74" i="10"/>
  <c r="AJ70" i="10"/>
  <c r="P181" i="10"/>
  <c r="P187" i="10"/>
  <c r="P194" i="10"/>
  <c r="P200" i="10"/>
  <c r="W181" i="10"/>
  <c r="W187" i="10"/>
  <c r="W194" i="10"/>
  <c r="W200" i="10"/>
  <c r="Z181" i="10"/>
  <c r="Z187" i="10"/>
  <c r="Z194" i="10"/>
  <c r="Z200" i="10"/>
  <c r="AG181" i="10"/>
  <c r="AG187" i="10"/>
  <c r="AG194" i="10"/>
  <c r="AG200" i="10"/>
  <c r="X181" i="10"/>
  <c r="X187" i="10"/>
  <c r="X194" i="10"/>
  <c r="X200" i="10"/>
  <c r="O181" i="10"/>
  <c r="O187" i="10"/>
  <c r="O200" i="10"/>
  <c r="O194" i="10"/>
  <c r="AA182" i="10"/>
  <c r="AA188" i="10"/>
  <c r="AA195" i="10"/>
  <c r="AA201" i="10"/>
  <c r="N182" i="10"/>
  <c r="N188" i="10"/>
  <c r="N195" i="10"/>
  <c r="N201" i="10"/>
  <c r="AB182" i="10"/>
  <c r="AB188" i="10"/>
  <c r="AB195" i="10"/>
  <c r="AB201" i="10"/>
  <c r="AF182" i="10"/>
  <c r="AF188" i="10"/>
  <c r="AF195" i="10"/>
  <c r="AF201" i="10"/>
  <c r="P182" i="10"/>
  <c r="P188" i="10"/>
  <c r="P195" i="10"/>
  <c r="P201" i="10"/>
  <c r="AE179" i="10"/>
  <c r="AE185" i="10"/>
  <c r="AE198" i="10"/>
  <c r="AE192" i="10"/>
  <c r="N179" i="10"/>
  <c r="N185" i="10"/>
  <c r="N192" i="10"/>
  <c r="N198" i="10"/>
  <c r="U179" i="10"/>
  <c r="U185" i="10"/>
  <c r="U192" i="10"/>
  <c r="U198" i="10"/>
  <c r="AF179" i="10"/>
  <c r="AF185" i="10"/>
  <c r="AF198" i="10"/>
  <c r="AF192" i="10"/>
  <c r="M179" i="10"/>
  <c r="M185" i="10"/>
  <c r="M192" i="10"/>
  <c r="M198" i="10"/>
  <c r="T179" i="10"/>
  <c r="T185" i="10"/>
  <c r="T192" i="10"/>
  <c r="T198" i="10"/>
  <c r="AC180" i="10"/>
  <c r="AC186" i="10"/>
  <c r="AC193" i="10"/>
  <c r="AC199" i="10"/>
  <c r="X180" i="10"/>
  <c r="X186" i="10"/>
  <c r="X193" i="10"/>
  <c r="X199" i="10"/>
  <c r="AA180" i="10"/>
  <c r="AA186" i="10"/>
  <c r="AA193" i="10"/>
  <c r="AA199" i="10"/>
  <c r="R180" i="10"/>
  <c r="R186" i="10"/>
  <c r="R193" i="10"/>
  <c r="R199" i="10"/>
  <c r="AF180" i="10"/>
  <c r="AF186" i="10"/>
  <c r="AF193" i="10"/>
  <c r="AF199" i="10"/>
  <c r="S180" i="10"/>
  <c r="S186" i="10"/>
  <c r="S193" i="10"/>
  <c r="S199" i="10"/>
  <c r="AB181" i="10"/>
  <c r="AB187" i="10"/>
  <c r="AB194" i="10"/>
  <c r="AB200" i="10"/>
  <c r="AF181" i="10"/>
  <c r="AF187" i="10"/>
  <c r="AF194" i="10"/>
  <c r="AF200" i="10"/>
  <c r="AA181" i="10"/>
  <c r="AA187" i="10"/>
  <c r="AA194" i="10"/>
  <c r="AA200" i="10"/>
  <c r="N52" i="10"/>
  <c r="N181" i="10"/>
  <c r="N187" i="10"/>
  <c r="N194" i="10"/>
  <c r="N200" i="10"/>
  <c r="U181" i="10"/>
  <c r="U187" i="10"/>
  <c r="U194" i="10"/>
  <c r="U200" i="10"/>
  <c r="X182" i="10"/>
  <c r="X188" i="10"/>
  <c r="X195" i="10"/>
  <c r="X201" i="10"/>
  <c r="V182" i="10"/>
  <c r="V188" i="10"/>
  <c r="V195" i="10"/>
  <c r="V201" i="10"/>
  <c r="Y182" i="10"/>
  <c r="Y188" i="10"/>
  <c r="Y195" i="10"/>
  <c r="Y201" i="10"/>
  <c r="AC182" i="10"/>
  <c r="AC188" i="10"/>
  <c r="AC195" i="10"/>
  <c r="AC201" i="10"/>
  <c r="T182" i="10"/>
  <c r="T188" i="10"/>
  <c r="T195" i="10"/>
  <c r="T201" i="10"/>
  <c r="V179" i="10"/>
  <c r="V185" i="10"/>
  <c r="V192" i="10"/>
  <c r="V198" i="10"/>
  <c r="AB179" i="10"/>
  <c r="AB185" i="10"/>
  <c r="AB192" i="10"/>
  <c r="AB198" i="10"/>
  <c r="X179" i="10"/>
  <c r="X185" i="10"/>
  <c r="X192" i="10"/>
  <c r="X198" i="10"/>
  <c r="W179" i="10"/>
  <c r="W185" i="10"/>
  <c r="W192" i="10"/>
  <c r="W198" i="10"/>
  <c r="AH179" i="10"/>
  <c r="AH185" i="10"/>
  <c r="AH192" i="10"/>
  <c r="AH198" i="10"/>
  <c r="N51" i="10"/>
  <c r="N180" i="10"/>
  <c r="N186" i="10"/>
  <c r="N193" i="10"/>
  <c r="N199" i="10"/>
  <c r="AG180" i="10"/>
  <c r="AG186" i="10"/>
  <c r="AG193" i="10"/>
  <c r="AG199" i="10"/>
  <c r="AB180" i="10"/>
  <c r="AB186" i="10"/>
  <c r="AB193" i="10"/>
  <c r="AB199" i="10"/>
  <c r="AH180" i="10"/>
  <c r="AH186" i="10"/>
  <c r="AH193" i="10"/>
  <c r="AH199" i="10"/>
  <c r="Q180" i="10"/>
  <c r="Q186" i="10"/>
  <c r="Q193" i="10"/>
  <c r="Q199" i="10"/>
  <c r="Y181" i="10"/>
  <c r="Y187" i="10"/>
  <c r="Y194" i="10"/>
  <c r="Y200" i="10"/>
  <c r="M181" i="10"/>
  <c r="M187" i="10"/>
  <c r="M194" i="10"/>
  <c r="M200" i="10"/>
  <c r="T181" i="10"/>
  <c r="T187" i="10"/>
  <c r="T200" i="10"/>
  <c r="T194" i="10"/>
  <c r="AD181" i="10"/>
  <c r="AD187" i="10"/>
  <c r="AD194" i="10"/>
  <c r="AD200" i="10"/>
  <c r="R181" i="10"/>
  <c r="R187" i="10"/>
  <c r="R194" i="10"/>
  <c r="R200" i="10"/>
  <c r="R182" i="10"/>
  <c r="R188" i="10"/>
  <c r="R195" i="10"/>
  <c r="R201" i="10"/>
  <c r="Q182" i="10"/>
  <c r="Q188" i="10"/>
  <c r="Q195" i="10"/>
  <c r="Q201" i="10"/>
  <c r="O182" i="10"/>
  <c r="O188" i="10"/>
  <c r="O195" i="10"/>
  <c r="O201" i="10"/>
  <c r="Z182" i="10"/>
  <c r="Z188" i="10"/>
  <c r="Z195" i="10"/>
  <c r="Z201" i="10"/>
  <c r="AD182" i="10"/>
  <c r="AD188" i="10"/>
  <c r="AD195" i="10"/>
  <c r="AD201" i="10"/>
  <c r="M182" i="10"/>
  <c r="M188" i="10"/>
  <c r="M195" i="10"/>
  <c r="M201" i="10"/>
  <c r="AA179" i="10"/>
  <c r="AA185" i="10"/>
  <c r="AA198" i="10"/>
  <c r="AA192" i="10"/>
  <c r="Z179" i="10"/>
  <c r="Z185" i="10"/>
  <c r="Z192" i="10"/>
  <c r="Z198" i="10"/>
  <c r="S179" i="10"/>
  <c r="S185" i="10"/>
  <c r="S192" i="10"/>
  <c r="S198" i="10"/>
  <c r="R179" i="10"/>
  <c r="R185" i="10"/>
  <c r="R192" i="10"/>
  <c r="R198" i="10"/>
  <c r="AC179" i="10"/>
  <c r="AC185" i="10"/>
  <c r="AC192" i="10"/>
  <c r="AC198" i="10"/>
  <c r="Z180" i="10"/>
  <c r="Z186" i="10"/>
  <c r="Z199" i="10"/>
  <c r="Z193" i="10"/>
  <c r="AD180" i="10"/>
  <c r="AD186" i="10"/>
  <c r="AD193" i="10"/>
  <c r="AD199" i="10"/>
  <c r="M180" i="10"/>
  <c r="M186" i="10"/>
  <c r="M193" i="10"/>
  <c r="M199" i="10"/>
  <c r="AE180" i="10"/>
  <c r="AE186" i="10"/>
  <c r="AE193" i="10"/>
  <c r="AE199" i="10"/>
  <c r="Y180" i="10"/>
  <c r="Y186" i="10"/>
  <c r="Y199" i="10"/>
  <c r="Y193" i="10"/>
  <c r="S181" i="10"/>
  <c r="S187" i="10"/>
  <c r="S200" i="10"/>
  <c r="S194" i="10"/>
  <c r="V181" i="10"/>
  <c r="V187" i="10"/>
  <c r="V194" i="10"/>
  <c r="V200" i="10"/>
  <c r="AC181" i="10"/>
  <c r="AC187" i="10"/>
  <c r="AC194" i="10"/>
  <c r="AC200" i="10"/>
  <c r="Q181" i="10"/>
  <c r="Q187" i="10"/>
  <c r="Q194" i="10"/>
  <c r="Q200" i="10"/>
  <c r="AE181" i="10"/>
  <c r="AE187" i="10"/>
  <c r="AE194" i="10"/>
  <c r="AE200" i="10"/>
  <c r="AH181" i="10"/>
  <c r="AH187" i="10"/>
  <c r="AH194" i="10"/>
  <c r="AH200" i="10"/>
  <c r="AH182" i="10"/>
  <c r="AH188" i="10"/>
  <c r="AH195" i="10"/>
  <c r="AH201" i="10"/>
  <c r="U182" i="10"/>
  <c r="U188" i="10"/>
  <c r="U195" i="10"/>
  <c r="U201" i="10"/>
  <c r="AE182" i="10"/>
  <c r="AE188" i="10"/>
  <c r="AE195" i="10"/>
  <c r="AE201" i="10"/>
  <c r="S182" i="10"/>
  <c r="S188" i="10"/>
  <c r="S195" i="10"/>
  <c r="S201" i="10"/>
  <c r="W182" i="10"/>
  <c r="W188" i="10"/>
  <c r="W195" i="10"/>
  <c r="W201" i="10"/>
  <c r="AG182" i="10"/>
  <c r="AG188" i="10"/>
  <c r="AG195" i="10"/>
  <c r="AG201" i="10"/>
  <c r="Y179" i="10"/>
  <c r="Y185" i="10"/>
  <c r="Y192" i="10"/>
  <c r="Y198" i="10"/>
  <c r="P179" i="10"/>
  <c r="P185" i="10"/>
  <c r="P198" i="10"/>
  <c r="P192" i="10"/>
  <c r="O179" i="10"/>
  <c r="O185" i="10"/>
  <c r="O198" i="10"/>
  <c r="O192" i="10"/>
  <c r="Q179" i="10"/>
  <c r="Q185" i="10"/>
  <c r="Q192" i="10"/>
  <c r="Q198" i="10"/>
  <c r="AD179" i="10"/>
  <c r="AD185" i="10"/>
  <c r="AD192" i="10"/>
  <c r="AD198" i="10"/>
  <c r="AG179" i="10"/>
  <c r="AG185" i="10"/>
  <c r="AG192" i="10"/>
  <c r="AG198" i="10"/>
  <c r="T180" i="10"/>
  <c r="T186" i="10"/>
  <c r="T193" i="10"/>
  <c r="T199" i="10"/>
  <c r="W180" i="10"/>
  <c r="W186" i="10"/>
  <c r="W193" i="10"/>
  <c r="W199" i="10"/>
  <c r="O180" i="10"/>
  <c r="O186" i="10"/>
  <c r="O193" i="10"/>
  <c r="O199" i="10"/>
  <c r="U180" i="10"/>
  <c r="U186" i="10"/>
  <c r="U199" i="10"/>
  <c r="U193" i="10"/>
  <c r="P180" i="10"/>
  <c r="P186" i="10"/>
  <c r="P193" i="10"/>
  <c r="P199" i="10"/>
  <c r="V180" i="10"/>
  <c r="V186" i="10"/>
  <c r="V193" i="10"/>
  <c r="V199" i="10"/>
  <c r="AB51" i="10"/>
  <c r="AG51" i="10"/>
  <c r="V53" i="10"/>
  <c r="AF52" i="10"/>
  <c r="AH51" i="10"/>
  <c r="AB52" i="10"/>
  <c r="AC53" i="10"/>
  <c r="P81" i="10"/>
  <c r="P91" i="10"/>
  <c r="P97" i="10"/>
  <c r="W74" i="10"/>
  <c r="W81" i="10"/>
  <c r="W97" i="10"/>
  <c r="W91" i="10"/>
  <c r="Z74" i="10"/>
  <c r="Z81" i="10"/>
  <c r="Z91" i="10"/>
  <c r="Z97" i="10"/>
  <c r="AG74" i="10"/>
  <c r="AG81" i="10"/>
  <c r="AG91" i="10"/>
  <c r="AG97" i="10"/>
  <c r="X74" i="10"/>
  <c r="X81" i="10"/>
  <c r="X91" i="10"/>
  <c r="X97" i="10"/>
  <c r="O81" i="10"/>
  <c r="O97" i="10"/>
  <c r="O91" i="10"/>
  <c r="AA82" i="10"/>
  <c r="AA92" i="10"/>
  <c r="AA98" i="10"/>
  <c r="N82" i="10"/>
  <c r="N92" i="10"/>
  <c r="N98" i="10"/>
  <c r="AB82" i="10"/>
  <c r="AB92" i="10"/>
  <c r="AB98" i="10"/>
  <c r="AF82" i="10"/>
  <c r="AF92" i="10"/>
  <c r="AF98" i="10"/>
  <c r="P82" i="10"/>
  <c r="P92" i="10"/>
  <c r="P98" i="10"/>
  <c r="AE79" i="10"/>
  <c r="AE88" i="10"/>
  <c r="AE209" i="10" s="1"/>
  <c r="AE95" i="10"/>
  <c r="AE89" i="10"/>
  <c r="N79" i="10"/>
  <c r="N89" i="10"/>
  <c r="N95" i="10"/>
  <c r="U79" i="10"/>
  <c r="U89" i="10"/>
  <c r="U95" i="10"/>
  <c r="U88" i="10"/>
  <c r="U209" i="10" s="1"/>
  <c r="AF88" i="10"/>
  <c r="AF209" i="10" s="1"/>
  <c r="AF79" i="10"/>
  <c r="AF89" i="10"/>
  <c r="AF95" i="10"/>
  <c r="M79" i="10"/>
  <c r="M89" i="10"/>
  <c r="M95" i="10"/>
  <c r="T88" i="10"/>
  <c r="T209" i="10" s="1"/>
  <c r="T79" i="10"/>
  <c r="T89" i="10"/>
  <c r="T95" i="10"/>
  <c r="AC80" i="10"/>
  <c r="AC96" i="10"/>
  <c r="AC90" i="10"/>
  <c r="X80" i="10"/>
  <c r="X90" i="10"/>
  <c r="X96" i="10"/>
  <c r="AA80" i="10"/>
  <c r="AA90" i="10"/>
  <c r="AA96" i="10"/>
  <c r="R80" i="10"/>
  <c r="R90" i="10"/>
  <c r="R96" i="10"/>
  <c r="AF80" i="10"/>
  <c r="AF90" i="10"/>
  <c r="AF96" i="10"/>
  <c r="S80" i="10"/>
  <c r="S90" i="10"/>
  <c r="S96" i="10"/>
  <c r="P52" i="10"/>
  <c r="AB81" i="10"/>
  <c r="AB91" i="10"/>
  <c r="AB97" i="10"/>
  <c r="AF81" i="10"/>
  <c r="AF91" i="10"/>
  <c r="AF97" i="10"/>
  <c r="AA81" i="10"/>
  <c r="AA97" i="10"/>
  <c r="AA91" i="10"/>
  <c r="N81" i="10"/>
  <c r="N91" i="10"/>
  <c r="N97" i="10"/>
  <c r="U81" i="10"/>
  <c r="U91" i="10"/>
  <c r="U97" i="10"/>
  <c r="X82" i="10"/>
  <c r="X92" i="10"/>
  <c r="X98" i="10"/>
  <c r="V82" i="10"/>
  <c r="V92" i="10"/>
  <c r="V98" i="10"/>
  <c r="Y82" i="10"/>
  <c r="Y98" i="10"/>
  <c r="Y92" i="10"/>
  <c r="AC82" i="10"/>
  <c r="AC98" i="10"/>
  <c r="AC92" i="10"/>
  <c r="T82" i="10"/>
  <c r="T92" i="10"/>
  <c r="T98" i="10"/>
  <c r="V79" i="10"/>
  <c r="V89" i="10"/>
  <c r="V88" i="10"/>
  <c r="V209" i="10" s="1"/>
  <c r="V95" i="10"/>
  <c r="AB88" i="10"/>
  <c r="AB209" i="10" s="1"/>
  <c r="AB79" i="10"/>
  <c r="AB89" i="10"/>
  <c r="AB95" i="10"/>
  <c r="X76" i="10"/>
  <c r="X88" i="10"/>
  <c r="X209" i="10" s="1"/>
  <c r="X79" i="10"/>
  <c r="X89" i="10"/>
  <c r="X95" i="10"/>
  <c r="W79" i="10"/>
  <c r="W88" i="10"/>
  <c r="W209" i="10" s="1"/>
  <c r="W95" i="10"/>
  <c r="W89" i="10"/>
  <c r="AH79" i="10"/>
  <c r="AH89" i="10"/>
  <c r="AH88" i="10"/>
  <c r="AH209" i="10" s="1"/>
  <c r="AH95" i="10"/>
  <c r="N80" i="10"/>
  <c r="N90" i="10"/>
  <c r="N96" i="10"/>
  <c r="AG77" i="10"/>
  <c r="AG80" i="10"/>
  <c r="AG96" i="10"/>
  <c r="AG90" i="10"/>
  <c r="AB80" i="10"/>
  <c r="AB90" i="10"/>
  <c r="AB96" i="10"/>
  <c r="AH80" i="10"/>
  <c r="AH90" i="10"/>
  <c r="AH96" i="10"/>
  <c r="Q77" i="10"/>
  <c r="Q80" i="10"/>
  <c r="Q96" i="10"/>
  <c r="Q90" i="10"/>
  <c r="Y81" i="10"/>
  <c r="Y91" i="10"/>
  <c r="Y97" i="10"/>
  <c r="M74" i="10"/>
  <c r="M81" i="10"/>
  <c r="M91" i="10"/>
  <c r="M97" i="10"/>
  <c r="T81" i="10"/>
  <c r="T91" i="10"/>
  <c r="T97" i="10"/>
  <c r="AD81" i="10"/>
  <c r="AD91" i="10"/>
  <c r="AD97" i="10"/>
  <c r="R81" i="10"/>
  <c r="R91" i="10"/>
  <c r="R97" i="10"/>
  <c r="R82" i="10"/>
  <c r="R92" i="10"/>
  <c r="R98" i="10"/>
  <c r="Q82" i="10"/>
  <c r="Q98" i="10"/>
  <c r="Q92" i="10"/>
  <c r="O82" i="10"/>
  <c r="O92" i="10"/>
  <c r="O98" i="10"/>
  <c r="Z82" i="10"/>
  <c r="Z92" i="10"/>
  <c r="Z98" i="10"/>
  <c r="AD82" i="10"/>
  <c r="AD92" i="10"/>
  <c r="AD98" i="10"/>
  <c r="M82" i="10"/>
  <c r="M98" i="10"/>
  <c r="M92" i="10"/>
  <c r="AA79" i="10"/>
  <c r="AA95" i="10"/>
  <c r="AA89" i="10"/>
  <c r="AA88" i="10"/>
  <c r="AA209" i="10" s="1"/>
  <c r="Z79" i="10"/>
  <c r="Z89" i="10"/>
  <c r="Z88" i="10"/>
  <c r="Z209" i="10" s="1"/>
  <c r="Z95" i="10"/>
  <c r="S76" i="10"/>
  <c r="S79" i="10"/>
  <c r="S95" i="10"/>
  <c r="S89" i="10"/>
  <c r="S88" i="10"/>
  <c r="S209" i="10" s="1"/>
  <c r="R76" i="10"/>
  <c r="R79" i="10"/>
  <c r="R89" i="10"/>
  <c r="R88" i="10"/>
  <c r="R209" i="10" s="1"/>
  <c r="R95" i="10"/>
  <c r="AC79" i="10"/>
  <c r="AC89" i="10"/>
  <c r="AC95" i="10"/>
  <c r="AC88" i="10"/>
  <c r="AC209" i="10" s="1"/>
  <c r="Z80" i="10"/>
  <c r="Z90" i="10"/>
  <c r="Z96" i="10"/>
  <c r="AD77" i="10"/>
  <c r="AD80" i="10"/>
  <c r="AD90" i="10"/>
  <c r="AD96" i="10"/>
  <c r="M80" i="10"/>
  <c r="M96" i="10"/>
  <c r="M90" i="10"/>
  <c r="AE80" i="10"/>
  <c r="AE90" i="10"/>
  <c r="AE96" i="10"/>
  <c r="Y77" i="10"/>
  <c r="Y80" i="10"/>
  <c r="Y96" i="10"/>
  <c r="Y90" i="10"/>
  <c r="S52" i="10"/>
  <c r="S81" i="10"/>
  <c r="S97" i="10"/>
  <c r="S91" i="10"/>
  <c r="V74" i="10"/>
  <c r="V81" i="10"/>
  <c r="V91" i="10"/>
  <c r="V97" i="10"/>
  <c r="AC81" i="10"/>
  <c r="AC91" i="10"/>
  <c r="AC97" i="10"/>
  <c r="Q81" i="10"/>
  <c r="Q91" i="10"/>
  <c r="Q97" i="10"/>
  <c r="AE74" i="10"/>
  <c r="AE81" i="10"/>
  <c r="AE97" i="10"/>
  <c r="AE91" i="10"/>
  <c r="AH81" i="10"/>
  <c r="AH91" i="10"/>
  <c r="AH97" i="10"/>
  <c r="AH82" i="10"/>
  <c r="AH92" i="10"/>
  <c r="AH98" i="10"/>
  <c r="U75" i="10"/>
  <c r="U82" i="10"/>
  <c r="U98" i="10"/>
  <c r="U92" i="10"/>
  <c r="AE82" i="10"/>
  <c r="AE92" i="10"/>
  <c r="AE98" i="10"/>
  <c r="S82" i="10"/>
  <c r="S92" i="10"/>
  <c r="S98" i="10"/>
  <c r="W82" i="10"/>
  <c r="W92" i="10"/>
  <c r="W98" i="10"/>
  <c r="AG82" i="10"/>
  <c r="AG98" i="10"/>
  <c r="AG92" i="10"/>
  <c r="Y76" i="10"/>
  <c r="Y79" i="10"/>
  <c r="Y89" i="10"/>
  <c r="Y88" i="10"/>
  <c r="Y209" i="10" s="1"/>
  <c r="Y95" i="10"/>
  <c r="P79" i="10"/>
  <c r="P89" i="10"/>
  <c r="P95" i="10"/>
  <c r="O79" i="10"/>
  <c r="O95" i="10"/>
  <c r="O89" i="10"/>
  <c r="Q76" i="10"/>
  <c r="Q79" i="10"/>
  <c r="Q89" i="10"/>
  <c r="AD79" i="10"/>
  <c r="AD89" i="10"/>
  <c r="AD88" i="10"/>
  <c r="AD209" i="10" s="1"/>
  <c r="AD95" i="10"/>
  <c r="AG76" i="10"/>
  <c r="AG79" i="10"/>
  <c r="AG89" i="10"/>
  <c r="AG88" i="10"/>
  <c r="AG209" i="10" s="1"/>
  <c r="AG95" i="10"/>
  <c r="T80" i="10"/>
  <c r="T90" i="10"/>
  <c r="T96" i="10"/>
  <c r="W77" i="10"/>
  <c r="W80" i="10"/>
  <c r="W90" i="10"/>
  <c r="W96" i="10"/>
  <c r="O80" i="10"/>
  <c r="O90" i="10"/>
  <c r="O96" i="10"/>
  <c r="U77" i="10"/>
  <c r="U80" i="10"/>
  <c r="U96" i="10"/>
  <c r="U90" i="10"/>
  <c r="P80" i="10"/>
  <c r="P90" i="10"/>
  <c r="P96" i="10"/>
  <c r="V77" i="10"/>
  <c r="V80" i="10"/>
  <c r="V90" i="10"/>
  <c r="V96" i="10"/>
  <c r="AA75" i="10"/>
  <c r="AB75" i="10"/>
  <c r="AF75" i="10"/>
  <c r="AE70" i="10"/>
  <c r="AE72" i="10"/>
  <c r="U70" i="10"/>
  <c r="U72" i="10"/>
  <c r="AF66" i="10"/>
  <c r="AF72" i="10"/>
  <c r="M72" i="10"/>
  <c r="T70" i="10"/>
  <c r="T72" i="10"/>
  <c r="AC73" i="10"/>
  <c r="X73" i="10"/>
  <c r="AA73" i="10"/>
  <c r="R73" i="10"/>
  <c r="AF73" i="10"/>
  <c r="S73" i="10"/>
  <c r="R77" i="10"/>
  <c r="AF77" i="10"/>
  <c r="U76" i="10"/>
  <c r="M76" i="10"/>
  <c r="AB68" i="10"/>
  <c r="AB74" i="10"/>
  <c r="AF68" i="10"/>
  <c r="AF74" i="10"/>
  <c r="AA68" i="10"/>
  <c r="AA74" i="10"/>
  <c r="U68" i="10"/>
  <c r="U74" i="10"/>
  <c r="X69" i="10"/>
  <c r="X75" i="10"/>
  <c r="V69" i="10"/>
  <c r="V75" i="10"/>
  <c r="Y75" i="10"/>
  <c r="AC69" i="10"/>
  <c r="AC75" i="10"/>
  <c r="T69" i="10"/>
  <c r="T75" i="10"/>
  <c r="V66" i="10"/>
  <c r="V72" i="10"/>
  <c r="AB66" i="10"/>
  <c r="AB72" i="10"/>
  <c r="X72" i="10"/>
  <c r="W66" i="10"/>
  <c r="W72" i="10"/>
  <c r="AH72" i="10"/>
  <c r="AG73" i="10"/>
  <c r="AB73" i="10"/>
  <c r="AH73" i="10"/>
  <c r="Q73" i="10"/>
  <c r="AA77" i="10"/>
  <c r="V76" i="10"/>
  <c r="AE76" i="10"/>
  <c r="AB76" i="10"/>
  <c r="N77" i="10"/>
  <c r="Y68" i="10"/>
  <c r="Y74" i="10"/>
  <c r="T68" i="10"/>
  <c r="T74" i="10"/>
  <c r="AD68" i="10"/>
  <c r="AD74" i="10"/>
  <c r="R68" i="10"/>
  <c r="R74" i="10"/>
  <c r="R69" i="10"/>
  <c r="R75" i="10"/>
  <c r="Q69" i="10"/>
  <c r="Q75" i="10"/>
  <c r="Z69" i="10"/>
  <c r="Z75" i="10"/>
  <c r="AD69" i="10"/>
  <c r="AD75" i="10"/>
  <c r="M75" i="10"/>
  <c r="AA70" i="10"/>
  <c r="AA72" i="10"/>
  <c r="Z72" i="10"/>
  <c r="S72" i="10"/>
  <c r="R72" i="10"/>
  <c r="AC66" i="10"/>
  <c r="AC72" i="10"/>
  <c r="Z73" i="10"/>
  <c r="AD73" i="10"/>
  <c r="M73" i="10"/>
  <c r="AE73" i="10"/>
  <c r="Y73" i="10"/>
  <c r="X77" i="10"/>
  <c r="W76" i="10"/>
  <c r="T76" i="10"/>
  <c r="AC76" i="10"/>
  <c r="Z77" i="10"/>
  <c r="AH76" i="10"/>
  <c r="AH77" i="10"/>
  <c r="Z76" i="10"/>
  <c r="S68" i="10"/>
  <c r="S74" i="10"/>
  <c r="AC68" i="10"/>
  <c r="AC74" i="10"/>
  <c r="Q68" i="10"/>
  <c r="Q74" i="10"/>
  <c r="AH68" i="10"/>
  <c r="AH74" i="10"/>
  <c r="AH69" i="10"/>
  <c r="AH75" i="10"/>
  <c r="AE75" i="10"/>
  <c r="S75" i="10"/>
  <c r="W75" i="10"/>
  <c r="AG69" i="10"/>
  <c r="AG75" i="10"/>
  <c r="Y72" i="10"/>
  <c r="Q70" i="10"/>
  <c r="Q72" i="10"/>
  <c r="AD70" i="10"/>
  <c r="AD72" i="10"/>
  <c r="AG72" i="10"/>
  <c r="T73" i="10"/>
  <c r="W73" i="10"/>
  <c r="U73" i="10"/>
  <c r="V73" i="10"/>
  <c r="AC77" i="10"/>
  <c r="AD76" i="10"/>
  <c r="P77" i="10"/>
  <c r="T77" i="10"/>
  <c r="AE77" i="10"/>
  <c r="S77" i="10"/>
  <c r="AF76" i="10"/>
  <c r="AB77" i="10"/>
  <c r="AA76" i="10"/>
  <c r="Y69" i="10"/>
  <c r="X66" i="10"/>
  <c r="AH66" i="10"/>
  <c r="AG67" i="10"/>
  <c r="AB67" i="10"/>
  <c r="AH67" i="10"/>
  <c r="Q67" i="10"/>
  <c r="W70" i="10"/>
  <c r="X70" i="10"/>
  <c r="AH70" i="10"/>
  <c r="AA66" i="10"/>
  <c r="Z66" i="10"/>
  <c r="S66" i="10"/>
  <c r="R66" i="10"/>
  <c r="Z67" i="10"/>
  <c r="AD67" i="10"/>
  <c r="AE67" i="10"/>
  <c r="Y67" i="10"/>
  <c r="AB70" i="10"/>
  <c r="AF70" i="10"/>
  <c r="Y53" i="10"/>
  <c r="V68" i="10"/>
  <c r="AE68" i="10"/>
  <c r="U69" i="10"/>
  <c r="AE69" i="10"/>
  <c r="S69" i="10"/>
  <c r="W69" i="10"/>
  <c r="Y66" i="10"/>
  <c r="P64" i="10"/>
  <c r="Q66" i="10"/>
  <c r="AD66" i="10"/>
  <c r="AG66" i="10"/>
  <c r="T67" i="10"/>
  <c r="W67" i="10"/>
  <c r="U67" i="10"/>
  <c r="V67" i="10"/>
  <c r="R70" i="10"/>
  <c r="AC70" i="10"/>
  <c r="AG70" i="10"/>
  <c r="Z70" i="10"/>
  <c r="U52" i="10"/>
  <c r="X53" i="10"/>
  <c r="W68" i="10"/>
  <c r="Z68" i="10"/>
  <c r="AG68" i="10"/>
  <c r="X68" i="10"/>
  <c r="AA69" i="10"/>
  <c r="AB69" i="10"/>
  <c r="AF69" i="10"/>
  <c r="AE66" i="10"/>
  <c r="U66" i="10"/>
  <c r="M59" i="10"/>
  <c r="T66" i="10"/>
  <c r="AC67" i="10"/>
  <c r="X67" i="10"/>
  <c r="AA67" i="10"/>
  <c r="R67" i="10"/>
  <c r="AF67" i="10"/>
  <c r="S67" i="10"/>
  <c r="V70" i="10"/>
  <c r="S70" i="10"/>
  <c r="Y70" i="10"/>
  <c r="M63" i="10"/>
  <c r="O52" i="10"/>
  <c r="P53" i="10"/>
  <c r="AF51" i="10"/>
  <c r="AA51" i="10"/>
  <c r="R51" i="10"/>
  <c r="Z52" i="10"/>
  <c r="AF53" i="10"/>
  <c r="AA53" i="10"/>
  <c r="Q60" i="10"/>
  <c r="N64" i="10"/>
  <c r="Q63" i="10"/>
  <c r="S51" i="10"/>
  <c r="AG52" i="10"/>
  <c r="AB53" i="10"/>
  <c r="Y52" i="10"/>
  <c r="M61" i="10"/>
  <c r="T52" i="10"/>
  <c r="AD52" i="10"/>
  <c r="R52" i="10"/>
  <c r="R53" i="10"/>
  <c r="Q53" i="10"/>
  <c r="Q62" i="10"/>
  <c r="O53" i="10"/>
  <c r="Z53" i="10"/>
  <c r="M53" i="10"/>
  <c r="M62" i="10"/>
  <c r="Z51" i="10"/>
  <c r="AD51" i="10"/>
  <c r="M51" i="10"/>
  <c r="M64" i="10" s="1"/>
  <c r="M60" i="10"/>
  <c r="AE51" i="10"/>
  <c r="X51" i="10"/>
  <c r="AC51" i="10"/>
  <c r="W52" i="10"/>
  <c r="X52" i="10"/>
  <c r="V52" i="10"/>
  <c r="Q61" i="10"/>
  <c r="AE52" i="10"/>
  <c r="AH52" i="10"/>
  <c r="AH53" i="10"/>
  <c r="U53" i="10"/>
  <c r="AE53" i="10"/>
  <c r="S53" i="10"/>
  <c r="W53" i="10"/>
  <c r="Q59" i="10"/>
  <c r="W51" i="10"/>
  <c r="O51" i="10"/>
  <c r="O50" i="10"/>
  <c r="O66" i="10" s="1"/>
  <c r="P50" i="10"/>
  <c r="P72" i="10" s="1"/>
  <c r="AC50" i="10"/>
  <c r="Y50" i="10"/>
  <c r="U50" i="10"/>
  <c r="AG50" i="10"/>
  <c r="R50" i="10"/>
  <c r="AB50" i="10"/>
  <c r="X50" i="10"/>
  <c r="T50" i="10"/>
  <c r="AF50" i="10"/>
  <c r="AA50" i="10"/>
  <c r="W50" i="10"/>
  <c r="S50" i="10"/>
  <c r="AE50" i="10"/>
  <c r="N50" i="10"/>
  <c r="N88" i="10" s="1"/>
  <c r="N209" i="10" s="1"/>
  <c r="AD50" i="10"/>
  <c r="Z50" i="10"/>
  <c r="V50" i="10"/>
  <c r="AH50" i="10"/>
  <c r="P153" i="10"/>
  <c r="P146" i="10"/>
  <c r="O154" i="10"/>
  <c r="O147" i="10"/>
  <c r="P154" i="10"/>
  <c r="P147" i="10"/>
  <c r="N152" i="10"/>
  <c r="N145" i="10"/>
  <c r="P152" i="10"/>
  <c r="P145" i="10"/>
  <c r="O153" i="10"/>
  <c r="O146" i="10"/>
  <c r="N153" i="10"/>
  <c r="N146" i="10"/>
  <c r="M154" i="10"/>
  <c r="M147" i="10"/>
  <c r="M152" i="10"/>
  <c r="M145" i="10"/>
  <c r="M153" i="10"/>
  <c r="M146" i="10"/>
  <c r="N154" i="10"/>
  <c r="N147" i="10"/>
  <c r="Q152" i="10"/>
  <c r="Q145" i="10"/>
  <c r="Q153" i="10"/>
  <c r="Q146" i="10"/>
  <c r="Q154" i="10"/>
  <c r="Q147" i="10"/>
  <c r="O152" i="10"/>
  <c r="O145" i="10"/>
  <c r="M151" i="10"/>
  <c r="M144" i="10"/>
  <c r="M68" i="10"/>
  <c r="M69" i="10"/>
  <c r="M67" i="10"/>
  <c r="M70" i="10"/>
  <c r="M66" i="10"/>
  <c r="N151" i="10"/>
  <c r="N144" i="10"/>
  <c r="Q151" i="10"/>
  <c r="Q144" i="10"/>
  <c r="O151" i="10"/>
  <c r="O144" i="10"/>
  <c r="P151" i="10"/>
  <c r="P144" i="10"/>
  <c r="C66" i="10"/>
  <c r="I145" i="10"/>
  <c r="I152" i="10"/>
  <c r="H145" i="10"/>
  <c r="H152" i="10"/>
  <c r="K145" i="10"/>
  <c r="K152" i="10"/>
  <c r="E144" i="10"/>
  <c r="L144" i="10"/>
  <c r="G144" i="10"/>
  <c r="D149" i="10"/>
  <c r="C149" i="10"/>
  <c r="F149" i="10"/>
  <c r="E149" i="10"/>
  <c r="E148" i="10"/>
  <c r="C148" i="10"/>
  <c r="D148" i="10"/>
  <c r="F148" i="10"/>
  <c r="G147" i="10"/>
  <c r="F147" i="10"/>
  <c r="I147" i="10"/>
  <c r="H147" i="10"/>
  <c r="C147" i="10"/>
  <c r="K147" i="10"/>
  <c r="J147" i="10"/>
  <c r="E147" i="10"/>
  <c r="D147" i="10"/>
  <c r="L147" i="10"/>
  <c r="E146" i="10"/>
  <c r="F146" i="10"/>
  <c r="C146" i="10"/>
  <c r="G146" i="10"/>
  <c r="J146" i="10"/>
  <c r="L146" i="10"/>
  <c r="D146" i="10"/>
  <c r="I146" i="10"/>
  <c r="H146" i="10"/>
  <c r="K146" i="10"/>
  <c r="E145" i="10"/>
  <c r="F145" i="10"/>
  <c r="L145" i="10"/>
  <c r="G145" i="10"/>
  <c r="D145" i="10"/>
  <c r="J145" i="10"/>
  <c r="C145" i="10"/>
  <c r="H144" i="10"/>
  <c r="I144" i="10"/>
  <c r="J144" i="10"/>
  <c r="K144" i="10"/>
  <c r="F144" i="10"/>
  <c r="F179" i="10"/>
  <c r="F180" i="10"/>
  <c r="F181" i="10"/>
  <c r="F182" i="10"/>
  <c r="F184" i="10"/>
  <c r="F183" i="10"/>
  <c r="C200" i="10"/>
  <c r="C77" i="10"/>
  <c r="E77" i="10"/>
  <c r="D77" i="10"/>
  <c r="F77" i="10"/>
  <c r="D199" i="10"/>
  <c r="E199" i="10"/>
  <c r="I199" i="10"/>
  <c r="F199" i="10"/>
  <c r="D200" i="10"/>
  <c r="E200" i="10"/>
  <c r="I200" i="10"/>
  <c r="F200" i="10"/>
  <c r="L199" i="10"/>
  <c r="C201" i="10"/>
  <c r="G201" i="10"/>
  <c r="K201" i="10"/>
  <c r="F201" i="10"/>
  <c r="J201" i="10"/>
  <c r="C199" i="10"/>
  <c r="E203" i="10"/>
  <c r="D202" i="10"/>
  <c r="F202" i="10"/>
  <c r="C202" i="10"/>
  <c r="H199" i="10"/>
  <c r="G199" i="10"/>
  <c r="K199" i="10"/>
  <c r="H200" i="10"/>
  <c r="G200" i="10"/>
  <c r="K200" i="10"/>
  <c r="J200" i="10"/>
  <c r="J199" i="10"/>
  <c r="L200" i="10"/>
  <c r="E201" i="10"/>
  <c r="I201" i="10"/>
  <c r="D201" i="10"/>
  <c r="H201" i="10"/>
  <c r="L201" i="10"/>
  <c r="D203" i="10"/>
  <c r="C203" i="10"/>
  <c r="F203" i="10"/>
  <c r="E202" i="10"/>
  <c r="C198" i="10"/>
  <c r="D192" i="10"/>
  <c r="D198" i="10"/>
  <c r="E192" i="10"/>
  <c r="E198" i="10"/>
  <c r="L192" i="10"/>
  <c r="L198" i="10"/>
  <c r="F192" i="10"/>
  <c r="F198" i="10"/>
  <c r="J192" i="10"/>
  <c r="J198" i="10"/>
  <c r="G192" i="10"/>
  <c r="G198" i="10"/>
  <c r="K192" i="10"/>
  <c r="K198" i="10"/>
  <c r="H192" i="10"/>
  <c r="H198" i="10"/>
  <c r="I192" i="10"/>
  <c r="I198" i="10"/>
  <c r="C192" i="10"/>
  <c r="E186" i="10"/>
  <c r="E193" i="10"/>
  <c r="I186" i="10"/>
  <c r="I193" i="10"/>
  <c r="D187" i="10"/>
  <c r="D194" i="10"/>
  <c r="E187" i="10"/>
  <c r="E194" i="10"/>
  <c r="I187" i="10"/>
  <c r="I194" i="10"/>
  <c r="F187" i="10"/>
  <c r="F194" i="10"/>
  <c r="L186" i="10"/>
  <c r="L193" i="10"/>
  <c r="G188" i="10"/>
  <c r="G195" i="10"/>
  <c r="K188" i="10"/>
  <c r="K195" i="10"/>
  <c r="J188" i="10"/>
  <c r="J195" i="10"/>
  <c r="C186" i="10"/>
  <c r="C193" i="10"/>
  <c r="H186" i="10"/>
  <c r="H193" i="10"/>
  <c r="G186" i="10"/>
  <c r="G193" i="10"/>
  <c r="K186" i="10"/>
  <c r="K193" i="10"/>
  <c r="C187" i="10"/>
  <c r="C194" i="10"/>
  <c r="H187" i="10"/>
  <c r="H194" i="10"/>
  <c r="G187" i="10"/>
  <c r="G194" i="10"/>
  <c r="K187" i="10"/>
  <c r="K194" i="10"/>
  <c r="J187" i="10"/>
  <c r="J194" i="10"/>
  <c r="J186" i="10"/>
  <c r="J193" i="10"/>
  <c r="L187" i="10"/>
  <c r="L194" i="10"/>
  <c r="E188" i="10"/>
  <c r="E195" i="10"/>
  <c r="I188" i="10"/>
  <c r="I195" i="10"/>
  <c r="D188" i="10"/>
  <c r="D195" i="10"/>
  <c r="H188" i="10"/>
  <c r="H195" i="10"/>
  <c r="L188" i="10"/>
  <c r="L195" i="10"/>
  <c r="E190" i="10"/>
  <c r="E197" i="10"/>
  <c r="D189" i="10"/>
  <c r="D196" i="10"/>
  <c r="F189" i="10"/>
  <c r="F196" i="10"/>
  <c r="C189" i="10"/>
  <c r="C196" i="10"/>
  <c r="D186" i="10"/>
  <c r="D193" i="10"/>
  <c r="F186" i="10"/>
  <c r="F193" i="10"/>
  <c r="C188" i="10"/>
  <c r="C195" i="10"/>
  <c r="F188" i="10"/>
  <c r="F195" i="10"/>
  <c r="D190" i="10"/>
  <c r="D197" i="10"/>
  <c r="C190" i="10"/>
  <c r="C197" i="10"/>
  <c r="F190" i="10"/>
  <c r="F197" i="10"/>
  <c r="E189" i="10"/>
  <c r="E196" i="10"/>
  <c r="C185" i="10"/>
  <c r="D179" i="10"/>
  <c r="D185" i="10"/>
  <c r="E179" i="10"/>
  <c r="E185" i="10"/>
  <c r="L179" i="10"/>
  <c r="L185" i="10"/>
  <c r="F185" i="10"/>
  <c r="J179" i="10"/>
  <c r="J185" i="10"/>
  <c r="G179" i="10"/>
  <c r="G185" i="10"/>
  <c r="K179" i="10"/>
  <c r="K185" i="10"/>
  <c r="H179" i="10"/>
  <c r="H185" i="10"/>
  <c r="I179" i="10"/>
  <c r="I185" i="10"/>
  <c r="E180" i="10"/>
  <c r="E181" i="10"/>
  <c r="I181" i="10"/>
  <c r="H180" i="10"/>
  <c r="G180" i="10"/>
  <c r="K180" i="10"/>
  <c r="H181" i="10"/>
  <c r="G181" i="10"/>
  <c r="K181" i="10"/>
  <c r="J181" i="10"/>
  <c r="J180" i="10"/>
  <c r="L181" i="10"/>
  <c r="E182" i="10"/>
  <c r="I182" i="10"/>
  <c r="D182" i="10"/>
  <c r="H182" i="10"/>
  <c r="L182" i="10"/>
  <c r="E184" i="10"/>
  <c r="D183" i="10"/>
  <c r="D180" i="10"/>
  <c r="I180" i="10"/>
  <c r="D181" i="10"/>
  <c r="L180" i="10"/>
  <c r="G182" i="10"/>
  <c r="K182" i="10"/>
  <c r="J182" i="10"/>
  <c r="D184" i="10"/>
  <c r="E183" i="10"/>
  <c r="C181" i="10"/>
  <c r="C183" i="10"/>
  <c r="C182" i="10"/>
  <c r="C180" i="10"/>
  <c r="C184" i="10"/>
  <c r="C179" i="10"/>
  <c r="D96" i="10"/>
  <c r="I96" i="10"/>
  <c r="D97" i="10"/>
  <c r="I97" i="10"/>
  <c r="H96" i="10"/>
  <c r="G96" i="10"/>
  <c r="K96" i="10"/>
  <c r="H97" i="10"/>
  <c r="G97" i="10"/>
  <c r="K97" i="10"/>
  <c r="J97" i="10"/>
  <c r="L97" i="10"/>
  <c r="E100" i="10"/>
  <c r="E96" i="10"/>
  <c r="F96" i="10"/>
  <c r="E97" i="10"/>
  <c r="F97" i="10"/>
  <c r="D100" i="10"/>
  <c r="C98" i="10"/>
  <c r="C97" i="10"/>
  <c r="C95" i="10"/>
  <c r="F94" i="10"/>
  <c r="C93" i="10"/>
  <c r="E98" i="10"/>
  <c r="I98" i="10"/>
  <c r="D98" i="10"/>
  <c r="L98" i="10"/>
  <c r="C84" i="10"/>
  <c r="F84" i="10"/>
  <c r="D84" i="10"/>
  <c r="E84" i="10"/>
  <c r="F93" i="10"/>
  <c r="D94" i="10"/>
  <c r="E94" i="10"/>
  <c r="C94" i="10"/>
  <c r="F99" i="10"/>
  <c r="F100" i="10"/>
  <c r="C100" i="10"/>
  <c r="J96" i="10"/>
  <c r="D93" i="10"/>
  <c r="E93" i="10"/>
  <c r="D99" i="10"/>
  <c r="E99" i="10"/>
  <c r="C99" i="10"/>
  <c r="H98" i="10"/>
  <c r="L96" i="10"/>
  <c r="G98" i="10"/>
  <c r="K98" i="10"/>
  <c r="F98" i="10"/>
  <c r="J98" i="10"/>
  <c r="C96" i="10"/>
  <c r="D83" i="10"/>
  <c r="E83" i="10"/>
  <c r="C83" i="10"/>
  <c r="F83" i="10"/>
  <c r="BP60" i="13"/>
  <c r="BQ59" i="13" s="1"/>
  <c r="D89" i="10"/>
  <c r="D95" i="10"/>
  <c r="H89" i="10"/>
  <c r="H95" i="10"/>
  <c r="E89" i="10"/>
  <c r="E95" i="10"/>
  <c r="I89" i="10"/>
  <c r="I95" i="10"/>
  <c r="L89" i="10"/>
  <c r="L95" i="10"/>
  <c r="F89" i="10"/>
  <c r="F95" i="10"/>
  <c r="J89" i="10"/>
  <c r="J95" i="10"/>
  <c r="G89" i="10"/>
  <c r="G95" i="10"/>
  <c r="K89" i="10"/>
  <c r="K95" i="10"/>
  <c r="C89" i="10"/>
  <c r="D80" i="10"/>
  <c r="D90" i="10"/>
  <c r="E80" i="10"/>
  <c r="E90" i="10"/>
  <c r="I80" i="10"/>
  <c r="I90" i="10"/>
  <c r="F80" i="10"/>
  <c r="F90" i="10"/>
  <c r="D81" i="10"/>
  <c r="D91" i="10"/>
  <c r="E81" i="10"/>
  <c r="E91" i="10"/>
  <c r="I81" i="10"/>
  <c r="I91" i="10"/>
  <c r="F81" i="10"/>
  <c r="F91" i="10"/>
  <c r="L80" i="10"/>
  <c r="L90" i="10"/>
  <c r="C82" i="10"/>
  <c r="C92" i="10"/>
  <c r="G82" i="10"/>
  <c r="G92" i="10"/>
  <c r="K82" i="10"/>
  <c r="K92" i="10"/>
  <c r="F82" i="10"/>
  <c r="F92" i="10"/>
  <c r="J82" i="10"/>
  <c r="J92" i="10"/>
  <c r="C80" i="10"/>
  <c r="C90" i="10"/>
  <c r="H80" i="10"/>
  <c r="H90" i="10"/>
  <c r="G80" i="10"/>
  <c r="G90" i="10"/>
  <c r="K80" i="10"/>
  <c r="K90" i="10"/>
  <c r="C81" i="10"/>
  <c r="C91" i="10"/>
  <c r="H81" i="10"/>
  <c r="H91" i="10"/>
  <c r="G81" i="10"/>
  <c r="G91" i="10"/>
  <c r="K81" i="10"/>
  <c r="K91" i="10"/>
  <c r="J81" i="10"/>
  <c r="J91" i="10"/>
  <c r="J80" i="10"/>
  <c r="J90" i="10"/>
  <c r="L81" i="10"/>
  <c r="L91" i="10"/>
  <c r="E82" i="10"/>
  <c r="E92" i="10"/>
  <c r="I82" i="10"/>
  <c r="I92" i="10"/>
  <c r="D82" i="10"/>
  <c r="D92" i="10"/>
  <c r="H82" i="10"/>
  <c r="H92" i="10"/>
  <c r="L82" i="10"/>
  <c r="L92" i="10"/>
  <c r="D79" i="10"/>
  <c r="H79" i="10"/>
  <c r="E79" i="10"/>
  <c r="I79" i="10"/>
  <c r="L79" i="10"/>
  <c r="F79" i="10"/>
  <c r="J79" i="10"/>
  <c r="G79" i="10"/>
  <c r="K79" i="10"/>
  <c r="C79" i="10"/>
  <c r="C76" i="10"/>
  <c r="F76" i="10"/>
  <c r="D76" i="10"/>
  <c r="E76" i="10"/>
  <c r="E75" i="10"/>
  <c r="D75" i="10"/>
  <c r="D72" i="10"/>
  <c r="E72" i="10"/>
  <c r="F75" i="10"/>
  <c r="C75" i="10"/>
  <c r="D74" i="10"/>
  <c r="E74" i="10"/>
  <c r="F74" i="10"/>
  <c r="F72" i="10"/>
  <c r="C74" i="10"/>
  <c r="D73" i="10"/>
  <c r="E73" i="10"/>
  <c r="F73" i="10"/>
  <c r="C73" i="10"/>
  <c r="C72" i="10"/>
  <c r="F66" i="10"/>
  <c r="C70" i="10"/>
  <c r="D66" i="10"/>
  <c r="E66" i="10"/>
  <c r="C67" i="10"/>
  <c r="D70" i="10"/>
  <c r="E70" i="10"/>
  <c r="F70" i="10"/>
  <c r="E69" i="10"/>
  <c r="I53" i="10"/>
  <c r="D69" i="10"/>
  <c r="H53" i="10"/>
  <c r="L53" i="10"/>
  <c r="G53" i="10"/>
  <c r="K53" i="10"/>
  <c r="F69" i="10"/>
  <c r="J53" i="10"/>
  <c r="C69" i="10"/>
  <c r="H52" i="10"/>
  <c r="G52" i="10"/>
  <c r="K52" i="10"/>
  <c r="J52" i="10"/>
  <c r="L52" i="10"/>
  <c r="D68" i="10"/>
  <c r="E68" i="10"/>
  <c r="I52" i="10"/>
  <c r="F68" i="10"/>
  <c r="C68" i="10"/>
  <c r="D67" i="10"/>
  <c r="E67" i="10"/>
  <c r="F67" i="10"/>
  <c r="G51" i="10"/>
  <c r="K51" i="10"/>
  <c r="K203" i="10" s="1"/>
  <c r="J51" i="10"/>
  <c r="J149" i="10" s="1"/>
  <c r="I51" i="10"/>
  <c r="I190" i="10" s="1"/>
  <c r="L51" i="10"/>
  <c r="H50" i="10"/>
  <c r="H72" i="10" s="1"/>
  <c r="I50" i="10"/>
  <c r="I59" i="10" s="1"/>
  <c r="J50" i="10"/>
  <c r="J59" i="10" s="1"/>
  <c r="G50" i="10"/>
  <c r="K50" i="10"/>
  <c r="K60" i="10" s="1"/>
  <c r="L50" i="10"/>
  <c r="L59" i="10" s="1"/>
  <c r="H51" i="10"/>
  <c r="P63" i="10" l="1"/>
  <c r="P59" i="10"/>
  <c r="E60" i="10"/>
  <c r="E63" i="10"/>
  <c r="I68" i="10"/>
  <c r="J66" i="10"/>
  <c r="I66" i="10"/>
  <c r="I73" i="10"/>
  <c r="J69" i="10"/>
  <c r="D61" i="10"/>
  <c r="K75" i="10"/>
  <c r="N72" i="10"/>
  <c r="D88" i="10"/>
  <c r="D209" i="10" s="1"/>
  <c r="M88" i="10"/>
  <c r="M209" i="10" s="1"/>
  <c r="M210" i="10" s="1"/>
  <c r="M18" i="10" s="1"/>
  <c r="D60" i="10"/>
  <c r="D63" i="10"/>
  <c r="H142" i="10"/>
  <c r="H128" i="10"/>
  <c r="H107" i="10"/>
  <c r="H163" i="10"/>
  <c r="H170" i="10"/>
  <c r="H114" i="10"/>
  <c r="H177" i="10"/>
  <c r="H135" i="10"/>
  <c r="H121" i="10"/>
  <c r="H156" i="10"/>
  <c r="H169" i="10"/>
  <c r="H113" i="10"/>
  <c r="H176" i="10"/>
  <c r="H162" i="10"/>
  <c r="H134" i="10"/>
  <c r="H120" i="10"/>
  <c r="H141" i="10"/>
  <c r="H127" i="10"/>
  <c r="H106" i="10"/>
  <c r="H155" i="10"/>
  <c r="L67" i="10"/>
  <c r="G169" i="10"/>
  <c r="G141" i="10"/>
  <c r="G127" i="10"/>
  <c r="G162" i="10"/>
  <c r="G113" i="10"/>
  <c r="G176" i="10"/>
  <c r="G134" i="10"/>
  <c r="G120" i="10"/>
  <c r="G106" i="10"/>
  <c r="G155" i="10"/>
  <c r="L114" i="10"/>
  <c r="L135" i="10"/>
  <c r="L121" i="10"/>
  <c r="L107" i="10"/>
  <c r="L142" i="10"/>
  <c r="L128" i="10"/>
  <c r="L163" i="10"/>
  <c r="L177" i="10"/>
  <c r="L170" i="10"/>
  <c r="L156" i="10"/>
  <c r="G114" i="10"/>
  <c r="G170" i="10"/>
  <c r="G177" i="10"/>
  <c r="G135" i="10"/>
  <c r="G121" i="10"/>
  <c r="G142" i="10"/>
  <c r="G128" i="10"/>
  <c r="G107" i="10"/>
  <c r="G163" i="10"/>
  <c r="G156" i="10"/>
  <c r="I69" i="10"/>
  <c r="K67" i="10"/>
  <c r="K70" i="10"/>
  <c r="J73" i="10"/>
  <c r="G72" i="10"/>
  <c r="K74" i="10"/>
  <c r="I74" i="10"/>
  <c r="I72" i="10"/>
  <c r="L76" i="10"/>
  <c r="J99" i="10"/>
  <c r="J83" i="10"/>
  <c r="K54" i="10"/>
  <c r="L94" i="10"/>
  <c r="H94" i="10"/>
  <c r="I84" i="10"/>
  <c r="K84" i="10"/>
  <c r="K55" i="10"/>
  <c r="J100" i="10"/>
  <c r="H55" i="10"/>
  <c r="J183" i="10"/>
  <c r="I183" i="10"/>
  <c r="G184" i="10"/>
  <c r="J189" i="10"/>
  <c r="K190" i="10"/>
  <c r="H189" i="10"/>
  <c r="I189" i="10"/>
  <c r="H190" i="10"/>
  <c r="G190" i="10"/>
  <c r="L189" i="10"/>
  <c r="J202" i="10"/>
  <c r="H202" i="10"/>
  <c r="I202" i="10"/>
  <c r="L202" i="10"/>
  <c r="G77" i="10"/>
  <c r="J64" i="10"/>
  <c r="J63" i="10"/>
  <c r="K62" i="10"/>
  <c r="L63" i="10"/>
  <c r="J61" i="10"/>
  <c r="L60" i="10"/>
  <c r="H61" i="10"/>
  <c r="G59" i="10"/>
  <c r="G148" i="10"/>
  <c r="K148" i="10"/>
  <c r="K149" i="10"/>
  <c r="P113" i="10"/>
  <c r="P169" i="10"/>
  <c r="P162" i="10"/>
  <c r="P183" i="10"/>
  <c r="P93" i="10"/>
  <c r="P189" i="10"/>
  <c r="P99" i="10"/>
  <c r="P176" i="10"/>
  <c r="P134" i="10"/>
  <c r="P120" i="10"/>
  <c r="P196" i="10"/>
  <c r="P141" i="10"/>
  <c r="P127" i="10"/>
  <c r="P106" i="10"/>
  <c r="P54" i="10"/>
  <c r="P202" i="10"/>
  <c r="P83" i="10"/>
  <c r="P155" i="10"/>
  <c r="P148" i="10"/>
  <c r="P60" i="10"/>
  <c r="O62" i="10"/>
  <c r="N70" i="10"/>
  <c r="P61" i="10"/>
  <c r="P67" i="10"/>
  <c r="Q113" i="10"/>
  <c r="Q141" i="10"/>
  <c r="Q127" i="10"/>
  <c r="Q183" i="10"/>
  <c r="Q54" i="10"/>
  <c r="Q189" i="10"/>
  <c r="Q83" i="10"/>
  <c r="Q169" i="10"/>
  <c r="Q196" i="10"/>
  <c r="Q93" i="10"/>
  <c r="Q176" i="10"/>
  <c r="Q134" i="10"/>
  <c r="Q120" i="10"/>
  <c r="Q106" i="10"/>
  <c r="Q162" i="10"/>
  <c r="Q202" i="10"/>
  <c r="Q99" i="10"/>
  <c r="Q155" i="10"/>
  <c r="Q148" i="10"/>
  <c r="P114" i="10"/>
  <c r="P55" i="10"/>
  <c r="P184" i="10"/>
  <c r="P94" i="10"/>
  <c r="P170" i="10"/>
  <c r="P107" i="10"/>
  <c r="P190" i="10"/>
  <c r="P100" i="10"/>
  <c r="P177" i="10"/>
  <c r="P135" i="10"/>
  <c r="P121" i="10"/>
  <c r="P163" i="10"/>
  <c r="P197" i="10"/>
  <c r="P142" i="10"/>
  <c r="P128" i="10"/>
  <c r="P203" i="10"/>
  <c r="P84" i="10"/>
  <c r="P149" i="10"/>
  <c r="P156" i="10"/>
  <c r="Q14" i="10"/>
  <c r="Q15" i="10" s="1"/>
  <c r="C59" i="10"/>
  <c r="F114" i="10"/>
  <c r="F170" i="10"/>
  <c r="F163" i="10"/>
  <c r="F177" i="10"/>
  <c r="F107" i="10"/>
  <c r="F135" i="10"/>
  <c r="F121" i="10"/>
  <c r="F55" i="10"/>
  <c r="F142" i="10"/>
  <c r="F128" i="10"/>
  <c r="F156" i="10"/>
  <c r="F63" i="10"/>
  <c r="E61" i="10"/>
  <c r="J113" i="10"/>
  <c r="J176" i="10"/>
  <c r="J106" i="10"/>
  <c r="J134" i="10"/>
  <c r="J120" i="10"/>
  <c r="J162" i="10"/>
  <c r="J169" i="10"/>
  <c r="J141" i="10"/>
  <c r="J127" i="10"/>
  <c r="J155" i="10"/>
  <c r="I114" i="10"/>
  <c r="I135" i="10"/>
  <c r="I121" i="10"/>
  <c r="I163" i="10"/>
  <c r="I177" i="10"/>
  <c r="I142" i="10"/>
  <c r="I128" i="10"/>
  <c r="I170" i="10"/>
  <c r="I107" i="10"/>
  <c r="I156" i="10"/>
  <c r="K66" i="10"/>
  <c r="I67" i="10"/>
  <c r="J67" i="10"/>
  <c r="L68" i="10"/>
  <c r="K68" i="10"/>
  <c r="H68" i="10"/>
  <c r="G69" i="10"/>
  <c r="H69" i="10"/>
  <c r="I70" i="10"/>
  <c r="G67" i="10"/>
  <c r="J70" i="10"/>
  <c r="K73" i="10"/>
  <c r="H73" i="10"/>
  <c r="J72" i="10"/>
  <c r="G74" i="10"/>
  <c r="L75" i="10"/>
  <c r="H76" i="10"/>
  <c r="K76" i="10"/>
  <c r="I99" i="10"/>
  <c r="G83" i="10"/>
  <c r="H83" i="10"/>
  <c r="J54" i="10"/>
  <c r="L54" i="10"/>
  <c r="H93" i="10"/>
  <c r="G100" i="10"/>
  <c r="G94" i="10"/>
  <c r="G93" i="10"/>
  <c r="G54" i="10"/>
  <c r="J55" i="10"/>
  <c r="I55" i="10"/>
  <c r="G99" i="10"/>
  <c r="K183" i="10"/>
  <c r="J184" i="10"/>
  <c r="K196" i="10"/>
  <c r="J197" i="10"/>
  <c r="G196" i="10"/>
  <c r="K202" i="10"/>
  <c r="J203" i="10"/>
  <c r="I77" i="10"/>
  <c r="L77" i="10"/>
  <c r="G63" i="10"/>
  <c r="K64" i="10"/>
  <c r="I61" i="10"/>
  <c r="H62" i="10"/>
  <c r="G61" i="10"/>
  <c r="L64" i="10"/>
  <c r="J60" i="10"/>
  <c r="J148" i="10"/>
  <c r="H149" i="10"/>
  <c r="O113" i="10"/>
  <c r="O176" i="10"/>
  <c r="O134" i="10"/>
  <c r="O120" i="10"/>
  <c r="O54" i="10"/>
  <c r="O183" i="10"/>
  <c r="O99" i="10"/>
  <c r="O141" i="10"/>
  <c r="O127" i="10"/>
  <c r="O189" i="10"/>
  <c r="O93" i="10"/>
  <c r="O169" i="10"/>
  <c r="O106" i="10"/>
  <c r="O196" i="10"/>
  <c r="O162" i="10"/>
  <c r="O202" i="10"/>
  <c r="O83" i="10"/>
  <c r="O155" i="10"/>
  <c r="O148" i="10"/>
  <c r="O60" i="10"/>
  <c r="O59" i="10"/>
  <c r="N60" i="10"/>
  <c r="N59" i="10"/>
  <c r="O68" i="10"/>
  <c r="O63" i="10"/>
  <c r="N67" i="10"/>
  <c r="P76" i="10"/>
  <c r="P73" i="10"/>
  <c r="N76" i="10"/>
  <c r="M14" i="10"/>
  <c r="M15" i="10" s="1"/>
  <c r="P14" i="10"/>
  <c r="P15" i="10" s="1"/>
  <c r="C141" i="10"/>
  <c r="C106" i="10"/>
  <c r="C127" i="10"/>
  <c r="C169" i="10"/>
  <c r="C176" i="10"/>
  <c r="C134" i="10"/>
  <c r="C113" i="10"/>
  <c r="C120" i="10"/>
  <c r="C162" i="10"/>
  <c r="C54" i="10"/>
  <c r="C155" i="10"/>
  <c r="C62" i="10"/>
  <c r="C114" i="10"/>
  <c r="C121" i="10"/>
  <c r="C55" i="10"/>
  <c r="C107" i="10"/>
  <c r="C163" i="10"/>
  <c r="C142" i="10"/>
  <c r="C170" i="10"/>
  <c r="C177" i="10"/>
  <c r="C135" i="10"/>
  <c r="C128" i="10"/>
  <c r="C156" i="10"/>
  <c r="E113" i="10"/>
  <c r="E141" i="10"/>
  <c r="E127" i="10"/>
  <c r="E169" i="10"/>
  <c r="E106" i="10"/>
  <c r="E176" i="10"/>
  <c r="E162" i="10"/>
  <c r="E54" i="10"/>
  <c r="E134" i="10"/>
  <c r="E120" i="10"/>
  <c r="E155" i="10"/>
  <c r="E88" i="10"/>
  <c r="E209" i="10" s="1"/>
  <c r="G88" i="10"/>
  <c r="G209" i="10" s="1"/>
  <c r="H88" i="10"/>
  <c r="H209" i="10" s="1"/>
  <c r="F88" i="10"/>
  <c r="F209" i="10" s="1"/>
  <c r="J88" i="10"/>
  <c r="J209" i="10" s="1"/>
  <c r="L113" i="10"/>
  <c r="L176" i="10"/>
  <c r="L169" i="10"/>
  <c r="L134" i="10"/>
  <c r="L120" i="10"/>
  <c r="L141" i="10"/>
  <c r="L127" i="10"/>
  <c r="L106" i="10"/>
  <c r="L162" i="10"/>
  <c r="L155" i="10"/>
  <c r="I113" i="10"/>
  <c r="I106" i="10"/>
  <c r="I169" i="10"/>
  <c r="I134" i="10"/>
  <c r="I120" i="10"/>
  <c r="I162" i="10"/>
  <c r="I141" i="10"/>
  <c r="I127" i="10"/>
  <c r="I176" i="10"/>
  <c r="I155" i="10"/>
  <c r="J114" i="10"/>
  <c r="J163" i="10"/>
  <c r="J135" i="10"/>
  <c r="J121" i="10"/>
  <c r="J170" i="10"/>
  <c r="J177" i="10"/>
  <c r="J142" i="10"/>
  <c r="J128" i="10"/>
  <c r="J107" i="10"/>
  <c r="J156" i="10"/>
  <c r="G66" i="10"/>
  <c r="H67" i="10"/>
  <c r="L70" i="10"/>
  <c r="L72" i="10"/>
  <c r="G73" i="10"/>
  <c r="H74" i="10"/>
  <c r="H75" i="10"/>
  <c r="G75" i="10"/>
  <c r="I75" i="10"/>
  <c r="L74" i="10"/>
  <c r="G76" i="10"/>
  <c r="L99" i="10"/>
  <c r="K83" i="10"/>
  <c r="K86" i="10" s="1"/>
  <c r="L83" i="10"/>
  <c r="I54" i="10"/>
  <c r="L93" i="10"/>
  <c r="K94" i="10"/>
  <c r="I94" i="10"/>
  <c r="H84" i="10"/>
  <c r="J84" i="10"/>
  <c r="H99" i="10"/>
  <c r="K93" i="10"/>
  <c r="H100" i="10"/>
  <c r="I100" i="10"/>
  <c r="L55" i="10"/>
  <c r="K184" i="10"/>
  <c r="H184" i="10"/>
  <c r="L183" i="10"/>
  <c r="L190" i="10"/>
  <c r="K189" i="10"/>
  <c r="J190" i="10"/>
  <c r="G189" i="10"/>
  <c r="L203" i="10"/>
  <c r="I203" i="10"/>
  <c r="H203" i="10"/>
  <c r="G203" i="10"/>
  <c r="J77" i="10"/>
  <c r="L62" i="10"/>
  <c r="H63" i="10"/>
  <c r="H64" i="10"/>
  <c r="I62" i="10"/>
  <c r="G60" i="10"/>
  <c r="K63" i="10"/>
  <c r="H59" i="10"/>
  <c r="I60" i="10"/>
  <c r="H148" i="10"/>
  <c r="G149" i="10"/>
  <c r="N113" i="10"/>
  <c r="N169" i="10"/>
  <c r="N106" i="10"/>
  <c r="N183" i="10"/>
  <c r="N176" i="10"/>
  <c r="N134" i="10"/>
  <c r="N120" i="10"/>
  <c r="N189" i="10"/>
  <c r="N141" i="10"/>
  <c r="N127" i="10"/>
  <c r="N162" i="10"/>
  <c r="N54" i="10"/>
  <c r="N196" i="10"/>
  <c r="N93" i="10"/>
  <c r="N202" i="10"/>
  <c r="N99" i="10"/>
  <c r="N148" i="10"/>
  <c r="N83" i="10"/>
  <c r="N155" i="10"/>
  <c r="O114" i="10"/>
  <c r="O177" i="10"/>
  <c r="O184" i="10"/>
  <c r="O135" i="10"/>
  <c r="O121" i="10"/>
  <c r="O190" i="10"/>
  <c r="O84" i="10"/>
  <c r="O85" i="10" s="1"/>
  <c r="O170" i="10"/>
  <c r="O142" i="10"/>
  <c r="O128" i="10"/>
  <c r="O107" i="10"/>
  <c r="O55" i="10"/>
  <c r="O197" i="10"/>
  <c r="O94" i="10"/>
  <c r="O163" i="10"/>
  <c r="O203" i="10"/>
  <c r="O100" i="10"/>
  <c r="O156" i="10"/>
  <c r="O149" i="10"/>
  <c r="M114" i="10"/>
  <c r="M177" i="10"/>
  <c r="M107" i="10"/>
  <c r="M184" i="10"/>
  <c r="M135" i="10"/>
  <c r="M121" i="10"/>
  <c r="M190" i="10"/>
  <c r="M142" i="10"/>
  <c r="M128" i="10"/>
  <c r="M163" i="10"/>
  <c r="M197" i="10"/>
  <c r="M94" i="10"/>
  <c r="M170" i="10"/>
  <c r="M55" i="10"/>
  <c r="M203" i="10"/>
  <c r="M100" i="10"/>
  <c r="M149" i="10"/>
  <c r="M84" i="10"/>
  <c r="M156" i="10"/>
  <c r="N61" i="10"/>
  <c r="P62" i="10"/>
  <c r="O70" i="10"/>
  <c r="N66" i="10"/>
  <c r="N69" i="10"/>
  <c r="O61" i="10"/>
  <c r="O67" i="10"/>
  <c r="P66" i="10"/>
  <c r="O75" i="10"/>
  <c r="N73" i="10"/>
  <c r="N74" i="10"/>
  <c r="P75" i="10"/>
  <c r="N75" i="10"/>
  <c r="O77" i="10"/>
  <c r="O74" i="10"/>
  <c r="P74" i="10"/>
  <c r="N114" i="10"/>
  <c r="N142" i="10"/>
  <c r="N128" i="10"/>
  <c r="N184" i="10"/>
  <c r="N107" i="10"/>
  <c r="N55" i="10"/>
  <c r="N190" i="10"/>
  <c r="N84" i="10"/>
  <c r="N177" i="10"/>
  <c r="N163" i="10"/>
  <c r="N197" i="10"/>
  <c r="N94" i="10"/>
  <c r="N156" i="10"/>
  <c r="N170" i="10"/>
  <c r="N135" i="10"/>
  <c r="N121" i="10"/>
  <c r="N203" i="10"/>
  <c r="N100" i="10"/>
  <c r="N149" i="10"/>
  <c r="N14" i="10"/>
  <c r="N15" i="10" s="1"/>
  <c r="D114" i="10"/>
  <c r="D170" i="10"/>
  <c r="D142" i="10"/>
  <c r="D177" i="10"/>
  <c r="D163" i="10"/>
  <c r="D121" i="10"/>
  <c r="D128" i="10"/>
  <c r="D107" i="10"/>
  <c r="D135" i="10"/>
  <c r="D55" i="10"/>
  <c r="D156" i="10"/>
  <c r="D176" i="10"/>
  <c r="D141" i="10"/>
  <c r="D106" i="10"/>
  <c r="D134" i="10"/>
  <c r="D54" i="10"/>
  <c r="D169" i="10"/>
  <c r="D127" i="10"/>
  <c r="D113" i="10"/>
  <c r="D162" i="10"/>
  <c r="D120" i="10"/>
  <c r="D155" i="10"/>
  <c r="E114" i="10"/>
  <c r="E135" i="10"/>
  <c r="E121" i="10"/>
  <c r="E107" i="10"/>
  <c r="E55" i="10"/>
  <c r="E142" i="10"/>
  <c r="E128" i="10"/>
  <c r="E163" i="10"/>
  <c r="E170" i="10"/>
  <c r="E177" i="10"/>
  <c r="E156" i="10"/>
  <c r="D62" i="10"/>
  <c r="F62" i="10"/>
  <c r="E62" i="10"/>
  <c r="K113" i="10"/>
  <c r="K169" i="10"/>
  <c r="K134" i="10"/>
  <c r="K120" i="10"/>
  <c r="K106" i="10"/>
  <c r="K141" i="10"/>
  <c r="K127" i="10"/>
  <c r="K176" i="10"/>
  <c r="K162" i="10"/>
  <c r="K155" i="10"/>
  <c r="K114" i="10"/>
  <c r="K142" i="10"/>
  <c r="K128" i="10"/>
  <c r="K170" i="10"/>
  <c r="K177" i="10"/>
  <c r="K135" i="10"/>
  <c r="K121" i="10"/>
  <c r="K107" i="10"/>
  <c r="K163" i="10"/>
  <c r="K156" i="10"/>
  <c r="J68" i="10"/>
  <c r="G68" i="10"/>
  <c r="K69" i="10"/>
  <c r="L69" i="10"/>
  <c r="H70" i="10"/>
  <c r="G70" i="10"/>
  <c r="H66" i="10"/>
  <c r="L73" i="10"/>
  <c r="K72" i="10"/>
  <c r="J74" i="10"/>
  <c r="J75" i="10"/>
  <c r="I76" i="10"/>
  <c r="J76" i="10"/>
  <c r="K99" i="10"/>
  <c r="I83" i="10"/>
  <c r="H54" i="10"/>
  <c r="H57" i="10" s="1"/>
  <c r="I93" i="10"/>
  <c r="J94" i="10"/>
  <c r="G84" i="10"/>
  <c r="G86" i="10" s="1"/>
  <c r="L84" i="10"/>
  <c r="G55" i="10"/>
  <c r="J93" i="10"/>
  <c r="K100" i="10"/>
  <c r="L100" i="10"/>
  <c r="I184" i="10"/>
  <c r="H183" i="10"/>
  <c r="G183" i="10"/>
  <c r="L184" i="10"/>
  <c r="I197" i="10"/>
  <c r="J196" i="10"/>
  <c r="K197" i="10"/>
  <c r="H196" i="10"/>
  <c r="I196" i="10"/>
  <c r="H197" i="10"/>
  <c r="G197" i="10"/>
  <c r="L196" i="10"/>
  <c r="L197" i="10"/>
  <c r="G202" i="10"/>
  <c r="K77" i="10"/>
  <c r="H77" i="10"/>
  <c r="L66" i="10"/>
  <c r="I63" i="10"/>
  <c r="I64" i="10"/>
  <c r="J62" i="10"/>
  <c r="G64" i="10"/>
  <c r="L61" i="10"/>
  <c r="K59" i="10"/>
  <c r="G62" i="10"/>
  <c r="K61" i="10"/>
  <c r="H60" i="10"/>
  <c r="I148" i="10"/>
  <c r="L148" i="10"/>
  <c r="I149" i="10"/>
  <c r="L149" i="10"/>
  <c r="O64" i="10"/>
  <c r="N63" i="10"/>
  <c r="P70" i="10"/>
  <c r="N62" i="10"/>
  <c r="P68" i="10"/>
  <c r="O76" i="10"/>
  <c r="O73" i="10"/>
  <c r="O72" i="10"/>
  <c r="O69" i="10"/>
  <c r="N68" i="10"/>
  <c r="P69" i="10"/>
  <c r="M77" i="10"/>
  <c r="M113" i="10"/>
  <c r="M183" i="10"/>
  <c r="M83" i="10"/>
  <c r="M176" i="10"/>
  <c r="M134" i="10"/>
  <c r="M120" i="10"/>
  <c r="M189" i="10"/>
  <c r="M93" i="10"/>
  <c r="M141" i="10"/>
  <c r="M127" i="10"/>
  <c r="M106" i="10"/>
  <c r="M162" i="10"/>
  <c r="M54" i="10"/>
  <c r="M196" i="10"/>
  <c r="M99" i="10"/>
  <c r="M169" i="10"/>
  <c r="M202" i="10"/>
  <c r="M155" i="10"/>
  <c r="M157" i="10" s="1"/>
  <c r="M27" i="10" s="1"/>
  <c r="M148" i="10"/>
  <c r="Q170" i="10"/>
  <c r="Q128" i="10"/>
  <c r="Q163" i="10"/>
  <c r="Q184" i="10"/>
  <c r="Q84" i="10"/>
  <c r="Q114" i="10"/>
  <c r="Q115" i="10" s="1"/>
  <c r="Q21" i="10" s="1"/>
  <c r="Q177" i="10"/>
  <c r="Q107" i="10"/>
  <c r="Q55" i="10"/>
  <c r="Q190" i="10"/>
  <c r="Q100" i="10"/>
  <c r="Q142" i="10"/>
  <c r="Q197" i="10"/>
  <c r="Q94" i="10"/>
  <c r="Q135" i="10"/>
  <c r="Q121" i="10"/>
  <c r="Q203" i="10"/>
  <c r="Q149" i="10"/>
  <c r="Q156" i="10"/>
  <c r="O14" i="10"/>
  <c r="O15" i="10" s="1"/>
  <c r="C61" i="10"/>
  <c r="C63" i="10"/>
  <c r="F113" i="10"/>
  <c r="F176" i="10"/>
  <c r="F162" i="10"/>
  <c r="F169" i="10"/>
  <c r="F106" i="10"/>
  <c r="F54" i="10"/>
  <c r="F134" i="10"/>
  <c r="F120" i="10"/>
  <c r="F141" i="10"/>
  <c r="F127" i="10"/>
  <c r="F155" i="10"/>
  <c r="K88" i="10"/>
  <c r="K209" i="10" s="1"/>
  <c r="Q88" i="10"/>
  <c r="Q209" i="10" s="1"/>
  <c r="Q210" i="10" s="1"/>
  <c r="Q18" i="10" s="1"/>
  <c r="L88" i="10"/>
  <c r="L209" i="10" s="1"/>
  <c r="I88" i="10"/>
  <c r="I209" i="10" s="1"/>
  <c r="P88" i="10"/>
  <c r="P209" i="10" s="1"/>
  <c r="P210" i="10" s="1"/>
  <c r="P18" i="10" s="1"/>
  <c r="O88" i="10"/>
  <c r="O209" i="10" s="1"/>
  <c r="O210" i="10" s="1"/>
  <c r="O18" i="10" s="1"/>
  <c r="C88" i="10"/>
  <c r="C209" i="10" s="1"/>
  <c r="C210" i="10" s="1"/>
  <c r="C18" i="10" s="1"/>
  <c r="AP21" i="10"/>
  <c r="AP20" i="10"/>
  <c r="AQ17" i="10"/>
  <c r="AS16" i="10"/>
  <c r="AR26" i="10"/>
  <c r="AR25" i="10"/>
  <c r="AU27" i="10"/>
  <c r="AU29" i="10"/>
  <c r="AU26" i="10"/>
  <c r="AT29" i="10"/>
  <c r="AT28" i="10"/>
  <c r="AT21" i="10"/>
  <c r="AT20" i="10"/>
  <c r="AP22" i="10"/>
  <c r="AN30" i="10"/>
  <c r="AN22" i="10"/>
  <c r="AN21" i="10"/>
  <c r="AQ30" i="10"/>
  <c r="AQ23" i="10"/>
  <c r="AQ22" i="10"/>
  <c r="AM25" i="10"/>
  <c r="AM24" i="10"/>
  <c r="AS29" i="10"/>
  <c r="AS30" i="10"/>
  <c r="AS22" i="10"/>
  <c r="AS21" i="10"/>
  <c r="AO24" i="10"/>
  <c r="AO23" i="10"/>
  <c r="AL27" i="10"/>
  <c r="AL26" i="10"/>
  <c r="AT17" i="10"/>
  <c r="AP19" i="10"/>
  <c r="AS17" i="10"/>
  <c r="AR27" i="10"/>
  <c r="AR20" i="10"/>
  <c r="AU28" i="10"/>
  <c r="AU21" i="10"/>
  <c r="AU20" i="10"/>
  <c r="AT30" i="10"/>
  <c r="AT23" i="10"/>
  <c r="AT22" i="10"/>
  <c r="AN24" i="10"/>
  <c r="AN23" i="10"/>
  <c r="AQ25" i="10"/>
  <c r="AQ24" i="10"/>
  <c r="AM27" i="10"/>
  <c r="AM26" i="10"/>
  <c r="AS24" i="10"/>
  <c r="AS23" i="10"/>
  <c r="AO26" i="10"/>
  <c r="AO25" i="10"/>
  <c r="AL29" i="10"/>
  <c r="AL28" i="10"/>
  <c r="AL21" i="10"/>
  <c r="AL20" i="10"/>
  <c r="AR16" i="10"/>
  <c r="AL17" i="10"/>
  <c r="AR28" i="10"/>
  <c r="AR29" i="10"/>
  <c r="AR22" i="10"/>
  <c r="AR21" i="10"/>
  <c r="AU30" i="10"/>
  <c r="AU23" i="10"/>
  <c r="AU22" i="10"/>
  <c r="AT25" i="10"/>
  <c r="AT24" i="10"/>
  <c r="AN26" i="10"/>
  <c r="AN25" i="10"/>
  <c r="AQ27" i="10"/>
  <c r="AQ26" i="10"/>
  <c r="AM28" i="10"/>
  <c r="AM29" i="10"/>
  <c r="AM21" i="10"/>
  <c r="AM20" i="10"/>
  <c r="AS26" i="10"/>
  <c r="AS25" i="10"/>
  <c r="AO27" i="10"/>
  <c r="AO28" i="10"/>
  <c r="AO20" i="10"/>
  <c r="AL30" i="10"/>
  <c r="AL23" i="10"/>
  <c r="AL22" i="10"/>
  <c r="AR17" i="10"/>
  <c r="AM17" i="10"/>
  <c r="AR30" i="10"/>
  <c r="AR24" i="10"/>
  <c r="AR23" i="10"/>
  <c r="AU25" i="10"/>
  <c r="AU24" i="10"/>
  <c r="AT27" i="10"/>
  <c r="AT26" i="10"/>
  <c r="AN27" i="10"/>
  <c r="AN28" i="10"/>
  <c r="AN29" i="10"/>
  <c r="AN20" i="10"/>
  <c r="AQ28" i="10"/>
  <c r="AQ29" i="10"/>
  <c r="AQ21" i="10"/>
  <c r="AQ20" i="10"/>
  <c r="AM30" i="10"/>
  <c r="AM23" i="10"/>
  <c r="AM22" i="10"/>
  <c r="AS27" i="10"/>
  <c r="AS28" i="10"/>
  <c r="AS20" i="10"/>
  <c r="AO29" i="10"/>
  <c r="AO30" i="10"/>
  <c r="AO22" i="10"/>
  <c r="AO21" i="10"/>
  <c r="AL25" i="10"/>
  <c r="AL24" i="10"/>
  <c r="V157" i="10"/>
  <c r="V27" i="10" s="1"/>
  <c r="V150" i="10"/>
  <c r="V26" i="10" s="1"/>
  <c r="V122" i="10"/>
  <c r="V22" i="10" s="1"/>
  <c r="V129" i="10"/>
  <c r="V23" i="10" s="1"/>
  <c r="V178" i="10"/>
  <c r="V30" i="10" s="1"/>
  <c r="AK171" i="10"/>
  <c r="AK29" i="10" s="1"/>
  <c r="V108" i="10"/>
  <c r="V20" i="10" s="1"/>
  <c r="V164" i="10"/>
  <c r="V28" i="10" s="1"/>
  <c r="V171" i="10"/>
  <c r="V29" i="10" s="1"/>
  <c r="AK178" i="10"/>
  <c r="AK30" i="10" s="1"/>
  <c r="V115" i="10"/>
  <c r="V21" i="10" s="1"/>
  <c r="V143" i="10"/>
  <c r="V25" i="10" s="1"/>
  <c r="V136" i="10"/>
  <c r="V24" i="10" s="1"/>
  <c r="AF122" i="10"/>
  <c r="AF22" i="10" s="1"/>
  <c r="AA157" i="10"/>
  <c r="AA27" i="10" s="1"/>
  <c r="AC143" i="10"/>
  <c r="AC25" i="10" s="1"/>
  <c r="AC150" i="10"/>
  <c r="AC26" i="10" s="1"/>
  <c r="W143" i="10"/>
  <c r="W25" i="10" s="1"/>
  <c r="AJ143" i="10"/>
  <c r="AJ25" i="10" s="1"/>
  <c r="AG129" i="10"/>
  <c r="AG23" i="10" s="1"/>
  <c r="W136" i="10"/>
  <c r="W24" i="10" s="1"/>
  <c r="AC136" i="10"/>
  <c r="AC24" i="10" s="1"/>
  <c r="AA143" i="10"/>
  <c r="AA25" i="10" s="1"/>
  <c r="AJ108" i="10"/>
  <c r="AJ20" i="10" s="1"/>
  <c r="AJ157" i="10"/>
  <c r="AJ27" i="10" s="1"/>
  <c r="AF108" i="10"/>
  <c r="AF20" i="10" s="1"/>
  <c r="Y122" i="10"/>
  <c r="Y22" i="10" s="1"/>
  <c r="U122" i="10"/>
  <c r="U22" i="10" s="1"/>
  <c r="AA150" i="10"/>
  <c r="AA26" i="10" s="1"/>
  <c r="W115" i="10"/>
  <c r="W21" i="10" s="1"/>
  <c r="AJ150" i="10"/>
  <c r="AJ26" i="10" s="1"/>
  <c r="AE108" i="10"/>
  <c r="AE20" i="10" s="1"/>
  <c r="T143" i="10"/>
  <c r="T25" i="10" s="1"/>
  <c r="R143" i="10"/>
  <c r="R25" i="10" s="1"/>
  <c r="T157" i="10"/>
  <c r="T27" i="10" s="1"/>
  <c r="W157" i="10"/>
  <c r="W27" i="10" s="1"/>
  <c r="AC157" i="10"/>
  <c r="AC27" i="10" s="1"/>
  <c r="AC115" i="10"/>
  <c r="AC21" i="10" s="1"/>
  <c r="W150" i="10"/>
  <c r="W26" i="10" s="1"/>
  <c r="AC122" i="10"/>
  <c r="AC22" i="10" s="1"/>
  <c r="T150" i="10"/>
  <c r="T26" i="10" s="1"/>
  <c r="R150" i="10"/>
  <c r="R26" i="10" s="1"/>
  <c r="AJ136" i="10"/>
  <c r="AJ24" i="10" s="1"/>
  <c r="AA136" i="10"/>
  <c r="AA24" i="10" s="1"/>
  <c r="R122" i="10"/>
  <c r="R22" i="10" s="1"/>
  <c r="Z122" i="10"/>
  <c r="Z22" i="10" s="1"/>
  <c r="AJ122" i="10"/>
  <c r="AJ22" i="10" s="1"/>
  <c r="AE122" i="10"/>
  <c r="AE22" i="10" s="1"/>
  <c r="AC108" i="10"/>
  <c r="AC20" i="10" s="1"/>
  <c r="AB122" i="10"/>
  <c r="AB22" i="10" s="1"/>
  <c r="X122" i="10"/>
  <c r="X22" i="10" s="1"/>
  <c r="R157" i="10"/>
  <c r="R27" i="10" s="1"/>
  <c r="AB108" i="10"/>
  <c r="AB20" i="10" s="1"/>
  <c r="AK122" i="10"/>
  <c r="AK22" i="10" s="1"/>
  <c r="AA108" i="10"/>
  <c r="AA20" i="10" s="1"/>
  <c r="AI108" i="10"/>
  <c r="AI20" i="10" s="1"/>
  <c r="W108" i="10"/>
  <c r="W20" i="10" s="1"/>
  <c r="S108" i="10"/>
  <c r="S20" i="10" s="1"/>
  <c r="W122" i="10"/>
  <c r="W22" i="10" s="1"/>
  <c r="S122" i="10"/>
  <c r="S22" i="10" s="1"/>
  <c r="AG122" i="10"/>
  <c r="AG22" i="10" s="1"/>
  <c r="U108" i="10"/>
  <c r="U20" i="10" s="1"/>
  <c r="AD108" i="10"/>
  <c r="AD20" i="10" s="1"/>
  <c r="U115" i="10"/>
  <c r="U21" i="10" s="1"/>
  <c r="AA115" i="10"/>
  <c r="AA21" i="10" s="1"/>
  <c r="AA122" i="10"/>
  <c r="AA22" i="10" s="1"/>
  <c r="AJ129" i="10"/>
  <c r="AJ23" i="10" s="1"/>
  <c r="AK129" i="10"/>
  <c r="AK23" i="10" s="1"/>
  <c r="T136" i="10"/>
  <c r="T24" i="10" s="1"/>
  <c r="R136" i="10"/>
  <c r="R24" i="10" s="1"/>
  <c r="AH108" i="10"/>
  <c r="AH20" i="10" s="1"/>
  <c r="Z108" i="10"/>
  <c r="Z20" i="10" s="1"/>
  <c r="AI122" i="10"/>
  <c r="AI22" i="10" s="1"/>
  <c r="T122" i="10"/>
  <c r="T22" i="10" s="1"/>
  <c r="AK108" i="10"/>
  <c r="AK20" i="10" s="1"/>
  <c r="X108" i="10"/>
  <c r="X20" i="10" s="1"/>
  <c r="U150" i="10"/>
  <c r="U26" i="10" s="1"/>
  <c r="AD122" i="10"/>
  <c r="AD22" i="10" s="1"/>
  <c r="Y108" i="10"/>
  <c r="Y20" i="10" s="1"/>
  <c r="R108" i="10"/>
  <c r="R20" i="10" s="1"/>
  <c r="U157" i="10"/>
  <c r="U27" i="10" s="1"/>
  <c r="AB143" i="10"/>
  <c r="AB25" i="10" s="1"/>
  <c r="AH150" i="10"/>
  <c r="AH26" i="10" s="1"/>
  <c r="AF150" i="10"/>
  <c r="AF26" i="10" s="1"/>
  <c r="AI157" i="10"/>
  <c r="AI27" i="10" s="1"/>
  <c r="X150" i="10"/>
  <c r="X26" i="10" s="1"/>
  <c r="Z150" i="10"/>
  <c r="Z26" i="10" s="1"/>
  <c r="AG150" i="10"/>
  <c r="AG26" i="10" s="1"/>
  <c r="S157" i="10"/>
  <c r="S27" i="10" s="1"/>
  <c r="Y150" i="10"/>
  <c r="Y26" i="10" s="1"/>
  <c r="AD150" i="10"/>
  <c r="AD26" i="10" s="1"/>
  <c r="AE150" i="10"/>
  <c r="AE26" i="10" s="1"/>
  <c r="AK150" i="10"/>
  <c r="AK26" i="10" s="1"/>
  <c r="T115" i="10"/>
  <c r="T21" i="10" s="1"/>
  <c r="AJ115" i="10"/>
  <c r="AJ21" i="10" s="1"/>
  <c r="AB136" i="10"/>
  <c r="AB24" i="10" s="1"/>
  <c r="AH143" i="10"/>
  <c r="AH25" i="10" s="1"/>
  <c r="AF143" i="10"/>
  <c r="AF25" i="10" s="1"/>
  <c r="AI143" i="10"/>
  <c r="AI25" i="10" s="1"/>
  <c r="X143" i="10"/>
  <c r="X25" i="10" s="1"/>
  <c r="Z143" i="10"/>
  <c r="Z25" i="10" s="1"/>
  <c r="AG143" i="10"/>
  <c r="AG25" i="10" s="1"/>
  <c r="S143" i="10"/>
  <c r="S25" i="10" s="1"/>
  <c r="Y143" i="10"/>
  <c r="Y25" i="10" s="1"/>
  <c r="AD143" i="10"/>
  <c r="AD25" i="10" s="1"/>
  <c r="AE143" i="10"/>
  <c r="AE25" i="10" s="1"/>
  <c r="AK143" i="10"/>
  <c r="AK25" i="10" s="1"/>
  <c r="U143" i="10"/>
  <c r="U25" i="10" s="1"/>
  <c r="AB157" i="10"/>
  <c r="AB27" i="10" s="1"/>
  <c r="AH136" i="10"/>
  <c r="AH24" i="10" s="1"/>
  <c r="AF136" i="10"/>
  <c r="AF24" i="10" s="1"/>
  <c r="AI136" i="10"/>
  <c r="AI24" i="10" s="1"/>
  <c r="X136" i="10"/>
  <c r="X24" i="10" s="1"/>
  <c r="Z136" i="10"/>
  <c r="Z24" i="10" s="1"/>
  <c r="AG136" i="10"/>
  <c r="AG24" i="10" s="1"/>
  <c r="S136" i="10"/>
  <c r="S24" i="10" s="1"/>
  <c r="Y136" i="10"/>
  <c r="Y24" i="10" s="1"/>
  <c r="AD136" i="10"/>
  <c r="AD24" i="10" s="1"/>
  <c r="AE136" i="10"/>
  <c r="AE24" i="10" s="1"/>
  <c r="AK136" i="10"/>
  <c r="AK24" i="10" s="1"/>
  <c r="X129" i="10"/>
  <c r="X23" i="10" s="1"/>
  <c r="U136" i="10"/>
  <c r="U24" i="10" s="1"/>
  <c r="AB150" i="10"/>
  <c r="AB26" i="10" s="1"/>
  <c r="AH157" i="10"/>
  <c r="AH27" i="10" s="1"/>
  <c r="AF157" i="10"/>
  <c r="AF27" i="10" s="1"/>
  <c r="AI150" i="10"/>
  <c r="AI26" i="10" s="1"/>
  <c r="X157" i="10"/>
  <c r="X27" i="10" s="1"/>
  <c r="Z157" i="10"/>
  <c r="Z27" i="10" s="1"/>
  <c r="AG157" i="10"/>
  <c r="AG27" i="10" s="1"/>
  <c r="S150" i="10"/>
  <c r="S26" i="10" s="1"/>
  <c r="Y157" i="10"/>
  <c r="Y27" i="10" s="1"/>
  <c r="AD157" i="10"/>
  <c r="AD27" i="10" s="1"/>
  <c r="AE157" i="10"/>
  <c r="AE27" i="10" s="1"/>
  <c r="AK157" i="10"/>
  <c r="AK27" i="10" s="1"/>
  <c r="U129" i="10"/>
  <c r="U23" i="10" s="1"/>
  <c r="R129" i="10"/>
  <c r="R23" i="10" s="1"/>
  <c r="AC129" i="10"/>
  <c r="AC23" i="10" s="1"/>
  <c r="AG108" i="10"/>
  <c r="AG20" i="10" s="1"/>
  <c r="AB129" i="10"/>
  <c r="AB23" i="10" s="1"/>
  <c r="AA129" i="10"/>
  <c r="AA23" i="10" s="1"/>
  <c r="AI129" i="10"/>
  <c r="AI23" i="10" s="1"/>
  <c r="Z129" i="10"/>
  <c r="Z23" i="10" s="1"/>
  <c r="S129" i="10"/>
  <c r="S23" i="10" s="1"/>
  <c r="AD129" i="10"/>
  <c r="AD23" i="10" s="1"/>
  <c r="T129" i="10"/>
  <c r="T23" i="10" s="1"/>
  <c r="W129" i="10"/>
  <c r="W23" i="10" s="1"/>
  <c r="Y129" i="10"/>
  <c r="Y23" i="10" s="1"/>
  <c r="AE129" i="10"/>
  <c r="AE23" i="10" s="1"/>
  <c r="AK115" i="10"/>
  <c r="AK21" i="10" s="1"/>
  <c r="AF115" i="10"/>
  <c r="AF21" i="10" s="1"/>
  <c r="X115" i="10"/>
  <c r="X21" i="10" s="1"/>
  <c r="AG115" i="10"/>
  <c r="AG21" i="10" s="1"/>
  <c r="Y115" i="10"/>
  <c r="Y21" i="10" s="1"/>
  <c r="AE115" i="10"/>
  <c r="AE21" i="10" s="1"/>
  <c r="R115" i="10"/>
  <c r="R21" i="10" s="1"/>
  <c r="AB115" i="10"/>
  <c r="AB21" i="10" s="1"/>
  <c r="AH115" i="10"/>
  <c r="AH21" i="10" s="1"/>
  <c r="AI115" i="10"/>
  <c r="AI21" i="10" s="1"/>
  <c r="Z115" i="10"/>
  <c r="Z21" i="10" s="1"/>
  <c r="S115" i="10"/>
  <c r="S21" i="10" s="1"/>
  <c r="AD115" i="10"/>
  <c r="AD21" i="10" s="1"/>
  <c r="T108" i="10"/>
  <c r="T20" i="10" s="1"/>
  <c r="N210" i="10"/>
  <c r="N18" i="10" s="1"/>
  <c r="AI204" i="10"/>
  <c r="AI207" i="10" s="1"/>
  <c r="AJ78" i="10"/>
  <c r="AK101" i="10"/>
  <c r="AK19" i="10" s="1"/>
  <c r="AJ210" i="10"/>
  <c r="AJ18" i="10" s="1"/>
  <c r="AI210" i="10"/>
  <c r="AI18" i="10" s="1"/>
  <c r="AJ204" i="10"/>
  <c r="AJ207" i="10" s="1"/>
  <c r="AK191" i="10"/>
  <c r="AK206" i="10" s="1"/>
  <c r="AI191" i="10"/>
  <c r="AI206" i="10" s="1"/>
  <c r="AK204" i="10"/>
  <c r="AK207" i="10" s="1"/>
  <c r="AK210" i="10"/>
  <c r="AK18" i="10" s="1"/>
  <c r="AJ191" i="10"/>
  <c r="AJ206" i="10" s="1"/>
  <c r="AK71" i="10"/>
  <c r="AK57" i="10"/>
  <c r="AK56" i="10"/>
  <c r="AI85" i="10"/>
  <c r="AI86" i="10"/>
  <c r="AJ57" i="10"/>
  <c r="AJ56" i="10"/>
  <c r="AJ86" i="10"/>
  <c r="AJ85" i="10"/>
  <c r="AI56" i="10"/>
  <c r="AI57" i="10"/>
  <c r="AI71" i="10"/>
  <c r="AJ101" i="10"/>
  <c r="AJ19" i="10" s="1"/>
  <c r="AK78" i="10"/>
  <c r="AI101" i="10"/>
  <c r="AI19" i="10" s="1"/>
  <c r="AJ71" i="10"/>
  <c r="AK86" i="10"/>
  <c r="AK85" i="10"/>
  <c r="AI78" i="10"/>
  <c r="X78" i="10"/>
  <c r="V57" i="10"/>
  <c r="AG204" i="10"/>
  <c r="AG207" i="10" s="1"/>
  <c r="Y191" i="10"/>
  <c r="Y206" i="10" s="1"/>
  <c r="S56" i="10"/>
  <c r="AA56" i="10"/>
  <c r="AG57" i="10"/>
  <c r="AD57" i="10"/>
  <c r="AF56" i="10"/>
  <c r="X56" i="10"/>
  <c r="AE57" i="10"/>
  <c r="U57" i="10"/>
  <c r="AC57" i="10"/>
  <c r="Y101" i="10"/>
  <c r="Y19" i="10" s="1"/>
  <c r="AA101" i="10"/>
  <c r="AA19" i="10" s="1"/>
  <c r="AG191" i="10"/>
  <c r="AG206" i="10" s="1"/>
  <c r="Y204" i="10"/>
  <c r="Y207" i="10" s="1"/>
  <c r="X191" i="10"/>
  <c r="X206" i="10" s="1"/>
  <c r="AA191" i="10"/>
  <c r="AA206" i="10" s="1"/>
  <c r="X204" i="10"/>
  <c r="X207" i="10" s="1"/>
  <c r="AA57" i="10"/>
  <c r="Y210" i="10"/>
  <c r="Y18" i="10" s="1"/>
  <c r="AA210" i="10"/>
  <c r="AA18" i="10" s="1"/>
  <c r="AH210" i="10"/>
  <c r="AH18" i="10" s="1"/>
  <c r="T210" i="10"/>
  <c r="T18" i="10" s="1"/>
  <c r="AF210" i="10"/>
  <c r="AF18" i="10" s="1"/>
  <c r="AD204" i="10"/>
  <c r="AD207" i="10" s="1"/>
  <c r="R191" i="10"/>
  <c r="R206" i="10" s="1"/>
  <c r="Z204" i="10"/>
  <c r="Z207" i="10" s="1"/>
  <c r="AA204" i="10"/>
  <c r="AA207" i="10" s="1"/>
  <c r="W191" i="10"/>
  <c r="W206" i="10" s="1"/>
  <c r="AB204" i="10"/>
  <c r="AB207" i="10" s="1"/>
  <c r="T191" i="10"/>
  <c r="T206" i="10" s="1"/>
  <c r="U204" i="10"/>
  <c r="U207" i="10" s="1"/>
  <c r="AE204" i="10"/>
  <c r="AE207" i="10" s="1"/>
  <c r="AG56" i="10"/>
  <c r="Z210" i="10"/>
  <c r="Z18" i="10" s="1"/>
  <c r="W210" i="10"/>
  <c r="W18" i="10" s="1"/>
  <c r="V210" i="10"/>
  <c r="V18" i="10" s="1"/>
  <c r="U210" i="10"/>
  <c r="U18" i="10" s="1"/>
  <c r="AC204" i="10"/>
  <c r="AC207" i="10" s="1"/>
  <c r="S191" i="10"/>
  <c r="S206" i="10" s="1"/>
  <c r="AH204" i="10"/>
  <c r="AH207" i="10" s="1"/>
  <c r="V204" i="10"/>
  <c r="V207" i="10" s="1"/>
  <c r="AF191" i="10"/>
  <c r="AF206" i="10" s="1"/>
  <c r="AG210" i="10"/>
  <c r="AG18" i="10" s="1"/>
  <c r="AC210" i="10"/>
  <c r="AC18" i="10" s="1"/>
  <c r="X210" i="10"/>
  <c r="X18" i="10" s="1"/>
  <c r="AD191" i="10"/>
  <c r="AD206" i="10" s="1"/>
  <c r="R204" i="10"/>
  <c r="R207" i="10" s="1"/>
  <c r="Z191" i="10"/>
  <c r="Z206" i="10" s="1"/>
  <c r="W204" i="10"/>
  <c r="W207" i="10" s="1"/>
  <c r="AB191" i="10"/>
  <c r="AB206" i="10" s="1"/>
  <c r="T204" i="10"/>
  <c r="T207" i="10" s="1"/>
  <c r="AF204" i="10"/>
  <c r="AF207" i="10" s="1"/>
  <c r="U191" i="10"/>
  <c r="U206" i="10" s="1"/>
  <c r="AD210" i="10"/>
  <c r="AD18" i="10" s="1"/>
  <c r="R210" i="10"/>
  <c r="R18" i="10" s="1"/>
  <c r="S210" i="10"/>
  <c r="S18" i="10" s="1"/>
  <c r="AB210" i="10"/>
  <c r="AB18" i="10" s="1"/>
  <c r="AE210" i="10"/>
  <c r="AE18" i="10" s="1"/>
  <c r="AC191" i="10"/>
  <c r="AC206" i="10" s="1"/>
  <c r="S204" i="10"/>
  <c r="S207" i="10" s="1"/>
  <c r="AH191" i="10"/>
  <c r="AH206" i="10" s="1"/>
  <c r="V191" i="10"/>
  <c r="V206" i="10" s="1"/>
  <c r="AE191" i="10"/>
  <c r="AE206" i="10" s="1"/>
  <c r="AC56" i="10"/>
  <c r="R57" i="10"/>
  <c r="T56" i="10"/>
  <c r="AB57" i="10"/>
  <c r="Y57" i="10"/>
  <c r="AE56" i="10"/>
  <c r="Y78" i="10"/>
  <c r="AG85" i="10"/>
  <c r="AG86" i="10"/>
  <c r="AD101" i="10"/>
  <c r="AD19" i="10" s="1"/>
  <c r="AC101" i="10"/>
  <c r="AC19" i="10" s="1"/>
  <c r="R101" i="10"/>
  <c r="R19" i="10" s="1"/>
  <c r="S101" i="10"/>
  <c r="S19" i="10" s="1"/>
  <c r="X101" i="10"/>
  <c r="X19" i="10" s="1"/>
  <c r="U85" i="10"/>
  <c r="U86" i="10"/>
  <c r="AE86" i="10"/>
  <c r="AE85" i="10"/>
  <c r="W56" i="10"/>
  <c r="R56" i="10"/>
  <c r="AD85" i="10"/>
  <c r="AD86" i="10"/>
  <c r="AC85" i="10"/>
  <c r="AC86" i="10"/>
  <c r="R85" i="10"/>
  <c r="R86" i="10"/>
  <c r="AH101" i="10"/>
  <c r="AH19" i="10" s="1"/>
  <c r="X86" i="10"/>
  <c r="X85" i="10"/>
  <c r="AB101" i="10"/>
  <c r="AB19" i="10" s="1"/>
  <c r="AE101" i="10"/>
  <c r="AE19" i="10" s="1"/>
  <c r="T57" i="10"/>
  <c r="Y56" i="10"/>
  <c r="S57" i="10"/>
  <c r="Y85" i="10"/>
  <c r="Y86" i="10"/>
  <c r="S86" i="10"/>
  <c r="S85" i="10"/>
  <c r="Z101" i="10"/>
  <c r="Z19" i="10" s="1"/>
  <c r="AH85" i="10"/>
  <c r="AH86" i="10"/>
  <c r="W86" i="10"/>
  <c r="W85" i="10"/>
  <c r="AB86" i="10"/>
  <c r="AB85" i="10"/>
  <c r="V101" i="10"/>
  <c r="V19" i="10" s="1"/>
  <c r="T101" i="10"/>
  <c r="T19" i="10" s="1"/>
  <c r="AF101" i="10"/>
  <c r="AF19" i="10" s="1"/>
  <c r="AB56" i="10"/>
  <c r="Q71" i="10"/>
  <c r="R78" i="10"/>
  <c r="AF71" i="10"/>
  <c r="AE78" i="10"/>
  <c r="AG101" i="10"/>
  <c r="AG19" i="10" s="1"/>
  <c r="Z85" i="10"/>
  <c r="Z86" i="10"/>
  <c r="AA86" i="10"/>
  <c r="AA85" i="10"/>
  <c r="W101" i="10"/>
  <c r="W19" i="10" s="1"/>
  <c r="V85" i="10"/>
  <c r="V86" i="10"/>
  <c r="T86" i="10"/>
  <c r="T85" i="10"/>
  <c r="AF86" i="10"/>
  <c r="AF85" i="10"/>
  <c r="U101" i="10"/>
  <c r="U19" i="10" s="1"/>
  <c r="W78" i="10"/>
  <c r="T78" i="10"/>
  <c r="AC71" i="10"/>
  <c r="Q78" i="10"/>
  <c r="S78" i="10"/>
  <c r="V78" i="10"/>
  <c r="U78" i="10"/>
  <c r="AF57" i="10"/>
  <c r="AH56" i="10"/>
  <c r="Z56" i="10"/>
  <c r="W57" i="10"/>
  <c r="U56" i="10"/>
  <c r="X57" i="10"/>
  <c r="AE71" i="10"/>
  <c r="V71" i="10"/>
  <c r="W71" i="10"/>
  <c r="AD71" i="10"/>
  <c r="AG78" i="10"/>
  <c r="AC78" i="10"/>
  <c r="Z78" i="10"/>
  <c r="M78" i="10"/>
  <c r="AD56" i="10"/>
  <c r="T71" i="10"/>
  <c r="AB71" i="10"/>
  <c r="AD78" i="10"/>
  <c r="AA78" i="10"/>
  <c r="AH78" i="10"/>
  <c r="AB78" i="10"/>
  <c r="AF78" i="10"/>
  <c r="V56" i="10"/>
  <c r="Z71" i="10"/>
  <c r="X71" i="10"/>
  <c r="Y71" i="10"/>
  <c r="R71" i="10"/>
  <c r="AA71" i="10"/>
  <c r="U71" i="10"/>
  <c r="S71" i="10"/>
  <c r="AH71" i="10"/>
  <c r="AG71" i="10"/>
  <c r="AH57" i="10"/>
  <c r="Z57" i="10"/>
  <c r="M71" i="10"/>
  <c r="C101" i="10"/>
  <c r="C19" i="10" s="1"/>
  <c r="C78" i="10"/>
  <c r="F78" i="10"/>
  <c r="D78" i="10"/>
  <c r="E78" i="10"/>
  <c r="E85" i="10"/>
  <c r="D85" i="10"/>
  <c r="F85" i="10"/>
  <c r="C71" i="10"/>
  <c r="F71" i="10"/>
  <c r="BQ58" i="13"/>
  <c r="BQ53" i="13"/>
  <c r="BQ56" i="13"/>
  <c r="BQ55" i="13"/>
  <c r="BQ54" i="13"/>
  <c r="BQ57" i="13"/>
  <c r="C85" i="10"/>
  <c r="C86" i="10"/>
  <c r="F86" i="10"/>
  <c r="E86" i="10"/>
  <c r="D86" i="10"/>
  <c r="E71" i="10"/>
  <c r="D71" i="10"/>
  <c r="J85" i="10" l="1"/>
  <c r="O108" i="10"/>
  <c r="O20" i="10" s="1"/>
  <c r="Q157" i="10"/>
  <c r="Q27" i="10" s="1"/>
  <c r="P101" i="10"/>
  <c r="P19" i="10" s="1"/>
  <c r="P157" i="10"/>
  <c r="P27" i="10" s="1"/>
  <c r="Q86" i="10"/>
  <c r="O57" i="10"/>
  <c r="P204" i="10"/>
  <c r="P207" i="10" s="1"/>
  <c r="K57" i="10"/>
  <c r="K85" i="10"/>
  <c r="K87" i="10" s="1"/>
  <c r="K17" i="10" s="1"/>
  <c r="Q150" i="10"/>
  <c r="Q26" i="10" s="1"/>
  <c r="Q129" i="10"/>
  <c r="Q23" i="10" s="1"/>
  <c r="O115" i="10"/>
  <c r="O21" i="10" s="1"/>
  <c r="I56" i="10"/>
  <c r="C108" i="10"/>
  <c r="C20" i="10" s="1"/>
  <c r="P56" i="10"/>
  <c r="I86" i="10"/>
  <c r="N129" i="10"/>
  <c r="N23" i="10" s="1"/>
  <c r="J56" i="10"/>
  <c r="M57" i="10"/>
  <c r="P122" i="10"/>
  <c r="P22" i="10" s="1"/>
  <c r="H85" i="10"/>
  <c r="J57" i="10"/>
  <c r="K71" i="10"/>
  <c r="N150" i="10"/>
  <c r="N26" i="10" s="1"/>
  <c r="O143" i="10"/>
  <c r="O25" i="10" s="1"/>
  <c r="Q143" i="10"/>
  <c r="Q25" i="10" s="1"/>
  <c r="Q108" i="10"/>
  <c r="Q20" i="10" s="1"/>
  <c r="O122" i="10"/>
  <c r="O22" i="10" s="1"/>
  <c r="P108" i="10"/>
  <c r="P20" i="10" s="1"/>
  <c r="H86" i="10"/>
  <c r="L71" i="10"/>
  <c r="M204" i="10"/>
  <c r="M207" i="10" s="1"/>
  <c r="H56" i="10"/>
  <c r="H58" i="10" s="1"/>
  <c r="H16" i="10" s="1"/>
  <c r="P143" i="10"/>
  <c r="P25" i="10" s="1"/>
  <c r="O101" i="10"/>
  <c r="O19" i="10" s="1"/>
  <c r="Q57" i="10"/>
  <c r="M122" i="10"/>
  <c r="M22" i="10" s="1"/>
  <c r="Q204" i="10"/>
  <c r="Q207" i="10" s="1"/>
  <c r="O71" i="10"/>
  <c r="P78" i="10"/>
  <c r="P57" i="10"/>
  <c r="G56" i="10"/>
  <c r="K78" i="10"/>
  <c r="I85" i="10"/>
  <c r="M56" i="10"/>
  <c r="Q56" i="10"/>
  <c r="G57" i="10"/>
  <c r="M101" i="10"/>
  <c r="M19" i="10" s="1"/>
  <c r="L56" i="10"/>
  <c r="E57" i="10"/>
  <c r="O157" i="10"/>
  <c r="O27" i="10" s="1"/>
  <c r="F56" i="10"/>
  <c r="P191" i="10"/>
  <c r="P206" i="10" s="1"/>
  <c r="G78" i="10"/>
  <c r="M143" i="10"/>
  <c r="M25" i="10" s="1"/>
  <c r="O86" i="10"/>
  <c r="O87" i="10" s="1"/>
  <c r="O17" i="10" s="1"/>
  <c r="M191" i="10"/>
  <c r="M206" i="10" s="1"/>
  <c r="N85" i="10"/>
  <c r="O129" i="10"/>
  <c r="O23" i="10" s="1"/>
  <c r="K56" i="10"/>
  <c r="Q101" i="10"/>
  <c r="Q19" i="10" s="1"/>
  <c r="D115" i="10"/>
  <c r="D21" i="10" s="1"/>
  <c r="I57" i="10"/>
  <c r="P150" i="10"/>
  <c r="P26" i="10" s="1"/>
  <c r="N115" i="10"/>
  <c r="N21" i="10" s="1"/>
  <c r="N157" i="10"/>
  <c r="N27" i="10" s="1"/>
  <c r="N108" i="10"/>
  <c r="N20" i="10" s="1"/>
  <c r="L57" i="10"/>
  <c r="N71" i="10"/>
  <c r="M108" i="10"/>
  <c r="M20" i="10" s="1"/>
  <c r="C178" i="10"/>
  <c r="C30" i="10" s="1"/>
  <c r="M85" i="10"/>
  <c r="N191" i="10"/>
  <c r="N206" i="10" s="1"/>
  <c r="O150" i="10"/>
  <c r="O26" i="10" s="1"/>
  <c r="G85" i="10"/>
  <c r="G87" i="10" s="1"/>
  <c r="G17" i="10" s="1"/>
  <c r="P129" i="10"/>
  <c r="P23" i="10" s="1"/>
  <c r="M86" i="10"/>
  <c r="O78" i="10"/>
  <c r="J78" i="10"/>
  <c r="G71" i="10"/>
  <c r="D56" i="10"/>
  <c r="N57" i="10"/>
  <c r="N143" i="10"/>
  <c r="N25" i="10" s="1"/>
  <c r="M129" i="10"/>
  <c r="M23" i="10" s="1"/>
  <c r="M115" i="10"/>
  <c r="M21" i="10" s="1"/>
  <c r="N204" i="10"/>
  <c r="N207" i="10" s="1"/>
  <c r="N122" i="10"/>
  <c r="N22" i="10" s="1"/>
  <c r="L85" i="10"/>
  <c r="L78" i="10"/>
  <c r="H78" i="10"/>
  <c r="H71" i="10"/>
  <c r="E56" i="10"/>
  <c r="C171" i="10"/>
  <c r="C29" i="10" s="1"/>
  <c r="C115" i="10"/>
  <c r="C21" i="10" s="1"/>
  <c r="O204" i="10"/>
  <c r="O207" i="10" s="1"/>
  <c r="O191" i="10"/>
  <c r="O206" i="10" s="1"/>
  <c r="J71" i="10"/>
  <c r="P86" i="10"/>
  <c r="P115" i="10"/>
  <c r="P21" i="10" s="1"/>
  <c r="Q191" i="10"/>
  <c r="Q206" i="10" s="1"/>
  <c r="P71" i="10"/>
  <c r="I71" i="10"/>
  <c r="N78" i="10"/>
  <c r="I78" i="10"/>
  <c r="N86" i="10"/>
  <c r="J86" i="10"/>
  <c r="J87" i="10" s="1"/>
  <c r="J17" i="10" s="1"/>
  <c r="Q85" i="10"/>
  <c r="Q122" i="10"/>
  <c r="Q22" i="10" s="1"/>
  <c r="M150" i="10"/>
  <c r="M26" i="10" s="1"/>
  <c r="N101" i="10"/>
  <c r="N19" i="10" s="1"/>
  <c r="C56" i="10"/>
  <c r="D57" i="10"/>
  <c r="F57" i="10"/>
  <c r="P85" i="10"/>
  <c r="L86" i="10"/>
  <c r="N56" i="10"/>
  <c r="C57" i="10"/>
  <c r="O56" i="10"/>
  <c r="AT16" i="10"/>
  <c r="AO17" i="10"/>
  <c r="AN16" i="10"/>
  <c r="AR19" i="10"/>
  <c r="AS19" i="10"/>
  <c r="AO19" i="10"/>
  <c r="AQ19" i="10"/>
  <c r="AM19" i="10"/>
  <c r="AQ16" i="10"/>
  <c r="AU17" i="10"/>
  <c r="AT19" i="10"/>
  <c r="AP17" i="10"/>
  <c r="AL19" i="10"/>
  <c r="AU19" i="10"/>
  <c r="AN19" i="10"/>
  <c r="AO16" i="10"/>
  <c r="AP16" i="10"/>
  <c r="AM16" i="10"/>
  <c r="AL16" i="10"/>
  <c r="AN17" i="10"/>
  <c r="AU16" i="10"/>
  <c r="V58" i="10"/>
  <c r="V16" i="10" s="1"/>
  <c r="AK205" i="10"/>
  <c r="AK208" i="10" s="1"/>
  <c r="Y205" i="10"/>
  <c r="Y208" i="10" s="1"/>
  <c r="AJ205" i="10"/>
  <c r="AJ208" i="10" s="1"/>
  <c r="AI205" i="10"/>
  <c r="AI208" i="10" s="1"/>
  <c r="AJ58" i="10"/>
  <c r="AJ16" i="10" s="1"/>
  <c r="AK58" i="10"/>
  <c r="AK16" i="10" s="1"/>
  <c r="AI87" i="10"/>
  <c r="AI17" i="10" s="1"/>
  <c r="AK87" i="10"/>
  <c r="AK17" i="10" s="1"/>
  <c r="AI58" i="10"/>
  <c r="AI16" i="10" s="1"/>
  <c r="AJ87" i="10"/>
  <c r="AJ17" i="10" s="1"/>
  <c r="S58" i="10"/>
  <c r="S16" i="10" s="1"/>
  <c r="AC58" i="10"/>
  <c r="AC16" i="10" s="1"/>
  <c r="AB58" i="10"/>
  <c r="AB16" i="10" s="1"/>
  <c r="AG58" i="10"/>
  <c r="AG16" i="10" s="1"/>
  <c r="AE58" i="10"/>
  <c r="AE16" i="10" s="1"/>
  <c r="X58" i="10"/>
  <c r="X16" i="10" s="1"/>
  <c r="Y58" i="10"/>
  <c r="Y16" i="10" s="1"/>
  <c r="R58" i="10"/>
  <c r="R16" i="10" s="1"/>
  <c r="U58" i="10"/>
  <c r="U16" i="10" s="1"/>
  <c r="AF58" i="10"/>
  <c r="AF16" i="10" s="1"/>
  <c r="AA58" i="10"/>
  <c r="AA16" i="10" s="1"/>
  <c r="AD58" i="10"/>
  <c r="AD16" i="10" s="1"/>
  <c r="T58" i="10"/>
  <c r="T16" i="10" s="1"/>
  <c r="AA205" i="10"/>
  <c r="AA208" i="10" s="1"/>
  <c r="AH58" i="10"/>
  <c r="AH16" i="10" s="1"/>
  <c r="W58" i="10"/>
  <c r="W16" i="10" s="1"/>
  <c r="Z58" i="10"/>
  <c r="Z16" i="10" s="1"/>
  <c r="U205" i="10"/>
  <c r="U208" i="10" s="1"/>
  <c r="W205" i="10"/>
  <c r="W208" i="10" s="1"/>
  <c r="T205" i="10"/>
  <c r="T208" i="10" s="1"/>
  <c r="Z205" i="10"/>
  <c r="Z208" i="10" s="1"/>
  <c r="AH205" i="10"/>
  <c r="AH208" i="10" s="1"/>
  <c r="S205" i="10"/>
  <c r="S208" i="10" s="1"/>
  <c r="V205" i="10"/>
  <c r="V208" i="10" s="1"/>
  <c r="AB205" i="10"/>
  <c r="AB208" i="10" s="1"/>
  <c r="R205" i="10"/>
  <c r="R208" i="10" s="1"/>
  <c r="AD205" i="10"/>
  <c r="AD208" i="10" s="1"/>
  <c r="AC205" i="10"/>
  <c r="AC208" i="10" s="1"/>
  <c r="AG205" i="10"/>
  <c r="AG208" i="10" s="1"/>
  <c r="AF205" i="10"/>
  <c r="AF208" i="10" s="1"/>
  <c r="AE205" i="10"/>
  <c r="AE208" i="10" s="1"/>
  <c r="X205" i="10"/>
  <c r="X208" i="10" s="1"/>
  <c r="V87" i="10"/>
  <c r="V17" i="10" s="1"/>
  <c r="S87" i="10"/>
  <c r="S17" i="10" s="1"/>
  <c r="AF87" i="10"/>
  <c r="AF17" i="10" s="1"/>
  <c r="AA87" i="10"/>
  <c r="AA17" i="10" s="1"/>
  <c r="AH87" i="10"/>
  <c r="AH17" i="10" s="1"/>
  <c r="U87" i="10"/>
  <c r="U17" i="10" s="1"/>
  <c r="T87" i="10"/>
  <c r="T17" i="10" s="1"/>
  <c r="Z87" i="10"/>
  <c r="Z17" i="10" s="1"/>
  <c r="AB87" i="10"/>
  <c r="AB17" i="10" s="1"/>
  <c r="AC87" i="10"/>
  <c r="AC17" i="10" s="1"/>
  <c r="AD87" i="10"/>
  <c r="AD17" i="10" s="1"/>
  <c r="AE87" i="10"/>
  <c r="AE17" i="10" s="1"/>
  <c r="AG87" i="10"/>
  <c r="AG17" i="10" s="1"/>
  <c r="W87" i="10"/>
  <c r="W17" i="10" s="1"/>
  <c r="Y87" i="10"/>
  <c r="Y17" i="10" s="1"/>
  <c r="X87" i="10"/>
  <c r="X17" i="10" s="1"/>
  <c r="R87" i="10"/>
  <c r="R17" i="10" s="1"/>
  <c r="H210" i="10"/>
  <c r="H18" i="10" s="1"/>
  <c r="C87" i="10"/>
  <c r="C17" i="10" s="1"/>
  <c r="L210" i="10"/>
  <c r="L18" i="10" s="1"/>
  <c r="F210" i="10"/>
  <c r="F18" i="10" s="1"/>
  <c r="D210" i="10"/>
  <c r="D18" i="10" s="1"/>
  <c r="I210" i="10"/>
  <c r="I18" i="10" s="1"/>
  <c r="J210" i="10"/>
  <c r="J18" i="10" s="1"/>
  <c r="G210" i="10"/>
  <c r="G18" i="10" s="1"/>
  <c r="E210" i="10"/>
  <c r="E18" i="10" s="1"/>
  <c r="K210" i="10"/>
  <c r="K18" i="10" s="1"/>
  <c r="K101" i="10"/>
  <c r="K19" i="10" s="1"/>
  <c r="H101" i="10"/>
  <c r="H19" i="10" s="1"/>
  <c r="E101" i="10"/>
  <c r="E19" i="10" s="1"/>
  <c r="I101" i="10"/>
  <c r="I19" i="10" s="1"/>
  <c r="E87" i="10"/>
  <c r="E17" i="10" s="1"/>
  <c r="D87" i="10"/>
  <c r="D17" i="10" s="1"/>
  <c r="F87" i="10"/>
  <c r="F17" i="10" s="1"/>
  <c r="BQ60" i="13"/>
  <c r="K58" i="10" l="1"/>
  <c r="K16" i="10" s="1"/>
  <c r="I87" i="10"/>
  <c r="I17" i="10" s="1"/>
  <c r="P87" i="10"/>
  <c r="P17" i="10" s="1"/>
  <c r="P205" i="10"/>
  <c r="P208" i="10" s="1"/>
  <c r="O58" i="10"/>
  <c r="O16" i="10" s="1"/>
  <c r="J58" i="10"/>
  <c r="J16" i="10" s="1"/>
  <c r="H87" i="10"/>
  <c r="H17" i="10" s="1"/>
  <c r="M58" i="10"/>
  <c r="M16" i="10" s="1"/>
  <c r="Q87" i="10"/>
  <c r="Q17" i="10" s="1"/>
  <c r="P58" i="10"/>
  <c r="P16" i="10" s="1"/>
  <c r="I58" i="10"/>
  <c r="I16" i="10" s="1"/>
  <c r="L58" i="10"/>
  <c r="L16" i="10" s="1"/>
  <c r="F58" i="10"/>
  <c r="F16" i="10" s="1"/>
  <c r="L87" i="10"/>
  <c r="L17" i="10" s="1"/>
  <c r="M205" i="10"/>
  <c r="M208" i="10" s="1"/>
  <c r="Q58" i="10"/>
  <c r="Q16" i="10" s="1"/>
  <c r="M87" i="10"/>
  <c r="M17" i="10" s="1"/>
  <c r="O205" i="10"/>
  <c r="O208" i="10" s="1"/>
  <c r="Q205" i="10"/>
  <c r="Q208" i="10" s="1"/>
  <c r="D58" i="10"/>
  <c r="D16" i="10" s="1"/>
  <c r="N87" i="10"/>
  <c r="N17" i="10" s="1"/>
  <c r="E58" i="10"/>
  <c r="E16" i="10" s="1"/>
  <c r="G58" i="10"/>
  <c r="G16" i="10" s="1"/>
  <c r="N205" i="10"/>
  <c r="N208" i="10" s="1"/>
  <c r="N58" i="10"/>
  <c r="N16" i="10" s="1"/>
  <c r="N136" i="10" s="1"/>
  <c r="N24" i="10" s="1"/>
  <c r="C58" i="10"/>
  <c r="C16" i="10" s="1"/>
  <c r="M136" i="10"/>
  <c r="M24" i="10" s="1"/>
  <c r="P136" i="10"/>
  <c r="P24" i="10" s="1"/>
  <c r="O136" i="10"/>
  <c r="O24" i="10" s="1"/>
  <c r="Q136" i="10"/>
  <c r="Q24" i="10" s="1"/>
  <c r="AI178" i="10"/>
  <c r="AI30" i="10" s="1"/>
  <c r="W178" i="10"/>
  <c r="W30" i="10" s="1"/>
  <c r="AF178" i="10"/>
  <c r="AF30" i="10" s="1"/>
  <c r="AD178" i="10"/>
  <c r="AD30" i="10" s="1"/>
  <c r="R178" i="10"/>
  <c r="R30" i="10" s="1"/>
  <c r="Q178" i="10"/>
  <c r="Q30" i="10" s="1"/>
  <c r="Z178" i="10"/>
  <c r="Z30" i="10" s="1"/>
  <c r="T178" i="10"/>
  <c r="T30" i="10" s="1"/>
  <c r="P178" i="10"/>
  <c r="P30" i="10" s="1"/>
  <c r="N178" i="10"/>
  <c r="N30" i="10" s="1"/>
  <c r="O178" i="10"/>
  <c r="O30" i="10" s="1"/>
  <c r="AA178" i="10"/>
  <c r="AA30" i="10" s="1"/>
  <c r="AB178" i="10"/>
  <c r="AB30" i="10" s="1"/>
  <c r="AC178" i="10"/>
  <c r="AC30" i="10" s="1"/>
  <c r="M178" i="10"/>
  <c r="M30" i="10" s="1"/>
  <c r="AH178" i="10"/>
  <c r="AH30" i="10" s="1"/>
  <c r="U178" i="10"/>
  <c r="U30" i="10" s="1"/>
  <c r="Y178" i="10"/>
  <c r="Y30" i="10" s="1"/>
  <c r="X178" i="10"/>
  <c r="X30" i="10" s="1"/>
  <c r="AE178" i="10"/>
  <c r="AE30" i="10" s="1"/>
  <c r="AG178" i="10"/>
  <c r="AG30" i="10" s="1"/>
  <c r="S178" i="10"/>
  <c r="S30" i="10" s="1"/>
  <c r="AJ178" i="10"/>
  <c r="AJ30" i="10" s="1"/>
  <c r="AI171" i="10"/>
  <c r="AI29" i="10" s="1"/>
  <c r="W171" i="10"/>
  <c r="W29" i="10" s="1"/>
  <c r="AD171" i="10"/>
  <c r="AD29" i="10" s="1"/>
  <c r="AF171" i="10"/>
  <c r="AF29" i="10" s="1"/>
  <c r="R171" i="10"/>
  <c r="R29" i="10" s="1"/>
  <c r="Q171" i="10"/>
  <c r="Q29" i="10" s="1"/>
  <c r="Z171" i="10"/>
  <c r="Z29" i="10" s="1"/>
  <c r="T171" i="10"/>
  <c r="T29" i="10" s="1"/>
  <c r="P171" i="10"/>
  <c r="P29" i="10" s="1"/>
  <c r="N171" i="10"/>
  <c r="N29" i="10" s="1"/>
  <c r="O171" i="10"/>
  <c r="O29" i="10" s="1"/>
  <c r="AA171" i="10"/>
  <c r="AA29" i="10" s="1"/>
  <c r="AB171" i="10"/>
  <c r="AB29" i="10" s="1"/>
  <c r="AC171" i="10"/>
  <c r="AC29" i="10" s="1"/>
  <c r="M171" i="10"/>
  <c r="M29" i="10" s="1"/>
  <c r="AH171" i="10"/>
  <c r="AH29" i="10" s="1"/>
  <c r="U171" i="10"/>
  <c r="U29" i="10" s="1"/>
  <c r="Y171" i="10"/>
  <c r="Y29" i="10" s="1"/>
  <c r="X171" i="10"/>
  <c r="X29" i="10" s="1"/>
  <c r="AE171" i="10"/>
  <c r="AE29" i="10" s="1"/>
  <c r="AG171" i="10"/>
  <c r="AG29" i="10" s="1"/>
  <c r="S171" i="10"/>
  <c r="S29" i="10" s="1"/>
  <c r="AJ171" i="10"/>
  <c r="AJ29" i="10" s="1"/>
  <c r="Q164" i="10"/>
  <c r="Q28" i="10" s="1"/>
  <c r="AJ164" i="10"/>
  <c r="AJ28" i="10" s="1"/>
  <c r="AI164" i="10"/>
  <c r="AI28" i="10" s="1"/>
  <c r="U164" i="10"/>
  <c r="U28" i="10" s="1"/>
  <c r="W164" i="10"/>
  <c r="W28" i="10" s="1"/>
  <c r="AD164" i="10"/>
  <c r="AD28" i="10" s="1"/>
  <c r="AF164" i="10"/>
  <c r="AF28" i="10" s="1"/>
  <c r="R164" i="10"/>
  <c r="R28" i="10" s="1"/>
  <c r="AK164" i="10"/>
  <c r="AK28" i="10" s="1"/>
  <c r="AH164" i="10"/>
  <c r="AH28" i="10" s="1"/>
  <c r="Y164" i="10"/>
  <c r="Y28" i="10" s="1"/>
  <c r="X164" i="10"/>
  <c r="X28" i="10" s="1"/>
  <c r="AE164" i="10"/>
  <c r="AE28" i="10" s="1"/>
  <c r="AG164" i="10"/>
  <c r="AG28" i="10" s="1"/>
  <c r="S164" i="10"/>
  <c r="S28" i="10" s="1"/>
  <c r="AA164" i="10"/>
  <c r="AA28" i="10" s="1"/>
  <c r="AB164" i="10"/>
  <c r="AB28" i="10" s="1"/>
  <c r="AC164" i="10"/>
  <c r="AC28" i="10" s="1"/>
  <c r="M164" i="10"/>
  <c r="M28" i="10" s="1"/>
  <c r="Z164" i="10"/>
  <c r="Z28" i="10" s="1"/>
  <c r="T164" i="10"/>
  <c r="T28" i="10" s="1"/>
  <c r="P164" i="10"/>
  <c r="P28" i="10" s="1"/>
  <c r="N164" i="10"/>
  <c r="N28" i="10" s="1"/>
  <c r="O164" i="10"/>
  <c r="O28" i="10" s="1"/>
  <c r="I205" i="10"/>
  <c r="E205" i="10"/>
  <c r="D101" i="10"/>
  <c r="D19" i="10" s="1"/>
  <c r="K205" i="10"/>
  <c r="H205" i="10"/>
  <c r="L101" i="10"/>
  <c r="L19" i="10" s="1"/>
  <c r="J101" i="10"/>
  <c r="J19" i="10" s="1"/>
  <c r="F101" i="10"/>
  <c r="F19" i="10" s="1"/>
  <c r="G101" i="10"/>
  <c r="G19" i="10" s="1"/>
  <c r="D14" i="10"/>
  <c r="E14" i="10"/>
  <c r="I14" i="10"/>
  <c r="H14" i="10"/>
  <c r="K14" i="10"/>
  <c r="L14" i="10"/>
  <c r="F14" i="10"/>
  <c r="J14" i="10"/>
  <c r="G14" i="10"/>
  <c r="F205" i="10" l="1"/>
  <c r="J205" i="10"/>
  <c r="D205" i="10"/>
  <c r="G205" i="10"/>
  <c r="C205" i="10"/>
  <c r="L205" i="10"/>
  <c r="G15" i="10"/>
  <c r="F15" i="10"/>
  <c r="K15" i="10"/>
  <c r="I15" i="10"/>
  <c r="D15" i="10"/>
  <c r="J15" i="10"/>
  <c r="L15" i="10"/>
  <c r="H15" i="10"/>
  <c r="E15" i="10"/>
  <c r="C14" i="10"/>
  <c r="C15" i="10" s="1"/>
  <c r="J178" i="10" l="1"/>
  <c r="J30" i="10" s="1"/>
  <c r="F178" i="10"/>
  <c r="F30" i="10" s="1"/>
  <c r="K178" i="10"/>
  <c r="K30" i="10" s="1"/>
  <c r="I178" i="10"/>
  <c r="I30" i="10" s="1"/>
  <c r="L178" i="10"/>
  <c r="L30" i="10" s="1"/>
  <c r="H178" i="10"/>
  <c r="H30" i="10" s="1"/>
  <c r="E178" i="10"/>
  <c r="E30" i="10" s="1"/>
  <c r="D178" i="10"/>
  <c r="D30" i="10" s="1"/>
  <c r="G178" i="10"/>
  <c r="G30" i="10" s="1"/>
  <c r="G164" i="10"/>
  <c r="G28" i="10" s="1"/>
  <c r="G171" i="10"/>
  <c r="G29" i="10" s="1"/>
  <c r="D164" i="10"/>
  <c r="D28" i="10" s="1"/>
  <c r="D171" i="10"/>
  <c r="D29" i="10" s="1"/>
  <c r="J164" i="10"/>
  <c r="J28" i="10" s="1"/>
  <c r="J171" i="10"/>
  <c r="J29" i="10" s="1"/>
  <c r="F164" i="10"/>
  <c r="F28" i="10" s="1"/>
  <c r="F171" i="10"/>
  <c r="F29" i="10" s="1"/>
  <c r="E164" i="10"/>
  <c r="E28" i="10" s="1"/>
  <c r="E171" i="10"/>
  <c r="E29" i="10" s="1"/>
  <c r="L164" i="10"/>
  <c r="L28" i="10" s="1"/>
  <c r="L171" i="10"/>
  <c r="L29" i="10" s="1"/>
  <c r="K164" i="10"/>
  <c r="K28" i="10" s="1"/>
  <c r="K171" i="10"/>
  <c r="K29" i="10" s="1"/>
  <c r="H164" i="10"/>
  <c r="H28" i="10" s="1"/>
  <c r="H171" i="10"/>
  <c r="H29" i="10" s="1"/>
  <c r="I164" i="10"/>
  <c r="I28" i="10" s="1"/>
  <c r="I171" i="10"/>
  <c r="I29" i="10" s="1"/>
  <c r="C164" i="10"/>
  <c r="C28" i="10" s="1"/>
  <c r="D157" i="10"/>
  <c r="D27" i="10" s="1"/>
  <c r="G157" i="10"/>
  <c r="G27" i="10" s="1"/>
  <c r="H157" i="10"/>
  <c r="H27" i="10" s="1"/>
  <c r="I157" i="10"/>
  <c r="I27" i="10" s="1"/>
  <c r="E157" i="10"/>
  <c r="E27" i="10" s="1"/>
  <c r="L157" i="10"/>
  <c r="L27" i="10" s="1"/>
  <c r="K157" i="10"/>
  <c r="K27" i="10" s="1"/>
  <c r="J157" i="10"/>
  <c r="J27" i="10" s="1"/>
  <c r="F157" i="10"/>
  <c r="F27" i="10" s="1"/>
  <c r="D150" i="10"/>
  <c r="D26" i="10" s="1"/>
  <c r="G150" i="10"/>
  <c r="G26" i="10" s="1"/>
  <c r="E150" i="10"/>
  <c r="E26" i="10" s="1"/>
  <c r="I150" i="10"/>
  <c r="I26" i="10" s="1"/>
  <c r="H150" i="10"/>
  <c r="H26" i="10" s="1"/>
  <c r="L150" i="10"/>
  <c r="L26" i="10" s="1"/>
  <c r="K150" i="10"/>
  <c r="K26" i="10" s="1"/>
  <c r="J150" i="10"/>
  <c r="J26" i="10" s="1"/>
  <c r="F150" i="10"/>
  <c r="F26" i="10" s="1"/>
  <c r="D136" i="10"/>
  <c r="D24" i="10" s="1"/>
  <c r="D143" i="10"/>
  <c r="D25" i="10" s="1"/>
  <c r="H136" i="10"/>
  <c r="H24" i="10" s="1"/>
  <c r="H143" i="10"/>
  <c r="H25" i="10" s="1"/>
  <c r="E136" i="10"/>
  <c r="E24" i="10" s="1"/>
  <c r="E143" i="10"/>
  <c r="E25" i="10" s="1"/>
  <c r="L136" i="10"/>
  <c r="L24" i="10" s="1"/>
  <c r="L143" i="10"/>
  <c r="L25" i="10" s="1"/>
  <c r="G136" i="10"/>
  <c r="G24" i="10" s="1"/>
  <c r="G143" i="10"/>
  <c r="G25" i="10" s="1"/>
  <c r="I136" i="10"/>
  <c r="I24" i="10" s="1"/>
  <c r="I143" i="10"/>
  <c r="I25" i="10" s="1"/>
  <c r="K136" i="10"/>
  <c r="K24" i="10" s="1"/>
  <c r="K143" i="10"/>
  <c r="K25" i="10" s="1"/>
  <c r="J136" i="10"/>
  <c r="J24" i="10" s="1"/>
  <c r="J143" i="10"/>
  <c r="J25" i="10" s="1"/>
  <c r="F136" i="10"/>
  <c r="F24" i="10" s="1"/>
  <c r="F143" i="10"/>
  <c r="F25" i="10" s="1"/>
  <c r="D122" i="10"/>
  <c r="D22" i="10" s="1"/>
  <c r="D129" i="10"/>
  <c r="D23" i="10" s="1"/>
  <c r="H122" i="10"/>
  <c r="H22" i="10" s="1"/>
  <c r="H129" i="10"/>
  <c r="H23" i="10" s="1"/>
  <c r="I122" i="10"/>
  <c r="I22" i="10" s="1"/>
  <c r="I129" i="10"/>
  <c r="I23" i="10" s="1"/>
  <c r="J122" i="10"/>
  <c r="J22" i="10" s="1"/>
  <c r="J129" i="10"/>
  <c r="J23" i="10" s="1"/>
  <c r="G122" i="10"/>
  <c r="G22" i="10" s="1"/>
  <c r="G129" i="10"/>
  <c r="G23" i="10" s="1"/>
  <c r="L122" i="10"/>
  <c r="L22" i="10" s="1"/>
  <c r="L129" i="10"/>
  <c r="L23" i="10" s="1"/>
  <c r="K122" i="10"/>
  <c r="K22" i="10" s="1"/>
  <c r="K129" i="10"/>
  <c r="K23" i="10" s="1"/>
  <c r="F122" i="10"/>
  <c r="F22" i="10" s="1"/>
  <c r="F129" i="10"/>
  <c r="F23" i="10" s="1"/>
  <c r="E122" i="10"/>
  <c r="E22" i="10" s="1"/>
  <c r="E129" i="10"/>
  <c r="E23" i="10" s="1"/>
  <c r="J115" i="10"/>
  <c r="J21" i="10" s="1"/>
  <c r="E115" i="10"/>
  <c r="E21" i="10" s="1"/>
  <c r="G115" i="10"/>
  <c r="G21" i="10" s="1"/>
  <c r="H115" i="10"/>
  <c r="H21" i="10" s="1"/>
  <c r="I115" i="10"/>
  <c r="I21" i="10" s="1"/>
  <c r="L115" i="10"/>
  <c r="L21" i="10" s="1"/>
  <c r="K115" i="10"/>
  <c r="K21" i="10" s="1"/>
  <c r="F115" i="10"/>
  <c r="F21" i="10" s="1"/>
  <c r="D108" i="10"/>
  <c r="D20" i="10" s="1"/>
  <c r="I108" i="10"/>
  <c r="I20" i="10" s="1"/>
  <c r="E108" i="10"/>
  <c r="E20" i="10" s="1"/>
  <c r="C143" i="10"/>
  <c r="C25" i="10" s="1"/>
  <c r="J191" i="10"/>
  <c r="J206" i="10" s="1"/>
  <c r="G191" i="10"/>
  <c r="G206" i="10" s="1"/>
  <c r="K191" i="10"/>
  <c r="K206" i="10" s="1"/>
  <c r="H191" i="10"/>
  <c r="H206" i="10" s="1"/>
  <c r="L191" i="10"/>
  <c r="L206" i="10" s="1"/>
  <c r="AL5" i="13"/>
  <c r="C150" i="10" l="1"/>
  <c r="C26" i="10" s="1"/>
  <c r="C157" i="10"/>
  <c r="C27" i="10" s="1"/>
  <c r="C129" i="10"/>
  <c r="C23" i="10" s="1"/>
  <c r="C136" i="10"/>
  <c r="C24" i="10" s="1"/>
  <c r="C122" i="10"/>
  <c r="C22" i="10" s="1"/>
  <c r="L108" i="10"/>
  <c r="L20" i="10" s="1"/>
  <c r="G108" i="10"/>
  <c r="G20" i="10" s="1"/>
  <c r="J108" i="10"/>
  <c r="J20" i="10" s="1"/>
  <c r="H108" i="10"/>
  <c r="H20" i="10" s="1"/>
  <c r="K108" i="10"/>
  <c r="K20" i="10" s="1"/>
  <c r="F108" i="10"/>
  <c r="F20" i="10" s="1"/>
  <c r="I191" i="10"/>
  <c r="I206" i="10" s="1"/>
  <c r="D191" i="10"/>
  <c r="D206" i="10" s="1"/>
  <c r="E191" i="10"/>
  <c r="E206" i="10" s="1"/>
  <c r="F191" i="10"/>
  <c r="F206" i="10" s="1"/>
  <c r="BP66" i="13"/>
  <c r="BP68" i="13"/>
  <c r="BP70" i="13"/>
  <c r="BP65" i="13"/>
  <c r="BP67" i="13"/>
  <c r="BP69" i="13"/>
  <c r="BP64" i="13"/>
  <c r="K204" i="10" l="1"/>
  <c r="L204" i="10"/>
  <c r="J204" i="10"/>
  <c r="H204" i="10"/>
  <c r="G204" i="10"/>
  <c r="BP71" i="13"/>
  <c r="BQ64" i="13" s="1"/>
  <c r="G207" i="10" l="1"/>
  <c r="G208" i="10" s="1"/>
  <c r="H207" i="10"/>
  <c r="H208" i="10" s="1"/>
  <c r="L207" i="10"/>
  <c r="L208" i="10" s="1"/>
  <c r="J207" i="10"/>
  <c r="J208" i="10" s="1"/>
  <c r="K207" i="10"/>
  <c r="K208" i="10" s="1"/>
  <c r="F204" i="10"/>
  <c r="E204" i="10"/>
  <c r="D204" i="10"/>
  <c r="I204" i="10"/>
  <c r="C191" i="10"/>
  <c r="C206" i="10" s="1"/>
  <c r="BQ69" i="13"/>
  <c r="BQ68" i="13"/>
  <c r="BQ65" i="13"/>
  <c r="BQ66" i="13"/>
  <c r="BQ67" i="13"/>
  <c r="BQ70" i="13"/>
  <c r="E207" i="10" l="1"/>
  <c r="E208" i="10" s="1"/>
  <c r="D207" i="10"/>
  <c r="D208" i="10" s="1"/>
  <c r="F207" i="10"/>
  <c r="F208" i="10" s="1"/>
  <c r="I207" i="10"/>
  <c r="I208" i="10" s="1"/>
  <c r="BQ71" i="13"/>
  <c r="C204" i="10" l="1"/>
  <c r="C207" i="10" l="1"/>
  <c r="C208" i="10" s="1"/>
  <c r="CX31" i="10" l="1"/>
  <c r="AH31" i="10" s="1"/>
  <c r="CY31" i="10"/>
  <c r="AI31" i="10" s="1"/>
  <c r="CW31" i="10"/>
  <c r="AG31" i="10" s="1"/>
  <c r="CZ31" i="10"/>
  <c r="AJ31" i="10" s="1"/>
  <c r="DA31" i="10"/>
  <c r="AK31" i="10" s="1"/>
  <c r="CV31" i="10"/>
  <c r="AF31" i="10" s="1"/>
  <c r="BO31" i="10" l="1"/>
  <c r="O31" i="10" s="1"/>
  <c r="BQ31" i="10"/>
  <c r="Q31" i="10" s="1"/>
  <c r="BR31" i="10"/>
  <c r="R31" i="10" s="1"/>
  <c r="BP31" i="10"/>
  <c r="P31" i="10" s="1"/>
  <c r="BS31" i="10"/>
  <c r="S31" i="10" s="1"/>
  <c r="BN31" i="10"/>
  <c r="N31" i="10" s="1"/>
  <c r="BT31" i="10"/>
  <c r="T31" i="10" s="1"/>
  <c r="BU31" i="10"/>
  <c r="U31" i="10" s="1"/>
  <c r="BM31" i="10" l="1"/>
  <c r="M31" i="10" s="1"/>
  <c r="BL31" i="10" l="1"/>
  <c r="L31" i="10" s="1"/>
  <c r="BK31" i="10" l="1"/>
  <c r="K31" i="10" s="1"/>
  <c r="CP31" i="10" l="1"/>
  <c r="AD31" i="10" s="1"/>
  <c r="CB31" i="10"/>
  <c r="AB31" i="10" s="1"/>
  <c r="BX31" i="10"/>
  <c r="X31" i="10" s="1"/>
  <c r="CC31" i="10"/>
  <c r="AC31" i="10" s="1"/>
  <c r="CU31" i="10"/>
  <c r="AE31" i="10" s="1"/>
  <c r="BY31" i="10"/>
  <c r="Y31" i="10" s="1"/>
  <c r="BW31" i="10"/>
  <c r="W31" i="10" s="1"/>
  <c r="BZ31" i="10"/>
  <c r="Z31" i="10" s="1"/>
  <c r="CA31" i="10"/>
  <c r="AA31" i="10" s="1"/>
  <c r="BV31" i="10"/>
  <c r="V31" i="10" s="1"/>
  <c r="BJ31" i="10" l="1"/>
  <c r="J31" i="10" s="1"/>
  <c r="BI31" i="10" l="1"/>
  <c r="I31" i="10" s="1"/>
  <c r="BH31" i="10" l="1"/>
  <c r="H31" i="10" s="1"/>
  <c r="BG31" i="10" l="1"/>
  <c r="G31" i="10" s="1"/>
  <c r="BF31" i="10" l="1"/>
  <c r="F31" i="10" s="1"/>
  <c r="BE31" i="10" l="1"/>
  <c r="E31" i="10" s="1"/>
  <c r="BD31" i="10" l="1"/>
  <c r="D31" i="10" s="1"/>
  <c r="BC31" i="10" l="1"/>
  <c r="C31" i="10" s="1"/>
  <c r="B31" i="10" l="1"/>
</calcChain>
</file>

<file path=xl/sharedStrings.xml><?xml version="1.0" encoding="utf-8"?>
<sst xmlns="http://schemas.openxmlformats.org/spreadsheetml/2006/main" count="1334" uniqueCount="1089">
  <si>
    <t>2tns</t>
  </si>
  <si>
    <t>3tns</t>
  </si>
  <si>
    <t>4tns</t>
  </si>
  <si>
    <t>5tns</t>
  </si>
  <si>
    <t>6tns</t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</si>
  <si>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</si>
  <si>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</si>
  <si>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</si>
  <si>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</si>
  <si>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</si>
  <si>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</si>
  <si>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</si>
  <si>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</si>
  <si>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</si>
  <si>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</si>
  <si>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</si>
  <si>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</si>
  <si>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</si>
  <si>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2.pattern</t>
  </si>
  <si>
    <t>3.pattern</t>
  </si>
  <si>
    <t>회차별 추첨결과</t>
  </si>
  <si>
    <t>년도</t>
  </si>
  <si>
    <t>1등</t>
  </si>
  <si>
    <t>2등</t>
  </si>
  <si>
    <t>3등</t>
  </si>
  <si>
    <t>4등</t>
  </si>
  <si>
    <t>5등</t>
  </si>
  <si>
    <t>당첨번호</t>
  </si>
  <si>
    <t>당첨자수</t>
  </si>
  <si>
    <t>당첨금액</t>
  </si>
  <si>
    <t>보너스</t>
  </si>
  <si>
    <t>2002.12.07</t>
  </si>
  <si>
    <t>2002.12.14</t>
  </si>
  <si>
    <t>2002.12.21</t>
  </si>
  <si>
    <t>2002.12.28</t>
  </si>
  <si>
    <t>2003.01.04</t>
  </si>
  <si>
    <t>2003.01.11</t>
  </si>
  <si>
    <t>2003.01.18</t>
  </si>
  <si>
    <t>2003.01.25</t>
  </si>
  <si>
    <t>2003.02.01</t>
  </si>
  <si>
    <t>2003.02.08</t>
  </si>
  <si>
    <t>2003.02.15</t>
  </si>
  <si>
    <t>2003.02.22</t>
  </si>
  <si>
    <t>2003.03.01</t>
  </si>
  <si>
    <t>2003.03.08</t>
  </si>
  <si>
    <t>2003.03.15</t>
  </si>
  <si>
    <t>2003.03.22</t>
  </si>
  <si>
    <t>2003.03.29</t>
  </si>
  <si>
    <t>2003.04.05</t>
  </si>
  <si>
    <t>2003.04.12</t>
  </si>
  <si>
    <t>2003.04.19</t>
  </si>
  <si>
    <t>2003.04.26</t>
  </si>
  <si>
    <t>2003.05.03</t>
  </si>
  <si>
    <t>2003.05.10</t>
  </si>
  <si>
    <t>2003.05.17</t>
  </si>
  <si>
    <t>2003.05.24</t>
  </si>
  <si>
    <t>2003.05.31</t>
  </si>
  <si>
    <t>2003.06.07</t>
  </si>
  <si>
    <t>2003.06.14</t>
  </si>
  <si>
    <t>2003.06.21</t>
  </si>
  <si>
    <t>2003.06.28</t>
  </si>
  <si>
    <t>2003.07.05</t>
  </si>
  <si>
    <t>2003.07.12</t>
  </si>
  <si>
    <t>2003.07.19</t>
  </si>
  <si>
    <t>2003.07.26</t>
  </si>
  <si>
    <t>2003.08.02</t>
  </si>
  <si>
    <t>2003.08.09</t>
  </si>
  <si>
    <t>2003.08.16</t>
  </si>
  <si>
    <t>2003.08.23</t>
  </si>
  <si>
    <t>2003.08.30</t>
  </si>
  <si>
    <t>2003.09.06</t>
  </si>
  <si>
    <t>2003.09.13</t>
  </si>
  <si>
    <t>2003.09.20</t>
  </si>
  <si>
    <t>2003.09.27</t>
  </si>
  <si>
    <t>2003.10.04</t>
  </si>
  <si>
    <t>2003.10.11</t>
  </si>
  <si>
    <t>2003.10.18</t>
  </si>
  <si>
    <t>2003.10.25</t>
  </si>
  <si>
    <t>2003.11.01</t>
  </si>
  <si>
    <t>2003.11.08</t>
  </si>
  <si>
    <t>2003.11.15</t>
  </si>
  <si>
    <t>2003.11.22</t>
  </si>
  <si>
    <t>2003.11.29</t>
  </si>
  <si>
    <t>2003.12.06</t>
  </si>
  <si>
    <t>2003.12.13</t>
  </si>
  <si>
    <t>2003.12.20</t>
  </si>
  <si>
    <t>2003.12.27</t>
  </si>
  <si>
    <t>2004.01.03</t>
  </si>
  <si>
    <t>2004.01.10</t>
  </si>
  <si>
    <t>2004.01.17</t>
  </si>
  <si>
    <t>2004.01.24</t>
  </si>
  <si>
    <t>2004.01.31</t>
  </si>
  <si>
    <t>2004.02.07</t>
  </si>
  <si>
    <t>2004.02.14</t>
  </si>
  <si>
    <t>2004.02.21</t>
  </si>
  <si>
    <t>2004.02.28</t>
  </si>
  <si>
    <t>2004.03.06</t>
  </si>
  <si>
    <t>2004.03.13</t>
  </si>
  <si>
    <t>2004.03.20</t>
  </si>
  <si>
    <t>2004.03.27</t>
  </si>
  <si>
    <t>2004.04.03</t>
  </si>
  <si>
    <t>2004.04.10</t>
  </si>
  <si>
    <t>2004.04.17</t>
  </si>
  <si>
    <t>2004.04.24</t>
  </si>
  <si>
    <t>2004.05.01</t>
  </si>
  <si>
    <t>2004.05.08</t>
  </si>
  <si>
    <t>2004.05.15</t>
  </si>
  <si>
    <t>2004.05.22</t>
  </si>
  <si>
    <t>2004.05.29</t>
  </si>
  <si>
    <t>2004.06.05</t>
  </si>
  <si>
    <t>2004.06.12</t>
  </si>
  <si>
    <t>2004.06.19</t>
  </si>
  <si>
    <t>2004.06.26</t>
  </si>
  <si>
    <t>2004.07.03</t>
  </si>
  <si>
    <t>2004.07.10</t>
  </si>
  <si>
    <t>2004.07.17</t>
  </si>
  <si>
    <t>2004.07.24</t>
  </si>
  <si>
    <t>2004.07.31</t>
  </si>
  <si>
    <t>2004.08.07</t>
  </si>
  <si>
    <t>2004.08.14</t>
  </si>
  <si>
    <t>2004.08.21</t>
  </si>
  <si>
    <t>2004.08.28</t>
  </si>
  <si>
    <t>2004.09.04</t>
  </si>
  <si>
    <t>2004.09.11</t>
  </si>
  <si>
    <t>2004.09.18</t>
  </si>
  <si>
    <t>2004.09.25</t>
  </si>
  <si>
    <t>2004.10.02</t>
  </si>
  <si>
    <t>2004.10.09</t>
  </si>
  <si>
    <t>2004.10.16</t>
  </si>
  <si>
    <t>2004.10.23</t>
  </si>
  <si>
    <t>2004.10.30</t>
  </si>
  <si>
    <t>2004.11.06</t>
  </si>
  <si>
    <t>2004.11.13</t>
  </si>
  <si>
    <t>2004.11.20</t>
  </si>
  <si>
    <t>2004.11.27</t>
  </si>
  <si>
    <t>2004.12.04</t>
  </si>
  <si>
    <t>2004.12.11</t>
  </si>
  <si>
    <t>2004.12.18</t>
  </si>
  <si>
    <t>2004.12.25</t>
  </si>
  <si>
    <t>2005.01.01</t>
  </si>
  <si>
    <t>2005.01.08</t>
  </si>
  <si>
    <t>2005.01.15</t>
  </si>
  <si>
    <t>2005.01.22</t>
  </si>
  <si>
    <t>2005.01.29</t>
  </si>
  <si>
    <t>2005.02.05</t>
  </si>
  <si>
    <t>2005.02.12</t>
  </si>
  <si>
    <t>2005.02.19</t>
  </si>
  <si>
    <t>2005.02.26</t>
  </si>
  <si>
    <t>2005.03.05</t>
  </si>
  <si>
    <t>2005.03.12</t>
  </si>
  <si>
    <t>2005.03.19</t>
  </si>
  <si>
    <t>2005.03.26</t>
  </si>
  <si>
    <t>2005.04.02</t>
  </si>
  <si>
    <t>2005.04.09</t>
  </si>
  <si>
    <t>2005.04.16</t>
  </si>
  <si>
    <t>2005.04.23</t>
  </si>
  <si>
    <t>2005.04.30</t>
  </si>
  <si>
    <t>2005.05.07</t>
  </si>
  <si>
    <t>2005.05.14</t>
  </si>
  <si>
    <t>2005.05.21</t>
  </si>
  <si>
    <t>2005.05.28</t>
  </si>
  <si>
    <t>2005.06.04</t>
  </si>
  <si>
    <t>2005.06.11</t>
  </si>
  <si>
    <t>2005.06.18</t>
  </si>
  <si>
    <t>2005.06.25</t>
  </si>
  <si>
    <t>2005.07.02</t>
  </si>
  <si>
    <t>2005.07.09</t>
  </si>
  <si>
    <t>2005.07.16</t>
  </si>
  <si>
    <t>2005.07.23</t>
  </si>
  <si>
    <t>2005.07.30</t>
  </si>
  <si>
    <t>2005.08.06</t>
  </si>
  <si>
    <t>2005.08.13</t>
  </si>
  <si>
    <t>2005.08.20</t>
  </si>
  <si>
    <t>2005.08.27</t>
  </si>
  <si>
    <t>2005.09.03</t>
  </si>
  <si>
    <t>2005.09.10</t>
  </si>
  <si>
    <t>2005.09.17</t>
  </si>
  <si>
    <t>2005.09.24</t>
  </si>
  <si>
    <t>2005.10.01</t>
  </si>
  <si>
    <t>2005.10.08</t>
  </si>
  <si>
    <t>2005.10.15</t>
  </si>
  <si>
    <t>2005.10.22</t>
  </si>
  <si>
    <t>2005.10.29</t>
  </si>
  <si>
    <t>2005.11.05</t>
  </si>
  <si>
    <t>2005.11.12</t>
  </si>
  <si>
    <t>2005.11.19</t>
  </si>
  <si>
    <t>2005.11.26</t>
  </si>
  <si>
    <t>2005.12.03</t>
  </si>
  <si>
    <t>2005.12.10</t>
  </si>
  <si>
    <t>2005.12.17</t>
  </si>
  <si>
    <t>2005.12.24</t>
  </si>
  <si>
    <t>2005.12.31</t>
  </si>
  <si>
    <t>2006.01.07</t>
  </si>
  <si>
    <t>2006.01.14</t>
  </si>
  <si>
    <t>2006.01.21</t>
  </si>
  <si>
    <t>2006.01.28</t>
  </si>
  <si>
    <t>2006.02.04</t>
  </si>
  <si>
    <t>2006.02.11</t>
  </si>
  <si>
    <t>2006.02.18</t>
  </si>
  <si>
    <t>2006.02.25</t>
  </si>
  <si>
    <t>2006.03.04</t>
  </si>
  <si>
    <t>2006.03.11</t>
  </si>
  <si>
    <t>2006.03.18</t>
  </si>
  <si>
    <t>2006.03.25</t>
  </si>
  <si>
    <t>2006.04.01</t>
  </si>
  <si>
    <t>2006.04.08</t>
  </si>
  <si>
    <t>2006.04.15</t>
  </si>
  <si>
    <t>2006.04.22</t>
  </si>
  <si>
    <t>2006.04.29</t>
  </si>
  <si>
    <t>2006.05.06</t>
  </si>
  <si>
    <t>2006.05.13</t>
  </si>
  <si>
    <t>2006.05.20</t>
  </si>
  <si>
    <t>2006.05.27</t>
  </si>
  <si>
    <t>2006.06.03</t>
  </si>
  <si>
    <t>2006.06.10</t>
  </si>
  <si>
    <t>2006.06.17</t>
  </si>
  <si>
    <t>2006.06.24</t>
  </si>
  <si>
    <t>2006.07.01</t>
  </si>
  <si>
    <t>2006.07.08</t>
  </si>
  <si>
    <t>2006.07.15</t>
  </si>
  <si>
    <t>2006.07.22</t>
  </si>
  <si>
    <t>2006.07.29</t>
  </si>
  <si>
    <t>2006.08.05</t>
  </si>
  <si>
    <t>2006.08.12</t>
  </si>
  <si>
    <t>2006.08.19</t>
  </si>
  <si>
    <t>2006.08.26</t>
  </si>
  <si>
    <t>2006.09.02</t>
  </si>
  <si>
    <t>2006.09.09</t>
  </si>
  <si>
    <t>2006.09.16</t>
  </si>
  <si>
    <t>2006.09.23</t>
  </si>
  <si>
    <t>2006.09.30</t>
  </si>
  <si>
    <t>2006.10.07</t>
  </si>
  <si>
    <t>2006.10.14</t>
  </si>
  <si>
    <t>2006.10.21</t>
  </si>
  <si>
    <t>2006.10.28</t>
  </si>
  <si>
    <t>2006.11.04</t>
  </si>
  <si>
    <t>2006.11.11</t>
  </si>
  <si>
    <t>2006.11.18</t>
  </si>
  <si>
    <t>2006.11.25</t>
  </si>
  <si>
    <t>2006.12.02</t>
  </si>
  <si>
    <t>2006.12.09</t>
  </si>
  <si>
    <t>2006.12.16</t>
  </si>
  <si>
    <t>2006.12.23</t>
  </si>
  <si>
    <t>2006.12.30</t>
  </si>
  <si>
    <t>2007.01.06</t>
  </si>
  <si>
    <t>2007.01.13</t>
  </si>
  <si>
    <t>2007.01.20</t>
  </si>
  <si>
    <t>2007.01.27</t>
  </si>
  <si>
    <t>2007.02.03</t>
  </si>
  <si>
    <t>2007.02.10</t>
  </si>
  <si>
    <t>2007.02.17</t>
  </si>
  <si>
    <t>2007.02.24</t>
  </si>
  <si>
    <t>2007.03.03</t>
  </si>
  <si>
    <t>2007.03.10</t>
  </si>
  <si>
    <t>2007.03.17</t>
  </si>
  <si>
    <t>2007.03.24</t>
  </si>
  <si>
    <t>2007.03.31</t>
  </si>
  <si>
    <t>2007.04.07</t>
  </si>
  <si>
    <t>2007.04.14</t>
  </si>
  <si>
    <t>2007.04.21</t>
  </si>
  <si>
    <t>2007.04.28</t>
  </si>
  <si>
    <t>2007.05.05</t>
  </si>
  <si>
    <t>2007.05.12</t>
  </si>
  <si>
    <t>2007.05.19</t>
  </si>
  <si>
    <t>2007.05.26</t>
  </si>
  <si>
    <t>2007.06.02</t>
  </si>
  <si>
    <t>2007.06.09</t>
  </si>
  <si>
    <t>2007.06.16</t>
  </si>
  <si>
    <t>2007.06.23</t>
  </si>
  <si>
    <t>2007.06.30</t>
  </si>
  <si>
    <t>2007.07.07</t>
  </si>
  <si>
    <t>2007.07.14</t>
  </si>
  <si>
    <t>2007.07.21</t>
  </si>
  <si>
    <t>2007.07.28</t>
  </si>
  <si>
    <t>2007.08.04</t>
  </si>
  <si>
    <t>2007.08.11</t>
  </si>
  <si>
    <t>2007.08.18</t>
  </si>
  <si>
    <t>2007.08.25</t>
  </si>
  <si>
    <t>2007.09.01</t>
  </si>
  <si>
    <t>2007.09.08</t>
  </si>
  <si>
    <t>2007.09.15</t>
  </si>
  <si>
    <t>2007.09.22</t>
  </si>
  <si>
    <t>2007.09.29</t>
  </si>
  <si>
    <t>2007.10.06</t>
  </si>
  <si>
    <t>2007.10.13</t>
  </si>
  <si>
    <t>2007.10.20</t>
  </si>
  <si>
    <t>2007.10.27</t>
  </si>
  <si>
    <t>2007.11.03</t>
  </si>
  <si>
    <t>2007.11.10</t>
  </si>
  <si>
    <t>2007.11.17</t>
  </si>
  <si>
    <t>2007.11.24</t>
  </si>
  <si>
    <t>2007.12.01</t>
  </si>
  <si>
    <t>2007.12.08</t>
  </si>
  <si>
    <t>2007.12.15</t>
  </si>
  <si>
    <t>2007.12.22</t>
  </si>
  <si>
    <t>2007.12.29</t>
  </si>
  <si>
    <t>2008.01.05</t>
  </si>
  <si>
    <t>2008.01.12</t>
  </si>
  <si>
    <t>2008.01.19</t>
  </si>
  <si>
    <t>2008.01.26</t>
  </si>
  <si>
    <t>2008.02.02</t>
  </si>
  <si>
    <t>2008.02.09</t>
  </si>
  <si>
    <t>2008.02.16</t>
  </si>
  <si>
    <t>2008.02.23</t>
  </si>
  <si>
    <t>2008.03.01</t>
  </si>
  <si>
    <t>2008.03.08</t>
  </si>
  <si>
    <t>2008.03.15</t>
  </si>
  <si>
    <t>2008.03.22</t>
  </si>
  <si>
    <t>2008.03.29</t>
  </si>
  <si>
    <t>2008.04.05</t>
  </si>
  <si>
    <t>2008.04.12</t>
  </si>
  <si>
    <t>2008.04.19</t>
  </si>
  <si>
    <t>2008.04.26</t>
  </si>
  <si>
    <t>2008.05.03</t>
  </si>
  <si>
    <t>2008.05.10</t>
  </si>
  <si>
    <t>2008.05.17</t>
  </si>
  <si>
    <t>2008.05.24</t>
  </si>
  <si>
    <t>2008.05.31</t>
  </si>
  <si>
    <t>2008.06.07</t>
  </si>
  <si>
    <t>2008.06.14</t>
  </si>
  <si>
    <t>2008.06.21</t>
  </si>
  <si>
    <t>2008.06.28</t>
  </si>
  <si>
    <t>2008.07.05</t>
  </si>
  <si>
    <t>2008.07.12</t>
  </si>
  <si>
    <t>2008.07.19</t>
  </si>
  <si>
    <t>2008.07.26</t>
  </si>
  <si>
    <t>2008.08.02</t>
  </si>
  <si>
    <t>2008.08.09</t>
  </si>
  <si>
    <t>2008.08.16</t>
  </si>
  <si>
    <t>2008.08.23</t>
  </si>
  <si>
    <t>2008.08.30</t>
  </si>
  <si>
    <t>2008.09.06</t>
  </si>
  <si>
    <t>2008.09.13</t>
  </si>
  <si>
    <t>2008.09.20</t>
  </si>
  <si>
    <t>2008.09.27</t>
  </si>
  <si>
    <t>2008.10.04</t>
  </si>
  <si>
    <t>2008.10.11</t>
  </si>
  <si>
    <t>2008.10.18</t>
  </si>
  <si>
    <t>2008.10.25</t>
  </si>
  <si>
    <t>2008.11.01</t>
  </si>
  <si>
    <t>2008.11.08</t>
  </si>
  <si>
    <t>2008.11.15</t>
  </si>
  <si>
    <t>2008.11.22</t>
  </si>
  <si>
    <t>2008.11.29</t>
  </si>
  <si>
    <t>2008.12.06</t>
  </si>
  <si>
    <t>2008.12.13</t>
  </si>
  <si>
    <t>2008.12.20</t>
  </si>
  <si>
    <t>2008.12.27</t>
  </si>
  <si>
    <t>2009.01.03</t>
  </si>
  <si>
    <t>2009.01.10</t>
  </si>
  <si>
    <t>2009.01.17</t>
  </si>
  <si>
    <t>2009.01.24</t>
  </si>
  <si>
    <t>2009.01.31</t>
  </si>
  <si>
    <t>2009.02.07</t>
  </si>
  <si>
    <t>2009.02.14</t>
  </si>
  <si>
    <t>2009.02.21</t>
  </si>
  <si>
    <t>2009.02.28</t>
  </si>
  <si>
    <t>2009.03.07</t>
  </si>
  <si>
    <t>2009.03.14</t>
  </si>
  <si>
    <t>2009.03.21</t>
  </si>
  <si>
    <t>2009.03.28</t>
  </si>
  <si>
    <t>2009.04.04</t>
  </si>
  <si>
    <t>2009.04.11</t>
  </si>
  <si>
    <t>2009.04.18</t>
  </si>
  <si>
    <t>2009.04.25</t>
  </si>
  <si>
    <t>2009.05.02</t>
  </si>
  <si>
    <t>2009.05.09</t>
  </si>
  <si>
    <t>2009.05.16</t>
  </si>
  <si>
    <t>2009.05.23</t>
  </si>
  <si>
    <t>2009.05.30</t>
  </si>
  <si>
    <t>2009.06.06</t>
  </si>
  <si>
    <t>2009.06.13</t>
  </si>
  <si>
    <t>2009.06.20</t>
  </si>
  <si>
    <t>2009.06.27</t>
  </si>
  <si>
    <t>2009.07.04</t>
  </si>
  <si>
    <t>2009.07.11</t>
  </si>
  <si>
    <t>2009.07.18</t>
  </si>
  <si>
    <t>2009.07.25</t>
  </si>
  <si>
    <t>2009.08.01</t>
  </si>
  <si>
    <t>2009.08.08</t>
  </si>
  <si>
    <t>2009.08.15</t>
  </si>
  <si>
    <t>2009.08.22</t>
  </si>
  <si>
    <t>2009.08.29</t>
  </si>
  <si>
    <t>2009.09.05</t>
  </si>
  <si>
    <t>2009.09.12</t>
  </si>
  <si>
    <t>2009.09.19</t>
  </si>
  <si>
    <t>2009.09.26</t>
  </si>
  <si>
    <t>2009.10.03</t>
  </si>
  <si>
    <t>2009.10.10</t>
  </si>
  <si>
    <t>2009.10.17</t>
  </si>
  <si>
    <t>2009.10.24</t>
  </si>
  <si>
    <t>2009.10.31</t>
  </si>
  <si>
    <t>2009.11.07</t>
  </si>
  <si>
    <t>2009.11.14</t>
  </si>
  <si>
    <t>2009.11.21</t>
  </si>
  <si>
    <t>2009.11.28</t>
  </si>
  <si>
    <t>2009.12.05</t>
  </si>
  <si>
    <t>2009.12.12</t>
  </si>
  <si>
    <t>2009.12.19</t>
  </si>
  <si>
    <t>2009.12.26</t>
  </si>
  <si>
    <t>2010.01.02</t>
  </si>
  <si>
    <t>2010.01.09</t>
  </si>
  <si>
    <t>2010.01.16</t>
  </si>
  <si>
    <t>2010.01.23</t>
  </si>
  <si>
    <t>2010.01.30</t>
  </si>
  <si>
    <t>2010.02.06</t>
  </si>
  <si>
    <t>2010.02.13</t>
  </si>
  <si>
    <t>2010.02.20</t>
  </si>
  <si>
    <t>2010.02.27</t>
  </si>
  <si>
    <t>2010.03.06</t>
  </si>
  <si>
    <t>2010.03.13</t>
  </si>
  <si>
    <t>2010.03.20</t>
  </si>
  <si>
    <t>2010.03.27</t>
  </si>
  <si>
    <t>2010.04.03</t>
  </si>
  <si>
    <t>2010.04.10</t>
  </si>
  <si>
    <t>2010.04.17</t>
  </si>
  <si>
    <t>2010.04.24</t>
  </si>
  <si>
    <t>2010.05.01</t>
  </si>
  <si>
    <t>2010.05.08</t>
  </si>
  <si>
    <t>2010.05.15</t>
  </si>
  <si>
    <t>2010.05.22</t>
  </si>
  <si>
    <t>2010.05.29</t>
  </si>
  <si>
    <t>2010.06.05</t>
  </si>
  <si>
    <t>2010.06.12</t>
  </si>
  <si>
    <t>2010.06.19</t>
  </si>
  <si>
    <t>2010.06.26</t>
  </si>
  <si>
    <t>2010.07.03</t>
  </si>
  <si>
    <t>2010.07.10</t>
  </si>
  <si>
    <t>2010.07.17</t>
  </si>
  <si>
    <t>2010.07.24</t>
  </si>
  <si>
    <t>2010.07.31</t>
  </si>
  <si>
    <t>2010.08.07</t>
  </si>
  <si>
    <t>2010.08.14</t>
  </si>
  <si>
    <t>2010.08.21</t>
  </si>
  <si>
    <t>2010.08.28</t>
  </si>
  <si>
    <t>2010.09.04</t>
  </si>
  <si>
    <t>2010.09.11</t>
  </si>
  <si>
    <t>2010.09.18</t>
  </si>
  <si>
    <t>2010.09.25</t>
  </si>
  <si>
    <t>2010.10.02</t>
  </si>
  <si>
    <t>2010.10.09</t>
  </si>
  <si>
    <t>2010.10.16</t>
  </si>
  <si>
    <t>2010.10.23</t>
  </si>
  <si>
    <t>2010.10.30</t>
  </si>
  <si>
    <t>2010.11.06</t>
  </si>
  <si>
    <t>2010.11.13</t>
  </si>
  <si>
    <t>2010.11.20</t>
  </si>
  <si>
    <t>2010.11.27</t>
  </si>
  <si>
    <t>2010.12.04</t>
  </si>
  <si>
    <t>2010.12.11</t>
  </si>
  <si>
    <t>2010.12.18</t>
  </si>
  <si>
    <t>2010.12.25</t>
  </si>
  <si>
    <t>2011.01.01</t>
  </si>
  <si>
    <t>2011.01.08</t>
  </si>
  <si>
    <t>2011.01.15</t>
  </si>
  <si>
    <t>2011.01.22</t>
  </si>
  <si>
    <t>2011.01.29</t>
  </si>
  <si>
    <t>2011.02.05</t>
  </si>
  <si>
    <t>2011.02.12</t>
  </si>
  <si>
    <t>2011.02.19</t>
  </si>
  <si>
    <t>2011.02.26</t>
  </si>
  <si>
    <t>2011.03.05</t>
  </si>
  <si>
    <t>2011.03.12</t>
  </si>
  <si>
    <t>2011.03.19</t>
  </si>
  <si>
    <t>2011.03.26</t>
  </si>
  <si>
    <t>2011.04.02</t>
  </si>
  <si>
    <t>2011.04.09</t>
  </si>
  <si>
    <t>2011.04.16</t>
  </si>
  <si>
    <t>번호</t>
    <phoneticPr fontId="2" type="noConversion"/>
  </si>
  <si>
    <t>당첨횟수</t>
    <phoneticPr fontId="2" type="noConversion"/>
  </si>
  <si>
    <t>순위</t>
    <phoneticPr fontId="2" type="noConversion"/>
  </si>
  <si>
    <t>no15</t>
  </si>
  <si>
    <t>2011.08.06</t>
  </si>
  <si>
    <t>2011.08.13</t>
  </si>
  <si>
    <t>2011.08.20</t>
  </si>
  <si>
    <t>2011.08.27</t>
  </si>
  <si>
    <t>2011.09.03</t>
  </si>
  <si>
    <t>2011.09.10</t>
  </si>
  <si>
    <t>2011.09.17</t>
  </si>
  <si>
    <t>2011.09.24</t>
  </si>
  <si>
    <t>2011.10.01</t>
  </si>
  <si>
    <t>2011.10.08</t>
  </si>
  <si>
    <t>2011.10.15</t>
  </si>
  <si>
    <t>2011.10.22</t>
  </si>
  <si>
    <t>2011.10.29</t>
  </si>
  <si>
    <t>2011.11.05</t>
  </si>
  <si>
    <t>2011.11.12</t>
  </si>
  <si>
    <t>2011.11.19</t>
  </si>
  <si>
    <t>2011.11.26</t>
  </si>
  <si>
    <t>2011.12.03</t>
  </si>
  <si>
    <t>2011.12.10</t>
  </si>
  <si>
    <t>2011.12.17</t>
  </si>
  <si>
    <t>2011.12.24</t>
  </si>
  <si>
    <t>2011.12.31</t>
  </si>
  <si>
    <t>2012.01.07</t>
  </si>
  <si>
    <t>2012.01.14</t>
  </si>
  <si>
    <t>2012.01.21</t>
  </si>
  <si>
    <t>2011.04.23</t>
  </si>
  <si>
    <t>2011.04.30</t>
  </si>
  <si>
    <t>2011.05.07</t>
  </si>
  <si>
    <t>2011.05.14</t>
  </si>
  <si>
    <t>2011.05.21</t>
  </si>
  <si>
    <t>2011.05.28</t>
  </si>
  <si>
    <t>2011.06.04</t>
  </si>
  <si>
    <t>2011.06.11</t>
  </si>
  <si>
    <t>2011.06.18</t>
  </si>
  <si>
    <t>2011.06.25</t>
  </si>
  <si>
    <t>2011.07.02</t>
  </si>
  <si>
    <t>2011.07.09</t>
  </si>
  <si>
    <t>2011.07.16</t>
  </si>
  <si>
    <t>2011.07.23</t>
  </si>
  <si>
    <t>2011.07.30</t>
  </si>
  <si>
    <t>2012.01.28</t>
  </si>
  <si>
    <t>2012.02.04</t>
  </si>
  <si>
    <t>2012.02.11</t>
  </si>
  <si>
    <t>2012.02.18</t>
  </si>
  <si>
    <t>2012.02.25</t>
  </si>
  <si>
    <t>2012.03.03</t>
  </si>
  <si>
    <t>2012.03.10</t>
  </si>
  <si>
    <t>합계</t>
    <phoneticPr fontId="2" type="noConversion"/>
  </si>
  <si>
    <t>번호</t>
    <phoneticPr fontId="2" type="noConversion"/>
  </si>
  <si>
    <t>1열</t>
    <phoneticPr fontId="2" type="noConversion"/>
  </si>
  <si>
    <t>2열</t>
  </si>
  <si>
    <t>3열</t>
  </si>
  <si>
    <t>4열</t>
  </si>
  <si>
    <t>5열</t>
  </si>
  <si>
    <t>6열</t>
  </si>
  <si>
    <t>5회출현</t>
    <phoneticPr fontId="2" type="noConversion"/>
  </si>
  <si>
    <t>누계</t>
    <phoneticPr fontId="2" type="noConversion"/>
  </si>
  <si>
    <t>확률수</t>
    <phoneticPr fontId="2" type="noConversion"/>
  </si>
  <si>
    <t>당첨</t>
  </si>
  <si>
    <t>10회</t>
    <phoneticPr fontId="2" type="noConversion"/>
  </si>
  <si>
    <t>5회</t>
    <phoneticPr fontId="2" type="noConversion"/>
  </si>
  <si>
    <t>번호</t>
    <phoneticPr fontId="2" type="noConversion"/>
  </si>
  <si>
    <t>홀짝수</t>
    <phoneticPr fontId="2" type="noConversion"/>
  </si>
  <si>
    <t>출현순위</t>
    <phoneticPr fontId="2" type="noConversion"/>
  </si>
  <si>
    <r>
      <t>1-2열</t>
    </r>
    <r>
      <rPr>
        <sz val="11"/>
        <color theme="1"/>
        <rFont val="돋움"/>
        <family val="3"/>
        <charset val="129"/>
      </rPr>
      <t/>
    </r>
  </si>
  <si>
    <r>
      <t>1-3열</t>
    </r>
    <r>
      <rPr>
        <sz val="11"/>
        <color theme="1"/>
        <rFont val="돋움"/>
        <family val="3"/>
        <charset val="129"/>
      </rPr>
      <t/>
    </r>
  </si>
  <si>
    <r>
      <t>1-4열</t>
    </r>
    <r>
      <rPr>
        <sz val="11"/>
        <color theme="1"/>
        <rFont val="돋움"/>
        <family val="3"/>
        <charset val="129"/>
      </rPr>
      <t/>
    </r>
  </si>
  <si>
    <r>
      <t>1-5열</t>
    </r>
    <r>
      <rPr>
        <sz val="11"/>
        <color theme="1"/>
        <rFont val="돋움"/>
        <family val="3"/>
        <charset val="129"/>
      </rPr>
      <t/>
    </r>
  </si>
  <si>
    <r>
      <t>1-6열</t>
    </r>
    <r>
      <rPr>
        <sz val="11"/>
        <color theme="1"/>
        <rFont val="돋움"/>
        <family val="3"/>
        <charset val="129"/>
      </rPr>
      <t/>
    </r>
  </si>
  <si>
    <t>2012.03.17</t>
    <phoneticPr fontId="2" type="noConversion"/>
  </si>
  <si>
    <t xml:space="preserve">- DATE : </t>
    <phoneticPr fontId="2" type="noConversion"/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</si>
  <si>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</si>
  <si>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</si>
  <si>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</si>
  <si>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</si>
  <si>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t>no</t>
    <phoneticPr fontId="2" type="noConversion"/>
  </si>
  <si>
    <t>remark</t>
    <phoneticPr fontId="2" type="noConversion"/>
  </si>
  <si>
    <t>no1</t>
    <phoneticPr fontId="2" type="noConversion"/>
  </si>
  <si>
    <t>1tns</t>
    <phoneticPr fontId="2" type="noConversion"/>
  </si>
  <si>
    <t>sum</t>
    <phoneticPr fontId="2" type="noConversion"/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</si>
  <si>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</si>
  <si>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</si>
  <si>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</si>
  <si>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</si>
  <si>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r>
      <rPr>
        <sz val="11"/>
        <color theme="1"/>
        <rFont val="맑은 고딕"/>
        <family val="2"/>
        <charset val="129"/>
      </rPr>
      <t>구분</t>
    </r>
    <phoneticPr fontId="2" type="noConversion"/>
  </si>
  <si>
    <r>
      <rPr>
        <sz val="11"/>
        <color theme="1"/>
        <rFont val="돋움"/>
        <family val="3"/>
        <charset val="129"/>
      </rPr>
      <t>분류</t>
    </r>
    <phoneticPr fontId="2" type="noConversion"/>
  </si>
  <si>
    <r>
      <rPr>
        <sz val="11"/>
        <color theme="1"/>
        <rFont val="맑은 고딕"/>
        <family val="2"/>
        <charset val="129"/>
      </rPr>
      <t>우선순위</t>
    </r>
    <phoneticPr fontId="2" type="noConversion"/>
  </si>
  <si>
    <r>
      <rPr>
        <sz val="11"/>
        <color theme="1"/>
        <rFont val="돋움"/>
        <family val="3"/>
        <charset val="129"/>
      </rPr>
      <t>랜덤숫자</t>
    </r>
    <phoneticPr fontId="2" type="noConversion"/>
  </si>
  <si>
    <r>
      <t>1-1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</si>
  <si>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rPr>
        <sz val="11"/>
        <color theme="1"/>
        <rFont val="돋움"/>
        <family val="3"/>
        <charset val="129"/>
      </rPr>
      <t>홀짝수</t>
    </r>
    <phoneticPr fontId="2" type="noConversion"/>
  </si>
  <si>
    <r>
      <rPr>
        <sz val="11"/>
        <color theme="1"/>
        <rFont val="돋움"/>
        <family val="3"/>
        <charset val="129"/>
      </rPr>
      <t>홀수누계</t>
    </r>
    <phoneticPr fontId="2" type="noConversion"/>
  </si>
  <si>
    <r>
      <rPr>
        <sz val="11"/>
        <color theme="1"/>
        <rFont val="돋움"/>
        <family val="3"/>
        <charset val="129"/>
      </rPr>
      <t>짝수누계</t>
    </r>
    <phoneticPr fontId="2" type="noConversion"/>
  </si>
  <si>
    <r>
      <rPr>
        <sz val="11"/>
        <color theme="1"/>
        <rFont val="돋움"/>
        <family val="3"/>
        <charset val="129"/>
      </rPr>
      <t>당첨확율누계</t>
    </r>
    <phoneticPr fontId="2" type="noConversion"/>
  </si>
  <si>
    <r>
      <t>1-1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</si>
  <si>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1-2</t>
    </r>
    <r>
      <rPr>
        <sz val="11"/>
        <color theme="1"/>
        <rFont val="돋움"/>
        <family val="3"/>
        <charset val="129"/>
      </rPr>
      <t>열</t>
    </r>
  </si>
  <si>
    <r>
      <t>1-3</t>
    </r>
    <r>
      <rPr>
        <sz val="11"/>
        <color theme="1"/>
        <rFont val="돋움"/>
        <family val="3"/>
        <charset val="129"/>
      </rPr>
      <t>열</t>
    </r>
  </si>
  <si>
    <r>
      <t>1-4</t>
    </r>
    <r>
      <rPr>
        <sz val="11"/>
        <color theme="1"/>
        <rFont val="돋움"/>
        <family val="3"/>
        <charset val="129"/>
      </rPr>
      <t>열</t>
    </r>
  </si>
  <si>
    <r>
      <t>1-5</t>
    </r>
    <r>
      <rPr>
        <sz val="11"/>
        <color theme="1"/>
        <rFont val="돋움"/>
        <family val="3"/>
        <charset val="129"/>
      </rPr>
      <t>열</t>
    </r>
  </si>
  <si>
    <r>
      <rPr>
        <sz val="11"/>
        <color theme="1"/>
        <rFont val="맑은 고딕"/>
        <family val="2"/>
        <charset val="129"/>
      </rPr>
      <t>ㅁ</t>
    </r>
    <r>
      <rPr>
        <sz val="11"/>
        <color theme="1"/>
        <rFont val="Arial Black"/>
        <family val="2"/>
      </rPr>
      <t>.3</t>
    </r>
    <r>
      <rPr>
        <sz val="11"/>
        <color theme="1"/>
        <rFont val="맑은 고딕"/>
        <family val="2"/>
        <charset val="129"/>
      </rPr>
      <t>집단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맑은 고딕"/>
        <family val="2"/>
        <charset val="129"/>
      </rPr>
      <t>분류</t>
    </r>
    <phoneticPr fontId="2" type="noConversion"/>
  </si>
  <si>
    <t>4.pattern</t>
  </si>
  <si>
    <r>
      <t>1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</si>
  <si>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2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</si>
  <si>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3열</t>
    </r>
    <r>
      <rPr>
        <sz val="10"/>
        <color theme="1"/>
        <rFont val="돋움"/>
        <family val="3"/>
        <charset val="129"/>
      </rPr>
      <t/>
    </r>
  </si>
  <si>
    <r>
      <t>4열</t>
    </r>
    <r>
      <rPr>
        <sz val="10"/>
        <color theme="1"/>
        <rFont val="돋움"/>
        <family val="3"/>
        <charset val="129"/>
      </rPr>
      <t/>
    </r>
  </si>
  <si>
    <r>
      <t>5열</t>
    </r>
    <r>
      <rPr>
        <sz val="10"/>
        <color theme="1"/>
        <rFont val="돋움"/>
        <family val="3"/>
        <charset val="129"/>
      </rPr>
      <t/>
    </r>
  </si>
  <si>
    <r>
      <t>6</t>
    </r>
    <r>
      <rPr>
        <sz val="10"/>
        <color theme="1"/>
        <rFont val="돋움"/>
        <family val="3"/>
        <charset val="129"/>
      </rPr>
      <t>열</t>
    </r>
    <phoneticPr fontId="2" type="noConversion"/>
  </si>
  <si>
    <t>연번확율</t>
    <phoneticPr fontId="2" type="noConversion"/>
  </si>
  <si>
    <t>끝번확율</t>
    <phoneticPr fontId="2" type="noConversion"/>
  </si>
  <si>
    <t>5.pattern</t>
  </si>
  <si>
    <t>2012.03.24</t>
    <phoneticPr fontId="2" type="noConversion"/>
  </si>
  <si>
    <t>2012.3.31</t>
    <phoneticPr fontId="2" type="noConversion"/>
  </si>
  <si>
    <t>2012.04.07</t>
    <phoneticPr fontId="2" type="noConversion"/>
  </si>
  <si>
    <t>필히 출현 숫자 정렬 할것</t>
    <phoneticPr fontId="2" type="noConversion"/>
  </si>
  <si>
    <t>2012.04.14</t>
    <phoneticPr fontId="2" type="noConversion"/>
  </si>
  <si>
    <t>비율</t>
    <phoneticPr fontId="2" type="noConversion"/>
  </si>
  <si>
    <t>홀수</t>
    <phoneticPr fontId="2" type="noConversion"/>
  </si>
  <si>
    <t>짝수</t>
    <phoneticPr fontId="2" type="noConversion"/>
  </si>
  <si>
    <t>홀1열</t>
    <phoneticPr fontId="2" type="noConversion"/>
  </si>
  <si>
    <t>홀2열</t>
  </si>
  <si>
    <t>홀3열</t>
  </si>
  <si>
    <t>홀4열</t>
  </si>
  <si>
    <t>홀5열</t>
  </si>
  <si>
    <t>홀6열</t>
  </si>
  <si>
    <t>홀비율</t>
    <phoneticPr fontId="2" type="noConversion"/>
  </si>
  <si>
    <t>저1열</t>
    <phoneticPr fontId="2" type="noConversion"/>
  </si>
  <si>
    <t>저2열</t>
  </si>
  <si>
    <t>저3열</t>
  </si>
  <si>
    <t>저4열</t>
  </si>
  <si>
    <t>저5열</t>
  </si>
  <si>
    <t>저6열</t>
  </si>
  <si>
    <t>저비율</t>
    <phoneticPr fontId="2" type="noConversion"/>
  </si>
  <si>
    <t>저수</t>
    <phoneticPr fontId="2" type="noConversion"/>
  </si>
  <si>
    <t>고수</t>
    <phoneticPr fontId="2" type="noConversion"/>
  </si>
  <si>
    <t>끝수분석</t>
    <phoneticPr fontId="2" type="noConversion"/>
  </si>
  <si>
    <t>홀짝비 분석(3:3,2:4,4:2)</t>
    <phoneticPr fontId="2" type="noConversion"/>
  </si>
  <si>
    <t>저고비 분석(3:3,2:4,4:2)</t>
    <phoneticPr fontId="2" type="noConversion"/>
  </si>
  <si>
    <t>끝수</t>
    <phoneticPr fontId="2" type="noConversion"/>
  </si>
  <si>
    <t>0:6</t>
    <phoneticPr fontId="2" type="noConversion"/>
  </si>
  <si>
    <t>1:5</t>
    <phoneticPr fontId="2" type="noConversion"/>
  </si>
  <si>
    <t>2:4</t>
    <phoneticPr fontId="2" type="noConversion"/>
  </si>
  <si>
    <t>3:3</t>
    <phoneticPr fontId="2" type="noConversion"/>
  </si>
  <si>
    <t>4:2</t>
    <phoneticPr fontId="2" type="noConversion"/>
  </si>
  <si>
    <t>5:1</t>
    <phoneticPr fontId="2" type="noConversion"/>
  </si>
  <si>
    <t>6:0</t>
    <phoneticPr fontId="2" type="noConversion"/>
  </si>
  <si>
    <t>비율</t>
    <phoneticPr fontId="2" type="noConversion"/>
  </si>
  <si>
    <t>횟수</t>
    <phoneticPr fontId="2" type="noConversion"/>
  </si>
  <si>
    <t>합계</t>
    <phoneticPr fontId="2" type="noConversion"/>
  </si>
  <si>
    <t>- 홀짝비율</t>
    <phoneticPr fontId="2" type="noConversion"/>
  </si>
  <si>
    <t>- 저고비율</t>
    <phoneticPr fontId="2" type="noConversion"/>
  </si>
  <si>
    <t>출현수</t>
    <phoneticPr fontId="2" type="noConversion"/>
  </si>
  <si>
    <t>순위</t>
    <phoneticPr fontId="2" type="noConversion"/>
  </si>
  <si>
    <t>구분</t>
    <phoneticPr fontId="2" type="noConversion"/>
  </si>
  <si>
    <t>홀짝집계</t>
    <phoneticPr fontId="2" type="noConversion"/>
  </si>
  <si>
    <t>저고확율</t>
    <phoneticPr fontId="2" type="noConversion"/>
  </si>
  <si>
    <t>당첨확율누계</t>
    <phoneticPr fontId="2" type="noConversion"/>
  </si>
  <si>
    <t>저수집계</t>
    <phoneticPr fontId="2" type="noConversion"/>
  </si>
  <si>
    <t>고수집계</t>
    <phoneticPr fontId="2" type="noConversion"/>
  </si>
  <si>
    <t>6.pattern</t>
  </si>
  <si>
    <r>
      <rPr>
        <b/>
        <sz val="10"/>
        <color theme="1"/>
        <rFont val="돋움"/>
        <family val="3"/>
        <charset val="129"/>
      </rPr>
      <t>저고수</t>
    </r>
    <r>
      <rPr>
        <b/>
        <sz val="10"/>
        <color theme="1"/>
        <rFont val="Arial Black"/>
        <family val="2"/>
      </rPr>
      <t>(3:3</t>
    </r>
    <r>
      <rPr>
        <b/>
        <sz val="10"/>
        <color theme="1"/>
        <rFont val="돋움"/>
        <family val="3"/>
        <charset val="129"/>
      </rPr>
      <t>비</t>
    </r>
    <r>
      <rPr>
        <b/>
        <sz val="10"/>
        <color theme="1"/>
        <rFont val="Arial Black"/>
        <family val="2"/>
      </rPr>
      <t>)</t>
    </r>
    <phoneticPr fontId="2" type="noConversion"/>
  </si>
  <si>
    <t>홀짝비(3:3비)</t>
    <phoneticPr fontId="2" type="noConversion"/>
  </si>
  <si>
    <t>홀짝비율</t>
    <phoneticPr fontId="2" type="noConversion"/>
  </si>
  <si>
    <t>저고비율</t>
    <phoneticPr fontId="2" type="noConversion"/>
  </si>
  <si>
    <t>끝수합계</t>
    <phoneticPr fontId="2" type="noConversion"/>
  </si>
  <si>
    <t>솟수 출현 분석(0.1.2.3회)</t>
    <phoneticPr fontId="2" type="noConversion"/>
  </si>
  <si>
    <t>소1열</t>
    <phoneticPr fontId="2" type="noConversion"/>
  </si>
  <si>
    <t>소2열</t>
  </si>
  <si>
    <t>소3열</t>
  </si>
  <si>
    <t>소4열</t>
  </si>
  <si>
    <t>소5열</t>
  </si>
  <si>
    <t>소6열</t>
  </si>
  <si>
    <t>수1열</t>
    <phoneticPr fontId="2" type="noConversion"/>
  </si>
  <si>
    <t>수2열</t>
  </si>
  <si>
    <t>수3열</t>
  </si>
  <si>
    <t>수4열</t>
  </si>
  <si>
    <t>수5열</t>
  </si>
  <si>
    <t>수6열</t>
  </si>
  <si>
    <t>집계</t>
    <phoneticPr fontId="2" type="noConversion"/>
  </si>
  <si>
    <t>솟수집계</t>
    <phoneticPr fontId="2" type="noConversion"/>
  </si>
  <si>
    <t>구분</t>
    <phoneticPr fontId="2" type="noConversion"/>
  </si>
  <si>
    <t>합계</t>
    <phoneticPr fontId="2" type="noConversion"/>
  </si>
  <si>
    <t>합계</t>
    <phoneticPr fontId="2" type="noConversion"/>
  </si>
  <si>
    <t>솟수확율</t>
    <phoneticPr fontId="2" type="noConversion"/>
  </si>
  <si>
    <r>
      <t>2-1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</si>
  <si>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2-2열</t>
    </r>
    <r>
      <rPr>
        <sz val="11"/>
        <color theme="1"/>
        <rFont val="돋움"/>
        <family val="3"/>
        <charset val="129"/>
      </rPr>
      <t/>
    </r>
  </si>
  <si>
    <r>
      <t>2-3열</t>
    </r>
    <r>
      <rPr>
        <sz val="11"/>
        <color theme="1"/>
        <rFont val="돋움"/>
        <family val="3"/>
        <charset val="129"/>
      </rPr>
      <t/>
    </r>
  </si>
  <si>
    <r>
      <t>2-4열</t>
    </r>
    <r>
      <rPr>
        <sz val="11"/>
        <color theme="1"/>
        <rFont val="돋움"/>
        <family val="3"/>
        <charset val="129"/>
      </rPr>
      <t/>
    </r>
  </si>
  <si>
    <r>
      <t>2-5열</t>
    </r>
    <r>
      <rPr>
        <sz val="11"/>
        <color theme="1"/>
        <rFont val="돋움"/>
        <family val="3"/>
        <charset val="129"/>
      </rPr>
      <t/>
    </r>
  </si>
  <si>
    <r>
      <t>2-6열</t>
    </r>
    <r>
      <rPr>
        <sz val="11"/>
        <color theme="1"/>
        <rFont val="돋움"/>
        <family val="3"/>
        <charset val="129"/>
      </rPr>
      <t/>
    </r>
  </si>
  <si>
    <t>최근출현숫자순서</t>
    <phoneticPr fontId="2" type="noConversion"/>
  </si>
  <si>
    <r>
      <t>F9</t>
    </r>
    <r>
      <rPr>
        <sz val="11"/>
        <color rgb="FFFFFF00"/>
        <rFont val="돋움"/>
        <family val="3"/>
        <charset val="129"/>
      </rPr>
      <t>를</t>
    </r>
    <r>
      <rPr>
        <sz val="11"/>
        <color rgb="FFFFFF00"/>
        <rFont val="Arial Black"/>
        <family val="2"/>
      </rPr>
      <t xml:space="preserve"> </t>
    </r>
    <r>
      <rPr>
        <sz val="11"/>
        <color rgb="FFFFFF00"/>
        <rFont val="돋움"/>
        <family val="3"/>
        <charset val="129"/>
      </rPr>
      <t>눌러</t>
    </r>
    <r>
      <rPr>
        <sz val="11"/>
        <color rgb="FFFFFF00"/>
        <rFont val="Arial Black"/>
        <family val="2"/>
      </rPr>
      <t xml:space="preserve"> </t>
    </r>
    <r>
      <rPr>
        <sz val="11"/>
        <color rgb="FFFFFF00"/>
        <rFont val="돋움"/>
        <family val="3"/>
        <charset val="129"/>
      </rPr>
      <t>추첨하세요</t>
    </r>
    <phoneticPr fontId="2" type="noConversion"/>
  </si>
  <si>
    <t>- 정렬시트 중복제거후 붙여넣기</t>
    <phoneticPr fontId="2" type="noConversion"/>
  </si>
  <si>
    <t>제외수누계</t>
    <phoneticPr fontId="2" type="noConversion"/>
  </si>
  <si>
    <t>2012.04.22</t>
    <phoneticPr fontId="2" type="noConversion"/>
  </si>
  <si>
    <t>3배수</t>
    <phoneticPr fontId="2" type="noConversion"/>
  </si>
  <si>
    <t>3배수비율</t>
    <phoneticPr fontId="2" type="noConversion"/>
  </si>
  <si>
    <t>소수비율</t>
    <phoneticPr fontId="2" type="noConversion"/>
  </si>
  <si>
    <t>합성수</t>
    <phoneticPr fontId="2" type="noConversion"/>
  </si>
  <si>
    <t>합성수비율</t>
    <phoneticPr fontId="2" type="noConversion"/>
  </si>
  <si>
    <t>끝수분석(22~28)</t>
    <phoneticPr fontId="2" type="noConversion"/>
  </si>
  <si>
    <r>
      <rPr>
        <sz val="11"/>
        <color theme="1"/>
        <rFont val="돋움"/>
        <family val="3"/>
        <charset val="129"/>
      </rPr>
      <t>소수</t>
    </r>
    <r>
      <rPr>
        <sz val="11"/>
        <color theme="1"/>
        <rFont val="Arial Black"/>
        <family val="2"/>
      </rPr>
      <t>,3</t>
    </r>
    <r>
      <rPr>
        <sz val="11"/>
        <color theme="1"/>
        <rFont val="돋움"/>
        <family val="3"/>
        <charset val="129"/>
      </rPr>
      <t>배수</t>
    </r>
    <r>
      <rPr>
        <sz val="11"/>
        <color theme="1"/>
        <rFont val="Arial Black"/>
        <family val="2"/>
      </rPr>
      <t>,</t>
    </r>
    <r>
      <rPr>
        <sz val="11"/>
        <color theme="1"/>
        <rFont val="돋움"/>
        <family val="3"/>
        <charset val="129"/>
      </rPr>
      <t>합성수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누계</t>
    </r>
    <phoneticPr fontId="2" type="noConversion"/>
  </si>
  <si>
    <t>2012.04.28</t>
    <phoneticPr fontId="2" type="noConversion"/>
  </si>
  <si>
    <t>3배수누계-2</t>
    <phoneticPr fontId="2" type="noConversion"/>
  </si>
  <si>
    <t>소수누계-2</t>
    <phoneticPr fontId="2" type="noConversion"/>
  </si>
  <si>
    <t>합성수누계-2</t>
    <phoneticPr fontId="2" type="noConversion"/>
  </si>
  <si>
    <t>2012.05.05</t>
    <phoneticPr fontId="2" type="noConversion"/>
  </si>
  <si>
    <t>소수출현(3이하)</t>
    <phoneticPr fontId="2" type="noConversion"/>
  </si>
  <si>
    <t>끝수합계(RK_14)</t>
    <phoneticPr fontId="2" type="noConversion"/>
  </si>
  <si>
    <t>7.pattern</t>
  </si>
  <si>
    <t>good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</si>
  <si>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</si>
  <si>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</si>
  <si>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</si>
  <si>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</si>
  <si>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</si>
  <si>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</si>
  <si>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</si>
  <si>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</si>
  <si>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</si>
  <si>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10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</si>
  <si>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</si>
  <si>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</si>
  <si>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</si>
  <si>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14</t>
    </r>
    <r>
      <rPr>
        <sz val="11"/>
        <color theme="1"/>
        <rFont val="맑은 고딕"/>
        <family val="2"/>
        <charset val="129"/>
        <scheme val="minor"/>
      </rPr>
      <t/>
    </r>
  </si>
  <si>
    <t>끝수합계</t>
    <phoneticPr fontId="2" type="noConversion"/>
  </si>
  <si>
    <t>RANK=14</t>
    <phoneticPr fontId="2" type="noConversion"/>
  </si>
  <si>
    <t>END-1</t>
    <phoneticPr fontId="2" type="noConversion"/>
  </si>
  <si>
    <t>전체평균</t>
    <phoneticPr fontId="2" type="noConversion"/>
  </si>
  <si>
    <t>최근평균</t>
    <phoneticPr fontId="2" type="noConversion"/>
  </si>
  <si>
    <t>당첨누계</t>
    <phoneticPr fontId="2" type="noConversion"/>
  </si>
  <si>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Lotto land &amp; rank </t>
    </r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 </t>
    </r>
    <phoneticPr fontId="2" type="noConversion"/>
  </si>
  <si>
    <t>2012.05.12</t>
    <phoneticPr fontId="2" type="noConversion"/>
  </si>
  <si>
    <t>2012.05.19</t>
    <phoneticPr fontId="2" type="noConversion"/>
  </si>
  <si>
    <t>◈조건표조정◈</t>
    <phoneticPr fontId="2" type="noConversion"/>
  </si>
  <si>
    <t>2012.05.26</t>
    <phoneticPr fontId="2" type="noConversion"/>
  </si>
  <si>
    <t>1G</t>
    <phoneticPr fontId="2" type="noConversion"/>
  </si>
  <si>
    <t>2G</t>
  </si>
  <si>
    <t>3G</t>
  </si>
  <si>
    <t>2G</t>
    <phoneticPr fontId="2" type="noConversion"/>
  </si>
  <si>
    <t>3G</t>
    <phoneticPr fontId="2" type="noConversion"/>
  </si>
  <si>
    <t>GR</t>
    <phoneticPr fontId="2" type="noConversion"/>
  </si>
  <si>
    <t>구성비</t>
    <phoneticPr fontId="2" type="noConversion"/>
  </si>
  <si>
    <t>123</t>
  </si>
  <si>
    <t>222</t>
  </si>
  <si>
    <t>141</t>
  </si>
  <si>
    <t>033</t>
  </si>
  <si>
    <t>231</t>
  </si>
  <si>
    <t>204</t>
  </si>
  <si>
    <t>303</t>
  </si>
  <si>
    <t>213</t>
  </si>
  <si>
    <t>312</t>
  </si>
  <si>
    <t>114</t>
  </si>
  <si>
    <t>240</t>
  </si>
  <si>
    <t>411</t>
  </si>
  <si>
    <t>330</t>
  </si>
  <si>
    <t>132</t>
  </si>
  <si>
    <t>042</t>
  </si>
  <si>
    <t>051</t>
  </si>
  <si>
    <t>105</t>
  </si>
  <si>
    <t>321</t>
  </si>
  <si>
    <t>024</t>
  </si>
  <si>
    <t>402</t>
  </si>
  <si>
    <t>060</t>
  </si>
  <si>
    <t>015</t>
  </si>
  <si>
    <t>501</t>
  </si>
  <si>
    <t>420</t>
  </si>
  <si>
    <t>510</t>
  </si>
  <si>
    <t>006</t>
  </si>
  <si>
    <t>150</t>
  </si>
  <si>
    <t>TTL</t>
    <phoneticPr fontId="2" type="noConversion"/>
  </si>
  <si>
    <t>순위</t>
    <phoneticPr fontId="2" type="noConversion"/>
  </si>
  <si>
    <t>8.pattern</t>
  </si>
  <si>
    <t>구분</t>
    <phoneticPr fontId="2" type="noConversion"/>
  </si>
  <si>
    <t>횟수</t>
    <phoneticPr fontId="2" type="noConversion"/>
  </si>
  <si>
    <t>비율</t>
    <phoneticPr fontId="2" type="noConversion"/>
  </si>
  <si>
    <t>삼그룹</t>
    <phoneticPr fontId="2" type="noConversion"/>
  </si>
  <si>
    <t>최근출현10회,5회 이름정의에서 업데이트 할것</t>
    <phoneticPr fontId="2" type="noConversion"/>
  </si>
  <si>
    <t>1.pattern</t>
    <phoneticPr fontId="2" type="noConversion"/>
  </si>
  <si>
    <t>&lt;=BR~BV복사후 CD로 내림정렬</t>
    <phoneticPr fontId="2" type="noConversion"/>
  </si>
  <si>
    <t>회차</t>
    <phoneticPr fontId="2" type="noConversion"/>
  </si>
  <si>
    <t>추첨일</t>
    <phoneticPr fontId="2" type="noConversion"/>
  </si>
  <si>
    <t>9.pattern</t>
  </si>
  <si>
    <t>AC값분석</t>
  </si>
  <si>
    <t>구분</t>
  </si>
  <si>
    <t>COUNT</t>
  </si>
  <si>
    <t>점유율(%)</t>
  </si>
  <si>
    <t>TTL</t>
  </si>
  <si>
    <t>AC값순서</t>
    <phoneticPr fontId="2" type="noConversion"/>
  </si>
  <si>
    <t>RANK1</t>
    <phoneticPr fontId="2" type="noConversion"/>
  </si>
  <si>
    <t>RANK2</t>
  </si>
  <si>
    <t>RANK3</t>
  </si>
  <si>
    <t>RANK4</t>
  </si>
  <si>
    <t>RANK5</t>
  </si>
  <si>
    <t>RANK6</t>
  </si>
  <si>
    <t>합계</t>
    <phoneticPr fontId="2" type="noConversion"/>
  </si>
  <si>
    <t>범위</t>
    <phoneticPr fontId="2" type="noConversion"/>
  </si>
  <si>
    <t>구분</t>
    <phoneticPr fontId="2" type="noConversion"/>
  </si>
  <si>
    <t>회수</t>
    <phoneticPr fontId="2" type="noConversion"/>
  </si>
  <si>
    <t>점유율</t>
    <phoneticPr fontId="2" type="noConversion"/>
  </si>
  <si>
    <t>계</t>
    <phoneticPr fontId="2" type="noConversion"/>
  </si>
  <si>
    <t>최근 출현수</t>
    <phoneticPr fontId="2" type="noConversion"/>
  </si>
  <si>
    <t>2012.06.02</t>
    <phoneticPr fontId="2" type="noConversion"/>
  </si>
  <si>
    <t>2012.06.09</t>
    <phoneticPr fontId="2" type="noConversion"/>
  </si>
  <si>
    <t>2012.06.16</t>
    <phoneticPr fontId="2" type="noConversion"/>
  </si>
  <si>
    <t>2012.06.23</t>
    <phoneticPr fontId="2" type="noConversion"/>
  </si>
  <si>
    <t>2012.06.30</t>
    <phoneticPr fontId="2" type="noConversion"/>
  </si>
  <si>
    <t>2012.07.07</t>
    <phoneticPr fontId="2" type="noConversion"/>
  </si>
  <si>
    <t>0:6</t>
    <phoneticPr fontId="2" type="noConversion"/>
  </si>
  <si>
    <t>2012.07.14</t>
    <phoneticPr fontId="2" type="noConversion"/>
  </si>
  <si>
    <t>2012.07.21</t>
    <phoneticPr fontId="2" type="noConversion"/>
  </si>
  <si>
    <t>2012.07.28</t>
    <phoneticPr fontId="2" type="noConversion"/>
  </si>
  <si>
    <t>2012.08.04</t>
    <phoneticPr fontId="2" type="noConversion"/>
  </si>
  <si>
    <t>2012.08.11</t>
    <phoneticPr fontId="2" type="noConversion"/>
  </si>
  <si>
    <t>2012.08.18</t>
    <phoneticPr fontId="2" type="noConversion"/>
  </si>
  <si>
    <t>2012.08.25</t>
    <phoneticPr fontId="2" type="noConversion"/>
  </si>
  <si>
    <t>2012.09.01</t>
    <phoneticPr fontId="2" type="noConversion"/>
  </si>
  <si>
    <t>2012.09.08</t>
    <phoneticPr fontId="2" type="noConversion"/>
  </si>
  <si>
    <t>2012.09.15</t>
    <phoneticPr fontId="2" type="noConversion"/>
  </si>
  <si>
    <t>2012.09.22</t>
    <phoneticPr fontId="2" type="noConversion"/>
  </si>
  <si>
    <t>2012.09.29</t>
    <phoneticPr fontId="2" type="noConversion"/>
  </si>
  <si>
    <t>2012.10.06</t>
    <phoneticPr fontId="2" type="noConversion"/>
  </si>
  <si>
    <t>2012.10.13</t>
    <phoneticPr fontId="2" type="noConversion"/>
  </si>
  <si>
    <t>2012.10.20</t>
    <phoneticPr fontId="2" type="noConversion"/>
  </si>
  <si>
    <t>2012.10.27</t>
    <phoneticPr fontId="2" type="noConversion"/>
  </si>
  <si>
    <t>2012.11.03</t>
    <phoneticPr fontId="2" type="noConversion"/>
  </si>
  <si>
    <t>2012.11.10</t>
    <phoneticPr fontId="2" type="noConversion"/>
  </si>
  <si>
    <t>2012.11.17</t>
    <phoneticPr fontId="2" type="noConversion"/>
  </si>
  <si>
    <t>2012.11.24</t>
    <phoneticPr fontId="2" type="noConversion"/>
  </si>
  <si>
    <t>2012.12.01</t>
    <phoneticPr fontId="2" type="noConversion"/>
  </si>
  <si>
    <t>2012.12.08</t>
    <phoneticPr fontId="2" type="noConversion"/>
  </si>
  <si>
    <t>2012.12.15</t>
    <phoneticPr fontId="2" type="noConversion"/>
  </si>
  <si>
    <t>10회출현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</si>
  <si>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</si>
  <si>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</si>
  <si>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</si>
  <si>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</si>
  <si>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</si>
  <si>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20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</si>
  <si>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</si>
  <si>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</si>
  <si>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13-1</t>
    </r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</si>
  <si>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14-1</t>
    </r>
    <phoneticPr fontId="2" type="noConversion"/>
  </si>
  <si>
    <t>2012.12.22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</si>
  <si>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</si>
  <si>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</si>
  <si>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</si>
  <si>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26</t>
    </r>
    <r>
      <rPr>
        <sz val="11"/>
        <color theme="1"/>
        <rFont val="맑은 고딕"/>
        <family val="2"/>
        <charset val="129"/>
        <scheme val="minor"/>
      </rPr>
      <t/>
    </r>
  </si>
  <si>
    <t>10.pattern</t>
  </si>
  <si>
    <t>11.pattern</t>
  </si>
  <si>
    <t>12.pattern</t>
  </si>
  <si>
    <t>13.pattern</t>
  </si>
  <si>
    <t>14.pattern</t>
  </si>
  <si>
    <t>15.pattern</t>
  </si>
  <si>
    <t>2012.12.29</t>
    <phoneticPr fontId="2" type="noConversion"/>
  </si>
  <si>
    <t>1G</t>
    <phoneticPr fontId="2" type="noConversion"/>
  </si>
  <si>
    <t>3G</t>
    <phoneticPr fontId="2" type="noConversion"/>
  </si>
  <si>
    <t>2013.01.05</t>
    <phoneticPr fontId="2" type="noConversion"/>
  </si>
  <si>
    <t>2013.01.12</t>
    <phoneticPr fontId="2" type="noConversion"/>
  </si>
  <si>
    <t>529ok</t>
    <phoneticPr fontId="2" type="noConversion"/>
  </si>
  <si>
    <t>2013.01.19</t>
    <phoneticPr fontId="2" type="noConversion"/>
  </si>
  <si>
    <t>2013.01.26</t>
    <phoneticPr fontId="2" type="noConversion"/>
  </si>
  <si>
    <t>2013.02.02</t>
    <phoneticPr fontId="2" type="noConversion"/>
  </si>
  <si>
    <t>2013.02.09</t>
    <phoneticPr fontId="2" type="noConversion"/>
  </si>
  <si>
    <t>2:4</t>
    <phoneticPr fontId="2" type="noConversion"/>
  </si>
  <si>
    <t>3:3</t>
    <phoneticPr fontId="2" type="noConversion"/>
  </si>
  <si>
    <t>4:2</t>
    <phoneticPr fontId="2" type="noConversion"/>
  </si>
  <si>
    <t>2013.02.16</t>
    <phoneticPr fontId="2" type="noConversion"/>
  </si>
  <si>
    <t>2013.02.23</t>
    <phoneticPr fontId="2" type="noConversion"/>
  </si>
  <si>
    <t>제외수1</t>
    <phoneticPr fontId="2" type="noConversion"/>
  </si>
  <si>
    <t>제외수3</t>
    <phoneticPr fontId="2" type="noConversion"/>
  </si>
  <si>
    <t>제외수6</t>
    <phoneticPr fontId="2" type="noConversion"/>
  </si>
  <si>
    <t>제외수7</t>
    <phoneticPr fontId="2" type="noConversion"/>
  </si>
  <si>
    <t>제외수4</t>
    <phoneticPr fontId="2" type="noConversion"/>
  </si>
  <si>
    <t>제외수5</t>
    <phoneticPr fontId="2" type="noConversion"/>
  </si>
  <si>
    <t>제외수8</t>
    <phoneticPr fontId="2" type="noConversion"/>
  </si>
  <si>
    <t>2013.03.02</t>
    <phoneticPr fontId="2" type="noConversion"/>
  </si>
  <si>
    <r>
      <rPr>
        <sz val="11"/>
        <color theme="1"/>
        <rFont val="돋움"/>
        <family val="3"/>
        <charset val="129"/>
      </rPr>
      <t>같은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호기의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숫자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출현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빈도에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따라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우선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순위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배정해야함</t>
    </r>
    <r>
      <rPr>
        <sz val="11"/>
        <color theme="1"/>
        <rFont val="Arial Black"/>
        <family val="2"/>
      </rPr>
      <t>(1~40</t>
    </r>
    <r>
      <rPr>
        <sz val="11"/>
        <color theme="1"/>
        <rFont val="돋움"/>
        <family val="3"/>
        <charset val="129"/>
      </rPr>
      <t>순위까지</t>
    </r>
    <r>
      <rPr>
        <sz val="11"/>
        <color theme="1"/>
        <rFont val="Arial Black"/>
        <family val="2"/>
      </rPr>
      <t xml:space="preserve">), </t>
    </r>
    <r>
      <rPr>
        <sz val="11"/>
        <color theme="1"/>
        <rFont val="돋움"/>
        <family val="3"/>
        <charset val="129"/>
      </rPr>
      <t>나머지</t>
    </r>
    <r>
      <rPr>
        <sz val="11"/>
        <color theme="1"/>
        <rFont val="Arial Black"/>
        <family val="2"/>
      </rPr>
      <t xml:space="preserve"> 5</t>
    </r>
    <r>
      <rPr>
        <sz val="11"/>
        <color theme="1"/>
        <rFont val="돋움"/>
        <family val="3"/>
        <charset val="129"/>
      </rPr>
      <t>개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수는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제외수로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활용</t>
    </r>
    <phoneticPr fontId="2" type="noConversion"/>
  </si>
  <si>
    <t>4:2</t>
    <phoneticPr fontId="2" type="noConversion"/>
  </si>
  <si>
    <t>2013.03.09</t>
    <phoneticPr fontId="2" type="noConversion"/>
  </si>
  <si>
    <r>
      <rPr>
        <sz val="11"/>
        <color theme="1"/>
        <rFont val="돋움"/>
        <family val="3"/>
        <charset val="129"/>
      </rPr>
      <t>집계</t>
    </r>
    <r>
      <rPr>
        <sz val="11"/>
        <color theme="1"/>
        <rFont val="Arial Black"/>
        <family val="2"/>
      </rPr>
      <t>(6M)</t>
    </r>
    <r>
      <rPr>
        <sz val="11"/>
        <color theme="1"/>
        <rFont val="돋움"/>
        <family val="3"/>
        <charset val="129"/>
      </rPr>
      <t>에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기초하여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작성</t>
    </r>
    <phoneticPr fontId="2" type="noConversion"/>
  </si>
  <si>
    <t>1:5</t>
    <phoneticPr fontId="2" type="noConversion"/>
  </si>
  <si>
    <r>
      <rPr>
        <sz val="11"/>
        <color theme="1"/>
        <rFont val="돋움"/>
        <family val="3"/>
        <charset val="129"/>
      </rPr>
      <t>삼그룹은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총집계에서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산출</t>
    </r>
    <phoneticPr fontId="2" type="noConversion"/>
  </si>
  <si>
    <r>
      <rPr>
        <sz val="11"/>
        <color theme="1"/>
        <rFont val="돋움"/>
        <family val="3"/>
        <charset val="129"/>
      </rPr>
      <t>색있는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곳에서</t>
    </r>
    <r>
      <rPr>
        <sz val="11"/>
        <color theme="1"/>
        <rFont val="Arial Black"/>
        <family val="2"/>
      </rPr>
      <t>2</t>
    </r>
    <r>
      <rPr>
        <sz val="11"/>
        <color theme="1"/>
        <rFont val="돋움"/>
        <family val="3"/>
        <charset val="129"/>
      </rPr>
      <t>개이하면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합격</t>
    </r>
    <r>
      <rPr>
        <sz val="11"/>
        <color theme="1"/>
        <rFont val="Arial Black"/>
        <family val="2"/>
      </rPr>
      <t>(</t>
    </r>
    <r>
      <rPr>
        <sz val="11"/>
        <color theme="1"/>
        <rFont val="돋움"/>
        <family val="3"/>
        <charset val="129"/>
      </rPr>
      <t>단</t>
    </r>
    <r>
      <rPr>
        <sz val="11"/>
        <color theme="1"/>
        <rFont val="Arial Black"/>
        <family val="2"/>
      </rPr>
      <t xml:space="preserve"> AC</t>
    </r>
    <r>
      <rPr>
        <sz val="11"/>
        <color theme="1"/>
        <rFont val="돋움"/>
        <family val="3"/>
        <charset val="129"/>
      </rPr>
      <t>값은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합격이어야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함</t>
    </r>
    <r>
      <rPr>
        <sz val="11"/>
        <color theme="1"/>
        <rFont val="Arial Black"/>
        <family val="2"/>
      </rPr>
      <t>)</t>
    </r>
    <phoneticPr fontId="2" type="noConversion"/>
  </si>
  <si>
    <t>2013.03.16</t>
    <phoneticPr fontId="2" type="noConversion"/>
  </si>
  <si>
    <t>2013.03.23</t>
    <phoneticPr fontId="2" type="noConversion"/>
  </si>
  <si>
    <t>no16</t>
  </si>
  <si>
    <t>no17</t>
  </si>
  <si>
    <t>no18</t>
  </si>
  <si>
    <t>no19</t>
  </si>
  <si>
    <t>no20</t>
  </si>
  <si>
    <t>no21</t>
  </si>
  <si>
    <t>no22</t>
  </si>
  <si>
    <t>no23</t>
  </si>
  <si>
    <t>no24</t>
  </si>
  <si>
    <t>no25</t>
  </si>
  <si>
    <t>no26</t>
  </si>
  <si>
    <t>no27</t>
  </si>
  <si>
    <t>no28</t>
  </si>
  <si>
    <t>no29</t>
  </si>
  <si>
    <t>no30</t>
  </si>
  <si>
    <t>no31</t>
  </si>
  <si>
    <t>no32</t>
  </si>
  <si>
    <t>no33</t>
  </si>
  <si>
    <t>no34</t>
  </si>
  <si>
    <t>no35</t>
  </si>
  <si>
    <r>
      <t>1~10 AC</t>
    </r>
    <r>
      <rPr>
        <sz val="11"/>
        <color theme="1"/>
        <rFont val="돋움"/>
        <family val="3"/>
        <charset val="129"/>
      </rPr>
      <t>값은</t>
    </r>
    <r>
      <rPr>
        <sz val="11"/>
        <color theme="1"/>
        <rFont val="Arial Black"/>
        <family val="2"/>
      </rPr>
      <t xml:space="preserve"> +1</t>
    </r>
    <r>
      <rPr>
        <sz val="11"/>
        <color theme="1"/>
        <rFont val="돋움"/>
        <family val="3"/>
        <charset val="129"/>
      </rPr>
      <t>자리임</t>
    </r>
    <r>
      <rPr>
        <sz val="11"/>
        <color theme="1"/>
        <rFont val="Arial Black"/>
        <family val="2"/>
      </rPr>
      <t>…</t>
    </r>
    <phoneticPr fontId="2" type="noConversion"/>
  </si>
  <si>
    <t>2013.03.30</t>
    <phoneticPr fontId="2" type="noConversion"/>
  </si>
  <si>
    <t>2013.04.06</t>
    <phoneticPr fontId="2" type="noConversion"/>
  </si>
  <si>
    <t>2013.04.13</t>
    <phoneticPr fontId="2" type="noConversion"/>
  </si>
  <si>
    <t>2013.04.20</t>
    <phoneticPr fontId="2" type="noConversion"/>
  </si>
  <si>
    <t>2013.04.27</t>
    <phoneticPr fontId="2" type="noConversion"/>
  </si>
  <si>
    <t>제외수9</t>
    <phoneticPr fontId="2" type="noConversion"/>
  </si>
  <si>
    <t>2013.05.04</t>
    <phoneticPr fontId="2" type="noConversion"/>
  </si>
  <si>
    <t>2013.05.11</t>
    <phoneticPr fontId="2" type="noConversion"/>
  </si>
  <si>
    <t>2013.05.18</t>
    <phoneticPr fontId="2" type="noConversion"/>
  </si>
  <si>
    <t>2013.05.25</t>
    <phoneticPr fontId="2" type="noConversion"/>
  </si>
  <si>
    <t>제외수11</t>
    <phoneticPr fontId="2" type="noConversion"/>
  </si>
  <si>
    <t>제외수10</t>
    <phoneticPr fontId="2" type="noConversion"/>
  </si>
  <si>
    <t>2013.06.01</t>
    <phoneticPr fontId="2" type="noConversion"/>
  </si>
  <si>
    <t>2013.06.08</t>
    <phoneticPr fontId="2" type="noConversion"/>
  </si>
  <si>
    <t>2013.06.15</t>
    <phoneticPr fontId="2" type="noConversion"/>
  </si>
  <si>
    <t>2013.06.22</t>
    <phoneticPr fontId="2" type="noConversion"/>
  </si>
  <si>
    <r>
      <rPr>
        <sz val="11"/>
        <color theme="1"/>
        <rFont val="돋움"/>
        <family val="3"/>
        <charset val="129"/>
      </rPr>
      <t>집계에서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홀짝</t>
    </r>
    <r>
      <rPr>
        <sz val="11"/>
        <color theme="1"/>
        <rFont val="Arial Black"/>
        <family val="2"/>
      </rPr>
      <t>,</t>
    </r>
    <r>
      <rPr>
        <sz val="11"/>
        <color theme="1"/>
        <rFont val="돋움"/>
        <family val="3"/>
        <charset val="129"/>
      </rPr>
      <t>저고</t>
    </r>
    <r>
      <rPr>
        <sz val="11"/>
        <color theme="1"/>
        <rFont val="Arial Black"/>
        <family val="2"/>
      </rPr>
      <t>,</t>
    </r>
    <r>
      <rPr>
        <sz val="11"/>
        <color theme="1"/>
        <rFont val="돋움"/>
        <family val="3"/>
        <charset val="129"/>
      </rPr>
      <t>소수는</t>
    </r>
    <r>
      <rPr>
        <sz val="11"/>
        <color theme="1"/>
        <rFont val="Arial Black"/>
        <family val="2"/>
      </rPr>
      <t xml:space="preserve"> 3</t>
    </r>
    <r>
      <rPr>
        <sz val="11"/>
        <color theme="1"/>
        <rFont val="돋움"/>
        <family val="3"/>
        <charset val="129"/>
      </rPr>
      <t>개만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적용</t>
    </r>
    <r>
      <rPr>
        <sz val="11"/>
        <color theme="1"/>
        <rFont val="Arial Black"/>
        <family val="2"/>
      </rPr>
      <t xml:space="preserve">, </t>
    </r>
    <r>
      <rPr>
        <sz val="11"/>
        <color theme="1"/>
        <rFont val="돋움"/>
        <family val="3"/>
        <charset val="129"/>
      </rPr>
      <t>삼그룹은</t>
    </r>
    <r>
      <rPr>
        <sz val="11"/>
        <color theme="1"/>
        <rFont val="Arial Black"/>
        <family val="2"/>
      </rPr>
      <t xml:space="preserve"> 5</t>
    </r>
    <r>
      <rPr>
        <sz val="11"/>
        <color theme="1"/>
        <rFont val="돋움"/>
        <family val="3"/>
        <charset val="129"/>
      </rPr>
      <t>개만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적용</t>
    </r>
    <phoneticPr fontId="2" type="noConversion"/>
  </si>
  <si>
    <r>
      <rPr>
        <sz val="10"/>
        <rFont val="돋움"/>
        <family val="3"/>
        <charset val="129"/>
      </rPr>
      <t>수합계</t>
    </r>
    <r>
      <rPr>
        <sz val="10"/>
        <rFont val="Arial Black"/>
        <family val="2"/>
      </rPr>
      <t>90~180</t>
    </r>
    <phoneticPr fontId="2" type="noConversion"/>
  </si>
  <si>
    <t>2013.06.29</t>
    <phoneticPr fontId="2" type="noConversion"/>
  </si>
  <si>
    <t>2013.07.06</t>
    <phoneticPr fontId="2" type="noConversion"/>
  </si>
  <si>
    <t>2013.07.13</t>
    <phoneticPr fontId="2" type="noConversion"/>
  </si>
  <si>
    <t>2013.07.20</t>
    <phoneticPr fontId="2" type="noConversion"/>
  </si>
  <si>
    <t>2013.07.27</t>
    <phoneticPr fontId="2" type="noConversion"/>
  </si>
  <si>
    <t>2013.08.03</t>
    <phoneticPr fontId="2" type="noConversion"/>
  </si>
  <si>
    <t>2013.08.10</t>
    <phoneticPr fontId="2" type="noConversion"/>
  </si>
  <si>
    <t>2013.08.17</t>
    <phoneticPr fontId="2" type="noConversion"/>
  </si>
  <si>
    <t>수합계</t>
  </si>
  <si>
    <t>홀짝비</t>
  </si>
  <si>
    <t>저고수비</t>
  </si>
  <si>
    <t>끝수합계</t>
  </si>
  <si>
    <t>소수출현비</t>
  </si>
  <si>
    <t>5회 낙수</t>
    <phoneticPr fontId="2" type="noConversion"/>
  </si>
  <si>
    <t>2013.08.24</t>
    <phoneticPr fontId="2" type="noConversion"/>
  </si>
  <si>
    <t>2013.08.31</t>
    <phoneticPr fontId="2" type="noConversion"/>
  </si>
  <si>
    <t>2013.09.07</t>
    <phoneticPr fontId="2" type="noConversion"/>
  </si>
  <si>
    <t>2013.09.14</t>
    <phoneticPr fontId="2" type="noConversion"/>
  </si>
  <si>
    <t>2013.09.21</t>
    <phoneticPr fontId="2" type="noConversion"/>
  </si>
  <si>
    <t>2013.09.28</t>
    <phoneticPr fontId="2" type="noConversion"/>
  </si>
  <si>
    <t>2013.10.05</t>
    <phoneticPr fontId="2" type="noConversion"/>
  </si>
  <si>
    <t>2013.10.12</t>
    <phoneticPr fontId="2" type="noConversion"/>
  </si>
  <si>
    <t>2013.10.19</t>
    <phoneticPr fontId="2" type="noConversion"/>
  </si>
  <si>
    <t>2013.10.26</t>
    <phoneticPr fontId="2" type="noConversion"/>
  </si>
  <si>
    <t>2013.11.02</t>
    <phoneticPr fontId="2" type="noConversion"/>
  </si>
  <si>
    <t>2013.11.09</t>
    <phoneticPr fontId="2" type="noConversion"/>
  </si>
  <si>
    <t>2013.11.16</t>
    <phoneticPr fontId="2" type="noConversion"/>
  </si>
  <si>
    <t>집계(6M)</t>
    <phoneticPr fontId="2" type="noConversion"/>
  </si>
  <si>
    <t>23수</t>
    <phoneticPr fontId="2" type="noConversion"/>
  </si>
  <si>
    <t>2013.11.23</t>
    <phoneticPr fontId="2" type="noConversion"/>
  </si>
  <si>
    <t>15회 이상 출</t>
    <phoneticPr fontId="2" type="noConversion"/>
  </si>
  <si>
    <t>5회 이상 출</t>
    <phoneticPr fontId="2" type="noConversion"/>
  </si>
  <si>
    <t>총집계수</t>
    <phoneticPr fontId="2" type="noConversion"/>
  </si>
  <si>
    <t>1~4주 당번</t>
    <phoneticPr fontId="2" type="noConversion"/>
  </si>
  <si>
    <t>6M 집계수</t>
    <phoneticPr fontId="2" type="noConversion"/>
  </si>
  <si>
    <t>20주 집계수</t>
    <phoneticPr fontId="2" type="noConversion"/>
  </si>
  <si>
    <t>1~3주 당번</t>
    <phoneticPr fontId="2" type="noConversion"/>
  </si>
  <si>
    <t>1주 당번</t>
    <phoneticPr fontId="2" type="noConversion"/>
  </si>
  <si>
    <t>1~2주 당번</t>
    <phoneticPr fontId="2" type="noConversion"/>
  </si>
  <si>
    <t>5-15중복수</t>
    <phoneticPr fontId="2" type="noConversion"/>
  </si>
  <si>
    <t>2014.08.02</t>
    <phoneticPr fontId="2" type="noConversion"/>
  </si>
  <si>
    <t>2014.07.26</t>
    <phoneticPr fontId="2" type="noConversion"/>
  </si>
  <si>
    <t>2014.07.19</t>
    <phoneticPr fontId="2" type="noConversion"/>
  </si>
  <si>
    <t>2014.07.12</t>
    <phoneticPr fontId="2" type="noConversion"/>
  </si>
  <si>
    <t>2014.07.05</t>
    <phoneticPr fontId="2" type="noConversion"/>
  </si>
  <si>
    <t>2014.06.28</t>
    <phoneticPr fontId="2" type="noConversion"/>
  </si>
  <si>
    <t>2014.06.21</t>
    <phoneticPr fontId="2" type="noConversion"/>
  </si>
  <si>
    <t>2014.06.14</t>
    <phoneticPr fontId="2" type="noConversion"/>
  </si>
  <si>
    <t>2014.06.07</t>
    <phoneticPr fontId="2" type="noConversion"/>
  </si>
  <si>
    <t>2014.05.31</t>
    <phoneticPr fontId="2" type="noConversion"/>
  </si>
  <si>
    <t>2014.05.24</t>
    <phoneticPr fontId="2" type="noConversion"/>
  </si>
  <si>
    <t>2014.05.17</t>
    <phoneticPr fontId="2" type="noConversion"/>
  </si>
  <si>
    <t>2014.05.10</t>
    <phoneticPr fontId="2" type="noConversion"/>
  </si>
  <si>
    <t>2014.05.03</t>
    <phoneticPr fontId="2" type="noConversion"/>
  </si>
  <si>
    <t>2014.04.26</t>
    <phoneticPr fontId="2" type="noConversion"/>
  </si>
  <si>
    <t>2014.04.19</t>
    <phoneticPr fontId="2" type="noConversion"/>
  </si>
  <si>
    <t>2014.04.12</t>
    <phoneticPr fontId="2" type="noConversion"/>
  </si>
  <si>
    <t>2014.04.05</t>
    <phoneticPr fontId="2" type="noConversion"/>
  </si>
  <si>
    <t>2014.03.29</t>
    <phoneticPr fontId="2" type="noConversion"/>
  </si>
  <si>
    <t>2014.03.22</t>
    <phoneticPr fontId="2" type="noConversion"/>
  </si>
  <si>
    <t>2014.03.15</t>
    <phoneticPr fontId="2" type="noConversion"/>
  </si>
  <si>
    <t>2014.03.08</t>
    <phoneticPr fontId="2" type="noConversion"/>
  </si>
  <si>
    <t>2014.03.01</t>
    <phoneticPr fontId="2" type="noConversion"/>
  </si>
  <si>
    <t>2014.06.28</t>
    <phoneticPr fontId="2" type="noConversion"/>
  </si>
  <si>
    <t>2014.07.05</t>
    <phoneticPr fontId="2" type="noConversion"/>
  </si>
  <si>
    <t>2014.07.12</t>
    <phoneticPr fontId="2" type="noConversion"/>
  </si>
  <si>
    <t>2014.07.19</t>
    <phoneticPr fontId="2" type="noConversion"/>
  </si>
  <si>
    <t>2014.07.26</t>
    <phoneticPr fontId="2" type="noConversion"/>
  </si>
  <si>
    <t>2014.08.02</t>
    <phoneticPr fontId="2" type="noConversion"/>
  </si>
  <si>
    <t>2014.08.09</t>
    <phoneticPr fontId="2" type="noConversion"/>
  </si>
  <si>
    <t>2014.08.16</t>
    <phoneticPr fontId="2" type="noConversion"/>
  </si>
  <si>
    <t>2014.08.23</t>
    <phoneticPr fontId="2" type="noConversion"/>
  </si>
  <si>
    <t>2014.08.30</t>
    <phoneticPr fontId="2" type="noConversion"/>
  </si>
  <si>
    <t>2014.09.06</t>
    <phoneticPr fontId="2" type="noConversion"/>
  </si>
  <si>
    <t>2014.09.13</t>
    <phoneticPr fontId="2" type="noConversion"/>
  </si>
  <si>
    <t>2014.09.20</t>
    <phoneticPr fontId="2" type="noConversion"/>
  </si>
  <si>
    <t>2014.09.27</t>
    <phoneticPr fontId="2" type="noConversion"/>
  </si>
  <si>
    <t>2014.10.04</t>
    <phoneticPr fontId="2" type="noConversion"/>
  </si>
  <si>
    <t>2014.10.11</t>
    <phoneticPr fontId="2" type="noConversion"/>
  </si>
  <si>
    <t>2014.10.18</t>
    <phoneticPr fontId="2" type="noConversion"/>
  </si>
  <si>
    <t>2014.10.25</t>
    <phoneticPr fontId="2" type="noConversion"/>
  </si>
  <si>
    <t>2014.11.01</t>
    <phoneticPr fontId="2" type="noConversion"/>
  </si>
  <si>
    <t>5회 이상 수</t>
  </si>
  <si>
    <t>15회 이상 수</t>
  </si>
  <si>
    <t>1~4주 당번</t>
  </si>
  <si>
    <t>6M 집계수</t>
  </si>
  <si>
    <t>20주 집계수</t>
  </si>
  <si>
    <t>1~3주 당번</t>
  </si>
  <si>
    <t>1주 당번</t>
  </si>
  <si>
    <t>1~2주 당번</t>
  </si>
  <si>
    <t>5-15중복수</t>
  </si>
  <si>
    <t>5회낙수</t>
  </si>
  <si>
    <t>2014.11.08</t>
    <phoneticPr fontId="2" type="noConversion"/>
  </si>
  <si>
    <t>2014.11.15</t>
  </si>
  <si>
    <t>2014.11.22</t>
  </si>
  <si>
    <t>총집계</t>
  </si>
  <si>
    <t>2014.11.29</t>
    <phoneticPr fontId="2" type="noConversion"/>
  </si>
  <si>
    <t>2014.12.06</t>
    <phoneticPr fontId="2" type="noConversion"/>
  </si>
  <si>
    <t>2014.12.13</t>
    <phoneticPr fontId="2" type="noConversion"/>
  </si>
  <si>
    <t>2014.12.20</t>
    <phoneticPr fontId="2" type="noConversion"/>
  </si>
  <si>
    <t>2014.12.27</t>
    <phoneticPr fontId="2" type="noConversion"/>
  </si>
  <si>
    <t>2015.01.03</t>
    <phoneticPr fontId="2" type="noConversion"/>
  </si>
  <si>
    <t>2015.01.10</t>
    <phoneticPr fontId="2" type="noConversion"/>
  </si>
  <si>
    <t>2015.01.17</t>
    <phoneticPr fontId="2" type="noConversion"/>
  </si>
  <si>
    <t>2015.01.24</t>
    <phoneticPr fontId="2" type="noConversion"/>
  </si>
  <si>
    <t>2015.01.31</t>
    <phoneticPr fontId="2" type="noConversion"/>
  </si>
  <si>
    <t>2015.02.07</t>
    <phoneticPr fontId="2" type="noConversion"/>
  </si>
  <si>
    <t>2015.02.14</t>
    <phoneticPr fontId="2" type="noConversion"/>
  </si>
  <si>
    <t>2015.02.21</t>
    <phoneticPr fontId="2" type="noConversion"/>
  </si>
  <si>
    <t>2015.02.28</t>
    <phoneticPr fontId="2" type="noConversion"/>
  </si>
  <si>
    <t>2015.03.07</t>
    <phoneticPr fontId="2" type="noConversion"/>
  </si>
  <si>
    <t>2015.03.14</t>
    <phoneticPr fontId="2" type="noConversion"/>
  </si>
  <si>
    <t>2015.03.21</t>
    <phoneticPr fontId="2" type="noConversion"/>
  </si>
  <si>
    <t>2015.03.27</t>
    <phoneticPr fontId="2" type="noConversion"/>
  </si>
  <si>
    <t>2015.04.04</t>
    <phoneticPr fontId="2" type="noConversion"/>
  </si>
  <si>
    <t>2015.04.11</t>
    <phoneticPr fontId="2" type="noConversion"/>
  </si>
  <si>
    <t>2015.04.18</t>
    <phoneticPr fontId="2" type="noConversion"/>
  </si>
  <si>
    <t>2015.04.25</t>
    <phoneticPr fontId="2" type="noConversion"/>
  </si>
  <si>
    <t>2015.05.02</t>
    <phoneticPr fontId="2" type="noConversion"/>
  </si>
  <si>
    <t>2015.05.09</t>
    <phoneticPr fontId="2" type="noConversion"/>
  </si>
  <si>
    <t>2015.05.16</t>
  </si>
  <si>
    <t>2015.05.23</t>
  </si>
  <si>
    <t>2015.05.30</t>
  </si>
  <si>
    <t>2015.06.06</t>
    <phoneticPr fontId="2" type="noConversion"/>
  </si>
  <si>
    <t>2015.06.13</t>
    <phoneticPr fontId="2" type="noConversion"/>
  </si>
  <si>
    <t>2015.06.20</t>
  </si>
  <si>
    <t>2015.06.27</t>
  </si>
  <si>
    <t>2015.07.04</t>
    <phoneticPr fontId="2" type="noConversion"/>
  </si>
  <si>
    <t>2015.07.11</t>
    <phoneticPr fontId="2" type="noConversion"/>
  </si>
  <si>
    <t>2015.07.18</t>
  </si>
  <si>
    <t>01</t>
    <phoneticPr fontId="2" type="noConversion"/>
  </si>
  <si>
    <t>2015.07.25</t>
  </si>
  <si>
    <t>2015.08.01</t>
    <phoneticPr fontId="2" type="noConversion"/>
  </si>
  <si>
    <t>2015.08.08</t>
    <phoneticPr fontId="2" type="noConversion"/>
  </si>
  <si>
    <t>2015.08.15</t>
  </si>
  <si>
    <t>2015.08.22</t>
  </si>
  <si>
    <t>2015.08.29</t>
  </si>
  <si>
    <t>2015.09.05</t>
    <phoneticPr fontId="2" type="noConversion"/>
  </si>
  <si>
    <t>2015.09.12</t>
    <phoneticPr fontId="2" type="noConversion"/>
  </si>
  <si>
    <t>2015.09.19</t>
  </si>
  <si>
    <t>2015.09.26</t>
  </si>
  <si>
    <t>2015.10.03</t>
    <phoneticPr fontId="2" type="noConversion"/>
  </si>
  <si>
    <t>2015.10.10</t>
    <phoneticPr fontId="2" type="noConversion"/>
  </si>
  <si>
    <t>2015.10.17</t>
    <phoneticPr fontId="2" type="noConversion"/>
  </si>
  <si>
    <t>2015.10.24</t>
  </si>
  <si>
    <t>2015.10.31</t>
  </si>
  <si>
    <t>2015.11.07</t>
    <phoneticPr fontId="2" type="noConversion"/>
  </si>
  <si>
    <t>2015.11.14</t>
    <phoneticPr fontId="2" type="noConversion"/>
  </si>
  <si>
    <t>2015.11.21</t>
  </si>
  <si>
    <t>2015.11.28</t>
  </si>
  <si>
    <t>2015.12.05</t>
    <phoneticPr fontId="2" type="noConversion"/>
  </si>
  <si>
    <t>2015.12.12</t>
    <phoneticPr fontId="2" type="noConversion"/>
  </si>
  <si>
    <t>2015.12.19</t>
  </si>
  <si>
    <t>2015.12.26</t>
  </si>
  <si>
    <t>2016.01.02</t>
    <phoneticPr fontId="2" type="noConversion"/>
  </si>
  <si>
    <t>2016.01.09</t>
    <phoneticPr fontId="2" type="noConversion"/>
  </si>
  <si>
    <t>2016.01.16</t>
  </si>
  <si>
    <t>2016.01.23</t>
  </si>
  <si>
    <t>2016.01.30</t>
  </si>
  <si>
    <t>2016.02.06</t>
    <phoneticPr fontId="2" type="noConversion"/>
  </si>
  <si>
    <t>2016.02.13</t>
    <phoneticPr fontId="2" type="noConversion"/>
  </si>
  <si>
    <t>2016.02.20</t>
  </si>
  <si>
    <t>2016.02.27</t>
  </si>
  <si>
    <t>2016.03.05</t>
    <phoneticPr fontId="2" type="noConversion"/>
  </si>
  <si>
    <t>2016.03.12</t>
    <phoneticPr fontId="2" type="noConversion"/>
  </si>
  <si>
    <t>2016.03.19</t>
  </si>
  <si>
    <t>2016.03.26</t>
  </si>
  <si>
    <t>2016.04.02</t>
    <phoneticPr fontId="2" type="noConversion"/>
  </si>
  <si>
    <t>2016.04.09</t>
    <phoneticPr fontId="2" type="noConversion"/>
  </si>
  <si>
    <t>2016.04.16</t>
    <phoneticPr fontId="2" type="noConversion"/>
  </si>
  <si>
    <t>2016.04.23</t>
  </si>
  <si>
    <t>2016.04.30</t>
  </si>
  <si>
    <t>2016.05.07</t>
    <phoneticPr fontId="2" type="noConversion"/>
  </si>
  <si>
    <t>2016.05.14</t>
    <phoneticPr fontId="2" type="noConversion"/>
  </si>
  <si>
    <t>2016.05.21</t>
  </si>
  <si>
    <t>2016.05.28</t>
  </si>
  <si>
    <t>2016.06.04</t>
    <phoneticPr fontId="2" type="noConversion"/>
  </si>
  <si>
    <t>2016.06.11</t>
    <phoneticPr fontId="2" type="noConversion"/>
  </si>
  <si>
    <t>2016.06.18</t>
    <phoneticPr fontId="2" type="noConversion"/>
  </si>
  <si>
    <t>2016.06.25</t>
  </si>
  <si>
    <t>2016.07.02</t>
    <phoneticPr fontId="2" type="noConversion"/>
  </si>
  <si>
    <t>2016.07.09</t>
    <phoneticPr fontId="2" type="noConversion"/>
  </si>
  <si>
    <t>2016.07.16</t>
  </si>
  <si>
    <t>2016.07.23</t>
  </si>
  <si>
    <t>2016.07.30</t>
  </si>
  <si>
    <t>2016.08.06</t>
    <phoneticPr fontId="2" type="noConversion"/>
  </si>
  <si>
    <t>2016.08.13</t>
    <phoneticPr fontId="2" type="noConversion"/>
  </si>
  <si>
    <t>2016.08.20</t>
    <phoneticPr fontId="2" type="noConversion"/>
  </si>
  <si>
    <t>2016.08.27</t>
  </si>
  <si>
    <t>2016.09.03</t>
    <phoneticPr fontId="2" type="noConversion"/>
  </si>
  <si>
    <t>2016.09.10</t>
    <phoneticPr fontId="2" type="noConversion"/>
  </si>
  <si>
    <t>2016.09.17</t>
  </si>
  <si>
    <t>2016.09.24</t>
  </si>
  <si>
    <t>2016.10.01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</si>
</sst>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0.0%"/>
    <numFmt numFmtId="178" formatCode="0_);[Red]\(0\)"/>
  </numFmts>
  <fonts count="6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0"/>
      <color theme="1"/>
      <name val="Arial Black"/>
      <family val="2"/>
    </font>
    <font>
      <sz val="14"/>
      <color theme="1"/>
      <name val="맑은 고딕"/>
      <family val="3"/>
      <charset val="129"/>
    </font>
    <font>
      <sz val="10"/>
      <color theme="1"/>
      <name val="Arial Black"/>
      <family val="2"/>
    </font>
    <font>
      <sz val="11"/>
      <color theme="1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color theme="1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9"/>
      <color theme="1"/>
      <name val="HY헤드라인M"/>
      <family val="1"/>
      <charset val="129"/>
    </font>
    <font>
      <sz val="9"/>
      <color theme="0"/>
      <name val="맑은 고딕"/>
      <family val="3"/>
      <charset val="129"/>
      <scheme val="minor"/>
    </font>
    <font>
      <sz val="14"/>
      <color theme="1"/>
      <name val="Arial Black"/>
      <family val="2"/>
    </font>
    <font>
      <sz val="9"/>
      <color theme="1"/>
      <name val="Arial Black"/>
      <family val="2"/>
    </font>
    <font>
      <b/>
      <sz val="9"/>
      <color theme="0"/>
      <name val="맑은 고딕"/>
      <family val="3"/>
      <charset val="129"/>
      <scheme val="minor"/>
    </font>
    <font>
      <sz val="9"/>
      <color theme="0" tint="-4.9989318521683403E-2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FF00"/>
      <name val="돋움"/>
      <family val="3"/>
      <charset val="129"/>
    </font>
    <font>
      <sz val="11"/>
      <color rgb="FFFFFF00"/>
      <name val="Arial Black"/>
      <family val="2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Arial Black"/>
      <family val="2"/>
    </font>
    <font>
      <b/>
      <sz val="11"/>
      <color theme="1"/>
      <name val="돋움"/>
      <family val="3"/>
      <charset val="129"/>
    </font>
    <font>
      <b/>
      <sz val="11"/>
      <color rgb="FFFFFF00"/>
      <name val="Arial Black"/>
      <family val="2"/>
    </font>
    <font>
      <b/>
      <sz val="11"/>
      <color rgb="FFFFFF00"/>
      <name val="돋움"/>
      <family val="3"/>
      <charset val="129"/>
    </font>
    <font>
      <b/>
      <sz val="9"/>
      <color rgb="FFFFFF0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10"/>
      <color theme="0" tint="-4.9989318521683403E-2"/>
      <name val="Arial Black"/>
      <family val="2"/>
    </font>
    <font>
      <sz val="10"/>
      <color theme="1"/>
      <name val="맑은 고딕"/>
      <family val="3"/>
      <charset val="129"/>
      <scheme val="major"/>
    </font>
    <font>
      <sz val="12"/>
      <color theme="1"/>
      <name val="맑은 고딕"/>
      <family val="2"/>
      <charset val="129"/>
      <scheme val="minor"/>
    </font>
    <font>
      <sz val="11"/>
      <name val="ＭＳ Ｐゴシック"/>
      <family val="3"/>
      <charset val="128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Arial Black"/>
      <family val="2"/>
    </font>
    <font>
      <b/>
      <sz val="10"/>
      <name val="돋움"/>
      <family val="3"/>
      <charset val="129"/>
    </font>
    <font>
      <sz val="11"/>
      <name val="Arial Black"/>
      <family val="2"/>
    </font>
    <font>
      <sz val="10"/>
      <name val="돋움"/>
      <family val="3"/>
      <charset val="129"/>
    </font>
    <font>
      <sz val="11"/>
      <color rgb="FFFF0000"/>
      <name val="Arial Black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Arial Unicode MS"/>
      <family val="3"/>
      <charset val="129"/>
    </font>
    <font>
      <sz val="11"/>
      <name val="돋움"/>
      <family val="3"/>
      <charset val="129"/>
    </font>
  </fonts>
  <fills count="4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</fills>
  <borders count="6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1450">
    <xf numFmtId="0" fontId="0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27" applyNumberFormat="0" applyFill="0" applyAlignment="0" applyProtection="0">
      <alignment vertical="center"/>
    </xf>
    <xf numFmtId="0" fontId="26" fillId="0" borderId="28" applyNumberFormat="0" applyFill="0" applyAlignment="0" applyProtection="0">
      <alignment vertical="center"/>
    </xf>
    <xf numFmtId="0" fontId="27" fillId="0" borderId="29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1" fillId="17" borderId="30" applyNumberFormat="0" applyAlignment="0" applyProtection="0">
      <alignment vertical="center"/>
    </xf>
    <xf numFmtId="0" fontId="32" fillId="18" borderId="31" applyNumberFormat="0" applyAlignment="0" applyProtection="0">
      <alignment vertical="center"/>
    </xf>
    <xf numFmtId="0" fontId="33" fillId="18" borderId="30" applyNumberFormat="0" applyAlignment="0" applyProtection="0">
      <alignment vertical="center"/>
    </xf>
    <xf numFmtId="0" fontId="34" fillId="0" borderId="32" applyNumberFormat="0" applyFill="0" applyAlignment="0" applyProtection="0">
      <alignment vertical="center"/>
    </xf>
    <xf numFmtId="0" fontId="35" fillId="19" borderId="33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6" fillId="20" borderId="34" applyNumberFormat="0" applyFon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35" applyNumberFormat="0" applyFill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39" fillId="40" borderId="0" applyNumberFormat="0" applyBorder="0" applyAlignment="0" applyProtection="0">
      <alignment vertical="center"/>
    </xf>
    <xf numFmtId="0" fontId="39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6" fillId="43" borderId="0" applyNumberFormat="0" applyBorder="0" applyAlignment="0" applyProtection="0">
      <alignment vertical="center"/>
    </xf>
    <xf numFmtId="0" fontId="39" fillId="44" borderId="0" applyNumberFormat="0" applyBorder="0" applyAlignment="0" applyProtection="0">
      <alignment vertical="center"/>
    </xf>
    <xf numFmtId="0" fontId="52" fillId="0" borderId="0"/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64" fillId="0" borderId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20" borderId="34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</cellStyleXfs>
  <cellXfs count="278">
    <xf numFmtId="0" fontId="0" fillId="0" borderId="0" xfId="0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8" fillId="0" borderId="0" xfId="0" quotePrefix="1" applyFont="1">
      <alignment vertical="center"/>
    </xf>
    <xf numFmtId="0" fontId="5" fillId="0" borderId="0" xfId="0" applyFont="1">
      <alignment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2" borderId="2" xfId="0" applyFont="1" applyFill="1" applyBorder="1">
      <alignment vertical="center"/>
    </xf>
    <xf numFmtId="0" fontId="8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3" fontId="11" fillId="0" borderId="0" xfId="0" applyNumberFormat="1" applyFont="1">
      <alignment vertical="center"/>
    </xf>
    <xf numFmtId="0" fontId="8" fillId="0" borderId="18" xfId="0" applyFont="1" applyBorder="1" applyAlignment="1">
      <alignment horizontal="center" vertical="center"/>
    </xf>
    <xf numFmtId="14" fontId="4" fillId="0" borderId="0" xfId="0" applyNumberFormat="1" applyFont="1">
      <alignment vertical="center"/>
    </xf>
    <xf numFmtId="176" fontId="8" fillId="0" borderId="19" xfId="0" applyNumberFormat="1" applyFont="1" applyBorder="1" applyAlignment="1">
      <alignment horizontal="center" vertical="center"/>
    </xf>
    <xf numFmtId="176" fontId="8" fillId="0" borderId="20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0" borderId="0" xfId="0" applyFont="1" applyAlignment="1">
      <alignment vertical="center" shrinkToFit="1"/>
    </xf>
    <xf numFmtId="41" fontId="11" fillId="0" borderId="0" xfId="1" applyFont="1" applyAlignment="1">
      <alignment vertical="center" shrinkToFit="1"/>
    </xf>
    <xf numFmtId="41" fontId="11" fillId="0" borderId="0" xfId="0" applyNumberFormat="1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12" fillId="3" borderId="10" xfId="0" applyFont="1" applyFill="1" applyBorder="1" applyAlignment="1">
      <alignment horizontal="center" vertical="center" shrinkToFit="1"/>
    </xf>
    <xf numFmtId="0" fontId="12" fillId="3" borderId="16" xfId="0" applyFont="1" applyFill="1" applyBorder="1" applyAlignment="1">
      <alignment horizontal="center" vertical="center" shrinkToFit="1"/>
    </xf>
    <xf numFmtId="0" fontId="12" fillId="3" borderId="11" xfId="0" applyFont="1" applyFill="1" applyBorder="1" applyAlignment="1">
      <alignment horizontal="center" vertical="center" shrinkToFit="1"/>
    </xf>
    <xf numFmtId="0" fontId="12" fillId="4" borderId="12" xfId="0" applyFont="1" applyFill="1" applyBorder="1" applyAlignment="1">
      <alignment horizontal="center" vertical="center" shrinkToFit="1"/>
    </xf>
    <xf numFmtId="0" fontId="12" fillId="4" borderId="9" xfId="0" applyFont="1" applyFill="1" applyBorder="1" applyAlignment="1">
      <alignment horizontal="center" vertical="center" shrinkToFit="1"/>
    </xf>
    <xf numFmtId="0" fontId="12" fillId="4" borderId="13" xfId="0" applyFont="1" applyFill="1" applyBorder="1" applyAlignment="1">
      <alignment horizontal="center" vertical="center" shrinkToFit="1"/>
    </xf>
    <xf numFmtId="0" fontId="12" fillId="3" borderId="12" xfId="0" applyFont="1" applyFill="1" applyBorder="1" applyAlignment="1">
      <alignment horizontal="center" vertical="center" shrinkToFit="1"/>
    </xf>
    <xf numFmtId="0" fontId="12" fillId="3" borderId="9" xfId="0" applyFont="1" applyFill="1" applyBorder="1" applyAlignment="1">
      <alignment horizontal="center" vertical="center" shrinkToFit="1"/>
    </xf>
    <xf numFmtId="0" fontId="12" fillId="3" borderId="13" xfId="0" applyFont="1" applyFill="1" applyBorder="1" applyAlignment="1">
      <alignment horizontal="center" vertical="center" shrinkToFit="1"/>
    </xf>
    <xf numFmtId="0" fontId="12" fillId="8" borderId="12" xfId="0" applyFont="1" applyFill="1" applyBorder="1" applyAlignment="1">
      <alignment horizontal="center" vertical="center" shrinkToFit="1"/>
    </xf>
    <xf numFmtId="0" fontId="12" fillId="8" borderId="9" xfId="0" applyFont="1" applyFill="1" applyBorder="1" applyAlignment="1">
      <alignment horizontal="center" vertical="center" shrinkToFit="1"/>
    </xf>
    <xf numFmtId="0" fontId="12" fillId="8" borderId="13" xfId="0" applyFont="1" applyFill="1" applyBorder="1" applyAlignment="1">
      <alignment horizontal="center" vertical="center" shrinkToFit="1"/>
    </xf>
    <xf numFmtId="0" fontId="12" fillId="6" borderId="12" xfId="0" applyFont="1" applyFill="1" applyBorder="1" applyAlignment="1">
      <alignment horizontal="center" vertical="center" shrinkToFit="1"/>
    </xf>
    <xf numFmtId="0" fontId="12" fillId="6" borderId="9" xfId="0" applyFont="1" applyFill="1" applyBorder="1" applyAlignment="1">
      <alignment horizontal="center" vertical="center" shrinkToFit="1"/>
    </xf>
    <xf numFmtId="0" fontId="12" fillId="6" borderId="13" xfId="0" applyFont="1" applyFill="1" applyBorder="1" applyAlignment="1">
      <alignment horizontal="center" vertical="center" shrinkToFit="1"/>
    </xf>
    <xf numFmtId="0" fontId="12" fillId="6" borderId="14" xfId="0" applyFont="1" applyFill="1" applyBorder="1" applyAlignment="1">
      <alignment horizontal="center" vertical="center" shrinkToFit="1"/>
    </xf>
    <xf numFmtId="0" fontId="12" fillId="6" borderId="17" xfId="0" applyFont="1" applyFill="1" applyBorder="1" applyAlignment="1">
      <alignment horizontal="center" vertical="center" shrinkToFit="1"/>
    </xf>
    <xf numFmtId="0" fontId="12" fillId="6" borderId="15" xfId="0" applyFont="1" applyFill="1" applyBorder="1" applyAlignment="1">
      <alignment horizontal="center" vertical="center" shrinkToFit="1"/>
    </xf>
    <xf numFmtId="0" fontId="4" fillId="0" borderId="9" xfId="0" applyFont="1" applyBorder="1">
      <alignment vertical="center"/>
    </xf>
    <xf numFmtId="0" fontId="17" fillId="5" borderId="0" xfId="0" applyFont="1" applyFill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4" fillId="7" borderId="9" xfId="0" applyFont="1" applyFill="1" applyBorder="1" applyAlignment="1">
      <alignment horizontal="center" vertical="center"/>
    </xf>
    <xf numFmtId="176" fontId="4" fillId="0" borderId="9" xfId="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41" fontId="19" fillId="10" borderId="0" xfId="1" applyFont="1" applyFill="1" applyAlignment="1">
      <alignment horizontal="center" vertical="center" shrinkToFit="1"/>
    </xf>
    <xf numFmtId="0" fontId="19" fillId="10" borderId="0" xfId="0" applyFont="1" applyFill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21" fillId="0" borderId="9" xfId="0" applyFont="1" applyBorder="1" applyAlignment="1">
      <alignment horizontal="center" vertical="center" shrinkToFit="1"/>
    </xf>
    <xf numFmtId="0" fontId="11" fillId="3" borderId="0" xfId="0" applyFont="1" applyFill="1" applyAlignment="1">
      <alignment vertical="center" shrinkToFit="1"/>
    </xf>
    <xf numFmtId="0" fontId="9" fillId="0" borderId="9" xfId="0" applyFont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 shrinkToFit="1"/>
    </xf>
    <xf numFmtId="0" fontId="11" fillId="0" borderId="9" xfId="0" quotePrefix="1" applyFont="1" applyBorder="1" applyAlignment="1">
      <alignment horizontal="center" vertical="center" shrinkToFit="1"/>
    </xf>
    <xf numFmtId="9" fontId="11" fillId="0" borderId="9" xfId="2" applyFont="1" applyBorder="1" applyAlignment="1">
      <alignment horizontal="center" vertical="center" shrinkToFit="1"/>
    </xf>
    <xf numFmtId="9" fontId="11" fillId="0" borderId="9" xfId="0" applyNumberFormat="1" applyFont="1" applyBorder="1" applyAlignment="1">
      <alignment horizontal="center" vertical="center" shrinkToFit="1"/>
    </xf>
    <xf numFmtId="177" fontId="11" fillId="0" borderId="9" xfId="2" applyNumberFormat="1" applyFont="1" applyBorder="1" applyAlignment="1">
      <alignment horizontal="center" vertical="center" shrinkToFit="1"/>
    </xf>
    <xf numFmtId="0" fontId="4" fillId="4" borderId="9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1" fillId="0" borderId="9" xfId="0" applyFont="1" applyBorder="1" applyAlignment="1">
      <alignment vertical="center" shrinkToFit="1"/>
    </xf>
    <xf numFmtId="177" fontId="11" fillId="0" borderId="9" xfId="2" applyNumberFormat="1" applyFont="1" applyBorder="1" applyAlignment="1">
      <alignment vertical="center" shrinkToFit="1"/>
    </xf>
    <xf numFmtId="0" fontId="11" fillId="4" borderId="9" xfId="0" applyFont="1" applyFill="1" applyBorder="1" applyAlignment="1">
      <alignment horizontal="center" vertical="center" shrinkToFit="1"/>
    </xf>
    <xf numFmtId="0" fontId="11" fillId="4" borderId="9" xfId="0" applyFont="1" applyFill="1" applyBorder="1" applyAlignment="1">
      <alignment vertical="center" shrinkToFit="1"/>
    </xf>
    <xf numFmtId="177" fontId="11" fillId="4" borderId="9" xfId="2" applyNumberFormat="1" applyFont="1" applyFill="1" applyBorder="1" applyAlignment="1">
      <alignment vertical="center" shrinkToFit="1"/>
    </xf>
    <xf numFmtId="0" fontId="11" fillId="4" borderId="9" xfId="0" quotePrefix="1" applyFont="1" applyFill="1" applyBorder="1" applyAlignment="1">
      <alignment horizontal="center" vertical="center" shrinkToFit="1"/>
    </xf>
    <xf numFmtId="9" fontId="11" fillId="4" borderId="9" xfId="2" applyFont="1" applyFill="1" applyBorder="1" applyAlignment="1">
      <alignment horizontal="center" vertical="center" shrinkToFit="1"/>
    </xf>
    <xf numFmtId="177" fontId="11" fillId="4" borderId="9" xfId="2" applyNumberFormat="1" applyFont="1" applyFill="1" applyBorder="1" applyAlignment="1">
      <alignment horizontal="center" vertical="center" shrinkToFit="1"/>
    </xf>
    <xf numFmtId="0" fontId="9" fillId="0" borderId="9" xfId="0" applyFont="1" applyBorder="1">
      <alignment vertical="center"/>
    </xf>
    <xf numFmtId="0" fontId="4" fillId="3" borderId="9" xfId="0" applyFont="1" applyFill="1" applyBorder="1">
      <alignment vertical="center"/>
    </xf>
    <xf numFmtId="176" fontId="4" fillId="0" borderId="0" xfId="0" applyNumberFormat="1" applyFont="1" applyAlignment="1">
      <alignment horizontal="center" vertical="center"/>
    </xf>
    <xf numFmtId="0" fontId="11" fillId="3" borderId="9" xfId="0" applyFont="1" applyFill="1" applyBorder="1" applyAlignment="1">
      <alignment horizontal="center" vertical="center" shrinkToFit="1"/>
    </xf>
    <xf numFmtId="0" fontId="42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right" vertical="center" shrinkToFit="1"/>
    </xf>
    <xf numFmtId="0" fontId="4" fillId="10" borderId="9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4" fillId="0" borderId="40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38" xfId="0" applyFont="1" applyBorder="1">
      <alignment vertical="center"/>
    </xf>
    <xf numFmtId="0" fontId="4" fillId="3" borderId="9" xfId="0" quotePrefix="1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 shrinkToFit="1"/>
    </xf>
    <xf numFmtId="0" fontId="43" fillId="0" borderId="9" xfId="0" applyFont="1" applyBorder="1" applyAlignment="1">
      <alignment horizontal="center" vertical="center" shrinkToFit="1"/>
    </xf>
    <xf numFmtId="0" fontId="43" fillId="3" borderId="9" xfId="0" applyFont="1" applyFill="1" applyBorder="1">
      <alignment vertical="center"/>
    </xf>
    <xf numFmtId="0" fontId="4" fillId="4" borderId="9" xfId="0" applyFont="1" applyFill="1" applyBorder="1">
      <alignment vertical="center"/>
    </xf>
    <xf numFmtId="0" fontId="43" fillId="4" borderId="9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 shrinkToFit="1"/>
    </xf>
    <xf numFmtId="0" fontId="11" fillId="4" borderId="0" xfId="0" applyFont="1" applyFill="1" applyAlignment="1">
      <alignment horizontal="center" vertical="center" shrinkToFit="1"/>
    </xf>
    <xf numFmtId="0" fontId="47" fillId="5" borderId="0" xfId="0" applyFont="1" applyFill="1" applyAlignment="1">
      <alignment horizontal="center" vertical="center" shrinkToFit="1"/>
    </xf>
    <xf numFmtId="0" fontId="17" fillId="5" borderId="9" xfId="0" applyFont="1" applyFill="1" applyBorder="1" applyAlignment="1">
      <alignment horizontal="center" vertical="center" shrinkToFit="1"/>
    </xf>
    <xf numFmtId="0" fontId="9" fillId="0" borderId="23" xfId="0" applyFont="1" applyBorder="1" applyAlignment="1">
      <alignment horizontal="center" vertical="center"/>
    </xf>
    <xf numFmtId="177" fontId="11" fillId="0" borderId="9" xfId="0" applyNumberFormat="1" applyFont="1" applyBorder="1" applyAlignment="1">
      <alignment horizontal="center" vertical="center" shrinkToFit="1"/>
    </xf>
    <xf numFmtId="9" fontId="11" fillId="0" borderId="9" xfId="2" applyFont="1" applyBorder="1" applyAlignment="1">
      <alignment vertical="center" shrinkToFit="1"/>
    </xf>
    <xf numFmtId="0" fontId="0" fillId="0" borderId="9" xfId="0" applyBorder="1">
      <alignment vertical="center"/>
    </xf>
    <xf numFmtId="0" fontId="11" fillId="3" borderId="9" xfId="0" applyFont="1" applyFill="1" applyBorder="1" applyAlignment="1">
      <alignment vertical="center" shrinkToFit="1"/>
    </xf>
    <xf numFmtId="0" fontId="11" fillId="0" borderId="21" xfId="0" applyFont="1" applyBorder="1" applyAlignment="1">
      <alignment vertical="center" shrinkToFit="1"/>
    </xf>
    <xf numFmtId="9" fontId="11" fillId="0" borderId="21" xfId="2" applyFont="1" applyBorder="1" applyAlignment="1">
      <alignment vertical="center" shrinkToFit="1"/>
    </xf>
    <xf numFmtId="0" fontId="11" fillId="0" borderId="23" xfId="0" applyFont="1" applyBorder="1" applyAlignment="1">
      <alignment vertical="center" shrinkToFit="1"/>
    </xf>
    <xf numFmtId="9" fontId="11" fillId="0" borderId="23" xfId="2" applyFont="1" applyBorder="1" applyAlignment="1">
      <alignment vertical="center" shrinkToFit="1"/>
    </xf>
    <xf numFmtId="0" fontId="11" fillId="48" borderId="0" xfId="0" applyFont="1" applyFill="1" applyAlignment="1">
      <alignment horizontal="center" vertical="center" shrinkToFit="1"/>
    </xf>
    <xf numFmtId="0" fontId="11" fillId="45" borderId="0" xfId="0" applyFont="1" applyFill="1" applyAlignment="1">
      <alignment horizontal="center" vertical="center" shrinkToFit="1"/>
    </xf>
    <xf numFmtId="0" fontId="11" fillId="3" borderId="22" xfId="0" applyFont="1" applyFill="1" applyBorder="1" applyAlignment="1">
      <alignment horizontal="center" vertical="center" shrinkToFit="1"/>
    </xf>
    <xf numFmtId="0" fontId="11" fillId="45" borderId="22" xfId="0" applyFont="1" applyFill="1" applyBorder="1" applyAlignment="1">
      <alignment horizontal="center" vertical="center" shrinkToFit="1"/>
    </xf>
    <xf numFmtId="0" fontId="50" fillId="0" borderId="0" xfId="0" applyFont="1" applyAlignment="1">
      <alignment vertical="center" shrinkToFit="1"/>
    </xf>
    <xf numFmtId="178" fontId="50" fillId="0" borderId="0" xfId="0" applyNumberFormat="1" applyFont="1" applyAlignment="1">
      <alignment vertical="center" shrinkToFit="1"/>
    </xf>
    <xf numFmtId="0" fontId="50" fillId="0" borderId="0" xfId="0" applyFont="1">
      <alignment vertical="center"/>
    </xf>
    <xf numFmtId="49" fontId="50" fillId="0" borderId="0" xfId="0" applyNumberFormat="1" applyFont="1">
      <alignment vertical="center"/>
    </xf>
    <xf numFmtId="178" fontId="50" fillId="0" borderId="0" xfId="0" applyNumberFormat="1" applyFont="1">
      <alignment vertical="center"/>
    </xf>
    <xf numFmtId="178" fontId="0" fillId="0" borderId="0" xfId="0" applyNumberFormat="1">
      <alignment vertical="center"/>
    </xf>
    <xf numFmtId="0" fontId="5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53" fillId="0" borderId="0" xfId="0" applyFont="1">
      <alignment vertical="center"/>
    </xf>
    <xf numFmtId="0" fontId="36" fillId="0" borderId="0" xfId="0" applyFont="1">
      <alignment vertical="center"/>
    </xf>
    <xf numFmtId="0" fontId="43" fillId="3" borderId="9" xfId="0" applyFont="1" applyFill="1" applyBorder="1" applyAlignment="1">
      <alignment horizontal="center" vertical="center" shrinkToFit="1"/>
    </xf>
    <xf numFmtId="0" fontId="43" fillId="3" borderId="9" xfId="0" applyFont="1" applyFill="1" applyBorder="1" applyAlignment="1">
      <alignment vertical="center" shrinkToFit="1"/>
    </xf>
    <xf numFmtId="41" fontId="43" fillId="3" borderId="9" xfId="0" applyNumberFormat="1" applyFont="1" applyFill="1" applyBorder="1" applyAlignment="1">
      <alignment horizontal="center" vertical="center" shrinkToFit="1"/>
    </xf>
    <xf numFmtId="20" fontId="43" fillId="3" borderId="9" xfId="0" quotePrefix="1" applyNumberFormat="1" applyFont="1" applyFill="1" applyBorder="1" applyAlignment="1">
      <alignment horizontal="center" vertical="center" shrinkToFit="1"/>
    </xf>
    <xf numFmtId="0" fontId="43" fillId="3" borderId="9" xfId="0" quotePrefix="1" applyFont="1" applyFill="1" applyBorder="1" applyAlignment="1">
      <alignment horizontal="center" vertical="center" shrinkToFit="1"/>
    </xf>
    <xf numFmtId="0" fontId="9" fillId="0" borderId="21" xfId="0" applyFont="1" applyBorder="1">
      <alignment vertical="center"/>
    </xf>
    <xf numFmtId="0" fontId="9" fillId="0" borderId="22" xfId="0" applyFont="1" applyBorder="1">
      <alignment vertical="center"/>
    </xf>
    <xf numFmtId="0" fontId="9" fillId="0" borderId="23" xfId="0" applyFont="1" applyBorder="1">
      <alignment vertical="center"/>
    </xf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 shrinkToFit="1"/>
    </xf>
    <xf numFmtId="0" fontId="56" fillId="0" borderId="0" xfId="0" applyFont="1">
      <alignment vertical="center"/>
    </xf>
    <xf numFmtId="0" fontId="43" fillId="3" borderId="9" xfId="0" applyFont="1" applyFill="1" applyBorder="1" applyAlignment="1">
      <alignment horizontal="center" vertical="center"/>
    </xf>
    <xf numFmtId="0" fontId="11" fillId="0" borderId="12" xfId="0" applyFont="1" applyBorder="1" applyAlignment="1">
      <alignment vertical="center" shrinkToFit="1"/>
    </xf>
    <xf numFmtId="0" fontId="11" fillId="0" borderId="14" xfId="0" applyFont="1" applyBorder="1" applyAlignment="1">
      <alignment vertical="center" shrinkToFit="1"/>
    </xf>
    <xf numFmtId="0" fontId="11" fillId="0" borderId="10" xfId="0" applyFont="1" applyBorder="1" applyAlignment="1">
      <alignment vertical="center" shrinkToFit="1"/>
    </xf>
    <xf numFmtId="0" fontId="11" fillId="0" borderId="17" xfId="0" applyFont="1" applyBorder="1" applyAlignment="1">
      <alignment vertical="center" shrinkToFit="1"/>
    </xf>
    <xf numFmtId="0" fontId="11" fillId="0" borderId="16" xfId="0" applyFont="1" applyBorder="1" applyAlignment="1">
      <alignment vertical="center" shrinkToFit="1"/>
    </xf>
    <xf numFmtId="9" fontId="11" fillId="3" borderId="9" xfId="2" applyFont="1" applyFill="1" applyBorder="1" applyAlignment="1">
      <alignment vertical="center" shrinkToFit="1"/>
    </xf>
    <xf numFmtId="9" fontId="11" fillId="0" borderId="13" xfId="2" applyFont="1" applyBorder="1" applyAlignment="1">
      <alignment vertical="center" shrinkToFit="1"/>
    </xf>
    <xf numFmtId="9" fontId="11" fillId="0" borderId="15" xfId="2" applyFont="1" applyBorder="1" applyAlignment="1">
      <alignment vertical="center" shrinkToFit="1"/>
    </xf>
    <xf numFmtId="9" fontId="11" fillId="0" borderId="11" xfId="2" applyFont="1" applyBorder="1" applyAlignment="1">
      <alignment vertical="center" shrinkToFit="1"/>
    </xf>
    <xf numFmtId="41" fontId="43" fillId="46" borderId="9" xfId="0" applyNumberFormat="1" applyFont="1" applyFill="1" applyBorder="1" applyAlignment="1">
      <alignment horizontal="center" vertical="center" shrinkToFit="1"/>
    </xf>
    <xf numFmtId="0" fontId="6" fillId="3" borderId="43" xfId="0" applyFont="1" applyFill="1" applyBorder="1" applyAlignment="1">
      <alignment horizontal="center" vertical="center"/>
    </xf>
    <xf numFmtId="0" fontId="6" fillId="4" borderId="41" xfId="0" applyFont="1" applyFill="1" applyBorder="1" applyAlignment="1">
      <alignment horizontal="center" vertical="center"/>
    </xf>
    <xf numFmtId="0" fontId="6" fillId="11" borderId="4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shrinkToFit="1"/>
    </xf>
    <xf numFmtId="176" fontId="4" fillId="11" borderId="0" xfId="0" applyNumberFormat="1" applyFont="1" applyFill="1">
      <alignment vertical="center"/>
    </xf>
    <xf numFmtId="0" fontId="55" fillId="0" borderId="0" xfId="0" applyFont="1">
      <alignment vertical="center"/>
    </xf>
    <xf numFmtId="0" fontId="55" fillId="0" borderId="0" xfId="0" applyFont="1" applyAlignment="1">
      <alignment horizontal="center" vertical="center" shrinkToFit="1"/>
    </xf>
    <xf numFmtId="0" fontId="6" fillId="0" borderId="44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8" fillId="6" borderId="46" xfId="0" applyFont="1" applyFill="1" applyBorder="1">
      <alignment vertical="center"/>
    </xf>
    <xf numFmtId="0" fontId="18" fillId="0" borderId="0" xfId="0" applyFont="1" applyAlignment="1">
      <alignment vertical="center" shrinkToFit="1"/>
    </xf>
    <xf numFmtId="49" fontId="50" fillId="0" borderId="0" xfId="0" applyNumberFormat="1" applyFont="1" applyAlignment="1">
      <alignment vertical="center" shrinkToFit="1"/>
    </xf>
    <xf numFmtId="178" fontId="11" fillId="0" borderId="0" xfId="0" applyNumberFormat="1" applyFont="1" applyAlignment="1">
      <alignment vertical="center" shrinkToFit="1"/>
    </xf>
    <xf numFmtId="0" fontId="55" fillId="0" borderId="9" xfId="0" applyFont="1" applyBorder="1" applyAlignment="1">
      <alignment horizontal="center" vertical="center" shrinkToFit="1"/>
    </xf>
    <xf numFmtId="0" fontId="0" fillId="4" borderId="0" xfId="0" quotePrefix="1" applyFill="1">
      <alignment vertical="center"/>
    </xf>
    <xf numFmtId="177" fontId="11" fillId="0" borderId="0" xfId="0" applyNumberFormat="1" applyFont="1" applyAlignment="1">
      <alignment horizontal="center" vertical="center" shrinkToFit="1"/>
    </xf>
    <xf numFmtId="0" fontId="0" fillId="3" borderId="0" xfId="0" applyFill="1">
      <alignment vertical="center"/>
    </xf>
    <xf numFmtId="0" fontId="8" fillId="3" borderId="48" xfId="0" applyFont="1" applyFill="1" applyBorder="1" applyAlignment="1">
      <alignment horizontal="center" vertical="center"/>
    </xf>
    <xf numFmtId="0" fontId="8" fillId="3" borderId="47" xfId="0" applyFont="1" applyFill="1" applyBorder="1" applyAlignment="1">
      <alignment horizontal="center" vertical="center"/>
    </xf>
    <xf numFmtId="0" fontId="8" fillId="3" borderId="49" xfId="0" applyFont="1" applyFill="1" applyBorder="1" applyAlignment="1">
      <alignment horizontal="center" vertical="center"/>
    </xf>
    <xf numFmtId="0" fontId="4" fillId="7" borderId="9" xfId="0" applyFont="1" applyFill="1" applyBorder="1">
      <alignment vertical="center"/>
    </xf>
    <xf numFmtId="176" fontId="8" fillId="0" borderId="0" xfId="0" applyNumberFormat="1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2" borderId="0" xfId="0" applyFont="1" applyFill="1">
      <alignment vertical="center"/>
    </xf>
    <xf numFmtId="0" fontId="6" fillId="0" borderId="0" xfId="0" applyFont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4" fillId="7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59" fillId="0" borderId="0" xfId="0" applyFont="1">
      <alignment vertical="center"/>
    </xf>
    <xf numFmtId="0" fontId="21" fillId="0" borderId="0" xfId="0" applyFont="1" applyAlignment="1">
      <alignment horizontal="center" vertical="center" shrinkToFit="1"/>
    </xf>
    <xf numFmtId="0" fontId="4" fillId="3" borderId="0" xfId="0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3" fillId="3" borderId="0" xfId="0" applyFont="1" applyFill="1">
      <alignment vertical="center"/>
    </xf>
    <xf numFmtId="0" fontId="56" fillId="3" borderId="0" xfId="0" applyFont="1" applyFill="1">
      <alignment vertical="center"/>
    </xf>
    <xf numFmtId="0" fontId="54" fillId="4" borderId="9" xfId="0" applyFont="1" applyFill="1" applyBorder="1" applyAlignment="1">
      <alignment horizontal="center" vertical="center" shrinkToFit="1"/>
    </xf>
    <xf numFmtId="0" fontId="54" fillId="0" borderId="9" xfId="0" applyFont="1" applyBorder="1" applyAlignment="1">
      <alignment horizontal="center" vertical="center" shrinkToFit="1"/>
    </xf>
    <xf numFmtId="0" fontId="55" fillId="4" borderId="9" xfId="0" applyFont="1" applyFill="1" applyBorder="1" applyAlignment="1">
      <alignment horizontal="center" vertical="center" shrinkToFit="1"/>
    </xf>
    <xf numFmtId="0" fontId="58" fillId="0" borderId="45" xfId="0" applyFont="1" applyBorder="1" applyAlignment="1">
      <alignment vertical="center" shrinkToFit="1"/>
    </xf>
    <xf numFmtId="0" fontId="12" fillId="0" borderId="0" xfId="0" applyFont="1" applyAlignment="1">
      <alignment horizontal="center" vertical="center" shrinkToFit="1"/>
    </xf>
    <xf numFmtId="0" fontId="61" fillId="7" borderId="9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vertical="center" shrinkToFit="1"/>
    </xf>
    <xf numFmtId="177" fontId="11" fillId="0" borderId="0" xfId="0" applyNumberFormat="1" applyFont="1" applyAlignment="1">
      <alignment vertical="center" shrinkToFit="1"/>
    </xf>
    <xf numFmtId="0" fontId="43" fillId="0" borderId="9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43" fillId="0" borderId="0" xfId="0" applyFont="1" applyAlignment="1">
      <alignment vertical="center" shrinkToFit="1"/>
    </xf>
    <xf numFmtId="0" fontId="43" fillId="0" borderId="0" xfId="0" applyFont="1">
      <alignment vertical="center"/>
    </xf>
    <xf numFmtId="0" fontId="54" fillId="0" borderId="0" xfId="0" applyFont="1" applyAlignment="1">
      <alignment horizontal="center" vertical="center" shrinkToFit="1"/>
    </xf>
    <xf numFmtId="41" fontId="43" fillId="46" borderId="9" xfId="0" quotePrefix="1" applyNumberFormat="1" applyFont="1" applyFill="1" applyBorder="1" applyAlignment="1">
      <alignment horizontal="center" vertical="center" shrinkToFit="1"/>
    </xf>
    <xf numFmtId="0" fontId="55" fillId="0" borderId="0" xfId="0" applyFont="1" applyAlignment="1">
      <alignment horizontal="center" vertical="center"/>
    </xf>
    <xf numFmtId="0" fontId="11" fillId="3" borderId="23" xfId="0" applyFont="1" applyFill="1" applyBorder="1" applyAlignment="1">
      <alignment horizontal="center" vertical="center" shrinkToFit="1"/>
    </xf>
    <xf numFmtId="0" fontId="11" fillId="3" borderId="21" xfId="0" applyFont="1" applyFill="1" applyBorder="1" applyAlignment="1">
      <alignment horizontal="center" vertical="center" shrinkToFit="1"/>
    </xf>
    <xf numFmtId="0" fontId="15" fillId="0" borderId="0" xfId="0" applyFont="1" applyAlignment="1">
      <alignment vertical="center" shrinkToFit="1"/>
    </xf>
    <xf numFmtId="0" fontId="62" fillId="4" borderId="12" xfId="0" applyFont="1" applyFill="1" applyBorder="1" applyAlignment="1">
      <alignment horizontal="center" vertical="center" shrinkToFit="1"/>
    </xf>
    <xf numFmtId="0" fontId="62" fillId="3" borderId="12" xfId="0" applyFont="1" applyFill="1" applyBorder="1" applyAlignment="1">
      <alignment horizontal="center" vertical="center" shrinkToFit="1"/>
    </xf>
    <xf numFmtId="0" fontId="62" fillId="8" borderId="12" xfId="0" applyFont="1" applyFill="1" applyBorder="1" applyAlignment="1">
      <alignment horizontal="center" vertical="center" shrinkToFit="1"/>
    </xf>
    <xf numFmtId="0" fontId="62" fillId="6" borderId="12" xfId="0" applyFont="1" applyFill="1" applyBorder="1" applyAlignment="1">
      <alignment horizontal="center" vertical="center" shrinkToFit="1"/>
    </xf>
    <xf numFmtId="0" fontId="54" fillId="0" borderId="0" xfId="0" applyFont="1">
      <alignment vertical="center"/>
    </xf>
    <xf numFmtId="0" fontId="10" fillId="0" borderId="0" xfId="0" applyFont="1" applyAlignment="1">
      <alignment vertical="center" shrinkToFit="1"/>
    </xf>
    <xf numFmtId="0" fontId="49" fillId="10" borderId="50" xfId="0" applyFont="1" applyFill="1" applyBorder="1">
      <alignment vertical="center"/>
    </xf>
    <xf numFmtId="0" fontId="8" fillId="0" borderId="51" xfId="0" applyFont="1" applyBorder="1">
      <alignment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8" fillId="2" borderId="55" xfId="0" applyFont="1" applyFill="1" applyBorder="1" applyAlignment="1">
      <alignment horizontal="center" vertical="center"/>
    </xf>
    <xf numFmtId="0" fontId="8" fillId="2" borderId="55" xfId="0" applyFont="1" applyFill="1" applyBorder="1">
      <alignment vertical="center"/>
    </xf>
    <xf numFmtId="0" fontId="58" fillId="0" borderId="56" xfId="0" applyFont="1" applyBorder="1" applyAlignment="1">
      <alignment vertical="center" shrinkToFit="1"/>
    </xf>
    <xf numFmtId="0" fontId="6" fillId="0" borderId="56" xfId="0" applyFont="1" applyBorder="1" applyAlignment="1">
      <alignment horizontal="center" vertical="center"/>
    </xf>
    <xf numFmtId="0" fontId="57" fillId="4" borderId="57" xfId="0" applyFont="1" applyFill="1" applyBorder="1" applyAlignment="1">
      <alignment vertical="center" shrinkToFit="1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14" fillId="4" borderId="60" xfId="0" applyFont="1" applyFill="1" applyBorder="1" applyAlignment="1">
      <alignment vertical="center" shrinkToFit="1"/>
    </xf>
    <xf numFmtId="0" fontId="6" fillId="0" borderId="61" xfId="0" applyFont="1" applyBorder="1" applyAlignment="1">
      <alignment horizontal="center" vertical="center"/>
    </xf>
    <xf numFmtId="0" fontId="6" fillId="4" borderId="60" xfId="0" applyFont="1" applyFill="1" applyBorder="1" applyAlignment="1">
      <alignment vertical="center" shrinkToFit="1"/>
    </xf>
    <xf numFmtId="0" fontId="14" fillId="4" borderId="62" xfId="0" applyFont="1" applyFill="1" applyBorder="1" applyAlignment="1">
      <alignment vertical="center" shrinkToFit="1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4" fillId="0" borderId="0" xfId="0" quotePrefix="1" applyFont="1">
      <alignment vertical="center"/>
    </xf>
    <xf numFmtId="0" fontId="63" fillId="3" borderId="36" xfId="0" applyFont="1" applyFill="1" applyBorder="1" applyAlignment="1">
      <alignment vertical="center" shrinkToFit="1"/>
    </xf>
    <xf numFmtId="0" fontId="63" fillId="0" borderId="9" xfId="0" applyFont="1" applyBorder="1" applyAlignment="1">
      <alignment horizontal="center" vertical="center"/>
    </xf>
    <xf numFmtId="0" fontId="63" fillId="3" borderId="9" xfId="0" applyFont="1" applyFill="1" applyBorder="1" applyAlignment="1">
      <alignment horizontal="center" vertical="center"/>
    </xf>
    <xf numFmtId="0" fontId="63" fillId="3" borderId="9" xfId="0" applyFont="1" applyFill="1" applyBorder="1" applyAlignment="1">
      <alignment horizontal="center" vertical="center" shrinkToFit="1"/>
    </xf>
    <xf numFmtId="178" fontId="63" fillId="0" borderId="9" xfId="0" applyNumberFormat="1" applyFont="1" applyBorder="1" applyAlignment="1">
      <alignment horizontal="center" vertical="center"/>
    </xf>
    <xf numFmtId="178" fontId="63" fillId="3" borderId="9" xfId="0" applyNumberFormat="1" applyFont="1" applyFill="1" applyBorder="1" applyAlignment="1">
      <alignment horizontal="center" vertical="center"/>
    </xf>
    <xf numFmtId="0" fontId="63" fillId="3" borderId="9" xfId="0" quotePrefix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23" fillId="5" borderId="0" xfId="0" applyFont="1" applyFill="1" applyAlignment="1">
      <alignment horizontal="center" vertical="center" shrinkToFit="1"/>
    </xf>
    <xf numFmtId="0" fontId="23" fillId="9" borderId="0" xfId="0" applyFont="1" applyFill="1" applyAlignment="1">
      <alignment horizontal="center" vertical="center" shrinkToFit="1"/>
    </xf>
    <xf numFmtId="0" fontId="23" fillId="12" borderId="0" xfId="0" applyFont="1" applyFill="1" applyAlignment="1">
      <alignment horizontal="center" vertical="center" shrinkToFit="1"/>
    </xf>
    <xf numFmtId="0" fontId="23" fillId="13" borderId="9" xfId="0" quotePrefix="1" applyFont="1" applyFill="1" applyBorder="1" applyAlignment="1">
      <alignment horizontal="center" vertical="center" shrinkToFit="1"/>
    </xf>
    <xf numFmtId="0" fontId="22" fillId="10" borderId="0" xfId="0" applyFont="1" applyFill="1" applyAlignment="1">
      <alignment horizontal="center" vertical="center" shrinkToFit="1"/>
    </xf>
    <xf numFmtId="0" fontId="11" fillId="0" borderId="0" xfId="0" quotePrefix="1" applyFont="1" applyAlignment="1">
      <alignment horizontal="center" vertical="center" shrinkToFit="1"/>
    </xf>
    <xf numFmtId="0" fontId="23" fillId="10" borderId="0" xfId="0" applyFont="1" applyFill="1" applyAlignment="1">
      <alignment horizontal="center" vertical="center" shrinkToFit="1"/>
    </xf>
    <xf numFmtId="41" fontId="11" fillId="3" borderId="9" xfId="1" applyFont="1" applyFill="1" applyBorder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23" fillId="5" borderId="9" xfId="0" quotePrefix="1" applyFont="1" applyFill="1" applyBorder="1" applyAlignment="1">
      <alignment horizontal="center" vertical="center" shrinkToFit="1"/>
    </xf>
    <xf numFmtId="41" fontId="11" fillId="4" borderId="9" xfId="1" applyFont="1" applyFill="1" applyBorder="1" applyAlignment="1">
      <alignment horizontal="center" vertical="center" shrinkToFit="1"/>
    </xf>
    <xf numFmtId="0" fontId="17" fillId="47" borderId="38" xfId="0" applyFont="1" applyFill="1" applyBorder="1" applyAlignment="1">
      <alignment horizontal="center" vertical="center" shrinkToFit="1"/>
    </xf>
    <xf numFmtId="0" fontId="48" fillId="10" borderId="0" xfId="0" applyFont="1" applyFill="1" applyAlignment="1">
      <alignment horizontal="center" vertical="center" shrinkToFit="1"/>
    </xf>
    <xf numFmtId="0" fontId="11" fillId="0" borderId="38" xfId="0" applyFont="1" applyBorder="1" applyAlignment="1">
      <alignment horizontal="center" vertical="center" shrinkToFit="1"/>
    </xf>
    <xf numFmtId="0" fontId="63" fillId="3" borderId="42" xfId="0" applyFont="1" applyFill="1" applyBorder="1" applyAlignment="1">
      <alignment horizontal="center" vertical="center" shrinkToFit="1"/>
    </xf>
    <xf numFmtId="0" fontId="63" fillId="3" borderId="37" xfId="0" applyFont="1" applyFill="1" applyBorder="1" applyAlignment="1">
      <alignment horizontal="center" vertical="center" shrinkToFit="1"/>
    </xf>
    <xf numFmtId="0" fontId="4" fillId="10" borderId="36" xfId="0" applyFont="1" applyFill="1" applyBorder="1" applyAlignment="1">
      <alignment horizontal="center" vertical="center"/>
    </xf>
    <xf numFmtId="0" fontId="4" fillId="10" borderId="37" xfId="0" applyFont="1" applyFill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44" fillId="4" borderId="9" xfId="0" applyFont="1" applyFill="1" applyBorder="1" applyAlignment="1">
      <alignment horizontal="center" vertical="center" shrinkToFit="1"/>
    </xf>
    <xf numFmtId="0" fontId="43" fillId="4" borderId="9" xfId="0" applyFont="1" applyFill="1" applyBorder="1" applyAlignment="1">
      <alignment horizontal="center" vertical="center" shrinkToFit="1"/>
    </xf>
    <xf numFmtId="0" fontId="43" fillId="4" borderId="36" xfId="0" applyFont="1" applyFill="1" applyBorder="1" applyAlignment="1">
      <alignment horizontal="center" vertical="center" shrinkToFit="1"/>
    </xf>
    <xf numFmtId="0" fontId="9" fillId="3" borderId="42" xfId="0" applyFont="1" applyFill="1" applyBorder="1" applyAlignment="1">
      <alignment horizontal="center" vertical="center" shrinkToFit="1"/>
    </xf>
    <xf numFmtId="0" fontId="9" fillId="3" borderId="37" xfId="0" applyFont="1" applyFill="1" applyBorder="1" applyAlignment="1">
      <alignment horizontal="center" vertical="center" shrinkToFit="1"/>
    </xf>
    <xf numFmtId="0" fontId="40" fillId="5" borderId="23" xfId="0" applyFont="1" applyFill="1" applyBorder="1" applyAlignment="1">
      <alignment horizontal="center" vertical="center"/>
    </xf>
    <xf numFmtId="0" fontId="41" fillId="5" borderId="23" xfId="0" applyFont="1" applyFill="1" applyBorder="1" applyAlignment="1">
      <alignment horizontal="center" vertical="center"/>
    </xf>
    <xf numFmtId="0" fontId="46" fillId="5" borderId="38" xfId="0" applyFont="1" applyFill="1" applyBorder="1" applyAlignment="1">
      <alignment horizontal="left" vertical="center" shrinkToFit="1"/>
    </xf>
    <xf numFmtId="0" fontId="45" fillId="5" borderId="38" xfId="0" applyFont="1" applyFill="1" applyBorder="1" applyAlignment="1">
      <alignment horizontal="left" vertical="center" shrinkToFit="1"/>
    </xf>
    <xf numFmtId="0" fontId="45" fillId="5" borderId="26" xfId="0" applyFont="1" applyFill="1" applyBorder="1" applyAlignment="1">
      <alignment horizontal="left" vertical="center" shrinkToFit="1"/>
    </xf>
    <xf numFmtId="176" fontId="41" fillId="5" borderId="9" xfId="0" quotePrefix="1" applyNumberFormat="1" applyFont="1" applyFill="1" applyBorder="1" applyAlignment="1">
      <alignment horizontal="center" vertical="center"/>
    </xf>
    <xf numFmtId="176" fontId="41" fillId="5" borderId="9" xfId="0" applyNumberFormat="1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9" fontId="4" fillId="4" borderId="9" xfId="2" applyFont="1" applyFill="1" applyBorder="1" applyAlignment="1">
      <alignment horizontal="center" vertical="center"/>
    </xf>
    <xf numFmtId="9" fontId="4" fillId="0" borderId="9" xfId="2" applyFont="1" applyBorder="1" applyAlignment="1">
      <alignment horizontal="center" vertical="center"/>
    </xf>
  </cellXfs>
  <cellStyles count="11450">
    <cellStyle name="20% - 강조색1" xfId="21" builtinId="30" customBuiltin="1"/>
    <cellStyle name="20% - 강조색1 10" xfId="108" xr:uid="{00000000-0005-0000-0000-000001000000}"/>
    <cellStyle name="20% - 강조색1 11" xfId="121" xr:uid="{00000000-0005-0000-0000-000002000000}"/>
    <cellStyle name="20% - 강조색1 12" xfId="134" xr:uid="{00000000-0005-0000-0000-000003000000}"/>
    <cellStyle name="20% - 강조색1 13" xfId="147" xr:uid="{00000000-0005-0000-0000-000004000000}"/>
    <cellStyle name="20% - 강조색1 14" xfId="160" xr:uid="{00000000-0005-0000-0000-000005000000}"/>
    <cellStyle name="20% - 강조색1 15" xfId="173" xr:uid="{00000000-0005-0000-0000-000006000000}"/>
    <cellStyle name="20% - 강조색1 16" xfId="186" xr:uid="{00000000-0005-0000-0000-000007000000}"/>
    <cellStyle name="20% - 강조색1 17" xfId="199" xr:uid="{00000000-0005-0000-0000-000008000000}"/>
    <cellStyle name="20% - 강조색1 18" xfId="212" xr:uid="{00000000-0005-0000-0000-000009000000}"/>
    <cellStyle name="20% - 강조색1 19" xfId="225" xr:uid="{00000000-0005-0000-0000-00000A000000}"/>
    <cellStyle name="20% - 강조색1 2" xfId="46" xr:uid="{00000000-0005-0000-0000-00000B000000}"/>
    <cellStyle name="20% - 강조색1 20" xfId="238" xr:uid="{00000000-0005-0000-0000-00000C000000}"/>
    <cellStyle name="20% - 강조색1 21" xfId="251" xr:uid="{00000000-0005-0000-0000-00000D000000}"/>
    <cellStyle name="20% - 강조색1 22" xfId="264" xr:uid="{00000000-0005-0000-0000-00000E000000}"/>
    <cellStyle name="20% - 강조색1 23" xfId="277" xr:uid="{00000000-0005-0000-0000-00000F000000}"/>
    <cellStyle name="20% - 강조색1 24" xfId="290" xr:uid="{00000000-0005-0000-0000-000010000000}"/>
    <cellStyle name="20% - 강조색1 25" xfId="303" xr:uid="{00000000-0005-0000-0000-000011000000}"/>
    <cellStyle name="20% - 강조색1 26" xfId="316" xr:uid="{00000000-0005-0000-0000-000012000000}"/>
    <cellStyle name="20% - 강조색1 27" xfId="329" xr:uid="{00000000-0005-0000-0000-000013000000}"/>
    <cellStyle name="20% - 강조색1 28" xfId="342" xr:uid="{00000000-0005-0000-0000-000014000000}"/>
    <cellStyle name="20% - 강조색1 29" xfId="355" xr:uid="{00000000-0005-0000-0000-000015000000}"/>
    <cellStyle name="20% - 강조색1 3" xfId="69" xr:uid="{00000000-0005-0000-0000-000016000000}"/>
    <cellStyle name="20% - 강조색1 30" xfId="368" xr:uid="{00000000-0005-0000-0000-000017000000}"/>
    <cellStyle name="20% - 강조색1 31" xfId="381" xr:uid="{00000000-0005-0000-0000-000018000000}"/>
    <cellStyle name="20% - 강조색1 32" xfId="394" xr:uid="{00000000-0005-0000-0000-000019000000}"/>
    <cellStyle name="20% - 강조색1 33" xfId="407" xr:uid="{00000000-0005-0000-0000-00001A000000}"/>
    <cellStyle name="20% - 강조색1 34" xfId="420" xr:uid="{00000000-0005-0000-0000-00001B000000}"/>
    <cellStyle name="20% - 강조색1 35" xfId="433" xr:uid="{00000000-0005-0000-0000-00001C000000}"/>
    <cellStyle name="20% - 강조색1 36" xfId="445" xr:uid="{00000000-0005-0000-0000-00001D000000}"/>
    <cellStyle name="20% - 강조색1 37" xfId="457" xr:uid="{00000000-0005-0000-0000-00001E000000}"/>
    <cellStyle name="20% - 강조색1 38" xfId="469" xr:uid="{00000000-0005-0000-0000-00001F000000}"/>
    <cellStyle name="20% - 강조색1 39" xfId="481" xr:uid="{00000000-0005-0000-0000-000020000000}"/>
    <cellStyle name="20% - 강조색1 4" xfId="65" xr:uid="{00000000-0005-0000-0000-000021000000}"/>
    <cellStyle name="20% - 강조색1 40" xfId="545" xr:uid="{00000000-0005-0000-0000-000022000000}"/>
    <cellStyle name="20% - 강조색1 40 10" xfId="3217" xr:uid="{00000000-0005-0000-0000-000023000000}"/>
    <cellStyle name="20% - 강조색1 40 11" xfId="3170" xr:uid="{00000000-0005-0000-0000-000024000000}"/>
    <cellStyle name="20% - 강조색1 40 12" xfId="1829" xr:uid="{00000000-0005-0000-0000-000025000000}"/>
    <cellStyle name="20% - 강조색1 40 13" xfId="1982" xr:uid="{00000000-0005-0000-0000-000026000000}"/>
    <cellStyle name="20% - 강조색1 40 14" xfId="4693" xr:uid="{00000000-0005-0000-0000-000027000000}"/>
    <cellStyle name="20% - 강조색1 40 15" xfId="4820" xr:uid="{00000000-0005-0000-0000-000028000000}"/>
    <cellStyle name="20% - 강조색1 40 16" xfId="5505" xr:uid="{00000000-0005-0000-0000-000029000000}"/>
    <cellStyle name="20% - 강조색1 40 17" xfId="763" xr:uid="{00000000-0005-0000-0000-00002A000000}"/>
    <cellStyle name="20% - 강조색1 40 18" xfId="3462" xr:uid="{00000000-0005-0000-0000-00002B000000}"/>
    <cellStyle name="20% - 강조색1 40 19" xfId="3974" xr:uid="{00000000-0005-0000-0000-00002C000000}"/>
    <cellStyle name="20% - 강조색1 40 2" xfId="593" xr:uid="{00000000-0005-0000-0000-00002D000000}"/>
    <cellStyle name="20% - 강조색1 40 20" xfId="7241" xr:uid="{00000000-0005-0000-0000-00002E000000}"/>
    <cellStyle name="20% - 강조색1 40 21" xfId="6230" xr:uid="{00000000-0005-0000-0000-00002F000000}"/>
    <cellStyle name="20% - 강조색1 40 22" xfId="7628" xr:uid="{00000000-0005-0000-0000-000030000000}"/>
    <cellStyle name="20% - 강조색1 40 23" xfId="7934" xr:uid="{00000000-0005-0000-0000-000031000000}"/>
    <cellStyle name="20% - 강조색1 40 24" xfId="8419" xr:uid="{00000000-0005-0000-0000-000032000000}"/>
    <cellStyle name="20% - 강조색1 40 25" xfId="8853" xr:uid="{00000000-0005-0000-0000-000033000000}"/>
    <cellStyle name="20% - 강조색1 40 26" xfId="9378" xr:uid="{00000000-0005-0000-0000-000034000000}"/>
    <cellStyle name="20% - 강조색1 40 27" xfId="3553" xr:uid="{00000000-0005-0000-0000-000035000000}"/>
    <cellStyle name="20% - 강조색1 40 28" xfId="4886" xr:uid="{00000000-0005-0000-0000-000036000000}"/>
    <cellStyle name="20% - 강조색1 40 29" xfId="10244" xr:uid="{00000000-0005-0000-0000-000037000000}"/>
    <cellStyle name="20% - 강조색1 40 3" xfId="1004" xr:uid="{00000000-0005-0000-0000-000038000000}"/>
    <cellStyle name="20% - 강조색1 40 30" xfId="6516" xr:uid="{00000000-0005-0000-0000-000039000000}"/>
    <cellStyle name="20% - 강조색1 40 31" xfId="10208" xr:uid="{00000000-0005-0000-0000-00003A000000}"/>
    <cellStyle name="20% - 강조색1 40 32" xfId="11050" xr:uid="{00000000-0005-0000-0000-00003B000000}"/>
    <cellStyle name="20% - 강조색1 40 33" xfId="11315" xr:uid="{00000000-0005-0000-0000-00003C000000}"/>
    <cellStyle name="20% - 강조색1 40 34" xfId="583" xr:uid="{00000000-0005-0000-0000-00003D000000}"/>
    <cellStyle name="20% - 강조색1 40 35" xfId="11376" xr:uid="{00000000-0005-0000-0000-00003E000000}"/>
    <cellStyle name="20% - 강조색1 40 36" xfId="11349" xr:uid="{00000000-0005-0000-0000-00003F000000}"/>
    <cellStyle name="20% - 강조색1 40 4" xfId="1268" xr:uid="{00000000-0005-0000-0000-000040000000}"/>
    <cellStyle name="20% - 강조색1 40 5" xfId="1655" xr:uid="{00000000-0005-0000-0000-000041000000}"/>
    <cellStyle name="20% - 강조색1 40 6" xfId="721" xr:uid="{00000000-0005-0000-0000-000042000000}"/>
    <cellStyle name="20% - 강조색1 40 7" xfId="1479" xr:uid="{00000000-0005-0000-0000-000043000000}"/>
    <cellStyle name="20% - 강조색1 40 8" xfId="2158" xr:uid="{00000000-0005-0000-0000-000044000000}"/>
    <cellStyle name="20% - 강조색1 40 9" xfId="2971" xr:uid="{00000000-0005-0000-0000-000045000000}"/>
    <cellStyle name="20% - 강조색1 41" xfId="671" xr:uid="{00000000-0005-0000-0000-000046000000}"/>
    <cellStyle name="20% - 강조색1 41 10" xfId="3207" xr:uid="{00000000-0005-0000-0000-000047000000}"/>
    <cellStyle name="20% - 강조색1 41 11" xfId="3642" xr:uid="{00000000-0005-0000-0000-000048000000}"/>
    <cellStyle name="20% - 강조색1 41 12" xfId="3947" xr:uid="{00000000-0005-0000-0000-000049000000}"/>
    <cellStyle name="20% - 강조색1 41 13" xfId="2771" xr:uid="{00000000-0005-0000-0000-00004A000000}"/>
    <cellStyle name="20% - 강조색1 41 14" xfId="4615" xr:uid="{00000000-0005-0000-0000-00004B000000}"/>
    <cellStyle name="20% - 강조색1 41 15" xfId="5554" xr:uid="{00000000-0005-0000-0000-00004C000000}"/>
    <cellStyle name="20% - 강조색1 41 16" xfId="5711" xr:uid="{00000000-0005-0000-0000-00004D000000}"/>
    <cellStyle name="20% - 강조색1 41 17" xfId="4953" xr:uid="{00000000-0005-0000-0000-00004E000000}"/>
    <cellStyle name="20% - 강조색1 41 18" xfId="5817" xr:uid="{00000000-0005-0000-0000-00004F000000}"/>
    <cellStyle name="20% - 강조색1 41 19" xfId="6483" xr:uid="{00000000-0005-0000-0000-000050000000}"/>
    <cellStyle name="20% - 강조색1 41 2" xfId="1174" xr:uid="{00000000-0005-0000-0000-000051000000}"/>
    <cellStyle name="20% - 강조색1 41 20" xfId="7258" xr:uid="{00000000-0005-0000-0000-000052000000}"/>
    <cellStyle name="20% - 강조색1 41 21" xfId="3504" xr:uid="{00000000-0005-0000-0000-000053000000}"/>
    <cellStyle name="20% - 강조색1 41 22" xfId="7780" xr:uid="{00000000-0005-0000-0000-000054000000}"/>
    <cellStyle name="20% - 강조색1 41 23" xfId="8165" xr:uid="{00000000-0005-0000-0000-000055000000}"/>
    <cellStyle name="20% - 강조색1 41 24" xfId="8561" xr:uid="{00000000-0005-0000-0000-000056000000}"/>
    <cellStyle name="20% - 강조색1 41 25" xfId="770" xr:uid="{00000000-0005-0000-0000-000057000000}"/>
    <cellStyle name="20% - 강조색1 41 26" xfId="9245" xr:uid="{00000000-0005-0000-0000-000058000000}"/>
    <cellStyle name="20% - 강조색1 41 27" xfId="5013" xr:uid="{00000000-0005-0000-0000-000059000000}"/>
    <cellStyle name="20% - 강조색1 41 28" xfId="10027" xr:uid="{00000000-0005-0000-0000-00005A000000}"/>
    <cellStyle name="20% - 강조색1 41 29" xfId="10168" xr:uid="{00000000-0005-0000-0000-00005B000000}"/>
    <cellStyle name="20% - 강조색1 41 3" xfId="1254" xr:uid="{00000000-0005-0000-0000-00005C000000}"/>
    <cellStyle name="20% - 강조색1 41 30" xfId="9204" xr:uid="{00000000-0005-0000-0000-00005D000000}"/>
    <cellStyle name="20% - 강조색1 41 31" xfId="4814" xr:uid="{00000000-0005-0000-0000-00005E000000}"/>
    <cellStyle name="20% - 강조색1 41 32" xfId="10746" xr:uid="{00000000-0005-0000-0000-00005F000000}"/>
    <cellStyle name="20% - 강조색1 41 4" xfId="1346" xr:uid="{00000000-0005-0000-0000-000060000000}"/>
    <cellStyle name="20% - 강조색1 41 5" xfId="1692" xr:uid="{00000000-0005-0000-0000-000061000000}"/>
    <cellStyle name="20% - 강조색1 41 6" xfId="2030" xr:uid="{00000000-0005-0000-0000-000062000000}"/>
    <cellStyle name="20% - 강조색1 41 7" xfId="2279" xr:uid="{00000000-0005-0000-0000-000063000000}"/>
    <cellStyle name="20% - 강조색1 41 8" xfId="2645" xr:uid="{00000000-0005-0000-0000-000064000000}"/>
    <cellStyle name="20% - 강조색1 41 9" xfId="2947" xr:uid="{00000000-0005-0000-0000-000065000000}"/>
    <cellStyle name="20% - 강조색1 42" xfId="659" xr:uid="{00000000-0005-0000-0000-000066000000}"/>
    <cellStyle name="20% - 강조색1 42 10" xfId="3270" xr:uid="{00000000-0005-0000-0000-000067000000}"/>
    <cellStyle name="20% - 강조색1 42 11" xfId="3623" xr:uid="{00000000-0005-0000-0000-000068000000}"/>
    <cellStyle name="20% - 강조색1 42 12" xfId="3906" xr:uid="{00000000-0005-0000-0000-000069000000}"/>
    <cellStyle name="20% - 강조색1 42 13" xfId="3895" xr:uid="{00000000-0005-0000-0000-00006A000000}"/>
    <cellStyle name="20% - 강조색1 42 14" xfId="4708" xr:uid="{00000000-0005-0000-0000-00006B000000}"/>
    <cellStyle name="20% - 강조색1 42 15" xfId="5584" xr:uid="{00000000-0005-0000-0000-00006C000000}"/>
    <cellStyle name="20% - 강조색1 42 16" xfId="5494" xr:uid="{00000000-0005-0000-0000-00006D000000}"/>
    <cellStyle name="20% - 강조색1 42 17" xfId="5666" xr:uid="{00000000-0005-0000-0000-00006E000000}"/>
    <cellStyle name="20% - 강조색1 42 18" xfId="5762" xr:uid="{00000000-0005-0000-0000-00006F000000}"/>
    <cellStyle name="20% - 강조색1 42 19" xfId="3615" xr:uid="{00000000-0005-0000-0000-000070000000}"/>
    <cellStyle name="20% - 강조색1 42 2" xfId="1162" xr:uid="{00000000-0005-0000-0000-000071000000}"/>
    <cellStyle name="20% - 강조색1 42 20" xfId="7197" xr:uid="{00000000-0005-0000-0000-000072000000}"/>
    <cellStyle name="20% - 강조색1 42 21" xfId="7361" xr:uid="{00000000-0005-0000-0000-000073000000}"/>
    <cellStyle name="20% - 강조색1 42 22" xfId="7832" xr:uid="{00000000-0005-0000-0000-000074000000}"/>
    <cellStyle name="20% - 강조색1 42 23" xfId="6383" xr:uid="{00000000-0005-0000-0000-000075000000}"/>
    <cellStyle name="20% - 강조색1 42 24" xfId="8487" xr:uid="{00000000-0005-0000-0000-000076000000}"/>
    <cellStyle name="20% - 강조색1 42 25" xfId="8990" xr:uid="{00000000-0005-0000-0000-000077000000}"/>
    <cellStyle name="20% - 강조색1 42 26" xfId="9115" xr:uid="{00000000-0005-0000-0000-000078000000}"/>
    <cellStyle name="20% - 강조색1 42 27" xfId="7497" xr:uid="{00000000-0005-0000-0000-000079000000}"/>
    <cellStyle name="20% - 강조색1 42 28" xfId="9764" xr:uid="{00000000-0005-0000-0000-00007A000000}"/>
    <cellStyle name="20% - 강조색1 42 29" xfId="5254" xr:uid="{00000000-0005-0000-0000-00007B000000}"/>
    <cellStyle name="20% - 강조색1 42 3" xfId="1242" xr:uid="{00000000-0005-0000-0000-00007C000000}"/>
    <cellStyle name="20% - 강조색1 42 30" xfId="10597" xr:uid="{00000000-0005-0000-0000-00007D000000}"/>
    <cellStyle name="20% - 강조색1 42 31" xfId="6708" xr:uid="{00000000-0005-0000-0000-00007E000000}"/>
    <cellStyle name="20% - 강조색1 42 32" xfId="6002" xr:uid="{00000000-0005-0000-0000-00007F000000}"/>
    <cellStyle name="20% - 강조색1 42 4" xfId="1334" xr:uid="{00000000-0005-0000-0000-000080000000}"/>
    <cellStyle name="20% - 강조색1 42 5" xfId="1708" xr:uid="{00000000-0005-0000-0000-000081000000}"/>
    <cellStyle name="20% - 강조색1 42 6" xfId="959" xr:uid="{00000000-0005-0000-0000-000082000000}"/>
    <cellStyle name="20% - 강조색1 42 7" xfId="800" xr:uid="{00000000-0005-0000-0000-000083000000}"/>
    <cellStyle name="20% - 강조색1 42 8" xfId="2442" xr:uid="{00000000-0005-0000-0000-000084000000}"/>
    <cellStyle name="20% - 강조색1 42 9" xfId="884" xr:uid="{00000000-0005-0000-0000-000085000000}"/>
    <cellStyle name="20% - 강조색1 43" xfId="654" xr:uid="{00000000-0005-0000-0000-000086000000}"/>
    <cellStyle name="20% - 강조색1 43 10" xfId="3264" xr:uid="{00000000-0005-0000-0000-000087000000}"/>
    <cellStyle name="20% - 강조색1 43 11" xfId="2721" xr:uid="{00000000-0005-0000-0000-000088000000}"/>
    <cellStyle name="20% - 강조색1 43 12" xfId="1998" xr:uid="{00000000-0005-0000-0000-000089000000}"/>
    <cellStyle name="20% - 강조색1 43 13" xfId="878" xr:uid="{00000000-0005-0000-0000-00008A000000}"/>
    <cellStyle name="20% - 강조색1 43 14" xfId="4549" xr:uid="{00000000-0005-0000-0000-00008B000000}"/>
    <cellStyle name="20% - 강조색1 43 15" xfId="5595" xr:uid="{00000000-0005-0000-0000-00008C000000}"/>
    <cellStyle name="20% - 강조색1 43 16" xfId="5816" xr:uid="{00000000-0005-0000-0000-00008D000000}"/>
    <cellStyle name="20% - 강조색1 43 17" xfId="5896" xr:uid="{00000000-0005-0000-0000-00008E000000}"/>
    <cellStyle name="20% - 강조색1 43 18" xfId="5954" xr:uid="{00000000-0005-0000-0000-00008F000000}"/>
    <cellStyle name="20% - 강조색1 43 19" xfId="6162" xr:uid="{00000000-0005-0000-0000-000090000000}"/>
    <cellStyle name="20% - 강조색1 43 2" xfId="1157" xr:uid="{00000000-0005-0000-0000-000091000000}"/>
    <cellStyle name="20% - 강조색1 43 20" xfId="2104" xr:uid="{00000000-0005-0000-0000-000092000000}"/>
    <cellStyle name="20% - 강조색1 43 21" xfId="6792" xr:uid="{00000000-0005-0000-0000-000093000000}"/>
    <cellStyle name="20% - 강조색1 43 22" xfId="7567" xr:uid="{00000000-0005-0000-0000-000094000000}"/>
    <cellStyle name="20% - 강조색1 43 23" xfId="8177" xr:uid="{00000000-0005-0000-0000-000095000000}"/>
    <cellStyle name="20% - 강조색1 43 24" xfId="8354" xr:uid="{00000000-0005-0000-0000-000096000000}"/>
    <cellStyle name="20% - 강조색1 43 25" xfId="8891" xr:uid="{00000000-0005-0000-0000-000097000000}"/>
    <cellStyle name="20% - 강조색1 43 26" xfId="7817" xr:uid="{00000000-0005-0000-0000-000098000000}"/>
    <cellStyle name="20% - 강조색1 43 27" xfId="6721" xr:uid="{00000000-0005-0000-0000-000099000000}"/>
    <cellStyle name="20% - 강조색1 43 28" xfId="9932" xr:uid="{00000000-0005-0000-0000-00009A000000}"/>
    <cellStyle name="20% - 강조색1 43 29" xfId="10226" xr:uid="{00000000-0005-0000-0000-00009B000000}"/>
    <cellStyle name="20% - 강조색1 43 3" xfId="1237" xr:uid="{00000000-0005-0000-0000-00009C000000}"/>
    <cellStyle name="20% - 강조색1 43 30" xfId="10433" xr:uid="{00000000-0005-0000-0000-00009D000000}"/>
    <cellStyle name="20% - 강조색1 43 31" xfId="10805" xr:uid="{00000000-0005-0000-0000-00009E000000}"/>
    <cellStyle name="20% - 강조색1 43 32" xfId="11231" xr:uid="{00000000-0005-0000-0000-00009F000000}"/>
    <cellStyle name="20% - 강조색1 43 4" xfId="1329" xr:uid="{00000000-0005-0000-0000-0000A0000000}"/>
    <cellStyle name="20% - 강조색1 43 5" xfId="1672" xr:uid="{00000000-0005-0000-0000-0000A1000000}"/>
    <cellStyle name="20% - 강조색1 43 6" xfId="905" xr:uid="{00000000-0005-0000-0000-0000A2000000}"/>
    <cellStyle name="20% - 강조색1 43 7" xfId="2272" xr:uid="{00000000-0005-0000-0000-0000A3000000}"/>
    <cellStyle name="20% - 강조색1 43 8" xfId="2673" xr:uid="{00000000-0005-0000-0000-0000A4000000}"/>
    <cellStyle name="20% - 강조색1 43 9" xfId="2928" xr:uid="{00000000-0005-0000-0000-0000A5000000}"/>
    <cellStyle name="20% - 강조색1 44" xfId="622" xr:uid="{00000000-0005-0000-0000-0000A6000000}"/>
    <cellStyle name="20% - 강조색1 44 10" xfId="3125" xr:uid="{00000000-0005-0000-0000-0000A7000000}"/>
    <cellStyle name="20% - 강조색1 44 11" xfId="3635" xr:uid="{00000000-0005-0000-0000-0000A8000000}"/>
    <cellStyle name="20% - 강조색1 44 12" xfId="4029" xr:uid="{00000000-0005-0000-0000-0000A9000000}"/>
    <cellStyle name="20% - 강조색1 44 13" xfId="4371" xr:uid="{00000000-0005-0000-0000-0000AA000000}"/>
    <cellStyle name="20% - 강조색1 44 14" xfId="4638" xr:uid="{00000000-0005-0000-0000-0000AB000000}"/>
    <cellStyle name="20% - 강조색1 44 15" xfId="4895" xr:uid="{00000000-0005-0000-0000-0000AC000000}"/>
    <cellStyle name="20% - 강조색1 44 16" xfId="933" xr:uid="{00000000-0005-0000-0000-0000AD000000}"/>
    <cellStyle name="20% - 강조색1 44 17" xfId="5364" xr:uid="{00000000-0005-0000-0000-0000AE000000}"/>
    <cellStyle name="20% - 강조색1 44 18" xfId="4855" xr:uid="{00000000-0005-0000-0000-0000AF000000}"/>
    <cellStyle name="20% - 강조색1 44 19" xfId="6221" xr:uid="{00000000-0005-0000-0000-0000B0000000}"/>
    <cellStyle name="20% - 강조색1 44 2" xfId="1125" xr:uid="{00000000-0005-0000-0000-0000B1000000}"/>
    <cellStyle name="20% - 강조색1 44 20" xfId="7135" xr:uid="{00000000-0005-0000-0000-0000B2000000}"/>
    <cellStyle name="20% - 강조색1 44 21" xfId="3930" xr:uid="{00000000-0005-0000-0000-0000B3000000}"/>
    <cellStyle name="20% - 강조색1 44 22" xfId="6323" xr:uid="{00000000-0005-0000-0000-0000B4000000}"/>
    <cellStyle name="20% - 강조색1 44 23" xfId="6767" xr:uid="{00000000-0005-0000-0000-0000B5000000}"/>
    <cellStyle name="20% - 강조색1 44 24" xfId="8488" xr:uid="{00000000-0005-0000-0000-0000B6000000}"/>
    <cellStyle name="20% - 강조색1 44 25" xfId="8924" xr:uid="{00000000-0005-0000-0000-0000B7000000}"/>
    <cellStyle name="20% - 강조색1 44 26" xfId="5241" xr:uid="{00000000-0005-0000-0000-0000B8000000}"/>
    <cellStyle name="20% - 강조색1 44 27" xfId="9357" xr:uid="{00000000-0005-0000-0000-0000B9000000}"/>
    <cellStyle name="20% - 강조색1 44 28" xfId="6504" xr:uid="{00000000-0005-0000-0000-0000BA000000}"/>
    <cellStyle name="20% - 강조색1 44 29" xfId="10255" xr:uid="{00000000-0005-0000-0000-0000BB000000}"/>
    <cellStyle name="20% - 강조색1 44 3" xfId="1205" xr:uid="{00000000-0005-0000-0000-0000BC000000}"/>
    <cellStyle name="20% - 강조색1 44 30" xfId="10660" xr:uid="{00000000-0005-0000-0000-0000BD000000}"/>
    <cellStyle name="20% - 강조색1 44 31" xfId="2780" xr:uid="{00000000-0005-0000-0000-0000BE000000}"/>
    <cellStyle name="20% - 강조색1 44 32" xfId="5192" xr:uid="{00000000-0005-0000-0000-0000BF000000}"/>
    <cellStyle name="20% - 강조색1 44 4" xfId="1297" xr:uid="{00000000-0005-0000-0000-0000C0000000}"/>
    <cellStyle name="20% - 강조색1 44 5" xfId="1719" xr:uid="{00000000-0005-0000-0000-0000C1000000}"/>
    <cellStyle name="20% - 강조색1 44 6" xfId="1841" xr:uid="{00000000-0005-0000-0000-0000C2000000}"/>
    <cellStyle name="20% - 강조색1 44 7" xfId="852" xr:uid="{00000000-0005-0000-0000-0000C3000000}"/>
    <cellStyle name="20% - 강조색1 44 8" xfId="719" xr:uid="{00000000-0005-0000-0000-0000C4000000}"/>
    <cellStyle name="20% - 강조색1 44 9" xfId="2738" xr:uid="{00000000-0005-0000-0000-0000C5000000}"/>
    <cellStyle name="20% - 강조색1 45" xfId="678" xr:uid="{00000000-0005-0000-0000-0000C6000000}"/>
    <cellStyle name="20% - 강조색1 45 10" xfId="3206" xr:uid="{00000000-0005-0000-0000-0000C7000000}"/>
    <cellStyle name="20% - 강조색1 45 11" xfId="3671" xr:uid="{00000000-0005-0000-0000-0000C8000000}"/>
    <cellStyle name="20% - 강조색1 45 12" xfId="1410" xr:uid="{00000000-0005-0000-0000-0000C9000000}"/>
    <cellStyle name="20% - 강조색1 45 13" xfId="4341" xr:uid="{00000000-0005-0000-0000-0000CA000000}"/>
    <cellStyle name="20% - 강조색1 45 14" xfId="3858" xr:uid="{00000000-0005-0000-0000-0000CB000000}"/>
    <cellStyle name="20% - 강조색1 45 15" xfId="4213" xr:uid="{00000000-0005-0000-0000-0000CC000000}"/>
    <cellStyle name="20% - 강조색1 45 16" xfId="5677" xr:uid="{00000000-0005-0000-0000-0000CD000000}"/>
    <cellStyle name="20% - 강조색1 45 17" xfId="863" xr:uid="{00000000-0005-0000-0000-0000CE000000}"/>
    <cellStyle name="20% - 강조색1 45 18" xfId="5333" xr:uid="{00000000-0005-0000-0000-0000CF000000}"/>
    <cellStyle name="20% - 강조색1 45 19" xfId="5450" xr:uid="{00000000-0005-0000-0000-0000D0000000}"/>
    <cellStyle name="20% - 강조색1 45 2" xfId="1181" xr:uid="{00000000-0005-0000-0000-0000D1000000}"/>
    <cellStyle name="20% - 강조색1 45 20" xfId="7223" xr:uid="{00000000-0005-0000-0000-0000D2000000}"/>
    <cellStyle name="20% - 강조색1 45 21" xfId="7215" xr:uid="{00000000-0005-0000-0000-0000D3000000}"/>
    <cellStyle name="20% - 강조색1 45 22" xfId="4235" xr:uid="{00000000-0005-0000-0000-0000D4000000}"/>
    <cellStyle name="20% - 강조색1 45 23" xfId="6610" xr:uid="{00000000-0005-0000-0000-0000D5000000}"/>
    <cellStyle name="20% - 강조색1 45 24" xfId="8539" xr:uid="{00000000-0005-0000-0000-0000D6000000}"/>
    <cellStyle name="20% - 강조색1 45 25" xfId="4538" xr:uid="{00000000-0005-0000-0000-0000D7000000}"/>
    <cellStyle name="20% - 강조색1 45 26" xfId="9126" xr:uid="{00000000-0005-0000-0000-0000D8000000}"/>
    <cellStyle name="20% - 강조색1 45 27" xfId="9557" xr:uid="{00000000-0005-0000-0000-0000D9000000}"/>
    <cellStyle name="20% - 강조색1 45 28" xfId="9818" xr:uid="{00000000-0005-0000-0000-0000DA000000}"/>
    <cellStyle name="20% - 강조색1 45 29" xfId="5186" xr:uid="{00000000-0005-0000-0000-0000DB000000}"/>
    <cellStyle name="20% - 강조색1 45 3" xfId="1261" xr:uid="{00000000-0005-0000-0000-0000DC000000}"/>
    <cellStyle name="20% - 강조색1 45 30" xfId="10435" xr:uid="{00000000-0005-0000-0000-0000DD000000}"/>
    <cellStyle name="20% - 강조색1 45 31" xfId="10824" xr:uid="{00000000-0005-0000-0000-0000DE000000}"/>
    <cellStyle name="20% - 강조색1 45 32" xfId="10778" xr:uid="{00000000-0005-0000-0000-0000DF000000}"/>
    <cellStyle name="20% - 강조색1 45 4" xfId="1353" xr:uid="{00000000-0005-0000-0000-0000E0000000}"/>
    <cellStyle name="20% - 강조색1 45 5" xfId="1706" xr:uid="{00000000-0005-0000-0000-0000E1000000}"/>
    <cellStyle name="20% - 강조색1 45 6" xfId="973" xr:uid="{00000000-0005-0000-0000-0000E2000000}"/>
    <cellStyle name="20% - 강조색1 45 7" xfId="1480" xr:uid="{00000000-0005-0000-0000-0000E3000000}"/>
    <cellStyle name="20% - 강조색1 45 8" xfId="2632" xr:uid="{00000000-0005-0000-0000-0000E4000000}"/>
    <cellStyle name="20% - 강조색1 45 9" xfId="2868" xr:uid="{00000000-0005-0000-0000-0000E5000000}"/>
    <cellStyle name="20% - 강조색1 46" xfId="638" xr:uid="{00000000-0005-0000-0000-0000E6000000}"/>
    <cellStyle name="20% - 강조색1 46 10" xfId="850" xr:uid="{00000000-0005-0000-0000-0000E7000000}"/>
    <cellStyle name="20% - 강조색1 46 11" xfId="3660" xr:uid="{00000000-0005-0000-0000-0000E8000000}"/>
    <cellStyle name="20% - 강조색1 46 12" xfId="3896" xr:uid="{00000000-0005-0000-0000-0000E9000000}"/>
    <cellStyle name="20% - 강조색1 46 13" xfId="4366" xr:uid="{00000000-0005-0000-0000-0000EA000000}"/>
    <cellStyle name="20% - 강조색1 46 14" xfId="2839" xr:uid="{00000000-0005-0000-0000-0000EB000000}"/>
    <cellStyle name="20% - 강조색1 46 15" xfId="699" xr:uid="{00000000-0005-0000-0000-0000EC000000}"/>
    <cellStyle name="20% - 강조색1 46 16" xfId="5164" xr:uid="{00000000-0005-0000-0000-0000ED000000}"/>
    <cellStyle name="20% - 강조색1 46 17" xfId="1504" xr:uid="{00000000-0005-0000-0000-0000EE000000}"/>
    <cellStyle name="20% - 강조색1 46 18" xfId="5508" xr:uid="{00000000-0005-0000-0000-0000EF000000}"/>
    <cellStyle name="20% - 강조색1 46 19" xfId="4835" xr:uid="{00000000-0005-0000-0000-0000F0000000}"/>
    <cellStyle name="20% - 강조색1 46 2" xfId="1141" xr:uid="{00000000-0005-0000-0000-0000F1000000}"/>
    <cellStyle name="20% - 강조색1 46 20" xfId="4477" xr:uid="{00000000-0005-0000-0000-0000F2000000}"/>
    <cellStyle name="20% - 강조색1 46 21" xfId="7095" xr:uid="{00000000-0005-0000-0000-0000F3000000}"/>
    <cellStyle name="20% - 강조색1 46 22" xfId="7800" xr:uid="{00000000-0005-0000-0000-0000F4000000}"/>
    <cellStyle name="20% - 강조색1 46 23" xfId="8254" xr:uid="{00000000-0005-0000-0000-0000F5000000}"/>
    <cellStyle name="20% - 강조색1 46 24" xfId="8588" xr:uid="{00000000-0005-0000-0000-0000F6000000}"/>
    <cellStyle name="20% - 강조색1 46 25" xfId="8677" xr:uid="{00000000-0005-0000-0000-0000F7000000}"/>
    <cellStyle name="20% - 강조색1 46 26" xfId="9097" xr:uid="{00000000-0005-0000-0000-0000F8000000}"/>
    <cellStyle name="20% - 강조색1 46 27" xfId="9183" xr:uid="{00000000-0005-0000-0000-0000F9000000}"/>
    <cellStyle name="20% - 강조색1 46 28" xfId="9850" xr:uid="{00000000-0005-0000-0000-0000FA000000}"/>
    <cellStyle name="20% - 강조색1 46 29" xfId="10132" xr:uid="{00000000-0005-0000-0000-0000FB000000}"/>
    <cellStyle name="20% - 강조색1 46 3" xfId="1221" xr:uid="{00000000-0005-0000-0000-0000FC000000}"/>
    <cellStyle name="20% - 강조색1 46 30" xfId="10517" xr:uid="{00000000-0005-0000-0000-0000FD000000}"/>
    <cellStyle name="20% - 강조색1 46 31" xfId="4139" xr:uid="{00000000-0005-0000-0000-0000FE000000}"/>
    <cellStyle name="20% - 강조색1 46 32" xfId="11149" xr:uid="{00000000-0005-0000-0000-0000FF000000}"/>
    <cellStyle name="20% - 강조색1 46 4" xfId="1313" xr:uid="{00000000-0005-0000-0000-000000010000}"/>
    <cellStyle name="20% - 강조색1 46 5" xfId="1738" xr:uid="{00000000-0005-0000-0000-000001010000}"/>
    <cellStyle name="20% - 강조색1 46 6" xfId="2049" xr:uid="{00000000-0005-0000-0000-000002010000}"/>
    <cellStyle name="20% - 강조색1 46 7" xfId="2342" xr:uid="{00000000-0005-0000-0000-000003010000}"/>
    <cellStyle name="20% - 강조색1 46 8" xfId="2574" xr:uid="{00000000-0005-0000-0000-000004010000}"/>
    <cellStyle name="20% - 강조색1 46 9" xfId="2772" xr:uid="{00000000-0005-0000-0000-000005010000}"/>
    <cellStyle name="20% - 강조색1 47" xfId="564" xr:uid="{00000000-0005-0000-0000-000006010000}"/>
    <cellStyle name="20% - 강조색1 47 10" xfId="4194" xr:uid="{00000000-0005-0000-0000-000007010000}"/>
    <cellStyle name="20% - 강조색1 47 11" xfId="4617" xr:uid="{00000000-0005-0000-0000-000008010000}"/>
    <cellStyle name="20% - 강조색1 47 12" xfId="4811" xr:uid="{00000000-0005-0000-0000-000009010000}"/>
    <cellStyle name="20% - 강조색1 47 13" xfId="5639" xr:uid="{00000000-0005-0000-0000-00000A010000}"/>
    <cellStyle name="20% - 강조색1 47 14" xfId="5447" xr:uid="{00000000-0005-0000-0000-00000B010000}"/>
    <cellStyle name="20% - 강조색1 47 15" xfId="5242" xr:uid="{00000000-0005-0000-0000-00000C010000}"/>
    <cellStyle name="20% - 강조색1 47 16" xfId="4661" xr:uid="{00000000-0005-0000-0000-00000D010000}"/>
    <cellStyle name="20% - 강조색1 47 17" xfId="1826" xr:uid="{00000000-0005-0000-0000-00000E010000}"/>
    <cellStyle name="20% - 강조색1 47 18" xfId="7364" xr:uid="{00000000-0005-0000-0000-00000F010000}"/>
    <cellStyle name="20% - 강조색1 47 19" xfId="4158" xr:uid="{00000000-0005-0000-0000-000010010000}"/>
    <cellStyle name="20% - 강조색1 47 2" xfId="1061" xr:uid="{00000000-0005-0000-0000-000011010000}"/>
    <cellStyle name="20% - 강조색1 47 20" xfId="8241" xr:uid="{00000000-0005-0000-0000-000012010000}"/>
    <cellStyle name="20% - 강조색1 47 21" xfId="2852" xr:uid="{00000000-0005-0000-0000-000013010000}"/>
    <cellStyle name="20% - 강조색1 47 22" xfId="854" xr:uid="{00000000-0005-0000-0000-000014010000}"/>
    <cellStyle name="20% - 강조색1 47 23" xfId="9301" xr:uid="{00000000-0005-0000-0000-000015010000}"/>
    <cellStyle name="20% - 강조색1 47 24" xfId="9665" xr:uid="{00000000-0005-0000-0000-000016010000}"/>
    <cellStyle name="20% - 강조색1 47 25" xfId="9268" xr:uid="{00000000-0005-0000-0000-000017010000}"/>
    <cellStyle name="20% - 강조색1 47 26" xfId="10294" xr:uid="{00000000-0005-0000-0000-000018010000}"/>
    <cellStyle name="20% - 강조색1 47 27" xfId="10142" xr:uid="{00000000-0005-0000-0000-000019010000}"/>
    <cellStyle name="20% - 강조색1 47 28" xfId="6235" xr:uid="{00000000-0005-0000-0000-00001A010000}"/>
    <cellStyle name="20% - 강조색1 47 29" xfId="11228" xr:uid="{00000000-0005-0000-0000-00001B010000}"/>
    <cellStyle name="20% - 강조색1 47 3" xfId="2046" xr:uid="{00000000-0005-0000-0000-00001C010000}"/>
    <cellStyle name="20% - 강조색1 47 30" xfId="11332" xr:uid="{00000000-0005-0000-0000-00001D010000}"/>
    <cellStyle name="20% - 강조색1 47 31" xfId="11382" xr:uid="{00000000-0005-0000-0000-00001E010000}"/>
    <cellStyle name="20% - 강조색1 47 32" xfId="11405" xr:uid="{00000000-0005-0000-0000-00001F010000}"/>
    <cellStyle name="20% - 강조색1 47 33" xfId="11368" xr:uid="{00000000-0005-0000-0000-000020010000}"/>
    <cellStyle name="20% - 강조색1 47 4" xfId="2295" xr:uid="{00000000-0005-0000-0000-000021010000}"/>
    <cellStyle name="20% - 강조색1 47 5" xfId="2686" xr:uid="{00000000-0005-0000-0000-000022010000}"/>
    <cellStyle name="20% - 강조색1 47 6" xfId="2865" xr:uid="{00000000-0005-0000-0000-000023010000}"/>
    <cellStyle name="20% - 강조색1 47 7" xfId="3195" xr:uid="{00000000-0005-0000-0000-000024010000}"/>
    <cellStyle name="20% - 강조색1 47 8" xfId="2156" xr:uid="{00000000-0005-0000-0000-000025010000}"/>
    <cellStyle name="20% - 강조색1 47 9" xfId="3861" xr:uid="{00000000-0005-0000-0000-000026010000}"/>
    <cellStyle name="20% - 강조색1 48" xfId="1078" xr:uid="{00000000-0005-0000-0000-000027010000}"/>
    <cellStyle name="20% - 강조색1 48 10" xfId="4117" xr:uid="{00000000-0005-0000-0000-000028010000}"/>
    <cellStyle name="20% - 강조색1 48 11" xfId="4684" xr:uid="{00000000-0005-0000-0000-000029010000}"/>
    <cellStyle name="20% - 강조색1 48 12" xfId="2862" xr:uid="{00000000-0005-0000-0000-00002A010000}"/>
    <cellStyle name="20% - 강조색1 48 13" xfId="5393" xr:uid="{00000000-0005-0000-0000-00002B010000}"/>
    <cellStyle name="20% - 강조색1 48 14" xfId="5514" xr:uid="{00000000-0005-0000-0000-00002C010000}"/>
    <cellStyle name="20% - 강조색1 48 15" xfId="5093" xr:uid="{00000000-0005-0000-0000-00002D010000}"/>
    <cellStyle name="20% - 강조색1 48 16" xfId="5066" xr:uid="{00000000-0005-0000-0000-00002E010000}"/>
    <cellStyle name="20% - 강조색1 48 17" xfId="2542" xr:uid="{00000000-0005-0000-0000-00002F010000}"/>
    <cellStyle name="20% - 강조색1 48 18" xfId="7136" xr:uid="{00000000-0005-0000-0000-000030010000}"/>
    <cellStyle name="20% - 강조색1 48 19" xfId="7706" xr:uid="{00000000-0005-0000-0000-000031010000}"/>
    <cellStyle name="20% - 강조색1 48 2" xfId="1778" xr:uid="{00000000-0005-0000-0000-000032010000}"/>
    <cellStyle name="20% - 강조색1 48 20" xfId="6293" xr:uid="{00000000-0005-0000-0000-000033010000}"/>
    <cellStyle name="20% - 강조색1 48 21" xfId="5057" xr:uid="{00000000-0005-0000-0000-000034010000}"/>
    <cellStyle name="20% - 강조색1 48 22" xfId="8351" xr:uid="{00000000-0005-0000-0000-000035010000}"/>
    <cellStyle name="20% - 강조색1 48 23" xfId="9302" xr:uid="{00000000-0005-0000-0000-000036010000}"/>
    <cellStyle name="20% - 강조색1 48 24" xfId="9616" xr:uid="{00000000-0005-0000-0000-000037010000}"/>
    <cellStyle name="20% - 강조색1 48 25" xfId="2970" xr:uid="{00000000-0005-0000-0000-000038010000}"/>
    <cellStyle name="20% - 강조색1 48 26" xfId="8940" xr:uid="{00000000-0005-0000-0000-000039010000}"/>
    <cellStyle name="20% - 강조색1 48 27" xfId="10654" xr:uid="{00000000-0005-0000-0000-00003A010000}"/>
    <cellStyle name="20% - 강조색1 48 28" xfId="976" xr:uid="{00000000-0005-0000-0000-00003B010000}"/>
    <cellStyle name="20% - 강조색1 48 29" xfId="11256" xr:uid="{00000000-0005-0000-0000-00003C010000}"/>
    <cellStyle name="20% - 강조색1 48 3" xfId="776" xr:uid="{00000000-0005-0000-0000-00003D010000}"/>
    <cellStyle name="20% - 강조색1 48 4" xfId="1494" xr:uid="{00000000-0005-0000-0000-00003E010000}"/>
    <cellStyle name="20% - 강조색1 48 5" xfId="2611" xr:uid="{00000000-0005-0000-0000-00003F010000}"/>
    <cellStyle name="20% - 강조색1 48 6" xfId="2817" xr:uid="{00000000-0005-0000-0000-000040010000}"/>
    <cellStyle name="20% - 강조색1 48 7" xfId="3243" xr:uid="{00000000-0005-0000-0000-000041010000}"/>
    <cellStyle name="20% - 강조색1 48 8" xfId="706" xr:uid="{00000000-0005-0000-0000-000042010000}"/>
    <cellStyle name="20% - 강조색1 48 9" xfId="3835" xr:uid="{00000000-0005-0000-0000-000043010000}"/>
    <cellStyle name="20% - 강조색1 49" xfId="1022" xr:uid="{00000000-0005-0000-0000-000044010000}"/>
    <cellStyle name="20% - 강조색1 49 10" xfId="1375" xr:uid="{00000000-0005-0000-0000-000045010000}"/>
    <cellStyle name="20% - 강조색1 49 11" xfId="4739" xr:uid="{00000000-0005-0000-0000-000046010000}"/>
    <cellStyle name="20% - 강조색1 49 12" xfId="5041" xr:uid="{00000000-0005-0000-0000-000047010000}"/>
    <cellStyle name="20% - 강조색1 49 13" xfId="5349" xr:uid="{00000000-0005-0000-0000-000048010000}"/>
    <cellStyle name="20% - 강조색1 49 14" xfId="5289" xr:uid="{00000000-0005-0000-0000-000049010000}"/>
    <cellStyle name="20% - 강조색1 49 15" xfId="5703" xr:uid="{00000000-0005-0000-0000-00004A010000}"/>
    <cellStyle name="20% - 강조색1 49 16" xfId="6260" xr:uid="{00000000-0005-0000-0000-00004B010000}"/>
    <cellStyle name="20% - 강조색1 49 17" xfId="958" xr:uid="{00000000-0005-0000-0000-00004C010000}"/>
    <cellStyle name="20% - 강조색1 49 18" xfId="4177" xr:uid="{00000000-0005-0000-0000-00004D010000}"/>
    <cellStyle name="20% - 강조색1 49 19" xfId="6366" xr:uid="{00000000-0005-0000-0000-00004E010000}"/>
    <cellStyle name="20% - 강조색1 49 2" xfId="1675" xr:uid="{00000000-0005-0000-0000-00004F010000}"/>
    <cellStyle name="20% - 강조색1 49 20" xfId="6136" xr:uid="{00000000-0005-0000-0000-000050010000}"/>
    <cellStyle name="20% - 강조색1 49 21" xfId="8336" xr:uid="{00000000-0005-0000-0000-000051010000}"/>
    <cellStyle name="20% - 강조색1 49 22" xfId="7467" xr:uid="{00000000-0005-0000-0000-000052010000}"/>
    <cellStyle name="20% - 강조색1 49 23" xfId="9367" xr:uid="{00000000-0005-0000-0000-000053010000}"/>
    <cellStyle name="20% - 강조색1 49 24" xfId="9619" xr:uid="{00000000-0005-0000-0000-000054010000}"/>
    <cellStyle name="20% - 강조색1 49 25" xfId="4494" xr:uid="{00000000-0005-0000-0000-000055010000}"/>
    <cellStyle name="20% - 강조색1 49 26" xfId="10264" xr:uid="{00000000-0005-0000-0000-000056010000}"/>
    <cellStyle name="20% - 강조색1 49 27" xfId="9427" xr:uid="{00000000-0005-0000-0000-000057010000}"/>
    <cellStyle name="20% - 강조색1 49 28" xfId="10848" xr:uid="{00000000-0005-0000-0000-000058010000}"/>
    <cellStyle name="20% - 강조색1 49 29" xfId="11172" xr:uid="{00000000-0005-0000-0000-000059010000}"/>
    <cellStyle name="20% - 강조색1 49 3" xfId="2019" xr:uid="{00000000-0005-0000-0000-00005A010000}"/>
    <cellStyle name="20% - 강조색1 49 4" xfId="2293" xr:uid="{00000000-0005-0000-0000-00005B010000}"/>
    <cellStyle name="20% - 강조색1 49 5" xfId="2656" xr:uid="{00000000-0005-0000-0000-00005C010000}"/>
    <cellStyle name="20% - 강조색1 49 6" xfId="2912" xr:uid="{00000000-0005-0000-0000-00005D010000}"/>
    <cellStyle name="20% - 강조색1 49 7" xfId="3276" xr:uid="{00000000-0005-0000-0000-00005E010000}"/>
    <cellStyle name="20% - 강조색1 49 8" xfId="782" xr:uid="{00000000-0005-0000-0000-00005F010000}"/>
    <cellStyle name="20% - 강조색1 49 9" xfId="4030" xr:uid="{00000000-0005-0000-0000-000060010000}"/>
    <cellStyle name="20% - 강조색1 5" xfId="61" xr:uid="{00000000-0005-0000-0000-000061010000}"/>
    <cellStyle name="20% - 강조색1 50" xfId="1095" xr:uid="{00000000-0005-0000-0000-000062010000}"/>
    <cellStyle name="20% - 강조색1 50 10" xfId="4154" xr:uid="{00000000-0005-0000-0000-000063010000}"/>
    <cellStyle name="20% - 강조색1 50 11" xfId="3291" xr:uid="{00000000-0005-0000-0000-000064010000}"/>
    <cellStyle name="20% - 강조색1 50 12" xfId="5359" xr:uid="{00000000-0005-0000-0000-000065010000}"/>
    <cellStyle name="20% - 강조색1 50 13" xfId="5620" xr:uid="{00000000-0005-0000-0000-000066010000}"/>
    <cellStyle name="20% - 강조색1 50 14" xfId="5490" xr:uid="{00000000-0005-0000-0000-000067010000}"/>
    <cellStyle name="20% - 강조색1 50 15" xfId="5175" xr:uid="{00000000-0005-0000-0000-000068010000}"/>
    <cellStyle name="20% - 강조색1 50 16" xfId="3238" xr:uid="{00000000-0005-0000-0000-000069010000}"/>
    <cellStyle name="20% - 강조색1 50 17" xfId="6719" xr:uid="{00000000-0005-0000-0000-00006A010000}"/>
    <cellStyle name="20% - 강조색1 50 18" xfId="2759" xr:uid="{00000000-0005-0000-0000-00006B010000}"/>
    <cellStyle name="20% - 강조색1 50 19" xfId="7147" xr:uid="{00000000-0005-0000-0000-00006C010000}"/>
    <cellStyle name="20% - 강조색1 50 2" xfId="1809" xr:uid="{00000000-0005-0000-0000-00006D010000}"/>
    <cellStyle name="20% - 강조색1 50 20" xfId="6813" xr:uid="{00000000-0005-0000-0000-00006E010000}"/>
    <cellStyle name="20% - 강조색1 50 21" xfId="8576" xr:uid="{00000000-0005-0000-0000-00006F010000}"/>
    <cellStyle name="20% - 강조색1 50 22" xfId="2828" xr:uid="{00000000-0005-0000-0000-000070010000}"/>
    <cellStyle name="20% - 강조색1 50 23" xfId="6890" xr:uid="{00000000-0005-0000-0000-000071010000}"/>
    <cellStyle name="20% - 강조색1 50 24" xfId="9656" xr:uid="{00000000-0005-0000-0000-000072010000}"/>
    <cellStyle name="20% - 강조색1 50 25" xfId="9985" xr:uid="{00000000-0005-0000-0000-000073010000}"/>
    <cellStyle name="20% - 강조색1 50 26" xfId="10369" xr:uid="{00000000-0005-0000-0000-000074010000}"/>
    <cellStyle name="20% - 강조색1 50 27" xfId="6784" xr:uid="{00000000-0005-0000-0000-000075010000}"/>
    <cellStyle name="20% - 강조색1 50 28" xfId="8100" xr:uid="{00000000-0005-0000-0000-000076010000}"/>
    <cellStyle name="20% - 강조색1 50 29" xfId="11216" xr:uid="{00000000-0005-0000-0000-000077010000}"/>
    <cellStyle name="20% - 강조색1 50 3" xfId="955" xr:uid="{00000000-0005-0000-0000-000078010000}"/>
    <cellStyle name="20% - 강조색1 50 4" xfId="1569" xr:uid="{00000000-0005-0000-0000-000079010000}"/>
    <cellStyle name="20% - 강조색1 50 5" xfId="2489" xr:uid="{00000000-0005-0000-0000-00007A010000}"/>
    <cellStyle name="20% - 강조색1 50 6" xfId="2986" xr:uid="{00000000-0005-0000-0000-00007B010000}"/>
    <cellStyle name="20% - 강조색1 50 7" xfId="3126" xr:uid="{00000000-0005-0000-0000-00007C010000}"/>
    <cellStyle name="20% - 강조색1 50 8" xfId="2508" xr:uid="{00000000-0005-0000-0000-00007D010000}"/>
    <cellStyle name="20% - 강조색1 50 9" xfId="4028" xr:uid="{00000000-0005-0000-0000-00007E010000}"/>
    <cellStyle name="20% - 강조색1 51" xfId="1018" xr:uid="{00000000-0005-0000-0000-00007F010000}"/>
    <cellStyle name="20% - 강조색1 51 10" xfId="4038" xr:uid="{00000000-0005-0000-0000-000080010000}"/>
    <cellStyle name="20% - 강조색1 51 11" xfId="1833" xr:uid="{00000000-0005-0000-0000-000081010000}"/>
    <cellStyle name="20% - 강조색1 51 12" xfId="2560" xr:uid="{00000000-0005-0000-0000-000082010000}"/>
    <cellStyle name="20% - 강조색1 51 13" xfId="5837" xr:uid="{00000000-0005-0000-0000-000083010000}"/>
    <cellStyle name="20% - 강조색1 51 14" xfId="5914" xr:uid="{00000000-0005-0000-0000-000084010000}"/>
    <cellStyle name="20% - 강조색1 51 15" xfId="5970" xr:uid="{00000000-0005-0000-0000-000085010000}"/>
    <cellStyle name="20% - 강조색1 51 16" xfId="6341" xr:uid="{00000000-0005-0000-0000-000086010000}"/>
    <cellStyle name="20% - 강조색1 51 17" xfId="7097" xr:uid="{00000000-0005-0000-0000-000087010000}"/>
    <cellStyle name="20% - 강조색1 51 18" xfId="2570" xr:uid="{00000000-0005-0000-0000-000088010000}"/>
    <cellStyle name="20% - 강조색1 51 19" xfId="7753" xr:uid="{00000000-0005-0000-0000-000089010000}"/>
    <cellStyle name="20% - 강조색1 51 2" xfId="1669" xr:uid="{00000000-0005-0000-0000-00008A010000}"/>
    <cellStyle name="20% - 강조색1 51 20" xfId="2597" xr:uid="{00000000-0005-0000-0000-00008B010000}"/>
    <cellStyle name="20% - 강조색1 51 21" xfId="6096" xr:uid="{00000000-0005-0000-0000-00008C010000}"/>
    <cellStyle name="20% - 강조색1 51 22" xfId="2144" xr:uid="{00000000-0005-0000-0000-00008D010000}"/>
    <cellStyle name="20% - 강조색1 51 23" xfId="8778" xr:uid="{00000000-0005-0000-0000-00008E010000}"/>
    <cellStyle name="20% - 강조색1 51 24" xfId="9639" xr:uid="{00000000-0005-0000-0000-00008F010000}"/>
    <cellStyle name="20% - 강조색1 51 25" xfId="10040" xr:uid="{00000000-0005-0000-0000-000090010000}"/>
    <cellStyle name="20% - 강조색1 51 26" xfId="5360" xr:uid="{00000000-0005-0000-0000-000091010000}"/>
    <cellStyle name="20% - 강조색1 51 27" xfId="8690" xr:uid="{00000000-0005-0000-0000-000092010000}"/>
    <cellStyle name="20% - 강조색1 51 28" xfId="10248" xr:uid="{00000000-0005-0000-0000-000093010000}"/>
    <cellStyle name="20% - 강조색1 51 29" xfId="8953" xr:uid="{00000000-0005-0000-0000-000094010000}"/>
    <cellStyle name="20% - 강조색1 51 3" xfId="1383" xr:uid="{00000000-0005-0000-0000-000095010000}"/>
    <cellStyle name="20% - 강조색1 51 4" xfId="2321" xr:uid="{00000000-0005-0000-0000-000096010000}"/>
    <cellStyle name="20% - 강조색1 51 5" xfId="2581" xr:uid="{00000000-0005-0000-0000-000097010000}"/>
    <cellStyle name="20% - 강조색1 51 6" xfId="793" xr:uid="{00000000-0005-0000-0000-000098010000}"/>
    <cellStyle name="20% - 강조색1 51 7" xfId="3292" xr:uid="{00000000-0005-0000-0000-000099010000}"/>
    <cellStyle name="20% - 강조색1 51 8" xfId="3461" xr:uid="{00000000-0005-0000-0000-00009A010000}"/>
    <cellStyle name="20% - 강조색1 51 9" xfId="1929" xr:uid="{00000000-0005-0000-0000-00009B010000}"/>
    <cellStyle name="20% - 강조색1 52" xfId="1063" xr:uid="{00000000-0005-0000-0000-00009C010000}"/>
    <cellStyle name="20% - 강조색1 52 10" xfId="4294" xr:uid="{00000000-0005-0000-0000-00009D010000}"/>
    <cellStyle name="20% - 강조색1 52 11" xfId="4747" xr:uid="{00000000-0005-0000-0000-00009E010000}"/>
    <cellStyle name="20% - 강조색1 52 12" xfId="5429" xr:uid="{00000000-0005-0000-0000-00009F010000}"/>
    <cellStyle name="20% - 강조색1 52 13" xfId="5034" xr:uid="{00000000-0005-0000-0000-0000A0010000}"/>
    <cellStyle name="20% - 강조색1 52 14" xfId="5091" xr:uid="{00000000-0005-0000-0000-0000A1010000}"/>
    <cellStyle name="20% - 강조색1 52 15" xfId="5303" xr:uid="{00000000-0005-0000-0000-0000A2010000}"/>
    <cellStyle name="20% - 강조색1 52 16" xfId="6388" xr:uid="{00000000-0005-0000-0000-0000A3010000}"/>
    <cellStyle name="20% - 강조색1 52 17" xfId="7218" xr:uid="{00000000-0005-0000-0000-0000A4010000}"/>
    <cellStyle name="20% - 강조색1 52 18" xfId="6853" xr:uid="{00000000-0005-0000-0000-0000A5010000}"/>
    <cellStyle name="20% - 강조색1 52 19" xfId="7848" xr:uid="{00000000-0005-0000-0000-0000A6010000}"/>
    <cellStyle name="20% - 강조색1 52 2" xfId="1746" xr:uid="{00000000-0005-0000-0000-0000A7010000}"/>
    <cellStyle name="20% - 강조색1 52 20" xfId="8227" xr:uid="{00000000-0005-0000-0000-0000A8010000}"/>
    <cellStyle name="20% - 강조색1 52 21" xfId="8340" xr:uid="{00000000-0005-0000-0000-0000A9010000}"/>
    <cellStyle name="20% - 강조색1 52 22" xfId="8730" xr:uid="{00000000-0005-0000-0000-0000AA010000}"/>
    <cellStyle name="20% - 강조색1 52 23" xfId="9101" xr:uid="{00000000-0005-0000-0000-0000AB010000}"/>
    <cellStyle name="20% - 강조색1 52 24" xfId="9442" xr:uid="{00000000-0005-0000-0000-0000AC010000}"/>
    <cellStyle name="20% - 강조색1 52 25" xfId="9976" xr:uid="{00000000-0005-0000-0000-0000AD010000}"/>
    <cellStyle name="20% - 강조색1 52 26" xfId="10341" xr:uid="{00000000-0005-0000-0000-0000AE010000}"/>
    <cellStyle name="20% - 강조색1 52 27" xfId="6768" xr:uid="{00000000-0005-0000-0000-0000AF010000}"/>
    <cellStyle name="20% - 강조색1 52 28" xfId="10976" xr:uid="{00000000-0005-0000-0000-0000B0010000}"/>
    <cellStyle name="20% - 강조색1 52 29" xfId="6132" xr:uid="{00000000-0005-0000-0000-0000B1010000}"/>
    <cellStyle name="20% - 강조색1 52 3" xfId="2029" xr:uid="{00000000-0005-0000-0000-0000B2010000}"/>
    <cellStyle name="20% - 강조색1 52 4" xfId="2343" xr:uid="{00000000-0005-0000-0000-0000B3010000}"/>
    <cellStyle name="20% - 강조색1 52 5" xfId="2680" xr:uid="{00000000-0005-0000-0000-0000B4010000}"/>
    <cellStyle name="20% - 강조색1 52 6" xfId="813" xr:uid="{00000000-0005-0000-0000-0000B5010000}"/>
    <cellStyle name="20% - 강조색1 52 7" xfId="3287" xr:uid="{00000000-0005-0000-0000-0000B6010000}"/>
    <cellStyle name="20% - 강조색1 52 8" xfId="3634" xr:uid="{00000000-0005-0000-0000-0000B7010000}"/>
    <cellStyle name="20% - 강조색1 52 9" xfId="1916" xr:uid="{00000000-0005-0000-0000-0000B8010000}"/>
    <cellStyle name="20% - 강조색1 53" xfId="1071" xr:uid="{00000000-0005-0000-0000-0000B9010000}"/>
    <cellStyle name="20% - 강조색1 53 10" xfId="4206" xr:uid="{00000000-0005-0000-0000-0000BA010000}"/>
    <cellStyle name="20% - 강조색1 53 11" xfId="4626" xr:uid="{00000000-0005-0000-0000-0000BB010000}"/>
    <cellStyle name="20% - 강조색1 53 12" xfId="5138" xr:uid="{00000000-0005-0000-0000-0000BC010000}"/>
    <cellStyle name="20% - 강조색1 53 13" xfId="5269" xr:uid="{00000000-0005-0000-0000-0000BD010000}"/>
    <cellStyle name="20% - 강조색1 53 14" xfId="4656" xr:uid="{00000000-0005-0000-0000-0000BE010000}"/>
    <cellStyle name="20% - 강조색1 53 15" xfId="5106" xr:uid="{00000000-0005-0000-0000-0000BF010000}"/>
    <cellStyle name="20% - 강조색1 53 16" xfId="6571" xr:uid="{00000000-0005-0000-0000-0000C0010000}"/>
    <cellStyle name="20% - 강조색1 53 17" xfId="5992" xr:uid="{00000000-0005-0000-0000-0000C1010000}"/>
    <cellStyle name="20% - 강조색1 53 18" xfId="6355" xr:uid="{00000000-0005-0000-0000-0000C2010000}"/>
    <cellStyle name="20% - 강조색1 53 19" xfId="7812" xr:uid="{00000000-0005-0000-0000-0000C3010000}"/>
    <cellStyle name="20% - 강조색1 53 2" xfId="1760" xr:uid="{00000000-0005-0000-0000-0000C4010000}"/>
    <cellStyle name="20% - 강조색1 53 20" xfId="8080" xr:uid="{00000000-0005-0000-0000-0000C5010000}"/>
    <cellStyle name="20% - 강조색1 53 21" xfId="3841" xr:uid="{00000000-0005-0000-0000-0000C6010000}"/>
    <cellStyle name="20% - 강조색1 53 22" xfId="8884" xr:uid="{00000000-0005-0000-0000-0000C7010000}"/>
    <cellStyle name="20% - 강조색1 53 23" xfId="7420" xr:uid="{00000000-0005-0000-0000-0000C8010000}"/>
    <cellStyle name="20% - 강조색1 53 24" xfId="6265" xr:uid="{00000000-0005-0000-0000-0000C9010000}"/>
    <cellStyle name="20% - 강조색1 53 25" xfId="6925" xr:uid="{00000000-0005-0000-0000-0000CA010000}"/>
    <cellStyle name="20% - 강조색1 53 26" xfId="2106" xr:uid="{00000000-0005-0000-0000-0000CB010000}"/>
    <cellStyle name="20% - 강조색1 53 27" xfId="10432" xr:uid="{00000000-0005-0000-0000-0000CC010000}"/>
    <cellStyle name="20% - 강조색1 53 28" xfId="8832" xr:uid="{00000000-0005-0000-0000-0000CD010000}"/>
    <cellStyle name="20% - 강조색1 53 29" xfId="11048" xr:uid="{00000000-0005-0000-0000-0000CE010000}"/>
    <cellStyle name="20% - 강조색1 53 3" xfId="753" xr:uid="{00000000-0005-0000-0000-0000CF010000}"/>
    <cellStyle name="20% - 강조색1 53 4" xfId="2287" xr:uid="{00000000-0005-0000-0000-0000D0010000}"/>
    <cellStyle name="20% - 강조색1 53 5" xfId="998" xr:uid="{00000000-0005-0000-0000-0000D1010000}"/>
    <cellStyle name="20% - 강조색1 53 6" xfId="2953" xr:uid="{00000000-0005-0000-0000-0000D2010000}"/>
    <cellStyle name="20% - 강조색1 53 7" xfId="3266" xr:uid="{00000000-0005-0000-0000-0000D3010000}"/>
    <cellStyle name="20% - 강조색1 53 8" xfId="1423" xr:uid="{00000000-0005-0000-0000-0000D4010000}"/>
    <cellStyle name="20% - 강조색1 53 9" xfId="4026" xr:uid="{00000000-0005-0000-0000-0000D5010000}"/>
    <cellStyle name="20% - 강조색1 54" xfId="1575" xr:uid="{00000000-0005-0000-0000-0000D6010000}"/>
    <cellStyle name="20% - 강조색1 54 10" xfId="4702" xr:uid="{00000000-0005-0000-0000-0000D7010000}"/>
    <cellStyle name="20% - 강조색1 54 11" xfId="5050" xr:uid="{00000000-0005-0000-0000-0000D8010000}"/>
    <cellStyle name="20% - 강조색1 54 12" xfId="5243" xr:uid="{00000000-0005-0000-0000-0000D9010000}"/>
    <cellStyle name="20% - 강조색1 54 13" xfId="5517" xr:uid="{00000000-0005-0000-0000-0000DA010000}"/>
    <cellStyle name="20% - 강조색1 54 14" xfId="5202" xr:uid="{00000000-0005-0000-0000-0000DB010000}"/>
    <cellStyle name="20% - 강조색1 54 15" xfId="6541" xr:uid="{00000000-0005-0000-0000-0000DC010000}"/>
    <cellStyle name="20% - 강조색1 54 16" xfId="1958" xr:uid="{00000000-0005-0000-0000-0000DD010000}"/>
    <cellStyle name="20% - 강조색1 54 17" xfId="6757" xr:uid="{00000000-0005-0000-0000-0000DE010000}"/>
    <cellStyle name="20% - 강조색1 54 18" xfId="4573" xr:uid="{00000000-0005-0000-0000-0000DF010000}"/>
    <cellStyle name="20% - 강조색1 54 19" xfId="3960" xr:uid="{00000000-0005-0000-0000-0000E0010000}"/>
    <cellStyle name="20% - 강조색1 54 2" xfId="2085" xr:uid="{00000000-0005-0000-0000-0000E1010000}"/>
    <cellStyle name="20% - 강조색1 54 20" xfId="7947" xr:uid="{00000000-0005-0000-0000-0000E2010000}"/>
    <cellStyle name="20% - 강조색1 54 21" xfId="8880" xr:uid="{00000000-0005-0000-0000-0000E3010000}"/>
    <cellStyle name="20% - 강조색1 54 22" xfId="9208" xr:uid="{00000000-0005-0000-0000-0000E4010000}"/>
    <cellStyle name="20% - 강조색1 54 23" xfId="7741" xr:uid="{00000000-0005-0000-0000-0000E5010000}"/>
    <cellStyle name="20% - 강조색1 54 24" xfId="8443" xr:uid="{00000000-0005-0000-0000-0000E6010000}"/>
    <cellStyle name="20% - 강조색1 54 25" xfId="6723" xr:uid="{00000000-0005-0000-0000-0000E7010000}"/>
    <cellStyle name="20% - 강조색1 54 26" xfId="10666" xr:uid="{00000000-0005-0000-0000-0000E8010000}"/>
    <cellStyle name="20% - 강조색1 54 27" xfId="8505" xr:uid="{00000000-0005-0000-0000-0000E9010000}"/>
    <cellStyle name="20% - 강조색1 54 28" xfId="11260" xr:uid="{00000000-0005-0000-0000-0000EA010000}"/>
    <cellStyle name="20% - 강조색1 54 3" xfId="2367" xr:uid="{00000000-0005-0000-0000-0000EB010000}"/>
    <cellStyle name="20% - 강조색1 54 4" xfId="1549" xr:uid="{00000000-0005-0000-0000-0000EC010000}"/>
    <cellStyle name="20% - 강조색1 54 5" xfId="2941" xr:uid="{00000000-0005-0000-0000-0000ED010000}"/>
    <cellStyle name="20% - 강조색1 54 6" xfId="3096" xr:uid="{00000000-0005-0000-0000-0000EE010000}"/>
    <cellStyle name="20% - 강조색1 54 7" xfId="3453" xr:uid="{00000000-0005-0000-0000-0000EF010000}"/>
    <cellStyle name="20% - 강조색1 54 8" xfId="1851" xr:uid="{00000000-0005-0000-0000-0000F0010000}"/>
    <cellStyle name="20% - 강조색1 54 9" xfId="2838" xr:uid="{00000000-0005-0000-0000-0000F1010000}"/>
    <cellStyle name="20% - 강조색1 55" xfId="1421" xr:uid="{00000000-0005-0000-0000-0000F2010000}"/>
    <cellStyle name="20% - 강조색1 55 10" xfId="5403" xr:uid="{00000000-0005-0000-0000-0000F3010000}"/>
    <cellStyle name="20% - 강조색1 55 11" xfId="4794" xr:uid="{00000000-0005-0000-0000-0000F4010000}"/>
    <cellStyle name="20% - 강조색1 55 12" xfId="5203" xr:uid="{00000000-0005-0000-0000-0000F5010000}"/>
    <cellStyle name="20% - 강조색1 55 13" xfId="5673" xr:uid="{00000000-0005-0000-0000-0000F6010000}"/>
    <cellStyle name="20% - 강조색1 55 14" xfId="6590" xr:uid="{00000000-0005-0000-0000-0000F7010000}"/>
    <cellStyle name="20% - 강조색1 55 15" xfId="7023" xr:uid="{00000000-0005-0000-0000-0000F8010000}"/>
    <cellStyle name="20% - 강조색1 55 16" xfId="7322" xr:uid="{00000000-0005-0000-0000-0000F9010000}"/>
    <cellStyle name="20% - 강조색1 55 17" xfId="2391" xr:uid="{00000000-0005-0000-0000-0000FA010000}"/>
    <cellStyle name="20% - 강조색1 55 18" xfId="6484" xr:uid="{00000000-0005-0000-0000-0000FB010000}"/>
    <cellStyle name="20% - 강조색1 55 19" xfId="7761" xr:uid="{00000000-0005-0000-0000-0000FC010000}"/>
    <cellStyle name="20% - 강조색1 55 2" xfId="2362" xr:uid="{00000000-0005-0000-0000-0000FD010000}"/>
    <cellStyle name="20% - 강조색1 55 20" xfId="9003" xr:uid="{00000000-0005-0000-0000-0000FE010000}"/>
    <cellStyle name="20% - 강조색1 55 21" xfId="5999" xr:uid="{00000000-0005-0000-0000-0000FF010000}"/>
    <cellStyle name="20% - 강조색1 55 22" xfId="1836" xr:uid="{00000000-0005-0000-0000-000000020000}"/>
    <cellStyle name="20% - 강조색1 55 23" xfId="9919" xr:uid="{00000000-0005-0000-0000-000001020000}"/>
    <cellStyle name="20% - 강조색1 55 24" xfId="10379" xr:uid="{00000000-0005-0000-0000-000002020000}"/>
    <cellStyle name="20% - 강조색1 55 25" xfId="10489" xr:uid="{00000000-0005-0000-0000-000003020000}"/>
    <cellStyle name="20% - 강조색1 55 26" xfId="10858" xr:uid="{00000000-0005-0000-0000-000004020000}"/>
    <cellStyle name="20% - 강조색1 55 27" xfId="11054" xr:uid="{00000000-0005-0000-0000-000005020000}"/>
    <cellStyle name="20% - 강조색1 55 3" xfId="2615" xr:uid="{00000000-0005-0000-0000-000006020000}"/>
    <cellStyle name="20% - 강조색1 55 4" xfId="869" xr:uid="{00000000-0005-0000-0000-000007020000}"/>
    <cellStyle name="20% - 강조색1 55 5" xfId="3329" xr:uid="{00000000-0005-0000-0000-000008020000}"/>
    <cellStyle name="20% - 강조색1 55 6" xfId="2166" xr:uid="{00000000-0005-0000-0000-000009020000}"/>
    <cellStyle name="20% - 강조색1 55 7" xfId="4004" xr:uid="{00000000-0005-0000-0000-00000A020000}"/>
    <cellStyle name="20% - 강조색1 55 8" xfId="1411" xr:uid="{00000000-0005-0000-0000-00000B020000}"/>
    <cellStyle name="20% - 강조색1 55 9" xfId="4422" xr:uid="{00000000-0005-0000-0000-00000C020000}"/>
    <cellStyle name="20% - 강조색1 56" xfId="2193" xr:uid="{00000000-0005-0000-0000-00000D020000}"/>
    <cellStyle name="20% - 강조색1 56 10" xfId="5162" xr:uid="{00000000-0005-0000-0000-00000E020000}"/>
    <cellStyle name="20% - 강조색1 56 11" xfId="5446" xr:uid="{00000000-0005-0000-0000-00000F020000}"/>
    <cellStyle name="20% - 강조색1 56 12" xfId="5172" xr:uid="{00000000-0005-0000-0000-000010020000}"/>
    <cellStyle name="20% - 강조색1 56 13" xfId="6524" xr:uid="{00000000-0005-0000-0000-000011020000}"/>
    <cellStyle name="20% - 강조색1 56 14" xfId="7244" xr:uid="{00000000-0005-0000-0000-000012020000}"/>
    <cellStyle name="20% - 강조색1 56 15" xfId="7089" xr:uid="{00000000-0005-0000-0000-000013020000}"/>
    <cellStyle name="20% - 강조색1 56 16" xfId="1468" xr:uid="{00000000-0005-0000-0000-000014020000}"/>
    <cellStyle name="20% - 강조색1 56 17" xfId="8161" xr:uid="{00000000-0005-0000-0000-000015020000}"/>
    <cellStyle name="20% - 강조색1 56 18" xfId="6827" xr:uid="{00000000-0005-0000-0000-000016020000}"/>
    <cellStyle name="20% - 강조색1 56 19" xfId="8743" xr:uid="{00000000-0005-0000-0000-000017020000}"/>
    <cellStyle name="20% - 강조색1 56 2" xfId="2702" xr:uid="{00000000-0005-0000-0000-000018020000}"/>
    <cellStyle name="20% - 강조색1 56 20" xfId="1551" xr:uid="{00000000-0005-0000-0000-000019020000}"/>
    <cellStyle name="20% - 강조색1 56 21" xfId="9527" xr:uid="{00000000-0005-0000-0000-00001A020000}"/>
    <cellStyle name="20% - 강조색1 56 22" xfId="9767" xr:uid="{00000000-0005-0000-0000-00001B020000}"/>
    <cellStyle name="20% - 강조색1 56 23" xfId="8955" xr:uid="{00000000-0005-0000-0000-00001C020000}"/>
    <cellStyle name="20% - 강조색1 56 24" xfId="6171" xr:uid="{00000000-0005-0000-0000-00001D020000}"/>
    <cellStyle name="20% - 강조색1 56 25" xfId="6929" xr:uid="{00000000-0005-0000-0000-00001E020000}"/>
    <cellStyle name="20% - 강조색1 56 26" xfId="11230" xr:uid="{00000000-0005-0000-0000-00001F020000}"/>
    <cellStyle name="20% - 강조색1 56 3" xfId="3017" xr:uid="{00000000-0005-0000-0000-000020020000}"/>
    <cellStyle name="20% - 강조색1 56 4" xfId="1583" xr:uid="{00000000-0005-0000-0000-000021020000}"/>
    <cellStyle name="20% - 강조색1 56 5" xfId="1444" xr:uid="{00000000-0005-0000-0000-000022020000}"/>
    <cellStyle name="20% - 강조색1 56 6" xfId="3953" xr:uid="{00000000-0005-0000-0000-000023020000}"/>
    <cellStyle name="20% - 강조색1 56 7" xfId="4302" xr:uid="{00000000-0005-0000-0000-000024020000}"/>
    <cellStyle name="20% - 강조색1 56 8" xfId="2452" xr:uid="{00000000-0005-0000-0000-000025020000}"/>
    <cellStyle name="20% - 강조색1 56 9" xfId="5328" xr:uid="{00000000-0005-0000-0000-000026020000}"/>
    <cellStyle name="20% - 강조색1 57" xfId="1856" xr:uid="{00000000-0005-0000-0000-000027020000}"/>
    <cellStyle name="20% - 강조색1 57 10" xfId="5264" xr:uid="{00000000-0005-0000-0000-000028020000}"/>
    <cellStyle name="20% - 강조색1 57 11" xfId="5624" xr:uid="{00000000-0005-0000-0000-000029020000}"/>
    <cellStyle name="20% - 강조색1 57 12" xfId="6313" xr:uid="{00000000-0005-0000-0000-00002A020000}"/>
    <cellStyle name="20% - 강조색1 57 13" xfId="6965" xr:uid="{00000000-0005-0000-0000-00002B020000}"/>
    <cellStyle name="20% - 강조색1 57 14" xfId="7306" xr:uid="{00000000-0005-0000-0000-00002C020000}"/>
    <cellStyle name="20% - 강조색1 57 15" xfId="7206" xr:uid="{00000000-0005-0000-0000-00002D020000}"/>
    <cellStyle name="20% - 강조색1 57 16" xfId="4872" xr:uid="{00000000-0005-0000-0000-00002E020000}"/>
    <cellStyle name="20% - 강조색1 57 17" xfId="1984" xr:uid="{00000000-0005-0000-0000-00002F020000}"/>
    <cellStyle name="20% - 강조색1 57 18" xfId="8828" xr:uid="{00000000-0005-0000-0000-000030020000}"/>
    <cellStyle name="20% - 강조색1 57 19" xfId="9075" xr:uid="{00000000-0005-0000-0000-000031020000}"/>
    <cellStyle name="20% - 강조색1 57 2" xfId="3002" xr:uid="{00000000-0005-0000-0000-000032020000}"/>
    <cellStyle name="20% - 강조색1 57 20" xfId="1999" xr:uid="{00000000-0005-0000-0000-000033020000}"/>
    <cellStyle name="20% - 강조색1 57 21" xfId="6480" xr:uid="{00000000-0005-0000-0000-000034020000}"/>
    <cellStyle name="20% - 강조색1 57 22" xfId="8733" xr:uid="{00000000-0005-0000-0000-000035020000}"/>
    <cellStyle name="20% - 강조색1 57 23" xfId="6254" xr:uid="{00000000-0005-0000-0000-000036020000}"/>
    <cellStyle name="20% - 강조색1 57 24" xfId="8109" xr:uid="{00000000-0005-0000-0000-000037020000}"/>
    <cellStyle name="20% - 강조색1 57 25" xfId="3160" xr:uid="{00000000-0005-0000-0000-000038020000}"/>
    <cellStyle name="20% - 강조색1 57 3" xfId="2140" xr:uid="{00000000-0005-0000-0000-000039020000}"/>
    <cellStyle name="20% - 강조색1 57 4" xfId="3436" xr:uid="{00000000-0005-0000-0000-00003A020000}"/>
    <cellStyle name="20% - 강조색1 57 5" xfId="3972" xr:uid="{00000000-0005-0000-0000-00003B020000}"/>
    <cellStyle name="20% - 강조색1 57 6" xfId="4196" xr:uid="{00000000-0005-0000-0000-00003C020000}"/>
    <cellStyle name="20% - 강조색1 57 7" xfId="4621" xr:uid="{00000000-0005-0000-0000-00003D020000}"/>
    <cellStyle name="20% - 강조색1 57 8" xfId="5643" xr:uid="{00000000-0005-0000-0000-00003E020000}"/>
    <cellStyle name="20% - 강조색1 57 9" xfId="5632" xr:uid="{00000000-0005-0000-0000-00003F020000}"/>
    <cellStyle name="20% - 강조색1 58" xfId="2866" xr:uid="{00000000-0005-0000-0000-000040020000}"/>
    <cellStyle name="20% - 강조색1 58 10" xfId="4807" xr:uid="{00000000-0005-0000-0000-000041020000}"/>
    <cellStyle name="20% - 강조색1 58 11" xfId="6474" xr:uid="{00000000-0005-0000-0000-000042020000}"/>
    <cellStyle name="20% - 강조색1 58 12" xfId="6785" xr:uid="{00000000-0005-0000-0000-000043020000}"/>
    <cellStyle name="20% - 강조색1 58 13" xfId="7347" xr:uid="{00000000-0005-0000-0000-000044020000}"/>
    <cellStyle name="20% - 강조색1 58 14" xfId="3474" xr:uid="{00000000-0005-0000-0000-000045020000}"/>
    <cellStyle name="20% - 강조색1 58 15" xfId="2430" xr:uid="{00000000-0005-0000-0000-000046020000}"/>
    <cellStyle name="20% - 강조색1 58 16" xfId="3666" xr:uid="{00000000-0005-0000-0000-000047020000}"/>
    <cellStyle name="20% - 강조색1 58 17" xfId="8823" xr:uid="{00000000-0005-0000-0000-000048020000}"/>
    <cellStyle name="20% - 강조색1 58 18" xfId="9366" xr:uid="{00000000-0005-0000-0000-000049020000}"/>
    <cellStyle name="20% - 강조색1 58 19" xfId="6188" xr:uid="{00000000-0005-0000-0000-00004A020000}"/>
    <cellStyle name="20% - 강조색1 58 2" xfId="3372" xr:uid="{00000000-0005-0000-0000-00004B020000}"/>
    <cellStyle name="20% - 강조색1 58 20" xfId="6154" xr:uid="{00000000-0005-0000-0000-00004C020000}"/>
    <cellStyle name="20% - 강조색1 58 21" xfId="10279" xr:uid="{00000000-0005-0000-0000-00004D020000}"/>
    <cellStyle name="20% - 강조색1 58 22" xfId="9129" xr:uid="{00000000-0005-0000-0000-00004E020000}"/>
    <cellStyle name="20% - 강조색1 58 23" xfId="10799" xr:uid="{00000000-0005-0000-0000-00004F020000}"/>
    <cellStyle name="20% - 강조색1 58 24" xfId="10430" xr:uid="{00000000-0005-0000-0000-000050020000}"/>
    <cellStyle name="20% - 강조색1 58 3" xfId="3705" xr:uid="{00000000-0005-0000-0000-000051020000}"/>
    <cellStyle name="20% - 강조색1 58 4" xfId="4043" xr:uid="{00000000-0005-0000-0000-000052020000}"/>
    <cellStyle name="20% - 강조색1 58 5" xfId="3832" xr:uid="{00000000-0005-0000-0000-000053020000}"/>
    <cellStyle name="20% - 강조색1 58 6" xfId="4748" xr:uid="{00000000-0005-0000-0000-000054020000}"/>
    <cellStyle name="20% - 강조색1 58 7" xfId="5545" xr:uid="{00000000-0005-0000-0000-000055020000}"/>
    <cellStyle name="20% - 강조색1 58 8" xfId="4426" xr:uid="{00000000-0005-0000-0000-000056020000}"/>
    <cellStyle name="20% - 강조색1 58 9" xfId="5065" xr:uid="{00000000-0005-0000-0000-000057020000}"/>
    <cellStyle name="20% - 강조색1 59" xfId="730" xr:uid="{00000000-0005-0000-0000-000058020000}"/>
    <cellStyle name="20% - 강조색1 59 10" xfId="6473" xr:uid="{00000000-0005-0000-0000-000059020000}"/>
    <cellStyle name="20% - 강조색1 59 11" xfId="7122" xr:uid="{00000000-0005-0000-0000-00005A020000}"/>
    <cellStyle name="20% - 강조색1 59 12" xfId="7363" xr:uid="{00000000-0005-0000-0000-00005B020000}"/>
    <cellStyle name="20% - 강조색1 59 13" xfId="6161" xr:uid="{00000000-0005-0000-0000-00005C020000}"/>
    <cellStyle name="20% - 강조색1 59 14" xfId="7919" xr:uid="{00000000-0005-0000-0000-00005D020000}"/>
    <cellStyle name="20% - 강조색1 59 15" xfId="8396" xr:uid="{00000000-0005-0000-0000-00005E020000}"/>
    <cellStyle name="20% - 강조색1 59 16" xfId="8773" xr:uid="{00000000-0005-0000-0000-00005F020000}"/>
    <cellStyle name="20% - 강조색1 59 17" xfId="841" xr:uid="{00000000-0005-0000-0000-000060020000}"/>
    <cellStyle name="20% - 강조색1 59 18" xfId="886" xr:uid="{00000000-0005-0000-0000-000061020000}"/>
    <cellStyle name="20% - 강조색1 59 19" xfId="9988" xr:uid="{00000000-0005-0000-0000-000062020000}"/>
    <cellStyle name="20% - 강조색1 59 2" xfId="926" xr:uid="{00000000-0005-0000-0000-000063020000}"/>
    <cellStyle name="20% - 강조색1 59 20" xfId="4884" xr:uid="{00000000-0005-0000-0000-000064020000}"/>
    <cellStyle name="20% - 강조색1 59 21" xfId="10535" xr:uid="{00000000-0005-0000-0000-000065020000}"/>
    <cellStyle name="20% - 강조색1 59 22" xfId="10932" xr:uid="{00000000-0005-0000-0000-000066020000}"/>
    <cellStyle name="20% - 강조색1 59 23" xfId="4969" xr:uid="{00000000-0005-0000-0000-000067020000}"/>
    <cellStyle name="20% - 강조색1 59 3" xfId="3946" xr:uid="{00000000-0005-0000-0000-000068020000}"/>
    <cellStyle name="20% - 강조색1 59 4" xfId="3505" xr:uid="{00000000-0005-0000-0000-000069020000}"/>
    <cellStyle name="20% - 강조색1 59 5" xfId="3062" xr:uid="{00000000-0005-0000-0000-00006A020000}"/>
    <cellStyle name="20% - 강조색1 59 6" xfId="848" xr:uid="{00000000-0005-0000-0000-00006B020000}"/>
    <cellStyle name="20% - 강조색1 59 7" xfId="702" xr:uid="{00000000-0005-0000-0000-00006C020000}"/>
    <cellStyle name="20% - 강조색1 59 8" xfId="1497" xr:uid="{00000000-0005-0000-0000-00006D020000}"/>
    <cellStyle name="20% - 강조색1 59 9" xfId="1626" xr:uid="{00000000-0005-0000-0000-00006E020000}"/>
    <cellStyle name="20% - 강조색1 6" xfId="60" xr:uid="{00000000-0005-0000-0000-00006F020000}"/>
    <cellStyle name="20% - 강조색1 60" xfId="3532" xr:uid="{00000000-0005-0000-0000-000070020000}"/>
    <cellStyle name="20% - 강조색1 60 10" xfId="4102" xr:uid="{00000000-0005-0000-0000-000071020000}"/>
    <cellStyle name="20% - 강조색1 60 11" xfId="6309" xr:uid="{00000000-0005-0000-0000-000072020000}"/>
    <cellStyle name="20% - 강조색1 60 12" xfId="7457" xr:uid="{00000000-0005-0000-0000-000073020000}"/>
    <cellStyle name="20% - 강조색1 60 13" xfId="2410" xr:uid="{00000000-0005-0000-0000-000074020000}"/>
    <cellStyle name="20% - 강조색1 60 14" xfId="7419" xr:uid="{00000000-0005-0000-0000-000075020000}"/>
    <cellStyle name="20% - 강조색1 60 15" xfId="8687" xr:uid="{00000000-0005-0000-0000-000076020000}"/>
    <cellStyle name="20% - 강조색1 60 16" xfId="9371" xr:uid="{00000000-0005-0000-0000-000077020000}"/>
    <cellStyle name="20% - 강조색1 60 17" xfId="8369" xr:uid="{00000000-0005-0000-0000-000078020000}"/>
    <cellStyle name="20% - 강조색1 60 18" xfId="3616" xr:uid="{00000000-0005-0000-0000-000079020000}"/>
    <cellStyle name="20% - 강조색1 60 19" xfId="8064" xr:uid="{00000000-0005-0000-0000-00007A020000}"/>
    <cellStyle name="20% - 강조색1 60 2" xfId="4062" xr:uid="{00000000-0005-0000-0000-00007B020000}"/>
    <cellStyle name="20% - 강조색1 60 20" xfId="10459" xr:uid="{00000000-0005-0000-0000-00007C020000}"/>
    <cellStyle name="20% - 강조색1 60 21" xfId="4844" xr:uid="{00000000-0005-0000-0000-00007D020000}"/>
    <cellStyle name="20% - 강조색1 60 22" xfId="7141" xr:uid="{00000000-0005-0000-0000-00007E020000}"/>
    <cellStyle name="20% - 강조색1 60 3" xfId="4398" xr:uid="{00000000-0005-0000-0000-00007F020000}"/>
    <cellStyle name="20% - 강조색1 60 4" xfId="4751" xr:uid="{00000000-0005-0000-0000-000080020000}"/>
    <cellStyle name="20% - 강조색1 60 5" xfId="5596" xr:uid="{00000000-0005-0000-0000-000081020000}"/>
    <cellStyle name="20% - 강조색1 60 6" xfId="5705" xr:uid="{00000000-0005-0000-0000-000082020000}"/>
    <cellStyle name="20% - 강조색1 60 7" xfId="5601" xr:uid="{00000000-0005-0000-0000-000083020000}"/>
    <cellStyle name="20% - 강조색1 60 8" xfId="1900" xr:uid="{00000000-0005-0000-0000-000084020000}"/>
    <cellStyle name="20% - 강조색1 60 9" xfId="6573" xr:uid="{00000000-0005-0000-0000-000085020000}"/>
    <cellStyle name="20% - 강조색1 61" xfId="3842" xr:uid="{00000000-0005-0000-0000-000086020000}"/>
    <cellStyle name="20% - 강조색1 61 10" xfId="6782" xr:uid="{00000000-0005-0000-0000-000087020000}"/>
    <cellStyle name="20% - 강조색1 61 11" xfId="7619" xr:uid="{00000000-0005-0000-0000-000088020000}"/>
    <cellStyle name="20% - 강조색1 61 12" xfId="8032" xr:uid="{00000000-0005-0000-0000-000089020000}"/>
    <cellStyle name="20% - 강조색1 61 13" xfId="6076" xr:uid="{00000000-0005-0000-0000-00008A020000}"/>
    <cellStyle name="20% - 강조색1 61 14" xfId="8734" xr:uid="{00000000-0005-0000-0000-00008B020000}"/>
    <cellStyle name="20% - 강조색1 61 15" xfId="7707" xr:uid="{00000000-0005-0000-0000-00008C020000}"/>
    <cellStyle name="20% - 강조색1 61 16" xfId="9663" xr:uid="{00000000-0005-0000-0000-00008D020000}"/>
    <cellStyle name="20% - 강조색1 61 17" xfId="10004" xr:uid="{00000000-0005-0000-0000-00008E020000}"/>
    <cellStyle name="20% - 강조색1 61 18" xfId="9804" xr:uid="{00000000-0005-0000-0000-00008F020000}"/>
    <cellStyle name="20% - 강조색1 61 19" xfId="10580" xr:uid="{00000000-0005-0000-0000-000090020000}"/>
    <cellStyle name="20% - 강조색1 61 2" xfId="4407" xr:uid="{00000000-0005-0000-0000-000091020000}"/>
    <cellStyle name="20% - 강조색1 61 20" xfId="10916" xr:uid="{00000000-0005-0000-0000-000092020000}"/>
    <cellStyle name="20% - 강조색1 61 21" xfId="4845" xr:uid="{00000000-0005-0000-0000-000093020000}"/>
    <cellStyle name="20% - 강조색1 61 3" xfId="4760" xr:uid="{00000000-0005-0000-0000-000094020000}"/>
    <cellStyle name="20% - 강조색1 61 4" xfId="5653" xr:uid="{00000000-0005-0000-0000-000095020000}"/>
    <cellStyle name="20% - 강조색1 61 5" xfId="5003" xr:uid="{00000000-0005-0000-0000-000096020000}"/>
    <cellStyle name="20% - 강조색1 61 6" xfId="5569" xr:uid="{00000000-0005-0000-0000-000097020000}"/>
    <cellStyle name="20% - 강조색1 61 7" xfId="5618" xr:uid="{00000000-0005-0000-0000-000098020000}"/>
    <cellStyle name="20% - 강조색1 61 8" xfId="6549" xr:uid="{00000000-0005-0000-0000-000099020000}"/>
    <cellStyle name="20% - 강조색1 61 9" xfId="4090" xr:uid="{00000000-0005-0000-0000-00009A020000}"/>
    <cellStyle name="20% - 강조색1 62" xfId="3222" xr:uid="{00000000-0005-0000-0000-00009B020000}"/>
    <cellStyle name="20% - 강조색1 62 10" xfId="3518" xr:uid="{00000000-0005-0000-0000-00009C020000}"/>
    <cellStyle name="20% - 강조색1 62 11" xfId="7921" xr:uid="{00000000-0005-0000-0000-00009D020000}"/>
    <cellStyle name="20% - 강조색1 62 12" xfId="4989" xr:uid="{00000000-0005-0000-0000-00009E020000}"/>
    <cellStyle name="20% - 강조색1 62 13" xfId="7062" xr:uid="{00000000-0005-0000-0000-00009F020000}"/>
    <cellStyle name="20% - 강조색1 62 14" xfId="9273" xr:uid="{00000000-0005-0000-0000-0000A0020000}"/>
    <cellStyle name="20% - 강조색1 62 15" xfId="7587" xr:uid="{00000000-0005-0000-0000-0000A1020000}"/>
    <cellStyle name="20% - 강조색1 62 16" xfId="8416" xr:uid="{00000000-0005-0000-0000-0000A2020000}"/>
    <cellStyle name="20% - 강조색1 62 17" xfId="6713" xr:uid="{00000000-0005-0000-0000-0000A3020000}"/>
    <cellStyle name="20% - 강조색1 62 18" xfId="5109" xr:uid="{00000000-0005-0000-0000-0000A4020000}"/>
    <cellStyle name="20% - 강조색1 62 19" xfId="10783" xr:uid="{00000000-0005-0000-0000-0000A5020000}"/>
    <cellStyle name="20% - 강조색1 62 2" xfId="4675" xr:uid="{00000000-0005-0000-0000-0000A6020000}"/>
    <cellStyle name="20% - 강조색1 62 20" xfId="11136" xr:uid="{00000000-0005-0000-0000-0000A7020000}"/>
    <cellStyle name="20% - 강조색1 62 3" xfId="4943" xr:uid="{00000000-0005-0000-0000-0000A8020000}"/>
    <cellStyle name="20% - 강조색1 62 4" xfId="5563" xr:uid="{00000000-0005-0000-0000-0000A9020000}"/>
    <cellStyle name="20% - 강조색1 62 5" xfId="2562" xr:uid="{00000000-0005-0000-0000-0000AA020000}"/>
    <cellStyle name="20% - 강조색1 62 6" xfId="4963" xr:uid="{00000000-0005-0000-0000-0000AB020000}"/>
    <cellStyle name="20% - 강조색1 62 7" xfId="6292" xr:uid="{00000000-0005-0000-0000-0000AC020000}"/>
    <cellStyle name="20% - 강조색1 62 8" xfId="1452" xr:uid="{00000000-0005-0000-0000-0000AD020000}"/>
    <cellStyle name="20% - 강조색1 62 9" xfId="6026" xr:uid="{00000000-0005-0000-0000-0000AE020000}"/>
    <cellStyle name="20% - 강조색1 63" xfId="802" xr:uid="{00000000-0005-0000-0000-0000AF020000}"/>
    <cellStyle name="20% - 강조색1 63 10" xfId="2783" xr:uid="{00000000-0005-0000-0000-0000B0020000}"/>
    <cellStyle name="20% - 강조색1 63 11" xfId="3433" xr:uid="{00000000-0005-0000-0000-0000B1020000}"/>
    <cellStyle name="20% - 강조색1 63 12" xfId="8691" xr:uid="{00000000-0005-0000-0000-0000B2020000}"/>
    <cellStyle name="20% - 강조색1 63 13" xfId="6299" xr:uid="{00000000-0005-0000-0000-0000B3020000}"/>
    <cellStyle name="20% - 강조색1 63 14" xfId="1407" xr:uid="{00000000-0005-0000-0000-0000B4020000}"/>
    <cellStyle name="20% - 강조색1 63 15" xfId="10052" xr:uid="{00000000-0005-0000-0000-0000B5020000}"/>
    <cellStyle name="20% - 강조색1 63 16" xfId="6795" xr:uid="{00000000-0005-0000-0000-0000B6020000}"/>
    <cellStyle name="20% - 강조색1 63 17" xfId="9889" xr:uid="{00000000-0005-0000-0000-0000B7020000}"/>
    <cellStyle name="20% - 강조색1 63 18" xfId="10128" xr:uid="{00000000-0005-0000-0000-0000B8020000}"/>
    <cellStyle name="20% - 강조색1 63 19" xfId="11071" xr:uid="{00000000-0005-0000-0000-0000B9020000}"/>
    <cellStyle name="20% - 강조색1 63 2" xfId="2814" xr:uid="{00000000-0005-0000-0000-0000BA020000}"/>
    <cellStyle name="20% - 강조색1 63 3" xfId="5358" xr:uid="{00000000-0005-0000-0000-0000BB020000}"/>
    <cellStyle name="20% - 강조색1 63 4" xfId="5727" xr:uid="{00000000-0005-0000-0000-0000BC020000}"/>
    <cellStyle name="20% - 강조색1 63 5" xfId="4951" xr:uid="{00000000-0005-0000-0000-0000BD020000}"/>
    <cellStyle name="20% - 강조색1 63 6" xfId="6187" xr:uid="{00000000-0005-0000-0000-0000BE020000}"/>
    <cellStyle name="20% - 강조색1 63 7" xfId="7003" xr:uid="{00000000-0005-0000-0000-0000BF020000}"/>
    <cellStyle name="20% - 강조색1 63 8" xfId="6994" xr:uid="{00000000-0005-0000-0000-0000C0020000}"/>
    <cellStyle name="20% - 강조색1 63 9" xfId="3133" xr:uid="{00000000-0005-0000-0000-0000C1020000}"/>
    <cellStyle name="20% - 강조색1 64" xfId="5147" xr:uid="{00000000-0005-0000-0000-0000C2020000}"/>
    <cellStyle name="20% - 강조색1 64 10" xfId="9563" xr:uid="{00000000-0005-0000-0000-0000C3020000}"/>
    <cellStyle name="20% - 강조색1 64 11" xfId="9994" xr:uid="{00000000-0005-0000-0000-0000C4020000}"/>
    <cellStyle name="20% - 강조색1 64 12" xfId="10152" xr:uid="{00000000-0005-0000-0000-0000C5020000}"/>
    <cellStyle name="20% - 강조색1 64 13" xfId="10591" xr:uid="{00000000-0005-0000-0000-0000C6020000}"/>
    <cellStyle name="20% - 강조색1 64 14" xfId="10816" xr:uid="{00000000-0005-0000-0000-0000C7020000}"/>
    <cellStyle name="20% - 강조색1 64 15" xfId="11270" xr:uid="{00000000-0005-0000-0000-0000C8020000}"/>
    <cellStyle name="20% - 강조색1 64 2" xfId="6661" xr:uid="{00000000-0005-0000-0000-0000C9020000}"/>
    <cellStyle name="20% - 강조색1 64 3" xfId="7149" xr:uid="{00000000-0005-0000-0000-0000CA020000}"/>
    <cellStyle name="20% - 강조색1 64 4" xfId="4964" xr:uid="{00000000-0005-0000-0000-0000CB020000}"/>
    <cellStyle name="20% - 강조색1 64 5" xfId="7755" xr:uid="{00000000-0005-0000-0000-0000CC020000}"/>
    <cellStyle name="20% - 강조색1 64 6" xfId="4221" xr:uid="{00000000-0005-0000-0000-0000CD020000}"/>
    <cellStyle name="20% - 강조색1 64 7" xfId="6238" xr:uid="{00000000-0005-0000-0000-0000CE020000}"/>
    <cellStyle name="20% - 강조색1 64 8" xfId="6428" xr:uid="{00000000-0005-0000-0000-0000CF020000}"/>
    <cellStyle name="20% - 강조색1 64 9" xfId="3186" xr:uid="{00000000-0005-0000-0000-0000D0020000}"/>
    <cellStyle name="20% - 강조색1 65" xfId="5477" xr:uid="{00000000-0005-0000-0000-0000D1020000}"/>
    <cellStyle name="20% - 강조색1 65 10" xfId="9547" xr:uid="{00000000-0005-0000-0000-0000D2020000}"/>
    <cellStyle name="20% - 강조색1 65 11" xfId="7411" xr:uid="{00000000-0005-0000-0000-0000D3020000}"/>
    <cellStyle name="20% - 강조색1 65 12" xfId="7614" xr:uid="{00000000-0005-0000-0000-0000D4020000}"/>
    <cellStyle name="20% - 강조색1 65 13" xfId="7415" xr:uid="{00000000-0005-0000-0000-0000D5020000}"/>
    <cellStyle name="20% - 강조색1 65 14" xfId="10896" xr:uid="{00000000-0005-0000-0000-0000D6020000}"/>
    <cellStyle name="20% - 강조색1 65 15" xfId="11057" xr:uid="{00000000-0005-0000-0000-0000D7020000}"/>
    <cellStyle name="20% - 강조색1 65 2" xfId="6671" xr:uid="{00000000-0005-0000-0000-0000D8020000}"/>
    <cellStyle name="20% - 강조색1 65 3" xfId="7026" xr:uid="{00000000-0005-0000-0000-0000D9020000}"/>
    <cellStyle name="20% - 강조색1 65 4" xfId="5071" xr:uid="{00000000-0005-0000-0000-0000DA020000}"/>
    <cellStyle name="20% - 강조색1 65 5" xfId="7523" xr:uid="{00000000-0005-0000-0000-0000DB020000}"/>
    <cellStyle name="20% - 강조색1 65 6" xfId="8137" xr:uid="{00000000-0005-0000-0000-0000DC020000}"/>
    <cellStyle name="20% - 강조색1 65 7" xfId="4324" xr:uid="{00000000-0005-0000-0000-0000DD020000}"/>
    <cellStyle name="20% - 강조색1 65 8" xfId="8888" xr:uid="{00000000-0005-0000-0000-0000DE020000}"/>
    <cellStyle name="20% - 강조색1 65 9" xfId="4488" xr:uid="{00000000-0005-0000-0000-0000DF020000}"/>
    <cellStyle name="20% - 강조색1 66" xfId="5311" xr:uid="{00000000-0005-0000-0000-0000E0020000}"/>
    <cellStyle name="20% - 강조색1 66 10" xfId="9319" xr:uid="{00000000-0005-0000-0000-0000E1020000}"/>
    <cellStyle name="20% - 강조색1 66 11" xfId="9978" xr:uid="{00000000-0005-0000-0000-0000E2020000}"/>
    <cellStyle name="20% - 강조색1 66 12" xfId="10120" xr:uid="{00000000-0005-0000-0000-0000E3020000}"/>
    <cellStyle name="20% - 강조색1 66 13" xfId="10624" xr:uid="{00000000-0005-0000-0000-0000E4020000}"/>
    <cellStyle name="20% - 강조색1 66 14" xfId="10989" xr:uid="{00000000-0005-0000-0000-0000E5020000}"/>
    <cellStyle name="20% - 강조색1 66 15" xfId="9194" xr:uid="{00000000-0005-0000-0000-0000E6020000}"/>
    <cellStyle name="20% - 강조색1 66 2" xfId="6665" xr:uid="{00000000-0005-0000-0000-0000E7020000}"/>
    <cellStyle name="20% - 강조색1 66 3" xfId="7190" xr:uid="{00000000-0005-0000-0000-0000E8020000}"/>
    <cellStyle name="20% - 강조색1 66 4" xfId="4131" xr:uid="{00000000-0005-0000-0000-0000E9020000}"/>
    <cellStyle name="20% - 강조색1 66 5" xfId="3664" xr:uid="{00000000-0005-0000-0000-0000EA020000}"/>
    <cellStyle name="20% - 강조색1 66 6" xfId="7940" xr:uid="{00000000-0005-0000-0000-0000EB020000}"/>
    <cellStyle name="20% - 강조색1 66 7" xfId="8504" xr:uid="{00000000-0005-0000-0000-0000EC020000}"/>
    <cellStyle name="20% - 강조색1 66 8" xfId="1464" xr:uid="{00000000-0005-0000-0000-0000ED020000}"/>
    <cellStyle name="20% - 강조색1 66 9" xfId="9362" xr:uid="{00000000-0005-0000-0000-0000EE020000}"/>
    <cellStyle name="20% - 강조색1 67" xfId="4934" xr:uid="{00000000-0005-0000-0000-0000EF020000}"/>
    <cellStyle name="20% - 강조색1 67 10" xfId="9552" xr:uid="{00000000-0005-0000-0000-0000F0020000}"/>
    <cellStyle name="20% - 강조색1 67 11" xfId="3419" xr:uid="{00000000-0005-0000-0000-0000F1020000}"/>
    <cellStyle name="20% - 강조색1 67 12" xfId="8896" xr:uid="{00000000-0005-0000-0000-0000F2020000}"/>
    <cellStyle name="20% - 강조색1 67 13" xfId="2667" xr:uid="{00000000-0005-0000-0000-0000F3020000}"/>
    <cellStyle name="20% - 강조색1 67 14" xfId="9446" xr:uid="{00000000-0005-0000-0000-0000F4020000}"/>
    <cellStyle name="20% - 강조색1 67 15" xfId="7556" xr:uid="{00000000-0005-0000-0000-0000F5020000}"/>
    <cellStyle name="20% - 강조색1 67 2" xfId="6652" xr:uid="{00000000-0005-0000-0000-0000F6020000}"/>
    <cellStyle name="20% - 강조색1 67 3" xfId="2795" xr:uid="{00000000-0005-0000-0000-0000F7020000}"/>
    <cellStyle name="20% - 강조색1 67 4" xfId="6967" xr:uid="{00000000-0005-0000-0000-0000F8020000}"/>
    <cellStyle name="20% - 강조색1 67 5" xfId="7827" xr:uid="{00000000-0005-0000-0000-0000F9020000}"/>
    <cellStyle name="20% - 강조색1 67 6" xfId="8093" xr:uid="{00000000-0005-0000-0000-0000FA020000}"/>
    <cellStyle name="20% - 강조색1 67 7" xfId="6741" xr:uid="{00000000-0005-0000-0000-0000FB020000}"/>
    <cellStyle name="20% - 강조색1 67 8" xfId="3068" xr:uid="{00000000-0005-0000-0000-0000FC020000}"/>
    <cellStyle name="20% - 강조색1 67 9" xfId="8471" xr:uid="{00000000-0005-0000-0000-0000FD020000}"/>
    <cellStyle name="20% - 강조색1 68" xfId="6050" xr:uid="{00000000-0005-0000-0000-0000FE020000}"/>
    <cellStyle name="20% - 강조색1 68 10" xfId="10015" xr:uid="{00000000-0005-0000-0000-0000FF020000}"/>
    <cellStyle name="20% - 강조색1 68 11" xfId="10242" xr:uid="{00000000-0005-0000-0000-000000030000}"/>
    <cellStyle name="20% - 강조색1 68 12" xfId="10421" xr:uid="{00000000-0005-0000-0000-000001030000}"/>
    <cellStyle name="20% - 강조색1 68 13" xfId="10846" xr:uid="{00000000-0005-0000-0000-000002030000}"/>
    <cellStyle name="20% - 강조색1 68 14" xfId="6476" xr:uid="{00000000-0005-0000-0000-000003030000}"/>
    <cellStyle name="20% - 강조색1 68 2" xfId="7336" xr:uid="{00000000-0005-0000-0000-000004030000}"/>
    <cellStyle name="20% - 강조색1 68 3" xfId="7377" xr:uid="{00000000-0005-0000-0000-000005030000}"/>
    <cellStyle name="20% - 강조색1 68 4" xfId="7865" xr:uid="{00000000-0005-0000-0000-000006030000}"/>
    <cellStyle name="20% - 강조색1 68 5" xfId="6047" xr:uid="{00000000-0005-0000-0000-000007030000}"/>
    <cellStyle name="20% - 강조색1 68 6" xfId="3381" xr:uid="{00000000-0005-0000-0000-000008030000}"/>
    <cellStyle name="20% - 강조색1 68 7" xfId="8689" xr:uid="{00000000-0005-0000-0000-000009030000}"/>
    <cellStyle name="20% - 강조색1 68 8" xfId="2875" xr:uid="{00000000-0005-0000-0000-00000A030000}"/>
    <cellStyle name="20% - 강조색1 68 9" xfId="9648" xr:uid="{00000000-0005-0000-0000-00000B030000}"/>
    <cellStyle name="20% - 강조색1 69" xfId="3475" xr:uid="{00000000-0005-0000-0000-00000C030000}"/>
    <cellStyle name="20% - 강조색1 69 10" xfId="10513" xr:uid="{00000000-0005-0000-0000-00000D030000}"/>
    <cellStyle name="20% - 강조색1 69 11" xfId="10895" xr:uid="{00000000-0005-0000-0000-00000E030000}"/>
    <cellStyle name="20% - 강조색1 69 12" xfId="11134" xr:uid="{00000000-0005-0000-0000-00000F030000}"/>
    <cellStyle name="20% - 강조색1 69 2" xfId="5486" xr:uid="{00000000-0005-0000-0000-000010030000}"/>
    <cellStyle name="20% - 강조색1 69 3" xfId="8268" xr:uid="{00000000-0005-0000-0000-000011030000}"/>
    <cellStyle name="20% - 강조색1 69 4" xfId="8474" xr:uid="{00000000-0005-0000-0000-000012030000}"/>
    <cellStyle name="20% - 강조색1 69 5" xfId="8806" xr:uid="{00000000-0005-0000-0000-000013030000}"/>
    <cellStyle name="20% - 강조색1 69 6" xfId="7674" xr:uid="{00000000-0005-0000-0000-000014030000}"/>
    <cellStyle name="20% - 강조색1 69 7" xfId="9594" xr:uid="{00000000-0005-0000-0000-000015030000}"/>
    <cellStyle name="20% - 강조색1 69 8" xfId="6068" xr:uid="{00000000-0005-0000-0000-000016030000}"/>
    <cellStyle name="20% - 강조색1 69 9" xfId="10333" xr:uid="{00000000-0005-0000-0000-000017030000}"/>
    <cellStyle name="20% - 강조색1 7" xfId="59" xr:uid="{00000000-0005-0000-0000-000018030000}"/>
    <cellStyle name="20% - 강조색1 70" xfId="6123" xr:uid="{00000000-0005-0000-0000-000019030000}"/>
    <cellStyle name="20% - 강조색1 70 10" xfId="7548" xr:uid="{00000000-0005-0000-0000-00001A030000}"/>
    <cellStyle name="20% - 강조색1 70 11" xfId="6013" xr:uid="{00000000-0005-0000-0000-00001B030000}"/>
    <cellStyle name="20% - 강조색1 70 12" xfId="6358" xr:uid="{00000000-0005-0000-0000-00001C030000}"/>
    <cellStyle name="20% - 강조색1 70 2" xfId="7867" xr:uid="{00000000-0005-0000-0000-00001D030000}"/>
    <cellStyle name="20% - 강조색1 70 3" xfId="8039" xr:uid="{00000000-0005-0000-0000-00001E030000}"/>
    <cellStyle name="20% - 강조색1 70 4" xfId="4803" xr:uid="{00000000-0005-0000-0000-00001F030000}"/>
    <cellStyle name="20% - 강조색1 70 5" xfId="8435" xr:uid="{00000000-0005-0000-0000-000020030000}"/>
    <cellStyle name="20% - 강조색1 70 6" xfId="3871" xr:uid="{00000000-0005-0000-0000-000021030000}"/>
    <cellStyle name="20% - 강조색1 70 7" xfId="9706" xr:uid="{00000000-0005-0000-0000-000022030000}"/>
    <cellStyle name="20% - 강조색1 70 8" xfId="3739" xr:uid="{00000000-0005-0000-0000-000023030000}"/>
    <cellStyle name="20% - 강조색1 70 9" xfId="9230" xr:uid="{00000000-0005-0000-0000-000024030000}"/>
    <cellStyle name="20% - 강조색1 71" xfId="7708" xr:uid="{00000000-0005-0000-0000-000025030000}"/>
    <cellStyle name="20% - 강조색1 71 10" xfId="8484" xr:uid="{00000000-0005-0000-0000-000026030000}"/>
    <cellStyle name="20% - 강조색1 71 11" xfId="3432" xr:uid="{00000000-0005-0000-0000-000027030000}"/>
    <cellStyle name="20% - 강조색1 71 2" xfId="8297" xr:uid="{00000000-0005-0000-0000-000028030000}"/>
    <cellStyle name="20% - 강조색1 71 3" xfId="8659" xr:uid="{00000000-0005-0000-0000-000029030000}"/>
    <cellStyle name="20% - 강조색1 71 4" xfId="9023" xr:uid="{00000000-0005-0000-0000-00002A030000}"/>
    <cellStyle name="20% - 강조색1 71 5" xfId="9223" xr:uid="{00000000-0005-0000-0000-00002B030000}"/>
    <cellStyle name="20% - 강조색1 71 6" xfId="9651" xr:uid="{00000000-0005-0000-0000-00002C030000}"/>
    <cellStyle name="20% - 강조색1 71 7" xfId="9915" xr:uid="{00000000-0005-0000-0000-00002D030000}"/>
    <cellStyle name="20% - 강조색1 71 8" xfId="10269" xr:uid="{00000000-0005-0000-0000-00002E030000}"/>
    <cellStyle name="20% - 강조색1 71 9" xfId="10477" xr:uid="{00000000-0005-0000-0000-00002F030000}"/>
    <cellStyle name="20% - 강조색1 72" xfId="6314" xr:uid="{00000000-0005-0000-0000-000030030000}"/>
    <cellStyle name="20% - 강조색1 72 10" xfId="11150" xr:uid="{00000000-0005-0000-0000-000031030000}"/>
    <cellStyle name="20% - 강조색1 72 2" xfId="2770" xr:uid="{00000000-0005-0000-0000-000032030000}"/>
    <cellStyle name="20% - 강조색1 72 3" xfId="6345" xr:uid="{00000000-0005-0000-0000-000033030000}"/>
    <cellStyle name="20% - 강조색1 72 4" xfId="9265" xr:uid="{00000000-0005-0000-0000-000034030000}"/>
    <cellStyle name="20% - 강조색1 72 5" xfId="4816" xr:uid="{00000000-0005-0000-0000-000035030000}"/>
    <cellStyle name="20% - 강조색1 72 6" xfId="9908" xr:uid="{00000000-0005-0000-0000-000036030000}"/>
    <cellStyle name="20% - 강조색1 72 7" xfId="10184" xr:uid="{00000000-0005-0000-0000-000037030000}"/>
    <cellStyle name="20% - 강조색1 72 8" xfId="10650" xr:uid="{00000000-0005-0000-0000-000038030000}"/>
    <cellStyle name="20% - 강조색1 72 9" xfId="10931" xr:uid="{00000000-0005-0000-0000-000039030000}"/>
    <cellStyle name="20% - 강조색1 73" xfId="1606" xr:uid="{00000000-0005-0000-0000-00003A030000}"/>
    <cellStyle name="20% - 강조색1 73 2" xfId="8725" xr:uid="{00000000-0005-0000-0000-00003B030000}"/>
    <cellStyle name="20% - 강조색1 73 3" xfId="9196" xr:uid="{00000000-0005-0000-0000-00003C030000}"/>
    <cellStyle name="20% - 강조색1 73 4" xfId="8328" xr:uid="{00000000-0005-0000-0000-00003D030000}"/>
    <cellStyle name="20% - 강조색1 73 5" xfId="7460" xr:uid="{00000000-0005-0000-0000-00003E030000}"/>
    <cellStyle name="20% - 강조색1 73 6" xfId="9072" xr:uid="{00000000-0005-0000-0000-00003F030000}"/>
    <cellStyle name="20% - 강조색1 73 7" xfId="7941" xr:uid="{00000000-0005-0000-0000-000040030000}"/>
    <cellStyle name="20% - 강조색1 73 8" xfId="4114" xr:uid="{00000000-0005-0000-0000-000041030000}"/>
    <cellStyle name="20% - 강조색1 73 9" xfId="11212" xr:uid="{00000000-0005-0000-0000-000042030000}"/>
    <cellStyle name="20% - 강조색1 74" xfId="6145" xr:uid="{00000000-0005-0000-0000-000043030000}"/>
    <cellStyle name="20% - 강조색1 74 2" xfId="4782" xr:uid="{00000000-0005-0000-0000-000044030000}"/>
    <cellStyle name="20% - 강조색1 74 3" xfId="6303" xr:uid="{00000000-0005-0000-0000-000045030000}"/>
    <cellStyle name="20% - 강조색1 74 4" xfId="10047" xr:uid="{00000000-0005-0000-0000-000046030000}"/>
    <cellStyle name="20% - 강조색1 74 5" xfId="10187" xr:uid="{00000000-0005-0000-0000-000047030000}"/>
    <cellStyle name="20% - 강조색1 74 6" xfId="10618" xr:uid="{00000000-0005-0000-0000-000048030000}"/>
    <cellStyle name="20% - 강조색1 74 7" xfId="7555" xr:uid="{00000000-0005-0000-0000-000049030000}"/>
    <cellStyle name="20% - 강조색1 74 8" xfId="10813" xr:uid="{00000000-0005-0000-0000-00004A030000}"/>
    <cellStyle name="20% - 강조색1 75" xfId="3851" xr:uid="{00000000-0005-0000-0000-00004B030000}"/>
    <cellStyle name="20% - 강조색1 75 2" xfId="9139" xr:uid="{00000000-0005-0000-0000-00004C030000}"/>
    <cellStyle name="20% - 강조색1 75 3" xfId="8452" xr:uid="{00000000-0005-0000-0000-00004D030000}"/>
    <cellStyle name="20% - 강조색1 75 4" xfId="10126" xr:uid="{00000000-0005-0000-0000-00004E030000}"/>
    <cellStyle name="20% - 강조색1 75 5" xfId="10623" xr:uid="{00000000-0005-0000-0000-00004F030000}"/>
    <cellStyle name="20% - 강조색1 75 6" xfId="4478" xr:uid="{00000000-0005-0000-0000-000050030000}"/>
    <cellStyle name="20% - 강조색1 75 7" xfId="7459" xr:uid="{00000000-0005-0000-0000-000051030000}"/>
    <cellStyle name="20% - 강조색1 76" xfId="1559" xr:uid="{00000000-0005-0000-0000-000052030000}"/>
    <cellStyle name="20% - 강조색1 76 2" xfId="9882" xr:uid="{00000000-0005-0000-0000-000053030000}"/>
    <cellStyle name="20% - 강조색1 76 3" xfId="10377" xr:uid="{00000000-0005-0000-0000-000054030000}"/>
    <cellStyle name="20% - 강조색1 76 4" xfId="10670" xr:uid="{00000000-0005-0000-0000-000055030000}"/>
    <cellStyle name="20% - 강조색1 76 5" xfId="10940" xr:uid="{00000000-0005-0000-0000-000056030000}"/>
    <cellStyle name="20% - 강조색1 76 6" xfId="9579" xr:uid="{00000000-0005-0000-0000-000057030000}"/>
    <cellStyle name="20% - 강조색1 77" xfId="6381" xr:uid="{00000000-0005-0000-0000-000058030000}"/>
    <cellStyle name="20% - 강조색1 77 2" xfId="10295" xr:uid="{00000000-0005-0000-0000-000059030000}"/>
    <cellStyle name="20% - 강조색1 77 3" xfId="2869" xr:uid="{00000000-0005-0000-0000-00005A030000}"/>
    <cellStyle name="20% - 강조색1 77 4" xfId="9179" xr:uid="{00000000-0005-0000-0000-00005B030000}"/>
    <cellStyle name="20% - 강조색1 77 5" xfId="6766" xr:uid="{00000000-0005-0000-0000-00005C030000}"/>
    <cellStyle name="20% - 강조색1 78" xfId="2427" xr:uid="{00000000-0005-0000-0000-00005D030000}"/>
    <cellStyle name="20% - 강조색1 78 2" xfId="2466" xr:uid="{00000000-0005-0000-0000-00005E030000}"/>
    <cellStyle name="20% - 강조색1 78 3" xfId="10913" xr:uid="{00000000-0005-0000-0000-00005F030000}"/>
    <cellStyle name="20% - 강조색1 78 4" xfId="11062" xr:uid="{00000000-0005-0000-0000-000060030000}"/>
    <cellStyle name="20% - 강조색1 79" xfId="9763" xr:uid="{00000000-0005-0000-0000-000061030000}"/>
    <cellStyle name="20% - 강조색1 79 2" xfId="10998" xr:uid="{00000000-0005-0000-0000-000062030000}"/>
    <cellStyle name="20% - 강조색1 79 3" xfId="11205" xr:uid="{00000000-0005-0000-0000-000063030000}"/>
    <cellStyle name="20% - 강조색1 8" xfId="91" xr:uid="{00000000-0005-0000-0000-000064030000}"/>
    <cellStyle name="20% - 강조색1 80" xfId="10855" xr:uid="{00000000-0005-0000-0000-000065030000}"/>
    <cellStyle name="20% - 강조색1 80 2" xfId="11305" xr:uid="{00000000-0005-0000-0000-000066030000}"/>
    <cellStyle name="20% - 강조색1 81" xfId="11141" xr:uid="{00000000-0005-0000-0000-000067030000}"/>
    <cellStyle name="20% - 강조색1 82" xfId="574" xr:uid="{00000000-0005-0000-0000-000068030000}"/>
    <cellStyle name="20% - 강조색1 83" xfId="557" xr:uid="{00000000-0005-0000-0000-000069030000}"/>
    <cellStyle name="20% - 강조색1 84" xfId="11411" xr:uid="{00000000-0005-0000-0000-00006A030000}"/>
    <cellStyle name="20% - 강조색1 85" xfId="11374" xr:uid="{00000000-0005-0000-0000-00006B030000}"/>
    <cellStyle name="20% - 강조색1 86" xfId="11438" xr:uid="{00000000-0005-0000-0000-00006C030000}"/>
    <cellStyle name="20% - 강조색1 9" xfId="95" xr:uid="{00000000-0005-0000-0000-00006D030000}"/>
    <cellStyle name="20% - 강조색2" xfId="25" builtinId="34" customBuiltin="1"/>
    <cellStyle name="20% - 강조색2 10" xfId="149" xr:uid="{00000000-0005-0000-0000-00006F030000}"/>
    <cellStyle name="20% - 강조색2 11" xfId="162" xr:uid="{00000000-0005-0000-0000-000070030000}"/>
    <cellStyle name="20% - 강조색2 12" xfId="175" xr:uid="{00000000-0005-0000-0000-000071030000}"/>
    <cellStyle name="20% - 강조색2 13" xfId="188" xr:uid="{00000000-0005-0000-0000-000072030000}"/>
    <cellStyle name="20% - 강조색2 14" xfId="201" xr:uid="{00000000-0005-0000-0000-000073030000}"/>
    <cellStyle name="20% - 강조색2 15" xfId="214" xr:uid="{00000000-0005-0000-0000-000074030000}"/>
    <cellStyle name="20% - 강조색2 16" xfId="227" xr:uid="{00000000-0005-0000-0000-000075030000}"/>
    <cellStyle name="20% - 강조색2 17" xfId="240" xr:uid="{00000000-0005-0000-0000-000076030000}"/>
    <cellStyle name="20% - 강조색2 18" xfId="253" xr:uid="{00000000-0005-0000-0000-000077030000}"/>
    <cellStyle name="20% - 강조색2 19" xfId="266" xr:uid="{00000000-0005-0000-0000-000078030000}"/>
    <cellStyle name="20% - 강조색2 2" xfId="48" xr:uid="{00000000-0005-0000-0000-000079030000}"/>
    <cellStyle name="20% - 강조색2 20" xfId="279" xr:uid="{00000000-0005-0000-0000-00007A030000}"/>
    <cellStyle name="20% - 강조색2 21" xfId="292" xr:uid="{00000000-0005-0000-0000-00007B030000}"/>
    <cellStyle name="20% - 강조색2 22" xfId="305" xr:uid="{00000000-0005-0000-0000-00007C030000}"/>
    <cellStyle name="20% - 강조색2 23" xfId="318" xr:uid="{00000000-0005-0000-0000-00007D030000}"/>
    <cellStyle name="20% - 강조색2 24" xfId="331" xr:uid="{00000000-0005-0000-0000-00007E030000}"/>
    <cellStyle name="20% - 강조색2 25" xfId="344" xr:uid="{00000000-0005-0000-0000-00007F030000}"/>
    <cellStyle name="20% - 강조색2 26" xfId="357" xr:uid="{00000000-0005-0000-0000-000080030000}"/>
    <cellStyle name="20% - 강조색2 27" xfId="370" xr:uid="{00000000-0005-0000-0000-000081030000}"/>
    <cellStyle name="20% - 강조색2 28" xfId="383" xr:uid="{00000000-0005-0000-0000-000082030000}"/>
    <cellStyle name="20% - 강조색2 29" xfId="396" xr:uid="{00000000-0005-0000-0000-000083030000}"/>
    <cellStyle name="20% - 강조색2 3" xfId="73" xr:uid="{00000000-0005-0000-0000-000084030000}"/>
    <cellStyle name="20% - 강조색2 30" xfId="409" xr:uid="{00000000-0005-0000-0000-000085030000}"/>
    <cellStyle name="20% - 강조색2 31" xfId="422" xr:uid="{00000000-0005-0000-0000-000086030000}"/>
    <cellStyle name="20% - 강조색2 32" xfId="435" xr:uid="{00000000-0005-0000-0000-000087030000}"/>
    <cellStyle name="20% - 강조색2 33" xfId="447" xr:uid="{00000000-0005-0000-0000-000088030000}"/>
    <cellStyle name="20% - 강조색2 34" xfId="459" xr:uid="{00000000-0005-0000-0000-000089030000}"/>
    <cellStyle name="20% - 강조색2 35" xfId="471" xr:uid="{00000000-0005-0000-0000-00008A030000}"/>
    <cellStyle name="20% - 강조색2 36" xfId="483" xr:uid="{00000000-0005-0000-0000-00008B030000}"/>
    <cellStyle name="20% - 강조색2 37" xfId="494" xr:uid="{00000000-0005-0000-0000-00008C030000}"/>
    <cellStyle name="20% - 강조색2 38" xfId="505" xr:uid="{00000000-0005-0000-0000-00008D030000}"/>
    <cellStyle name="20% - 강조색2 39" xfId="516" xr:uid="{00000000-0005-0000-0000-00008E030000}"/>
    <cellStyle name="20% - 강조색2 4" xfId="76" xr:uid="{00000000-0005-0000-0000-00008F030000}"/>
    <cellStyle name="20% - 강조색2 40" xfId="547" xr:uid="{00000000-0005-0000-0000-000090030000}"/>
    <cellStyle name="20% - 강조색2 40 10" xfId="3203" xr:uid="{00000000-0005-0000-0000-000091030000}"/>
    <cellStyle name="20% - 강조색2 40 11" xfId="3451" xr:uid="{00000000-0005-0000-0000-000092030000}"/>
    <cellStyle name="20% - 강조색2 40 12" xfId="2134" xr:uid="{00000000-0005-0000-0000-000093030000}"/>
    <cellStyle name="20% - 강조색2 40 13" xfId="3476" xr:uid="{00000000-0005-0000-0000-000094030000}"/>
    <cellStyle name="20% - 강조색2 40 14" xfId="4429" xr:uid="{00000000-0005-0000-0000-000095030000}"/>
    <cellStyle name="20% - 강조색2 40 15" xfId="4992" xr:uid="{00000000-0005-0000-0000-000096030000}"/>
    <cellStyle name="20% - 강조색2 40 16" xfId="5206" xr:uid="{00000000-0005-0000-0000-000097030000}"/>
    <cellStyle name="20% - 강조색2 40 17" xfId="5023" xr:uid="{00000000-0005-0000-0000-000098030000}"/>
    <cellStyle name="20% - 강조색2 40 18" xfId="5815" xr:uid="{00000000-0005-0000-0000-000099030000}"/>
    <cellStyle name="20% - 강조색2 40 19" xfId="6465" xr:uid="{00000000-0005-0000-0000-00009A030000}"/>
    <cellStyle name="20% - 강조색2 40 2" xfId="595" xr:uid="{00000000-0005-0000-0000-00009B030000}"/>
    <cellStyle name="20% - 강조색2 40 20" xfId="7068" xr:uid="{00000000-0005-0000-0000-00009C030000}"/>
    <cellStyle name="20% - 강조색2 40 21" xfId="4595" xr:uid="{00000000-0005-0000-0000-00009D030000}"/>
    <cellStyle name="20% - 강조색2 40 22" xfId="7756" xr:uid="{00000000-0005-0000-0000-00009E030000}"/>
    <cellStyle name="20% - 강조색2 40 23" xfId="8151" xr:uid="{00000000-0005-0000-0000-00009F030000}"/>
    <cellStyle name="20% - 강조색2 40 24" xfId="8606" xr:uid="{00000000-0005-0000-0000-0000A0030000}"/>
    <cellStyle name="20% - 강조색2 40 25" xfId="4437" xr:uid="{00000000-0005-0000-0000-0000A1030000}"/>
    <cellStyle name="20% - 강조색2 40 26" xfId="6102" xr:uid="{00000000-0005-0000-0000-0000A2030000}"/>
    <cellStyle name="20% - 강조색2 40 27" xfId="7954" xr:uid="{00000000-0005-0000-0000-0000A3030000}"/>
    <cellStyle name="20% - 강조색2 40 28" xfId="8810" xr:uid="{00000000-0005-0000-0000-0000A4030000}"/>
    <cellStyle name="20% - 강조색2 40 29" xfId="10150" xr:uid="{00000000-0005-0000-0000-0000A5030000}"/>
    <cellStyle name="20% - 강조색2 40 3" xfId="1006" xr:uid="{00000000-0005-0000-0000-0000A6030000}"/>
    <cellStyle name="20% - 강조색2 40 30" xfId="10519" xr:uid="{00000000-0005-0000-0000-0000A7030000}"/>
    <cellStyle name="20% - 강조색2 40 31" xfId="10736" xr:uid="{00000000-0005-0000-0000-0000A8030000}"/>
    <cellStyle name="20% - 강조색2 40 32" xfId="9089" xr:uid="{00000000-0005-0000-0000-0000A9030000}"/>
    <cellStyle name="20% - 강조색2 40 33" xfId="11317" xr:uid="{00000000-0005-0000-0000-0000AA030000}"/>
    <cellStyle name="20% - 강조색2 40 34" xfId="577" xr:uid="{00000000-0005-0000-0000-0000AB030000}"/>
    <cellStyle name="20% - 강조색2 40 35" xfId="11378" xr:uid="{00000000-0005-0000-0000-0000AC030000}"/>
    <cellStyle name="20% - 강조색2 40 36" xfId="11355" xr:uid="{00000000-0005-0000-0000-0000AD030000}"/>
    <cellStyle name="20% - 강조색2 40 4" xfId="1270" xr:uid="{00000000-0005-0000-0000-0000AE030000}"/>
    <cellStyle name="20% - 강조색2 40 5" xfId="1657" xr:uid="{00000000-0005-0000-0000-0000AF030000}"/>
    <cellStyle name="20% - 강조색2 40 6" xfId="794" xr:uid="{00000000-0005-0000-0000-0000B0030000}"/>
    <cellStyle name="20% - 강조색2 40 7" xfId="2190" xr:uid="{00000000-0005-0000-0000-0000B1030000}"/>
    <cellStyle name="20% - 강조색2 40 8" xfId="1964" xr:uid="{00000000-0005-0000-0000-0000B2030000}"/>
    <cellStyle name="20% - 강조색2 40 9" xfId="2891" xr:uid="{00000000-0005-0000-0000-0000B3030000}"/>
    <cellStyle name="20% - 강조색2 41" xfId="665" xr:uid="{00000000-0005-0000-0000-0000B4030000}"/>
    <cellStyle name="20% - 강조색2 41 10" xfId="3253" xr:uid="{00000000-0005-0000-0000-0000B5030000}"/>
    <cellStyle name="20% - 강조색2 41 11" xfId="3444" xr:uid="{00000000-0005-0000-0000-0000B6030000}"/>
    <cellStyle name="20% - 강조색2 41 12" xfId="2584" xr:uid="{00000000-0005-0000-0000-0000B7030000}"/>
    <cellStyle name="20% - 강조색2 41 13" xfId="4310" xr:uid="{00000000-0005-0000-0000-0000B8030000}"/>
    <cellStyle name="20% - 강조색2 41 14" xfId="1454" xr:uid="{00000000-0005-0000-0000-0000B9030000}"/>
    <cellStyle name="20% - 강조색2 41 15" xfId="3197" xr:uid="{00000000-0005-0000-0000-0000BA030000}"/>
    <cellStyle name="20% - 강조색2 41 16" xfId="5270" xr:uid="{00000000-0005-0000-0000-0000BB030000}"/>
    <cellStyle name="20% - 강조색2 41 17" xfId="4094" xr:uid="{00000000-0005-0000-0000-0000BC030000}"/>
    <cellStyle name="20% - 강조색2 41 18" xfId="2402" xr:uid="{00000000-0005-0000-0000-0000BD030000}"/>
    <cellStyle name="20% - 강조색2 41 19" xfId="6144" xr:uid="{00000000-0005-0000-0000-0000BE030000}"/>
    <cellStyle name="20% - 강조색2 41 2" xfId="1168" xr:uid="{00000000-0005-0000-0000-0000BF030000}"/>
    <cellStyle name="20% - 강조색2 41 20" xfId="7040" xr:uid="{00000000-0005-0000-0000-0000C0030000}"/>
    <cellStyle name="20% - 강조색2 41 21" xfId="6377" xr:uid="{00000000-0005-0000-0000-0000C1030000}"/>
    <cellStyle name="20% - 강조색2 41 22" xfId="7826" xr:uid="{00000000-0005-0000-0000-0000C2030000}"/>
    <cellStyle name="20% - 강조색2 41 23" xfId="907" xr:uid="{00000000-0005-0000-0000-0000C3030000}"/>
    <cellStyle name="20% - 강조색2 41 24" xfId="8562" xr:uid="{00000000-0005-0000-0000-0000C4030000}"/>
    <cellStyle name="20% - 강조색2 41 25" xfId="8959" xr:uid="{00000000-0005-0000-0000-0000C5030000}"/>
    <cellStyle name="20% - 강조색2 41 26" xfId="9176" xr:uid="{00000000-0005-0000-0000-0000C6030000}"/>
    <cellStyle name="20% - 강조색2 41 27" xfId="8881" xr:uid="{00000000-0005-0000-0000-0000C7030000}"/>
    <cellStyle name="20% - 강조색2 41 28" xfId="4609" xr:uid="{00000000-0005-0000-0000-0000C8030000}"/>
    <cellStyle name="20% - 강조색2 41 29" xfId="6360" xr:uid="{00000000-0005-0000-0000-0000C9030000}"/>
    <cellStyle name="20% - 강조색2 41 3" xfId="1248" xr:uid="{00000000-0005-0000-0000-0000CA030000}"/>
    <cellStyle name="20% - 강조색2 41 30" xfId="10480" xr:uid="{00000000-0005-0000-0000-0000CB030000}"/>
    <cellStyle name="20% - 강조색2 41 31" xfId="10880" xr:uid="{00000000-0005-0000-0000-0000CC030000}"/>
    <cellStyle name="20% - 강조색2 41 32" xfId="11151" xr:uid="{00000000-0005-0000-0000-0000CD030000}"/>
    <cellStyle name="20% - 강조색2 41 4" xfId="1340" xr:uid="{00000000-0005-0000-0000-0000CE030000}"/>
    <cellStyle name="20% - 강조색2 41 5" xfId="1790" xr:uid="{00000000-0005-0000-0000-0000CF030000}"/>
    <cellStyle name="20% - 강조색2 41 6" xfId="2040" xr:uid="{00000000-0005-0000-0000-0000D0030000}"/>
    <cellStyle name="20% - 강조색2 41 7" xfId="1404" xr:uid="{00000000-0005-0000-0000-0000D1030000}"/>
    <cellStyle name="20% - 강조색2 41 8" xfId="1646" xr:uid="{00000000-0005-0000-0000-0000D2030000}"/>
    <cellStyle name="20% - 강조색2 41 9" xfId="2539" xr:uid="{00000000-0005-0000-0000-0000D3030000}"/>
    <cellStyle name="20% - 강조색2 42" xfId="617" xr:uid="{00000000-0005-0000-0000-0000D4030000}"/>
    <cellStyle name="20% - 강조색2 42 10" xfId="3320" xr:uid="{00000000-0005-0000-0000-0000D5030000}"/>
    <cellStyle name="20% - 강조색2 42 11" xfId="2564" xr:uid="{00000000-0005-0000-0000-0000D6030000}"/>
    <cellStyle name="20% - 강조색2 42 12" xfId="3777" xr:uid="{00000000-0005-0000-0000-0000D7030000}"/>
    <cellStyle name="20% - 강조색2 42 13" xfId="2675" xr:uid="{00000000-0005-0000-0000-0000D8030000}"/>
    <cellStyle name="20% - 강조색2 42 14" xfId="3510" xr:uid="{00000000-0005-0000-0000-0000D9030000}"/>
    <cellStyle name="20% - 강조색2 42 15" xfId="5220" xr:uid="{00000000-0005-0000-0000-0000DA030000}"/>
    <cellStyle name="20% - 강조색2 42 16" xfId="5010" xr:uid="{00000000-0005-0000-0000-0000DB030000}"/>
    <cellStyle name="20% - 강조색2 42 17" xfId="3536" xr:uid="{00000000-0005-0000-0000-0000DC030000}"/>
    <cellStyle name="20% - 강조색2 42 18" xfId="5265" xr:uid="{00000000-0005-0000-0000-0000DD030000}"/>
    <cellStyle name="20% - 강조색2 42 19" xfId="6514" xr:uid="{00000000-0005-0000-0000-0000DE030000}"/>
    <cellStyle name="20% - 강조색2 42 2" xfId="1120" xr:uid="{00000000-0005-0000-0000-0000DF030000}"/>
    <cellStyle name="20% - 강조색2 42 20" xfId="6874" xr:uid="{00000000-0005-0000-0000-0000E0030000}"/>
    <cellStyle name="20% - 강조색2 42 21" xfId="6983" xr:uid="{00000000-0005-0000-0000-0000E1030000}"/>
    <cellStyle name="20% - 강조색2 42 22" xfId="2834" xr:uid="{00000000-0005-0000-0000-0000E2030000}"/>
    <cellStyle name="20% - 강조색2 42 23" xfId="4115" xr:uid="{00000000-0005-0000-0000-0000E3030000}"/>
    <cellStyle name="20% - 강조색2 42 24" xfId="8621" xr:uid="{00000000-0005-0000-0000-0000E4030000}"/>
    <cellStyle name="20% - 강조색2 42 25" xfId="8930" xr:uid="{00000000-0005-0000-0000-0000E5030000}"/>
    <cellStyle name="20% - 강조색2 42 26" xfId="7799" xr:uid="{00000000-0005-0000-0000-0000E6030000}"/>
    <cellStyle name="20% - 강조색2 42 27" xfId="7458" xr:uid="{00000000-0005-0000-0000-0000E7030000}"/>
    <cellStyle name="20% - 강조색2 42 28" xfId="10023" xr:uid="{00000000-0005-0000-0000-0000E8030000}"/>
    <cellStyle name="20% - 강조색2 42 29" xfId="6270" xr:uid="{00000000-0005-0000-0000-0000E9030000}"/>
    <cellStyle name="20% - 강조색2 42 3" xfId="1200" xr:uid="{00000000-0005-0000-0000-0000EA030000}"/>
    <cellStyle name="20% - 강조색2 42 30" xfId="10424" xr:uid="{00000000-0005-0000-0000-0000EB030000}"/>
    <cellStyle name="20% - 강조색2 42 31" xfId="10458" xr:uid="{00000000-0005-0000-0000-0000EC030000}"/>
    <cellStyle name="20% - 강조색2 42 32" xfId="6780" xr:uid="{00000000-0005-0000-0000-0000ED030000}"/>
    <cellStyle name="20% - 강조색2 42 4" xfId="1292" xr:uid="{00000000-0005-0000-0000-0000EE030000}"/>
    <cellStyle name="20% - 강조색2 42 5" xfId="1794" xr:uid="{00000000-0005-0000-0000-0000EF030000}"/>
    <cellStyle name="20% - 강조색2 42 6" xfId="2061" xr:uid="{00000000-0005-0000-0000-0000F0030000}"/>
    <cellStyle name="20% - 강조색2 42 7" xfId="882" xr:uid="{00000000-0005-0000-0000-0000F1030000}"/>
    <cellStyle name="20% - 강조색2 42 8" xfId="2554" xr:uid="{00000000-0005-0000-0000-0000F2030000}"/>
    <cellStyle name="20% - 강조색2 42 9" xfId="2921" xr:uid="{00000000-0005-0000-0000-0000F3030000}"/>
    <cellStyle name="20% - 강조색2 43" xfId="642" xr:uid="{00000000-0005-0000-0000-0000F4030000}"/>
    <cellStyle name="20% - 강조색2 43 10" xfId="1379" xr:uid="{00000000-0005-0000-0000-0000F5030000}"/>
    <cellStyle name="20% - 강조색2 43 11" xfId="3517" xr:uid="{00000000-0005-0000-0000-0000F6030000}"/>
    <cellStyle name="20% - 강조색2 43 12" xfId="2779" xr:uid="{00000000-0005-0000-0000-0000F7030000}"/>
    <cellStyle name="20% - 강조색2 43 13" xfId="4374" xr:uid="{00000000-0005-0000-0000-0000F8030000}"/>
    <cellStyle name="20% - 강조색2 43 14" xfId="4554" xr:uid="{00000000-0005-0000-0000-0000F9030000}"/>
    <cellStyle name="20% - 강조색2 43 15" xfId="4862" xr:uid="{00000000-0005-0000-0000-0000FA030000}"/>
    <cellStyle name="20% - 강조색2 43 16" xfId="5042" xr:uid="{00000000-0005-0000-0000-0000FB030000}"/>
    <cellStyle name="20% - 강조색2 43 17" xfId="5176" xr:uid="{00000000-0005-0000-0000-0000FC030000}"/>
    <cellStyle name="20% - 강조색2 43 18" xfId="4349" xr:uid="{00000000-0005-0000-0000-0000FD030000}"/>
    <cellStyle name="20% - 강조색2 43 19" xfId="6321" xr:uid="{00000000-0005-0000-0000-0000FE030000}"/>
    <cellStyle name="20% - 강조색2 43 2" xfId="1145" xr:uid="{00000000-0005-0000-0000-0000FF030000}"/>
    <cellStyle name="20% - 강조색2 43 20" xfId="6745" xr:uid="{00000000-0005-0000-0000-000000040000}"/>
    <cellStyle name="20% - 강조색2 43 21" xfId="7126" xr:uid="{00000000-0005-0000-0000-000001040000}"/>
    <cellStyle name="20% - 강조색2 43 22" xfId="6151" xr:uid="{00000000-0005-0000-0000-000002040000}"/>
    <cellStyle name="20% - 강조색2 43 23" xfId="7907" xr:uid="{00000000-0005-0000-0000-000003040000}"/>
    <cellStyle name="20% - 강조색2 43 24" xfId="8387" xr:uid="{00000000-0005-0000-0000-000004040000}"/>
    <cellStyle name="20% - 강조색2 43 25" xfId="7479" xr:uid="{00000000-0005-0000-0000-000005040000}"/>
    <cellStyle name="20% - 강조색2 43 26" xfId="9369" xr:uid="{00000000-0005-0000-0000-000006040000}"/>
    <cellStyle name="20% - 강조색2 43 27" xfId="1584" xr:uid="{00000000-0005-0000-0000-000007040000}"/>
    <cellStyle name="20% - 강조색2 43 28" xfId="7436" xr:uid="{00000000-0005-0000-0000-000008040000}"/>
    <cellStyle name="20% - 강조색2 43 29" xfId="10095" xr:uid="{00000000-0005-0000-0000-000009040000}"/>
    <cellStyle name="20% - 강조색2 43 3" xfId="1225" xr:uid="{00000000-0005-0000-0000-00000A040000}"/>
    <cellStyle name="20% - 강조색2 43 30" xfId="10593" xr:uid="{00000000-0005-0000-0000-00000B040000}"/>
    <cellStyle name="20% - 강조색2 43 31" xfId="10768" xr:uid="{00000000-0005-0000-0000-00000C040000}"/>
    <cellStyle name="20% - 강조색2 43 32" xfId="11248" xr:uid="{00000000-0005-0000-0000-00000D040000}"/>
    <cellStyle name="20% - 강조색2 43 4" xfId="1317" xr:uid="{00000000-0005-0000-0000-00000E040000}"/>
    <cellStyle name="20% - 강조색2 43 5" xfId="1798" xr:uid="{00000000-0005-0000-0000-00000F040000}"/>
    <cellStyle name="20% - 강조색2 43 6" xfId="2048" xr:uid="{00000000-0005-0000-0000-000010040000}"/>
    <cellStyle name="20% - 강조색2 43 7" xfId="2235" xr:uid="{00000000-0005-0000-0000-000011040000}"/>
    <cellStyle name="20% - 강조색2 43 8" xfId="1382" xr:uid="{00000000-0005-0000-0000-000012040000}"/>
    <cellStyle name="20% - 강조색2 43 9" xfId="2945" xr:uid="{00000000-0005-0000-0000-000013040000}"/>
    <cellStyle name="20% - 강조색2 44" xfId="631" xr:uid="{00000000-0005-0000-0000-000014040000}"/>
    <cellStyle name="20% - 강조색2 44 10" xfId="3289" xr:uid="{00000000-0005-0000-0000-000015040000}"/>
    <cellStyle name="20% - 강조색2 44 11" xfId="3583" xr:uid="{00000000-0005-0000-0000-000016040000}"/>
    <cellStyle name="20% - 강조색2 44 12" xfId="3821" xr:uid="{00000000-0005-0000-0000-000017040000}"/>
    <cellStyle name="20% - 강조색2 44 13" xfId="3252" xr:uid="{00000000-0005-0000-0000-000018040000}"/>
    <cellStyle name="20% - 강조색2 44 14" xfId="4160" xr:uid="{00000000-0005-0000-0000-000019040000}"/>
    <cellStyle name="20% - 강조색2 44 15" xfId="5436" xr:uid="{00000000-0005-0000-0000-00001A040000}"/>
    <cellStyle name="20% - 강조색2 44 16" xfId="1866" xr:uid="{00000000-0005-0000-0000-00001B040000}"/>
    <cellStyle name="20% - 강조색2 44 17" xfId="3576" xr:uid="{00000000-0005-0000-0000-00001C040000}"/>
    <cellStyle name="20% - 강조색2 44 18" xfId="5792" xr:uid="{00000000-0005-0000-0000-00001D040000}"/>
    <cellStyle name="20% - 강조색2 44 19" xfId="6481" xr:uid="{00000000-0005-0000-0000-00001E040000}"/>
    <cellStyle name="20% - 강조색2 44 2" xfId="1134" xr:uid="{00000000-0005-0000-0000-00001F040000}"/>
    <cellStyle name="20% - 강조색2 44 20" xfId="7274" xr:uid="{00000000-0005-0000-0000-000020040000}"/>
    <cellStyle name="20% - 강조색2 44 21" xfId="7323" xr:uid="{00000000-0005-0000-0000-000021040000}"/>
    <cellStyle name="20% - 강조색2 44 22" xfId="7431" xr:uid="{00000000-0005-0000-0000-000022040000}"/>
    <cellStyle name="20% - 강조색2 44 23" xfId="8057" xr:uid="{00000000-0005-0000-0000-000023040000}"/>
    <cellStyle name="20% - 강조색2 44 24" xfId="8626" xr:uid="{00000000-0005-0000-0000-000024040000}"/>
    <cellStyle name="20% - 강조색2 44 25" xfId="8915" xr:uid="{00000000-0005-0000-0000-000025040000}"/>
    <cellStyle name="20% - 강조색2 44 26" xfId="9311" xr:uid="{00000000-0005-0000-0000-000026040000}"/>
    <cellStyle name="20% - 강조색2 44 27" xfId="9535" xr:uid="{00000000-0005-0000-0000-000027040000}"/>
    <cellStyle name="20% - 강조색2 44 28" xfId="7421" xr:uid="{00000000-0005-0000-0000-000028040000}"/>
    <cellStyle name="20% - 강조색2 44 29" xfId="7404" xr:uid="{00000000-0005-0000-0000-000029040000}"/>
    <cellStyle name="20% - 강조색2 44 3" xfId="1214" xr:uid="{00000000-0005-0000-0000-00002A040000}"/>
    <cellStyle name="20% - 강조색2 44 30" xfId="10646" xr:uid="{00000000-0005-0000-0000-00002B040000}"/>
    <cellStyle name="20% - 강조색2 44 31" xfId="10114" xr:uid="{00000000-0005-0000-0000-00002C040000}"/>
    <cellStyle name="20% - 강조색2 44 32" xfId="9793" xr:uid="{00000000-0005-0000-0000-00002D040000}"/>
    <cellStyle name="20% - 강조색2 44 4" xfId="1306" xr:uid="{00000000-0005-0000-0000-00002E040000}"/>
    <cellStyle name="20% - 강조색2 44 5" xfId="1802" xr:uid="{00000000-0005-0000-0000-00002F040000}"/>
    <cellStyle name="20% - 강조색2 44 6" xfId="2005" xr:uid="{00000000-0005-0000-0000-000030040000}"/>
    <cellStyle name="20% - 강조색2 44 7" xfId="2355" xr:uid="{00000000-0005-0000-0000-000031040000}"/>
    <cellStyle name="20% - 강조색2 44 8" xfId="2518" xr:uid="{00000000-0005-0000-0000-000032040000}"/>
    <cellStyle name="20% - 강조색2 44 9" xfId="2761" xr:uid="{00000000-0005-0000-0000-000033040000}"/>
    <cellStyle name="20% - 강조색2 45" xfId="612" xr:uid="{00000000-0005-0000-0000-000034040000}"/>
    <cellStyle name="20% - 강조색2 45 10" xfId="3216" xr:uid="{00000000-0005-0000-0000-000035040000}"/>
    <cellStyle name="20% - 강조색2 45 11" xfId="3405" xr:uid="{00000000-0005-0000-0000-000036040000}"/>
    <cellStyle name="20% - 강조색2 45 12" xfId="4024" xr:uid="{00000000-0005-0000-0000-000037040000}"/>
    <cellStyle name="20% - 강조색2 45 13" xfId="4125" xr:uid="{00000000-0005-0000-0000-000038040000}"/>
    <cellStyle name="20% - 강조색2 45 14" xfId="1460" xr:uid="{00000000-0005-0000-0000-000039040000}"/>
    <cellStyle name="20% - 강조색2 45 15" xfId="4896" xr:uid="{00000000-0005-0000-0000-00003A040000}"/>
    <cellStyle name="20% - 강조색2 45 16" xfId="4998" xr:uid="{00000000-0005-0000-0000-00003B040000}"/>
    <cellStyle name="20% - 강조색2 45 17" xfId="5640" xr:uid="{00000000-0005-0000-0000-00003C040000}"/>
    <cellStyle name="20% - 강조색2 45 18" xfId="5652" xr:uid="{00000000-0005-0000-0000-00003D040000}"/>
    <cellStyle name="20% - 강조색2 45 19" xfId="6454" xr:uid="{00000000-0005-0000-0000-00003E040000}"/>
    <cellStyle name="20% - 강조색2 45 2" xfId="1115" xr:uid="{00000000-0005-0000-0000-00003F040000}"/>
    <cellStyle name="20% - 강조색2 45 20" xfId="7246" xr:uid="{00000000-0005-0000-0000-000040040000}"/>
    <cellStyle name="20% - 강조색2 45 21" xfId="5266" xr:uid="{00000000-0005-0000-0000-000041040000}"/>
    <cellStyle name="20% - 강조색2 45 22" xfId="2758" xr:uid="{00000000-0005-0000-0000-000042040000}"/>
    <cellStyle name="20% - 강조색2 45 23" xfId="8063" xr:uid="{00000000-0005-0000-0000-000043040000}"/>
    <cellStyle name="20% - 강조색2 45 24" xfId="8582" xr:uid="{00000000-0005-0000-0000-000044040000}"/>
    <cellStyle name="20% - 강조색2 45 25" xfId="6515" xr:uid="{00000000-0005-0000-0000-000045040000}"/>
    <cellStyle name="20% - 강조색2 45 26" xfId="6706" xr:uid="{00000000-0005-0000-0000-000046040000}"/>
    <cellStyle name="20% - 강조색2 45 27" xfId="9629" xr:uid="{00000000-0005-0000-0000-000047040000}"/>
    <cellStyle name="20% - 강조색2 45 28" xfId="9887" xr:uid="{00000000-0005-0000-0000-000048040000}"/>
    <cellStyle name="20% - 강조색2 45 29" xfId="10302" xr:uid="{00000000-0005-0000-0000-000049040000}"/>
    <cellStyle name="20% - 강조색2 45 3" xfId="1195" xr:uid="{00000000-0005-0000-0000-00004A040000}"/>
    <cellStyle name="20% - 강조색2 45 30" xfId="10483" xr:uid="{00000000-0005-0000-0000-00004B040000}"/>
    <cellStyle name="20% - 강조색2 45 31" xfId="3519" xr:uid="{00000000-0005-0000-0000-00004C040000}"/>
    <cellStyle name="20% - 강조색2 45 32" xfId="5059" xr:uid="{00000000-0005-0000-0000-00004D040000}"/>
    <cellStyle name="20% - 강조색2 45 4" xfId="1287" xr:uid="{00000000-0005-0000-0000-00004E040000}"/>
    <cellStyle name="20% - 강조색2 45 5" xfId="1804" xr:uid="{00000000-0005-0000-0000-00004F040000}"/>
    <cellStyle name="20% - 강조색2 45 6" xfId="799" xr:uid="{00000000-0005-0000-0000-000050040000}"/>
    <cellStyle name="20% - 강조색2 45 7" xfId="2320" xr:uid="{00000000-0005-0000-0000-000051040000}"/>
    <cellStyle name="20% - 강조색2 45 8" xfId="2260" xr:uid="{00000000-0005-0000-0000-000052040000}"/>
    <cellStyle name="20% - 강조색2 45 9" xfId="2973" xr:uid="{00000000-0005-0000-0000-000053040000}"/>
    <cellStyle name="20% - 강조색2 46" xfId="675" xr:uid="{00000000-0005-0000-0000-000054040000}"/>
    <cellStyle name="20% - 강조색2 46 10" xfId="3280" xr:uid="{00000000-0005-0000-0000-000055040000}"/>
    <cellStyle name="20% - 강조색2 46 11" xfId="785" xr:uid="{00000000-0005-0000-0000-000056040000}"/>
    <cellStyle name="20% - 강조색2 46 12" xfId="3540" xr:uid="{00000000-0005-0000-0000-000057040000}"/>
    <cellStyle name="20% - 강조색2 46 13" xfId="4369" xr:uid="{00000000-0005-0000-0000-000058040000}"/>
    <cellStyle name="20% - 강조색2 46 14" xfId="4623" xr:uid="{00000000-0005-0000-0000-000059040000}"/>
    <cellStyle name="20% - 강조색2 46 15" xfId="5154" xr:uid="{00000000-0005-0000-0000-00005A040000}"/>
    <cellStyle name="20% - 강조색2 46 16" xfId="5571" xr:uid="{00000000-0005-0000-0000-00005B040000}"/>
    <cellStyle name="20% - 강조색2 46 17" xfId="4446" xr:uid="{00000000-0005-0000-0000-00005C040000}"/>
    <cellStyle name="20% - 강조색2 46 18" xfId="5532" xr:uid="{00000000-0005-0000-0000-00005D040000}"/>
    <cellStyle name="20% - 강조색2 46 19" xfId="736" xr:uid="{00000000-0005-0000-0000-00005E040000}"/>
    <cellStyle name="20% - 강조색2 46 2" xfId="1178" xr:uid="{00000000-0005-0000-0000-00005F040000}"/>
    <cellStyle name="20% - 강조색2 46 20" xfId="2000" xr:uid="{00000000-0005-0000-0000-000060040000}"/>
    <cellStyle name="20% - 강조색2 46 21" xfId="7245" xr:uid="{00000000-0005-0000-0000-000061040000}"/>
    <cellStyle name="20% - 강조색2 46 22" xfId="4476" xr:uid="{00000000-0005-0000-0000-000062040000}"/>
    <cellStyle name="20% - 강조색2 46 23" xfId="8106" xr:uid="{00000000-0005-0000-0000-000063040000}"/>
    <cellStyle name="20% - 강조색2 46 24" xfId="8533" xr:uid="{00000000-0005-0000-0000-000064040000}"/>
    <cellStyle name="20% - 강조색2 46 25" xfId="6028" xr:uid="{00000000-0005-0000-0000-000065040000}"/>
    <cellStyle name="20% - 강조색2 46 26" xfId="9118" xr:uid="{00000000-0005-0000-0000-000066040000}"/>
    <cellStyle name="20% - 강조색2 46 27" xfId="6167" xr:uid="{00000000-0005-0000-0000-000067040000}"/>
    <cellStyle name="20% - 강조색2 46 28" xfId="9836" xr:uid="{00000000-0005-0000-0000-000068040000}"/>
    <cellStyle name="20% - 강조색2 46 29" xfId="10309" xr:uid="{00000000-0005-0000-0000-000069040000}"/>
    <cellStyle name="20% - 강조색2 46 3" xfId="1258" xr:uid="{00000000-0005-0000-0000-00006A040000}"/>
    <cellStyle name="20% - 강조색2 46 30" xfId="9426" xr:uid="{00000000-0005-0000-0000-00006B040000}"/>
    <cellStyle name="20% - 강조색2 46 31" xfId="10912" xr:uid="{00000000-0005-0000-0000-00006C040000}"/>
    <cellStyle name="20% - 강조색2 46 32" xfId="11121" xr:uid="{00000000-0005-0000-0000-00006D040000}"/>
    <cellStyle name="20% - 강조색2 46 4" xfId="1350" xr:uid="{00000000-0005-0000-0000-00006E040000}"/>
    <cellStyle name="20% - 강조색2 46 5" xfId="1808" xr:uid="{00000000-0005-0000-0000-00006F040000}"/>
    <cellStyle name="20% - 강조색2 46 6" xfId="914" xr:uid="{00000000-0005-0000-0000-000070040000}"/>
    <cellStyle name="20% - 강조색2 46 7" xfId="2305" xr:uid="{00000000-0005-0000-0000-000071040000}"/>
    <cellStyle name="20% - 강조색2 46 8" xfId="2533" xr:uid="{00000000-0005-0000-0000-000072040000}"/>
    <cellStyle name="20% - 강조색2 46 9" xfId="2853" xr:uid="{00000000-0005-0000-0000-000073040000}"/>
    <cellStyle name="20% - 강조색2 47" xfId="560" xr:uid="{00000000-0005-0000-0000-000074040000}"/>
    <cellStyle name="20% - 강조색2 47 10" xfId="4258" xr:uid="{00000000-0005-0000-0000-000075040000}"/>
    <cellStyle name="20% - 강조색2 47 11" xfId="4672" xr:uid="{00000000-0005-0000-0000-000076040000}"/>
    <cellStyle name="20% - 강조색2 47 12" xfId="5096" xr:uid="{00000000-0005-0000-0000-000077040000}"/>
    <cellStyle name="20% - 강조색2 47 13" xfId="5769" xr:uid="{00000000-0005-0000-0000-000078040000}"/>
    <cellStyle name="20% - 강조색2 47 14" xfId="5865" xr:uid="{00000000-0005-0000-0000-000079040000}"/>
    <cellStyle name="20% - 강조색2 47 15" xfId="5934" xr:uid="{00000000-0005-0000-0000-00007A040000}"/>
    <cellStyle name="20% - 강조색2 47 16" xfId="6269" xr:uid="{00000000-0005-0000-0000-00007B040000}"/>
    <cellStyle name="20% - 강조색2 47 17" xfId="6754" xr:uid="{00000000-0005-0000-0000-00007C040000}"/>
    <cellStyle name="20% - 강조색2 47 18" xfId="3813" xr:uid="{00000000-0005-0000-0000-00007D040000}"/>
    <cellStyle name="20% - 강조색2 47 19" xfId="3602" xr:uid="{00000000-0005-0000-0000-00007E040000}"/>
    <cellStyle name="20% - 강조색2 47 2" xfId="1096" xr:uid="{00000000-0005-0000-0000-00007F040000}"/>
    <cellStyle name="20% - 강조색2 47 20" xfId="4081" xr:uid="{00000000-0005-0000-0000-000080040000}"/>
    <cellStyle name="20% - 강조색2 47 21" xfId="8569" xr:uid="{00000000-0005-0000-0000-000081040000}"/>
    <cellStyle name="20% - 강조색2 47 22" xfId="3755" xr:uid="{00000000-0005-0000-0000-000082040000}"/>
    <cellStyle name="20% - 강조색2 47 23" xfId="1965" xr:uid="{00000000-0005-0000-0000-000083040000}"/>
    <cellStyle name="20% - 강조색2 47 24" xfId="9670" xr:uid="{00000000-0005-0000-0000-000084040000}"/>
    <cellStyle name="20% - 강조색2 47 25" xfId="9880" xr:uid="{00000000-0005-0000-0000-000085040000}"/>
    <cellStyle name="20% - 강조색2 47 26" xfId="10353" xr:uid="{00000000-0005-0000-0000-000086040000}"/>
    <cellStyle name="20% - 강조색2 47 27" xfId="10560" xr:uid="{00000000-0005-0000-0000-000087040000}"/>
    <cellStyle name="20% - 강조색2 47 28" xfId="10942" xr:uid="{00000000-0005-0000-0000-000088040000}"/>
    <cellStyle name="20% - 강조색2 47 29" xfId="6502" xr:uid="{00000000-0005-0000-0000-000089040000}"/>
    <cellStyle name="20% - 강조색2 47 3" xfId="1505" xr:uid="{00000000-0005-0000-0000-00008A040000}"/>
    <cellStyle name="20% - 강조색2 47 30" xfId="11340" xr:uid="{00000000-0005-0000-0000-00008B040000}"/>
    <cellStyle name="20% - 강조색2 47 31" xfId="11394" xr:uid="{00000000-0005-0000-0000-00008C040000}"/>
    <cellStyle name="20% - 강조색2 47 32" xfId="11356" xr:uid="{00000000-0005-0000-0000-00008D040000}"/>
    <cellStyle name="20% - 강조색2 47 33" xfId="11424" xr:uid="{00000000-0005-0000-0000-00008E040000}"/>
    <cellStyle name="20% - 강조색2 47 4" xfId="2345" xr:uid="{00000000-0005-0000-0000-00008F040000}"/>
    <cellStyle name="20% - 강조색2 47 5" xfId="2175" xr:uid="{00000000-0005-0000-0000-000090040000}"/>
    <cellStyle name="20% - 강조색2 47 6" xfId="1821" xr:uid="{00000000-0005-0000-0000-000091040000}"/>
    <cellStyle name="20% - 강조색2 47 7" xfId="3233" xr:uid="{00000000-0005-0000-0000-000092040000}"/>
    <cellStyle name="20% - 강조색2 47 8" xfId="3557" xr:uid="{00000000-0005-0000-0000-000093040000}"/>
    <cellStyle name="20% - 강조색2 47 9" xfId="4003" xr:uid="{00000000-0005-0000-0000-000094040000}"/>
    <cellStyle name="20% - 강조색2 48" xfId="1099" xr:uid="{00000000-0005-0000-0000-000095040000}"/>
    <cellStyle name="20% - 강조색2 48 10" xfId="1966" xr:uid="{00000000-0005-0000-0000-000096040000}"/>
    <cellStyle name="20% - 강조색2 48 11" xfId="4502" xr:uid="{00000000-0005-0000-0000-000097040000}"/>
    <cellStyle name="20% - 강조색2 48 12" xfId="5577" xr:uid="{00000000-0005-0000-0000-000098040000}"/>
    <cellStyle name="20% - 강조색2 48 13" xfId="5141" xr:uid="{00000000-0005-0000-0000-000099040000}"/>
    <cellStyle name="20% - 강조색2 48 14" xfId="5521" xr:uid="{00000000-0005-0000-0000-00009A040000}"/>
    <cellStyle name="20% - 강조색2 48 15" xfId="5838" xr:uid="{00000000-0005-0000-0000-00009B040000}"/>
    <cellStyle name="20% - 강조색2 48 16" xfId="6425" xr:uid="{00000000-0005-0000-0000-00009C040000}"/>
    <cellStyle name="20% - 강조색2 48 17" xfId="3742" xr:uid="{00000000-0005-0000-0000-00009D040000}"/>
    <cellStyle name="20% - 강조색2 48 18" xfId="6175" xr:uid="{00000000-0005-0000-0000-00009E040000}"/>
    <cellStyle name="20% - 강조색2 48 19" xfId="7636" xr:uid="{00000000-0005-0000-0000-00009F040000}"/>
    <cellStyle name="20% - 강조색2 48 2" xfId="1812" xr:uid="{00000000-0005-0000-0000-0000A0040000}"/>
    <cellStyle name="20% - 강조색2 48 20" xfId="8015" xr:uid="{00000000-0005-0000-0000-0000A1040000}"/>
    <cellStyle name="20% - 강조색2 48 21" xfId="8389" xr:uid="{00000000-0005-0000-0000-0000A2040000}"/>
    <cellStyle name="20% - 강조색2 48 22" xfId="7531" xr:uid="{00000000-0005-0000-0000-0000A3040000}"/>
    <cellStyle name="20% - 강조색2 48 23" xfId="7441" xr:uid="{00000000-0005-0000-0000-0000A4040000}"/>
    <cellStyle name="20% - 강조색2 48 24" xfId="9561" xr:uid="{00000000-0005-0000-0000-0000A5040000}"/>
    <cellStyle name="20% - 강조색2 48 25" xfId="7399" xr:uid="{00000000-0005-0000-0000-0000A6040000}"/>
    <cellStyle name="20% - 강조색2 48 26" xfId="10119" xr:uid="{00000000-0005-0000-0000-0000A7040000}"/>
    <cellStyle name="20% - 강조색2 48 27" xfId="4095" xr:uid="{00000000-0005-0000-0000-0000A8040000}"/>
    <cellStyle name="20% - 강조색2 48 28" xfId="10859" xr:uid="{00000000-0005-0000-0000-0000A9040000}"/>
    <cellStyle name="20% - 강조색2 48 29" xfId="11093" xr:uid="{00000000-0005-0000-0000-0000AA040000}"/>
    <cellStyle name="20% - 강조색2 48 3" xfId="772" xr:uid="{00000000-0005-0000-0000-0000AB040000}"/>
    <cellStyle name="20% - 강조색2 48 4" xfId="900" xr:uid="{00000000-0005-0000-0000-0000AC040000}"/>
    <cellStyle name="20% - 강조색2 48 5" xfId="2538" xr:uid="{00000000-0005-0000-0000-0000AD040000}"/>
    <cellStyle name="20% - 강조색2 48 6" xfId="948" xr:uid="{00000000-0005-0000-0000-0000AE040000}"/>
    <cellStyle name="20% - 강조색2 48 7" xfId="2512" xr:uid="{00000000-0005-0000-0000-0000AF040000}"/>
    <cellStyle name="20% - 강조색2 48 8" xfId="1457" xr:uid="{00000000-0005-0000-0000-0000B0040000}"/>
    <cellStyle name="20% - 강조색2 48 9" xfId="3961" xr:uid="{00000000-0005-0000-0000-0000B1040000}"/>
    <cellStyle name="20% - 강조색2 49" xfId="1101" xr:uid="{00000000-0005-0000-0000-0000B2040000}"/>
    <cellStyle name="20% - 강조색2 49 10" xfId="4269" xr:uid="{00000000-0005-0000-0000-0000B3040000}"/>
    <cellStyle name="20% - 강조색2 49 11" xfId="3099" xr:uid="{00000000-0005-0000-0000-0000B4040000}"/>
    <cellStyle name="20% - 강조색2 49 12" xfId="5638" xr:uid="{00000000-0005-0000-0000-0000B5040000}"/>
    <cellStyle name="20% - 강조색2 49 13" xfId="5609" xr:uid="{00000000-0005-0000-0000-0000B6040000}"/>
    <cellStyle name="20% - 강조색2 49 14" xfId="5131" xr:uid="{00000000-0005-0000-0000-0000B7040000}"/>
    <cellStyle name="20% - 강조색2 49 15" xfId="5256" xr:uid="{00000000-0005-0000-0000-0000B8040000}"/>
    <cellStyle name="20% - 강조색2 49 16" xfId="6182" xr:uid="{00000000-0005-0000-0000-0000B9040000}"/>
    <cellStyle name="20% - 강조색2 49 17" xfId="4960" xr:uid="{00000000-0005-0000-0000-0000BA040000}"/>
    <cellStyle name="20% - 강조색2 49 18" xfId="6843" xr:uid="{00000000-0005-0000-0000-0000BB040000}"/>
    <cellStyle name="20% - 강조색2 49 19" xfId="3890" xr:uid="{00000000-0005-0000-0000-0000BC040000}"/>
    <cellStyle name="20% - 강조색2 49 2" xfId="1814" xr:uid="{00000000-0005-0000-0000-0000BD040000}"/>
    <cellStyle name="20% - 강조색2 49 20" xfId="8079" xr:uid="{00000000-0005-0000-0000-0000BE040000}"/>
    <cellStyle name="20% - 강조색2 49 21" xfId="7950" xr:uid="{00000000-0005-0000-0000-0000BF040000}"/>
    <cellStyle name="20% - 강조색2 49 22" xfId="8933" xr:uid="{00000000-0005-0000-0000-0000C0040000}"/>
    <cellStyle name="20% - 강조색2 49 23" xfId="5218" xr:uid="{00000000-0005-0000-0000-0000C1040000}"/>
    <cellStyle name="20% - 강조색2 49 24" xfId="1509" xr:uid="{00000000-0005-0000-0000-0000C2040000}"/>
    <cellStyle name="20% - 강조색2 49 25" xfId="10025" xr:uid="{00000000-0005-0000-0000-0000C3040000}"/>
    <cellStyle name="20% - 강조색2 49 26" xfId="8922" xr:uid="{00000000-0005-0000-0000-0000C4040000}"/>
    <cellStyle name="20% - 강조색2 49 27" xfId="10118" xr:uid="{00000000-0005-0000-0000-0000C5040000}"/>
    <cellStyle name="20% - 강조색2 49 28" xfId="2434" xr:uid="{00000000-0005-0000-0000-0000C6040000}"/>
    <cellStyle name="20% - 강조색2 49 29" xfId="778" xr:uid="{00000000-0005-0000-0000-0000C7040000}"/>
    <cellStyle name="20% - 강조색2 49 3" xfId="731" xr:uid="{00000000-0005-0000-0000-0000C8040000}"/>
    <cellStyle name="20% - 강조색2 49 4" xfId="2304" xr:uid="{00000000-0005-0000-0000-0000C9040000}"/>
    <cellStyle name="20% - 강조색2 49 5" xfId="2481" xr:uid="{00000000-0005-0000-0000-0000CA040000}"/>
    <cellStyle name="20% - 강조색2 49 6" xfId="2724" xr:uid="{00000000-0005-0000-0000-0000CB040000}"/>
    <cellStyle name="20% - 강조색2 49 7" xfId="3168" xr:uid="{00000000-0005-0000-0000-0000CC040000}"/>
    <cellStyle name="20% - 강조색2 49 8" xfId="2723" xr:uid="{00000000-0005-0000-0000-0000CD040000}"/>
    <cellStyle name="20% - 강조색2 49 9" xfId="4010" xr:uid="{00000000-0005-0000-0000-0000CE040000}"/>
    <cellStyle name="20% - 강조색2 5" xfId="90" xr:uid="{00000000-0005-0000-0000-0000CF040000}"/>
    <cellStyle name="20% - 강조색2 50" xfId="1075" xr:uid="{00000000-0005-0000-0000-0000D0040000}"/>
    <cellStyle name="20% - 강조색2 50 10" xfId="4233" xr:uid="{00000000-0005-0000-0000-0000D1040000}"/>
    <cellStyle name="20% - 강조색2 50 11" xfId="1621" xr:uid="{00000000-0005-0000-0000-0000D2040000}"/>
    <cellStyle name="20% - 강조색2 50 12" xfId="5559" xr:uid="{00000000-0005-0000-0000-0000D3040000}"/>
    <cellStyle name="20% - 강조색2 50 13" xfId="5591" xr:uid="{00000000-0005-0000-0000-0000D4040000}"/>
    <cellStyle name="20% - 강조색2 50 14" xfId="5753" xr:uid="{00000000-0005-0000-0000-0000D5040000}"/>
    <cellStyle name="20% - 강조색2 50 15" xfId="5854" xr:uid="{00000000-0005-0000-0000-0000D6040000}"/>
    <cellStyle name="20% - 강조색2 50 16" xfId="6017" xr:uid="{00000000-0005-0000-0000-0000D7040000}"/>
    <cellStyle name="20% - 강조색2 50 17" xfId="7042" xr:uid="{00000000-0005-0000-0000-0000D8040000}"/>
    <cellStyle name="20% - 강조색2 50 18" xfId="6390" xr:uid="{00000000-0005-0000-0000-0000D9040000}"/>
    <cellStyle name="20% - 강조색2 50 19" xfId="7658" xr:uid="{00000000-0005-0000-0000-0000DA040000}"/>
    <cellStyle name="20% - 강조색2 50 2" xfId="1774" xr:uid="{00000000-0005-0000-0000-0000DB040000}"/>
    <cellStyle name="20% - 강조색2 50 20" xfId="8256" xr:uid="{00000000-0005-0000-0000-0000DC040000}"/>
    <cellStyle name="20% - 강조색2 50 21" xfId="7830" xr:uid="{00000000-0005-0000-0000-0000DD040000}"/>
    <cellStyle name="20% - 강조색2 50 22" xfId="2854" xr:uid="{00000000-0005-0000-0000-0000DE040000}"/>
    <cellStyle name="20% - 강조색2 50 23" xfId="9320" xr:uid="{00000000-0005-0000-0000-0000DF040000}"/>
    <cellStyle name="20% - 강조색2 50 24" xfId="9507" xr:uid="{00000000-0005-0000-0000-0000E0040000}"/>
    <cellStyle name="20% - 강조색2 50 25" xfId="10003" xr:uid="{00000000-0005-0000-0000-0000E1040000}"/>
    <cellStyle name="20% - 강조색2 50 26" xfId="9759" xr:uid="{00000000-0005-0000-0000-0000E2040000}"/>
    <cellStyle name="20% - 강조색2 50 27" xfId="10417" xr:uid="{00000000-0005-0000-0000-0000E3040000}"/>
    <cellStyle name="20% - 강조색2 50 28" xfId="7915" xr:uid="{00000000-0005-0000-0000-0000E4040000}"/>
    <cellStyle name="20% - 강조색2 50 29" xfId="11065" xr:uid="{00000000-0005-0000-0000-0000E5040000}"/>
    <cellStyle name="20% - 강조색2 50 3" xfId="1376" xr:uid="{00000000-0005-0000-0000-0000E6040000}"/>
    <cellStyle name="20% - 강조색2 50 4" xfId="1544" xr:uid="{00000000-0005-0000-0000-0000E7040000}"/>
    <cellStyle name="20% - 강조색2 50 5" xfId="2559" xr:uid="{00000000-0005-0000-0000-0000E8040000}"/>
    <cellStyle name="20% - 강조색2 50 6" xfId="2937" xr:uid="{00000000-0005-0000-0000-0000E9040000}"/>
    <cellStyle name="20% - 강조색2 50 7" xfId="3234" xr:uid="{00000000-0005-0000-0000-0000EA040000}"/>
    <cellStyle name="20% - 강조색2 50 8" xfId="3647" xr:uid="{00000000-0005-0000-0000-0000EB040000}"/>
    <cellStyle name="20% - 강조색2 50 9" xfId="961" xr:uid="{00000000-0005-0000-0000-0000EC040000}"/>
    <cellStyle name="20% - 강조색2 51" xfId="1104" xr:uid="{00000000-0005-0000-0000-0000ED040000}"/>
    <cellStyle name="20% - 강조색2 51 10" xfId="805" xr:uid="{00000000-0005-0000-0000-0000EE040000}"/>
    <cellStyle name="20% - 강조색2 51 11" xfId="2311" xr:uid="{00000000-0005-0000-0000-0000EF040000}"/>
    <cellStyle name="20% - 강조색2 51 12" xfId="5587" xr:uid="{00000000-0005-0000-0000-0000F0040000}"/>
    <cellStyle name="20% - 강조색2 51 13" xfId="5026" xr:uid="{00000000-0005-0000-0000-0000F1040000}"/>
    <cellStyle name="20% - 강조색2 51 14" xfId="5585" xr:uid="{00000000-0005-0000-0000-0000F2040000}"/>
    <cellStyle name="20% - 강조색2 51 15" xfId="746" xr:uid="{00000000-0005-0000-0000-0000F3040000}"/>
    <cellStyle name="20% - 강조색2 51 16" xfId="6080" xr:uid="{00000000-0005-0000-0000-0000F4040000}"/>
    <cellStyle name="20% - 강조색2 51 17" xfId="7226" xr:uid="{00000000-0005-0000-0000-0000F5040000}"/>
    <cellStyle name="20% - 강조색2 51 18" xfId="6794" xr:uid="{00000000-0005-0000-0000-0000F6040000}"/>
    <cellStyle name="20% - 강조색2 51 19" xfId="7748" xr:uid="{00000000-0005-0000-0000-0000F7040000}"/>
    <cellStyle name="20% - 강조색2 51 2" xfId="1817" xr:uid="{00000000-0005-0000-0000-0000F8040000}"/>
    <cellStyle name="20% - 강조색2 51 20" xfId="8004" xr:uid="{00000000-0005-0000-0000-0000F9040000}"/>
    <cellStyle name="20% - 강조색2 51 21" xfId="8565" xr:uid="{00000000-0005-0000-0000-0000FA040000}"/>
    <cellStyle name="20% - 강조색2 51 22" xfId="8526" xr:uid="{00000000-0005-0000-0000-0000FB040000}"/>
    <cellStyle name="20% - 강조색2 51 23" xfId="4112" xr:uid="{00000000-0005-0000-0000-0000FC040000}"/>
    <cellStyle name="20% - 강조색2 51 24" xfId="1597" xr:uid="{00000000-0005-0000-0000-0000FD040000}"/>
    <cellStyle name="20% - 강조색2 51 25" xfId="6756" xr:uid="{00000000-0005-0000-0000-0000FE040000}"/>
    <cellStyle name="20% - 강조색2 51 26" xfId="10254" xr:uid="{00000000-0005-0000-0000-0000FF040000}"/>
    <cellStyle name="20% - 강조색2 51 27" xfId="10493" xr:uid="{00000000-0005-0000-0000-000000050000}"/>
    <cellStyle name="20% - 강조색2 51 28" xfId="6705" xr:uid="{00000000-0005-0000-0000-000001050000}"/>
    <cellStyle name="20% - 강조색2 51 29" xfId="11266" xr:uid="{00000000-0005-0000-0000-000002050000}"/>
    <cellStyle name="20% - 강조색2 51 3" xfId="983" xr:uid="{00000000-0005-0000-0000-000003050000}"/>
    <cellStyle name="20% - 강조색2 51 4" xfId="2328" xr:uid="{00000000-0005-0000-0000-000004050000}"/>
    <cellStyle name="20% - 강조색2 51 5" xfId="2535" xr:uid="{00000000-0005-0000-0000-000005050000}"/>
    <cellStyle name="20% - 강조색2 51 6" xfId="1398" xr:uid="{00000000-0005-0000-0000-000006050000}"/>
    <cellStyle name="20% - 강조색2 51 7" xfId="3185" xr:uid="{00000000-0005-0000-0000-000007050000}"/>
    <cellStyle name="20% - 강조색2 51 8" xfId="3654" xr:uid="{00000000-0005-0000-0000-000008050000}"/>
    <cellStyle name="20% - 강조색2 51 9" xfId="3873" xr:uid="{00000000-0005-0000-0000-000009050000}"/>
    <cellStyle name="20% - 강조색2 52" xfId="1050" xr:uid="{00000000-0005-0000-0000-00000A050000}"/>
    <cellStyle name="20% - 강조색2 52 10" xfId="4227" xr:uid="{00000000-0005-0000-0000-00000B050000}"/>
    <cellStyle name="20% - 강조색2 52 11" xfId="766" xr:uid="{00000000-0005-0000-0000-00000C050000}"/>
    <cellStyle name="20% - 강조색2 52 12" xfId="5212" xr:uid="{00000000-0005-0000-0000-00000D050000}"/>
    <cellStyle name="20% - 강조색2 52 13" xfId="5348" xr:uid="{00000000-0005-0000-0000-00000E050000}"/>
    <cellStyle name="20% - 강조색2 52 14" xfId="5072" xr:uid="{00000000-0005-0000-0000-00000F050000}"/>
    <cellStyle name="20% - 강조색2 52 15" xfId="2052" xr:uid="{00000000-0005-0000-0000-000010050000}"/>
    <cellStyle name="20% - 강조색2 52 16" xfId="4200" xr:uid="{00000000-0005-0000-0000-000011050000}"/>
    <cellStyle name="20% - 강조색2 52 17" xfId="4323" xr:uid="{00000000-0005-0000-0000-000012050000}"/>
    <cellStyle name="20% - 강조색2 52 18" xfId="7044" xr:uid="{00000000-0005-0000-0000-000013050000}"/>
    <cellStyle name="20% - 강조색2 52 19" xfId="7810" xr:uid="{00000000-0005-0000-0000-000014050000}"/>
    <cellStyle name="20% - 강조색2 52 2" xfId="1727" xr:uid="{00000000-0005-0000-0000-000015050000}"/>
    <cellStyle name="20% - 강조색2 52 20" xfId="8072" xr:uid="{00000000-0005-0000-0000-000016050000}"/>
    <cellStyle name="20% - 강조색2 52 21" xfId="930" xr:uid="{00000000-0005-0000-0000-000017050000}"/>
    <cellStyle name="20% - 강조색2 52 22" xfId="8900" xr:uid="{00000000-0005-0000-0000-000018050000}"/>
    <cellStyle name="20% - 강조색2 52 23" xfId="6079" xr:uid="{00000000-0005-0000-0000-000019050000}"/>
    <cellStyle name="20% - 강조색2 52 24" xfId="8145" xr:uid="{00000000-0005-0000-0000-00001A050000}"/>
    <cellStyle name="20% - 강조색2 52 25" xfId="8423" xr:uid="{00000000-0005-0000-0000-00001B050000}"/>
    <cellStyle name="20% - 강조색2 52 26" xfId="10328" xr:uid="{00000000-0005-0000-0000-00001C050000}"/>
    <cellStyle name="20% - 강조색2 52 27" xfId="9307" xr:uid="{00000000-0005-0000-0000-00001D050000}"/>
    <cellStyle name="20% - 강조색2 52 28" xfId="5395" xr:uid="{00000000-0005-0000-0000-00001E050000}"/>
    <cellStyle name="20% - 강조색2 52 29" xfId="11229" xr:uid="{00000000-0005-0000-0000-00001F050000}"/>
    <cellStyle name="20% - 강조색2 52 3" xfId="712" xr:uid="{00000000-0005-0000-0000-000020050000}"/>
    <cellStyle name="20% - 강조색2 52 4" xfId="1973" xr:uid="{00000000-0005-0000-0000-000021050000}"/>
    <cellStyle name="20% - 강조색2 52 5" xfId="2573" xr:uid="{00000000-0005-0000-0000-000022050000}"/>
    <cellStyle name="20% - 강조색2 52 6" xfId="2746" xr:uid="{00000000-0005-0000-0000-000023050000}"/>
    <cellStyle name="20% - 강조색2 52 7" xfId="3132" xr:uid="{00000000-0005-0000-0000-000024050000}"/>
    <cellStyle name="20% - 강조색2 52 8" xfId="3658" xr:uid="{00000000-0005-0000-0000-000025050000}"/>
    <cellStyle name="20% - 강조색2 52 9" xfId="4034" xr:uid="{00000000-0005-0000-0000-000026050000}"/>
    <cellStyle name="20% - 강조색2 53" xfId="1049" xr:uid="{00000000-0005-0000-0000-000027050000}"/>
    <cellStyle name="20% - 강조색2 53 10" xfId="4368" xr:uid="{00000000-0005-0000-0000-000028050000}"/>
    <cellStyle name="20% - 강조색2 53 11" xfId="2404" xr:uid="{00000000-0005-0000-0000-000029050000}"/>
    <cellStyle name="20% - 강조색2 53 12" xfId="5060" xr:uid="{00000000-0005-0000-0000-00002A050000}"/>
    <cellStyle name="20% - 강조색2 53 13" xfId="4929" xr:uid="{00000000-0005-0000-0000-00002B050000}"/>
    <cellStyle name="20% - 강조색2 53 14" xfId="5767" xr:uid="{00000000-0005-0000-0000-00002C050000}"/>
    <cellStyle name="20% - 강조색2 53 15" xfId="5864" xr:uid="{00000000-0005-0000-0000-00002D050000}"/>
    <cellStyle name="20% - 강조색2 53 16" xfId="6499" xr:uid="{00000000-0005-0000-0000-00002E050000}"/>
    <cellStyle name="20% - 강조색2 53 17" xfId="3848" xr:uid="{00000000-0005-0000-0000-00002F050000}"/>
    <cellStyle name="20% - 강조색2 53 18" xfId="2963" xr:uid="{00000000-0005-0000-0000-000030050000}"/>
    <cellStyle name="20% - 강조색2 53 19" xfId="4685" xr:uid="{00000000-0005-0000-0000-000031050000}"/>
    <cellStyle name="20% - 강조색2 53 2" xfId="1726" xr:uid="{00000000-0005-0000-0000-000032050000}"/>
    <cellStyle name="20% - 강조색2 53 20" xfId="8053" xr:uid="{00000000-0005-0000-0000-000033050000}"/>
    <cellStyle name="20% - 강조색2 53 21" xfId="6267" xr:uid="{00000000-0005-0000-0000-000034050000}"/>
    <cellStyle name="20% - 강조색2 53 22" xfId="6829" xr:uid="{00000000-0005-0000-0000-000035050000}"/>
    <cellStyle name="20% - 강조색2 53 23" xfId="9274" xr:uid="{00000000-0005-0000-0000-000036050000}"/>
    <cellStyle name="20% - 강조색2 53 24" xfId="8395" xr:uid="{00000000-0005-0000-0000-000037050000}"/>
    <cellStyle name="20% - 강조색2 53 25" xfId="9947" xr:uid="{00000000-0005-0000-0000-000038050000}"/>
    <cellStyle name="20% - 강조색2 53 26" xfId="10271" xr:uid="{00000000-0005-0000-0000-000039050000}"/>
    <cellStyle name="20% - 강조색2 53 27" xfId="10543" xr:uid="{00000000-0005-0000-0000-00003A050000}"/>
    <cellStyle name="20% - 강조색2 53 28" xfId="4925" xr:uid="{00000000-0005-0000-0000-00003B050000}"/>
    <cellStyle name="20% - 강조색2 53 29" xfId="11039" xr:uid="{00000000-0005-0000-0000-00003C050000}"/>
    <cellStyle name="20% - 강조색2 53 3" xfId="1369" xr:uid="{00000000-0005-0000-0000-00003D050000}"/>
    <cellStyle name="20% - 강조색2 53 4" xfId="691" xr:uid="{00000000-0005-0000-0000-00003E050000}"/>
    <cellStyle name="20% - 강조색2 53 5" xfId="2524" xr:uid="{00000000-0005-0000-0000-00003F050000}"/>
    <cellStyle name="20% - 강조색2 53 6" xfId="2725" xr:uid="{00000000-0005-0000-0000-000040050000}"/>
    <cellStyle name="20% - 강조색2 53 7" xfId="2803" xr:uid="{00000000-0005-0000-0000-000041050000}"/>
    <cellStyle name="20% - 강조색2 53 8" xfId="3676" xr:uid="{00000000-0005-0000-0000-000042050000}"/>
    <cellStyle name="20% - 강조색2 53 9" xfId="3940" xr:uid="{00000000-0005-0000-0000-000043050000}"/>
    <cellStyle name="20% - 강조색2 54" xfId="856" xr:uid="{00000000-0005-0000-0000-000044050000}"/>
    <cellStyle name="20% - 강조색2 54 10" xfId="4697" xr:uid="{00000000-0005-0000-0000-000045050000}"/>
    <cellStyle name="20% - 강조색2 54 11" xfId="4507" xr:uid="{00000000-0005-0000-0000-000046050000}"/>
    <cellStyle name="20% - 강조색2 54 12" xfId="3761" xr:uid="{00000000-0005-0000-0000-000047050000}"/>
    <cellStyle name="20% - 강조색2 54 13" xfId="4977" xr:uid="{00000000-0005-0000-0000-000048050000}"/>
    <cellStyle name="20% - 강조색2 54 14" xfId="5768" xr:uid="{00000000-0005-0000-0000-000049050000}"/>
    <cellStyle name="20% - 강조색2 54 15" xfId="6554" xr:uid="{00000000-0005-0000-0000-00004A050000}"/>
    <cellStyle name="20% - 강조색2 54 16" xfId="1835" xr:uid="{00000000-0005-0000-0000-00004B050000}"/>
    <cellStyle name="20% - 강조색2 54 17" xfId="6078" xr:uid="{00000000-0005-0000-0000-00004C050000}"/>
    <cellStyle name="20% - 강조색2 54 18" xfId="2446" xr:uid="{00000000-0005-0000-0000-00004D050000}"/>
    <cellStyle name="20% - 강조색2 54 19" xfId="8060" xr:uid="{00000000-0005-0000-0000-00004E050000}"/>
    <cellStyle name="20% - 강조색2 54 2" xfId="934" xr:uid="{00000000-0005-0000-0000-00004F050000}"/>
    <cellStyle name="20% - 강조색2 54 20" xfId="7517" xr:uid="{00000000-0005-0000-0000-000050050000}"/>
    <cellStyle name="20% - 강조색2 54 21" xfId="7452" xr:uid="{00000000-0005-0000-0000-000051050000}"/>
    <cellStyle name="20% - 강조색2 54 22" xfId="9350" xr:uid="{00000000-0005-0000-0000-000052050000}"/>
    <cellStyle name="20% - 강조색2 54 23" xfId="8018" xr:uid="{00000000-0005-0000-0000-000053050000}"/>
    <cellStyle name="20% - 강조색2 54 24" xfId="6833" xr:uid="{00000000-0005-0000-0000-000054050000}"/>
    <cellStyle name="20% - 강조색2 54 25" xfId="10217" xr:uid="{00000000-0005-0000-0000-000055050000}"/>
    <cellStyle name="20% - 강조색2 54 26" xfId="10697" xr:uid="{00000000-0005-0000-0000-000056050000}"/>
    <cellStyle name="20% - 강조색2 54 27" xfId="10911" xr:uid="{00000000-0005-0000-0000-000057050000}"/>
    <cellStyle name="20% - 강조색2 54 28" xfId="11159" xr:uid="{00000000-0005-0000-0000-000058050000}"/>
    <cellStyle name="20% - 강조색2 54 3" xfId="2341" xr:uid="{00000000-0005-0000-0000-000059050000}"/>
    <cellStyle name="20% - 강조색2 54 4" xfId="1914" xr:uid="{00000000-0005-0000-0000-00005A050000}"/>
    <cellStyle name="20% - 강조색2 54 5" xfId="2960" xr:uid="{00000000-0005-0000-0000-00005B050000}"/>
    <cellStyle name="20% - 강조색2 54 6" xfId="1373" xr:uid="{00000000-0005-0000-0000-00005C050000}"/>
    <cellStyle name="20% - 강조색2 54 7" xfId="3629" xr:uid="{00000000-0005-0000-0000-00005D050000}"/>
    <cellStyle name="20% - 강조색2 54 8" xfId="3052" xr:uid="{00000000-0005-0000-0000-00005E050000}"/>
    <cellStyle name="20% - 강조색2 54 9" xfId="2776" xr:uid="{00000000-0005-0000-0000-00005F050000}"/>
    <cellStyle name="20% - 강조색2 55" xfId="1894" xr:uid="{00000000-0005-0000-0000-000060050000}"/>
    <cellStyle name="20% - 강조색2 55 10" xfId="3545" xr:uid="{00000000-0005-0000-0000-000061050000}"/>
    <cellStyle name="20% - 강조색2 55 11" xfId="4942" xr:uid="{00000000-0005-0000-0000-000062050000}"/>
    <cellStyle name="20% - 강조색2 55 12" xfId="5181" xr:uid="{00000000-0005-0000-0000-000063050000}"/>
    <cellStyle name="20% - 강조색2 55 13" xfId="5764" xr:uid="{00000000-0005-0000-0000-000064050000}"/>
    <cellStyle name="20% - 강조색2 55 14" xfId="6222" xr:uid="{00000000-0005-0000-0000-000065050000}"/>
    <cellStyle name="20% - 강조색2 55 15" xfId="7247" xr:uid="{00000000-0005-0000-0000-000066050000}"/>
    <cellStyle name="20% - 강조색2 55 16" xfId="7088" xr:uid="{00000000-0005-0000-0000-000067050000}"/>
    <cellStyle name="20% - 강조색2 55 17" xfId="4591" xr:uid="{00000000-0005-0000-0000-000068050000}"/>
    <cellStyle name="20% - 강조색2 55 18" xfId="6697" xr:uid="{00000000-0005-0000-0000-000069050000}"/>
    <cellStyle name="20% - 강조색2 55 19" xfId="7444" xr:uid="{00000000-0005-0000-0000-00006A050000}"/>
    <cellStyle name="20% - 강조색2 55 2" xfId="2371" xr:uid="{00000000-0005-0000-0000-00006B050000}"/>
    <cellStyle name="20% - 강조색2 55 20" xfId="1400" xr:uid="{00000000-0005-0000-0000-00006C050000}"/>
    <cellStyle name="20% - 강조색2 55 21" xfId="8752" xr:uid="{00000000-0005-0000-0000-00006D050000}"/>
    <cellStyle name="20% - 강조색2 55 22" xfId="7660" xr:uid="{00000000-0005-0000-0000-00006E050000}"/>
    <cellStyle name="20% - 강조색2 55 23" xfId="5552" xr:uid="{00000000-0005-0000-0000-00006F050000}"/>
    <cellStyle name="20% - 강조색2 55 24" xfId="9478" xr:uid="{00000000-0005-0000-0000-000070050000}"/>
    <cellStyle name="20% - 강조색2 55 25" xfId="1940" xr:uid="{00000000-0005-0000-0000-000071050000}"/>
    <cellStyle name="20% - 강조색2 55 26" xfId="7461" xr:uid="{00000000-0005-0000-0000-000072050000}"/>
    <cellStyle name="20% - 강조색2 55 27" xfId="2842" xr:uid="{00000000-0005-0000-0000-000073050000}"/>
    <cellStyle name="20% - 강조색2 55 3" xfId="2690" xr:uid="{00000000-0005-0000-0000-000074050000}"/>
    <cellStyle name="20% - 강조색2 55 4" xfId="3004" xr:uid="{00000000-0005-0000-0000-000075050000}"/>
    <cellStyle name="20% - 강조색2 55 5" xfId="3278" xr:uid="{00000000-0005-0000-0000-000076050000}"/>
    <cellStyle name="20% - 강조색2 55 6" xfId="1890" xr:uid="{00000000-0005-0000-0000-000077050000}"/>
    <cellStyle name="20% - 강조색2 55 7" xfId="4013" xr:uid="{00000000-0005-0000-0000-000078050000}"/>
    <cellStyle name="20% - 강조색2 55 8" xfId="4378" xr:uid="{00000000-0005-0000-0000-000079050000}"/>
    <cellStyle name="20% - 강조색2 55 9" xfId="4691" xr:uid="{00000000-0005-0000-0000-00007A050000}"/>
    <cellStyle name="20% - 강조색2 56" xfId="2335" xr:uid="{00000000-0005-0000-0000-00007B050000}"/>
    <cellStyle name="20% - 강조색2 56 10" xfId="5396" xr:uid="{00000000-0005-0000-0000-00007C050000}"/>
    <cellStyle name="20% - 강조색2 56 11" xfId="2826" xr:uid="{00000000-0005-0000-0000-00007D050000}"/>
    <cellStyle name="20% - 강조색2 56 12" xfId="4654" xr:uid="{00000000-0005-0000-0000-00007E050000}"/>
    <cellStyle name="20% - 강조색2 56 13" xfId="6426" xr:uid="{00000000-0005-0000-0000-00007F050000}"/>
    <cellStyle name="20% - 강조색2 56 14" xfId="7084" xr:uid="{00000000-0005-0000-0000-000080050000}"/>
    <cellStyle name="20% - 강조색2 56 15" xfId="6800" xr:uid="{00000000-0005-0000-0000-000081050000}"/>
    <cellStyle name="20% - 강조색2 56 16" xfId="7422" xr:uid="{00000000-0005-0000-0000-000082050000}"/>
    <cellStyle name="20% - 강조색2 56 17" xfId="8173" xr:uid="{00000000-0005-0000-0000-000083050000}"/>
    <cellStyle name="20% - 강조색2 56 18" xfId="3950" xr:uid="{00000000-0005-0000-0000-000084050000}"/>
    <cellStyle name="20% - 강조색2 56 19" xfId="9014" xr:uid="{00000000-0005-0000-0000-000085050000}"/>
    <cellStyle name="20% - 강조색2 56 2" xfId="2707" xr:uid="{00000000-0005-0000-0000-000086050000}"/>
    <cellStyle name="20% - 강조색2 56 20" xfId="7731" xr:uid="{00000000-0005-0000-0000-000087050000}"/>
    <cellStyle name="20% - 강조색2 56 21" xfId="6897" xr:uid="{00000000-0005-0000-0000-000088050000}"/>
    <cellStyle name="20% - 강조색2 56 22" xfId="7063" xr:uid="{00000000-0005-0000-0000-000089050000}"/>
    <cellStyle name="20% - 강조색2 56 23" xfId="10234" xr:uid="{00000000-0005-0000-0000-00008A050000}"/>
    <cellStyle name="20% - 강조색2 56 24" xfId="7469" xr:uid="{00000000-0005-0000-0000-00008B050000}"/>
    <cellStyle name="20% - 강조색2 56 25" xfId="10792" xr:uid="{00000000-0005-0000-0000-00008C050000}"/>
    <cellStyle name="20% - 강조색2 56 26" xfId="10878" xr:uid="{00000000-0005-0000-0000-00008D050000}"/>
    <cellStyle name="20% - 강조색2 56 3" xfId="3022" xr:uid="{00000000-0005-0000-0000-00008E050000}"/>
    <cellStyle name="20% - 강조색2 56 4" xfId="3355" xr:uid="{00000000-0005-0000-0000-00008F050000}"/>
    <cellStyle name="20% - 강조색2 56 5" xfId="2227" xr:uid="{00000000-0005-0000-0000-000090050000}"/>
    <cellStyle name="20% - 강조색2 56 6" xfId="4039" xr:uid="{00000000-0005-0000-0000-000091050000}"/>
    <cellStyle name="20% - 강조색2 56 7" xfId="4352" xr:uid="{00000000-0005-0000-0000-000092050000}"/>
    <cellStyle name="20% - 강조색2 56 8" xfId="1827" xr:uid="{00000000-0005-0000-0000-000093050000}"/>
    <cellStyle name="20% - 강조색2 56 9" xfId="5526" xr:uid="{00000000-0005-0000-0000-000094050000}"/>
    <cellStyle name="20% - 강조색2 57" xfId="2626" xr:uid="{00000000-0005-0000-0000-000095050000}"/>
    <cellStyle name="20% - 강조색2 57 10" xfId="5893" xr:uid="{00000000-0005-0000-0000-000096050000}"/>
    <cellStyle name="20% - 강조색2 57 11" xfId="5952" xr:uid="{00000000-0005-0000-0000-000097050000}"/>
    <cellStyle name="20% - 강조색2 57 12" xfId="6595" xr:uid="{00000000-0005-0000-0000-000098050000}"/>
    <cellStyle name="20% - 강조색2 57 13" xfId="6988" xr:uid="{00000000-0005-0000-0000-000099050000}"/>
    <cellStyle name="20% - 강조색2 57 14" xfId="7155" xr:uid="{00000000-0005-0000-0000-00009A050000}"/>
    <cellStyle name="20% - 강조색2 57 15" xfId="7736" xr:uid="{00000000-0005-0000-0000-00009B050000}"/>
    <cellStyle name="20% - 강조색2 57 16" xfId="7991" xr:uid="{00000000-0005-0000-0000-00009C050000}"/>
    <cellStyle name="20% - 강조색2 57 17" xfId="7760" xr:uid="{00000000-0005-0000-0000-00009D050000}"/>
    <cellStyle name="20% - 강조색2 57 18" xfId="8716" xr:uid="{00000000-0005-0000-0000-00009E050000}"/>
    <cellStyle name="20% - 강조색2 57 19" xfId="7747" xr:uid="{00000000-0005-0000-0000-00009F050000}"/>
    <cellStyle name="20% - 강조색2 57 2" xfId="3030" xr:uid="{00000000-0005-0000-0000-0000A0050000}"/>
    <cellStyle name="20% - 강조색2 57 20" xfId="6118" xr:uid="{00000000-0005-0000-0000-0000A1050000}"/>
    <cellStyle name="20% - 강조색2 57 21" xfId="9854" xr:uid="{00000000-0005-0000-0000-0000A2050000}"/>
    <cellStyle name="20% - 강조색2 57 22" xfId="6826" xr:uid="{00000000-0005-0000-0000-0000A3050000}"/>
    <cellStyle name="20% - 강조색2 57 23" xfId="2764" xr:uid="{00000000-0005-0000-0000-0000A4050000}"/>
    <cellStyle name="20% - 강조색2 57 24" xfId="10807" xr:uid="{00000000-0005-0000-0000-0000A5050000}"/>
    <cellStyle name="20% - 강조색2 57 25" xfId="9181" xr:uid="{00000000-0005-0000-0000-0000A6050000}"/>
    <cellStyle name="20% - 강조색2 57 3" xfId="3363" xr:uid="{00000000-0005-0000-0000-0000A7050000}"/>
    <cellStyle name="20% - 강조색2 57 4" xfId="3695" xr:uid="{00000000-0005-0000-0000-0000A8050000}"/>
    <cellStyle name="20% - 강조색2 57 5" xfId="3829" xr:uid="{00000000-0005-0000-0000-0000A9050000}"/>
    <cellStyle name="20% - 강조색2 57 6" xfId="4248" xr:uid="{00000000-0005-0000-0000-0000AA050000}"/>
    <cellStyle name="20% - 강조색2 57 7" xfId="4501" xr:uid="{00000000-0005-0000-0000-0000AB050000}"/>
    <cellStyle name="20% - 강조색2 57 8" xfId="4892" xr:uid="{00000000-0005-0000-0000-0000AC050000}"/>
    <cellStyle name="20% - 강조색2 57 9" xfId="5811" xr:uid="{00000000-0005-0000-0000-0000AD050000}"/>
    <cellStyle name="20% - 강조색2 58" xfId="3000" xr:uid="{00000000-0005-0000-0000-0000AE050000}"/>
    <cellStyle name="20% - 강조색2 58 10" xfId="5688" xr:uid="{00000000-0005-0000-0000-0000AF050000}"/>
    <cellStyle name="20% - 강조색2 58 11" xfId="3072" xr:uid="{00000000-0005-0000-0000-0000B0050000}"/>
    <cellStyle name="20% - 강조색2 58 12" xfId="6975" xr:uid="{00000000-0005-0000-0000-0000B1050000}"/>
    <cellStyle name="20% - 강조색2 58 13" xfId="6779" xr:uid="{00000000-0005-0000-0000-0000B2050000}"/>
    <cellStyle name="20% - 강조색2 58 14" xfId="7015" xr:uid="{00000000-0005-0000-0000-0000B3050000}"/>
    <cellStyle name="20% - 강조색2 58 15" xfId="3966" xr:uid="{00000000-0005-0000-0000-0000B4050000}"/>
    <cellStyle name="20% - 강조색2 58 16" xfId="8312" xr:uid="{00000000-0005-0000-0000-0000B5050000}"/>
    <cellStyle name="20% - 강조색2 58 17" xfId="8722" xr:uid="{00000000-0005-0000-0000-0000B6050000}"/>
    <cellStyle name="20% - 강조색2 58 18" xfId="9127" xr:uid="{00000000-0005-0000-0000-0000B7050000}"/>
    <cellStyle name="20% - 강조색2 58 19" xfId="8321" xr:uid="{00000000-0005-0000-0000-0000B8050000}"/>
    <cellStyle name="20% - 강조색2 58 2" xfId="3379" xr:uid="{00000000-0005-0000-0000-0000B9050000}"/>
    <cellStyle name="20% - 강조색2 58 20" xfId="9946" xr:uid="{00000000-0005-0000-0000-0000BA050000}"/>
    <cellStyle name="20% - 강조색2 58 21" xfId="10317" xr:uid="{00000000-0005-0000-0000-0000BB050000}"/>
    <cellStyle name="20% - 강조색2 58 22" xfId="10645" xr:uid="{00000000-0005-0000-0000-0000BC050000}"/>
    <cellStyle name="20% - 강조색2 58 23" xfId="7433" xr:uid="{00000000-0005-0000-0000-0000BD050000}"/>
    <cellStyle name="20% - 강조색2 58 24" xfId="6326" xr:uid="{00000000-0005-0000-0000-0000BE050000}"/>
    <cellStyle name="20% - 강조색2 58 3" xfId="3712" xr:uid="{00000000-0005-0000-0000-0000BF050000}"/>
    <cellStyle name="20% - 강조색2 58 4" xfId="4050" xr:uid="{00000000-0005-0000-0000-0000C0050000}"/>
    <cellStyle name="20% - 강조색2 58 5" xfId="4070" xr:uid="{00000000-0005-0000-0000-0000C1050000}"/>
    <cellStyle name="20% - 강조색2 58 6" xfId="4731" xr:uid="{00000000-0005-0000-0000-0000C2050000}"/>
    <cellStyle name="20% - 강조색2 58 7" xfId="5560" xr:uid="{00000000-0005-0000-0000-0000C3050000}"/>
    <cellStyle name="20% - 강조색2 58 8" xfId="5119" xr:uid="{00000000-0005-0000-0000-0000C4050000}"/>
    <cellStyle name="20% - 강조색2 58 9" xfId="5211" xr:uid="{00000000-0005-0000-0000-0000C5050000}"/>
    <cellStyle name="20% - 강조색2 59" xfId="3350" xr:uid="{00000000-0005-0000-0000-0000C6050000}"/>
    <cellStyle name="20% - 강조색2 59 10" xfId="5016" xr:uid="{00000000-0005-0000-0000-0000C7050000}"/>
    <cellStyle name="20% - 강조색2 59 11" xfId="745" xr:uid="{00000000-0005-0000-0000-0000C8050000}"/>
    <cellStyle name="20% - 강조색2 59 12" xfId="1537" xr:uid="{00000000-0005-0000-0000-0000C9050000}"/>
    <cellStyle name="20% - 강조색2 59 13" xfId="7667" xr:uid="{00000000-0005-0000-0000-0000CA050000}"/>
    <cellStyle name="20% - 강조색2 59 14" xfId="7903" xr:uid="{00000000-0005-0000-0000-0000CB050000}"/>
    <cellStyle name="20% - 강조색2 59 15" xfId="6405" xr:uid="{00000000-0005-0000-0000-0000CC050000}"/>
    <cellStyle name="20% - 강조색2 59 16" xfId="8841" xr:uid="{00000000-0005-0000-0000-0000CD050000}"/>
    <cellStyle name="20% - 강조색2 59 17" xfId="9292" xr:uid="{00000000-0005-0000-0000-0000CE050000}"/>
    <cellStyle name="20% - 강조색2 59 18" xfId="2670" xr:uid="{00000000-0005-0000-0000-0000CF050000}"/>
    <cellStyle name="20% - 강조색2 59 19" xfId="6057" xr:uid="{00000000-0005-0000-0000-0000D0050000}"/>
    <cellStyle name="20% - 강조색2 59 2" xfId="3721" xr:uid="{00000000-0005-0000-0000-0000D1050000}"/>
    <cellStyle name="20% - 강조색2 59 20" xfId="10350" xr:uid="{00000000-0005-0000-0000-0000D2050000}"/>
    <cellStyle name="20% - 강조색2 59 21" xfId="10378" xr:uid="{00000000-0005-0000-0000-0000D3050000}"/>
    <cellStyle name="20% - 강조색2 59 22" xfId="10465" xr:uid="{00000000-0005-0000-0000-0000D4050000}"/>
    <cellStyle name="20% - 강조색2 59 23" xfId="11190" xr:uid="{00000000-0005-0000-0000-0000D5050000}"/>
    <cellStyle name="20% - 강조색2 59 3" xfId="4060" xr:uid="{00000000-0005-0000-0000-0000D6050000}"/>
    <cellStyle name="20% - 강조색2 59 4" xfId="4396" xr:uid="{00000000-0005-0000-0000-0000D7050000}"/>
    <cellStyle name="20% - 강조색2 59 5" xfId="4717" xr:uid="{00000000-0005-0000-0000-0000D8050000}"/>
    <cellStyle name="20% - 강조색2 59 6" xfId="5617" xr:uid="{00000000-0005-0000-0000-0000D9050000}"/>
    <cellStyle name="20% - 강조색2 59 7" xfId="5087" xr:uid="{00000000-0005-0000-0000-0000DA050000}"/>
    <cellStyle name="20% - 강조색2 59 8" xfId="4932" xr:uid="{00000000-0005-0000-0000-0000DB050000}"/>
    <cellStyle name="20% - 강조색2 59 9" xfId="5650" xr:uid="{00000000-0005-0000-0000-0000DC050000}"/>
    <cellStyle name="20% - 강조색2 6" xfId="97" xr:uid="{00000000-0005-0000-0000-0000DD050000}"/>
    <cellStyle name="20% - 강조색2 60" xfId="3404" xr:uid="{00000000-0005-0000-0000-0000DE050000}"/>
    <cellStyle name="20% - 강조색2 60 10" xfId="6206" xr:uid="{00000000-0005-0000-0000-0000DF050000}"/>
    <cellStyle name="20% - 강조색2 60 11" xfId="6966" xr:uid="{00000000-0005-0000-0000-0000E0050000}"/>
    <cellStyle name="20% - 강조색2 60 12" xfId="7665" xr:uid="{00000000-0005-0000-0000-0000E1050000}"/>
    <cellStyle name="20% - 강조색2 60 13" xfId="5048" xr:uid="{00000000-0005-0000-0000-0000E2050000}"/>
    <cellStyle name="20% - 강조색2 60 14" xfId="6037" xr:uid="{00000000-0005-0000-0000-0000E3050000}"/>
    <cellStyle name="20% - 강조색2 60 15" xfId="8975" xr:uid="{00000000-0005-0000-0000-0000E4050000}"/>
    <cellStyle name="20% - 강조색2 60 16" xfId="9305" xr:uid="{00000000-0005-0000-0000-0000E5050000}"/>
    <cellStyle name="20% - 강조색2 60 17" xfId="9684" xr:uid="{00000000-0005-0000-0000-0000E6050000}"/>
    <cellStyle name="20% - 강조색2 60 18" xfId="9883" xr:uid="{00000000-0005-0000-0000-0000E7050000}"/>
    <cellStyle name="20% - 강조색2 60 19" xfId="10270" xr:uid="{00000000-0005-0000-0000-0000E8050000}"/>
    <cellStyle name="20% - 강조색2 60 2" xfId="4061" xr:uid="{00000000-0005-0000-0000-0000E9050000}"/>
    <cellStyle name="20% - 강조색2 60 20" xfId="10603" xr:uid="{00000000-0005-0000-0000-0000EA050000}"/>
    <cellStyle name="20% - 강조색2 60 21" xfId="10828" xr:uid="{00000000-0005-0000-0000-0000EB050000}"/>
    <cellStyle name="20% - 강조색2 60 22" xfId="8753" xr:uid="{00000000-0005-0000-0000-0000EC050000}"/>
    <cellStyle name="20% - 강조색2 60 3" xfId="4397" xr:uid="{00000000-0005-0000-0000-0000ED050000}"/>
    <cellStyle name="20% - 강조색2 60 4" xfId="2954" xr:uid="{00000000-0005-0000-0000-0000EE050000}"/>
    <cellStyle name="20% - 강조색2 60 5" xfId="4147" xr:uid="{00000000-0005-0000-0000-0000EF050000}"/>
    <cellStyle name="20% - 강조색2 60 6" xfId="5298" xr:uid="{00000000-0005-0000-0000-0000F0050000}"/>
    <cellStyle name="20% - 강조색2 60 7" xfId="5499" xr:uid="{00000000-0005-0000-0000-0000F1050000}"/>
    <cellStyle name="20% - 강조색2 60 8" xfId="5812" xr:uid="{00000000-0005-0000-0000-0000F2050000}"/>
    <cellStyle name="20% - 강조색2 60 9" xfId="6115" xr:uid="{00000000-0005-0000-0000-0000F3050000}"/>
    <cellStyle name="20% - 강조색2 61" xfId="4041" xr:uid="{00000000-0005-0000-0000-0000F4050000}"/>
    <cellStyle name="20% - 강조색2 61 10" xfId="6958" xr:uid="{00000000-0005-0000-0000-0000F5050000}"/>
    <cellStyle name="20% - 강조색2 61 11" xfId="7584" xr:uid="{00000000-0005-0000-0000-0000F6050000}"/>
    <cellStyle name="20% - 강조색2 61 12" xfId="8174" xr:uid="{00000000-0005-0000-0000-0000F7050000}"/>
    <cellStyle name="20% - 강조색2 61 13" xfId="8344" xr:uid="{00000000-0005-0000-0000-0000F8050000}"/>
    <cellStyle name="20% - 강조색2 61 14" xfId="8798" xr:uid="{00000000-0005-0000-0000-0000F9050000}"/>
    <cellStyle name="20% - 강조색2 61 15" xfId="4087" xr:uid="{00000000-0005-0000-0000-0000FA050000}"/>
    <cellStyle name="20% - 강조색2 61 16" xfId="9504" xr:uid="{00000000-0005-0000-0000-0000FB050000}"/>
    <cellStyle name="20% - 강조색2 61 17" xfId="6852" xr:uid="{00000000-0005-0000-0000-0000FC050000}"/>
    <cellStyle name="20% - 강조색2 61 18" xfId="10366" xr:uid="{00000000-0005-0000-0000-0000FD050000}"/>
    <cellStyle name="20% - 강조색2 61 19" xfId="10608" xr:uid="{00000000-0005-0000-0000-0000FE050000}"/>
    <cellStyle name="20% - 강조색2 61 2" xfId="4415" xr:uid="{00000000-0005-0000-0000-0000FF050000}"/>
    <cellStyle name="20% - 강조색2 61 20" xfId="9761" xr:uid="{00000000-0005-0000-0000-000000060000}"/>
    <cellStyle name="20% - 강조색2 61 21" xfId="11148" xr:uid="{00000000-0005-0000-0000-000001060000}"/>
    <cellStyle name="20% - 강조색2 61 3" xfId="4769" xr:uid="{00000000-0005-0000-0000-000002060000}"/>
    <cellStyle name="20% - 강조색2 61 4" xfId="5701" xr:uid="{00000000-0005-0000-0000-000003060000}"/>
    <cellStyle name="20% - 강조색2 61 5" xfId="5646" xr:uid="{00000000-0005-0000-0000-000004060000}"/>
    <cellStyle name="20% - 강조색2 61 6" xfId="4799" xr:uid="{00000000-0005-0000-0000-000005060000}"/>
    <cellStyle name="20% - 강조색2 61 7" xfId="5448" xr:uid="{00000000-0005-0000-0000-000006060000}"/>
    <cellStyle name="20% - 강조색2 61 8" xfId="6627" xr:uid="{00000000-0005-0000-0000-000007060000}"/>
    <cellStyle name="20% - 강조색2 61 9" xfId="7242" xr:uid="{00000000-0005-0000-0000-000008060000}"/>
    <cellStyle name="20% - 강조색2 62" xfId="4387" xr:uid="{00000000-0005-0000-0000-000009060000}"/>
    <cellStyle name="20% - 강조색2 62 10" xfId="7688" xr:uid="{00000000-0005-0000-0000-00000A060000}"/>
    <cellStyle name="20% - 강조색2 62 11" xfId="8164" xr:uid="{00000000-0005-0000-0000-00000B060000}"/>
    <cellStyle name="20% - 강조색2 62 12" xfId="8466" xr:uid="{00000000-0005-0000-0000-00000C060000}"/>
    <cellStyle name="20% - 강조색2 62 13" xfId="8840" xr:uid="{00000000-0005-0000-0000-00000D060000}"/>
    <cellStyle name="20% - 강조색2 62 14" xfId="8478" xr:uid="{00000000-0005-0000-0000-00000E060000}"/>
    <cellStyle name="20% - 강조색2 62 15" xfId="1868" xr:uid="{00000000-0005-0000-0000-00000F060000}"/>
    <cellStyle name="20% - 강조색2 62 16" xfId="1469" xr:uid="{00000000-0005-0000-0000-000010060000}"/>
    <cellStyle name="20% - 강조색2 62 17" xfId="10267" xr:uid="{00000000-0005-0000-0000-000011060000}"/>
    <cellStyle name="20% - 강조색2 62 18" xfId="10674" xr:uid="{00000000-0005-0000-0000-000012060000}"/>
    <cellStyle name="20% - 강조색2 62 19" xfId="10936" xr:uid="{00000000-0005-0000-0000-000013060000}"/>
    <cellStyle name="20% - 강조색2 62 2" xfId="4779" xr:uid="{00000000-0005-0000-0000-000014060000}"/>
    <cellStyle name="20% - 강조색2 62 20" xfId="11201" xr:uid="{00000000-0005-0000-0000-000015060000}"/>
    <cellStyle name="20% - 강조색2 62 3" xfId="5758" xr:uid="{00000000-0005-0000-0000-000016060000}"/>
    <cellStyle name="20% - 강조색2 62 4" xfId="5858" xr:uid="{00000000-0005-0000-0000-000017060000}"/>
    <cellStyle name="20% - 강조색2 62 5" xfId="5930" xr:uid="{00000000-0005-0000-0000-000018060000}"/>
    <cellStyle name="20% - 강조색2 62 6" xfId="5978" xr:uid="{00000000-0005-0000-0000-000019060000}"/>
    <cellStyle name="20% - 강조색2 62 7" xfId="6637" xr:uid="{00000000-0005-0000-0000-00001A060000}"/>
    <cellStyle name="20% - 강조색2 62 8" xfId="7240" xr:uid="{00000000-0005-0000-0000-00001B060000}"/>
    <cellStyle name="20% - 강조색2 62 9" xfId="7108" xr:uid="{00000000-0005-0000-0000-00001C060000}"/>
    <cellStyle name="20% - 강조색2 63" xfId="4517" xr:uid="{00000000-0005-0000-0000-00001D060000}"/>
    <cellStyle name="20% - 강조색2 63 10" xfId="6246" xr:uid="{00000000-0005-0000-0000-00001E060000}"/>
    <cellStyle name="20% - 강조색2 63 11" xfId="8405" xr:uid="{00000000-0005-0000-0000-00001F060000}"/>
    <cellStyle name="20% - 강조색2 63 12" xfId="1861" xr:uid="{00000000-0005-0000-0000-000020060000}"/>
    <cellStyle name="20% - 강조색2 63 13" xfId="9246" xr:uid="{00000000-0005-0000-0000-000021060000}"/>
    <cellStyle name="20% - 강조색2 63 14" xfId="9635" xr:uid="{00000000-0005-0000-0000-000022060000}"/>
    <cellStyle name="20% - 강조색2 63 15" xfId="4441" xr:uid="{00000000-0005-0000-0000-000023060000}"/>
    <cellStyle name="20% - 강조색2 63 16" xfId="10285" xr:uid="{00000000-0005-0000-0000-000024060000}"/>
    <cellStyle name="20% - 강조색2 63 17" xfId="10498" xr:uid="{00000000-0005-0000-0000-000025060000}"/>
    <cellStyle name="20% - 강조색2 63 18" xfId="10817" xr:uid="{00000000-0005-0000-0000-000026060000}"/>
    <cellStyle name="20% - 강조색2 63 19" xfId="11031" xr:uid="{00000000-0005-0000-0000-000027060000}"/>
    <cellStyle name="20% - 강조색2 63 2" xfId="5789" xr:uid="{00000000-0005-0000-0000-000028060000}"/>
    <cellStyle name="20% - 강조색2 63 3" xfId="5879" xr:uid="{00000000-0005-0000-0000-000029060000}"/>
    <cellStyle name="20% - 강조색2 63 4" xfId="5942" xr:uid="{00000000-0005-0000-0000-00002A060000}"/>
    <cellStyle name="20% - 강조색2 63 5" xfId="5980" xr:uid="{00000000-0005-0000-0000-00002B060000}"/>
    <cellStyle name="20% - 강조색2 63 6" xfId="6639" xr:uid="{00000000-0005-0000-0000-00002C060000}"/>
    <cellStyle name="20% - 강조색2 63 7" xfId="7030" xr:uid="{00000000-0005-0000-0000-00002D060000}"/>
    <cellStyle name="20% - 강조색2 63 8" xfId="7263" xr:uid="{00000000-0005-0000-0000-00002E060000}"/>
    <cellStyle name="20% - 강조색2 63 9" xfId="6722" xr:uid="{00000000-0005-0000-0000-00002F060000}"/>
    <cellStyle name="20% - 강조색2 64" xfId="5631" xr:uid="{00000000-0005-0000-0000-000030060000}"/>
    <cellStyle name="20% - 강조색2 64 10" xfId="3397" xr:uid="{00000000-0005-0000-0000-000031060000}"/>
    <cellStyle name="20% - 강조색2 64 11" xfId="9812" xr:uid="{00000000-0005-0000-0000-000032060000}"/>
    <cellStyle name="20% - 강조색2 64 12" xfId="8709" xr:uid="{00000000-0005-0000-0000-000033060000}"/>
    <cellStyle name="20% - 강조색2 64 13" xfId="7632" xr:uid="{00000000-0005-0000-0000-000034060000}"/>
    <cellStyle name="20% - 강조색2 64 14" xfId="10904" xr:uid="{00000000-0005-0000-0000-000035060000}"/>
    <cellStyle name="20% - 강조색2 64 15" xfId="4939" xr:uid="{00000000-0005-0000-0000-000036060000}"/>
    <cellStyle name="20% - 강조색2 64 2" xfId="6682" xr:uid="{00000000-0005-0000-0000-000037060000}"/>
    <cellStyle name="20% - 강조색2 64 3" xfId="7295" xr:uid="{00000000-0005-0000-0000-000038060000}"/>
    <cellStyle name="20% - 강조색2 64 4" xfId="7232" xr:uid="{00000000-0005-0000-0000-000039060000}"/>
    <cellStyle name="20% - 강조색2 64 5" xfId="4787" xr:uid="{00000000-0005-0000-0000-00003A060000}"/>
    <cellStyle name="20% - 강조색2 64 6" xfId="6759" xr:uid="{00000000-0005-0000-0000-00003B060000}"/>
    <cellStyle name="20% - 강조색2 64 7" xfId="8430" xr:uid="{00000000-0005-0000-0000-00003C060000}"/>
    <cellStyle name="20% - 강조색2 64 8" xfId="7677" xr:uid="{00000000-0005-0000-0000-00003D060000}"/>
    <cellStyle name="20% - 강조색2 64 9" xfId="1516" xr:uid="{00000000-0005-0000-0000-00003E060000}"/>
    <cellStyle name="20% - 강조색2 65" xfId="5524" xr:uid="{00000000-0005-0000-0000-00003F060000}"/>
    <cellStyle name="20% - 강조색2 65 10" xfId="9660" xr:uid="{00000000-0005-0000-0000-000040060000}"/>
    <cellStyle name="20% - 강조색2 65 11" xfId="6258" xr:uid="{00000000-0005-0000-0000-000041060000}"/>
    <cellStyle name="20% - 강조색2 65 12" xfId="10185" xr:uid="{00000000-0005-0000-0000-000042060000}"/>
    <cellStyle name="20% - 강조색2 65 13" xfId="10655" xr:uid="{00000000-0005-0000-0000-000043060000}"/>
    <cellStyle name="20% - 강조색2 65 14" xfId="10971" xr:uid="{00000000-0005-0000-0000-000044060000}"/>
    <cellStyle name="20% - 강조색2 65 15" xfId="10170" xr:uid="{00000000-0005-0000-0000-000045060000}"/>
    <cellStyle name="20% - 강조색2 65 2" xfId="6676" xr:uid="{00000000-0005-0000-0000-000046060000}"/>
    <cellStyle name="20% - 강조색2 65 3" xfId="6714" xr:uid="{00000000-0005-0000-0000-000047060000}"/>
    <cellStyle name="20% - 강조색2 65 4" xfId="6984" xr:uid="{00000000-0005-0000-0000-000048060000}"/>
    <cellStyle name="20% - 강조색2 65 5" xfId="6533" xr:uid="{00000000-0005-0000-0000-000049060000}"/>
    <cellStyle name="20% - 강조색2 65 6" xfId="7008" xr:uid="{00000000-0005-0000-0000-00004A060000}"/>
    <cellStyle name="20% - 강조색2 65 7" xfId="8580" xr:uid="{00000000-0005-0000-0000-00004B060000}"/>
    <cellStyle name="20% - 강조색2 65 8" xfId="8971" xr:uid="{00000000-0005-0000-0000-00004C060000}"/>
    <cellStyle name="20% - 강조색2 65 9" xfId="9335" xr:uid="{00000000-0005-0000-0000-00004D060000}"/>
    <cellStyle name="20% - 강조색2 66" xfId="5316" xr:uid="{00000000-0005-0000-0000-00004E060000}"/>
    <cellStyle name="20% - 강조색2 66 10" xfId="6937" xr:uid="{00000000-0005-0000-0000-00004F060000}"/>
    <cellStyle name="20% - 강조색2 66 11" xfId="4972" xr:uid="{00000000-0005-0000-0000-000050060000}"/>
    <cellStyle name="20% - 강조색2 66 12" xfId="10216" xr:uid="{00000000-0005-0000-0000-000051060000}"/>
    <cellStyle name="20% - 강조색2 66 13" xfId="10474" xr:uid="{00000000-0005-0000-0000-000052060000}"/>
    <cellStyle name="20% - 강조색2 66 14" xfId="8001" xr:uid="{00000000-0005-0000-0000-000053060000}"/>
    <cellStyle name="20% - 강조색2 66 15" xfId="11122" xr:uid="{00000000-0005-0000-0000-000054060000}"/>
    <cellStyle name="20% - 강조색2 66 2" xfId="6666" xr:uid="{00000000-0005-0000-0000-000055060000}"/>
    <cellStyle name="20% - 강조색2 66 3" xfId="6982" xr:uid="{00000000-0005-0000-0000-000056060000}"/>
    <cellStyle name="20% - 강조색2 66 4" xfId="4509" xr:uid="{00000000-0005-0000-0000-000057060000}"/>
    <cellStyle name="20% - 강조색2 66 5" xfId="7789" xr:uid="{00000000-0005-0000-0000-000058060000}"/>
    <cellStyle name="20% - 강조색2 66 6" xfId="8136" xr:uid="{00000000-0005-0000-0000-000059060000}"/>
    <cellStyle name="20% - 강조색2 66 7" xfId="8637" xr:uid="{00000000-0005-0000-0000-00005A060000}"/>
    <cellStyle name="20% - 강조색2 66 8" xfId="4193" xr:uid="{00000000-0005-0000-0000-00005B060000}"/>
    <cellStyle name="20% - 강조색2 66 9" xfId="8739" xr:uid="{00000000-0005-0000-0000-00005C060000}"/>
    <cellStyle name="20% - 강조색2 67" xfId="5579" xr:uid="{00000000-0005-0000-0000-00005D060000}"/>
    <cellStyle name="20% - 강조색2 67 10" xfId="9585" xr:uid="{00000000-0005-0000-0000-00005E060000}"/>
    <cellStyle name="20% - 강조색2 67 11" xfId="10030" xr:uid="{00000000-0005-0000-0000-00005F060000}"/>
    <cellStyle name="20% - 강조색2 67 12" xfId="10278" xr:uid="{00000000-0005-0000-0000-000060060000}"/>
    <cellStyle name="20% - 강조색2 67 13" xfId="10698" xr:uid="{00000000-0005-0000-0000-000061060000}"/>
    <cellStyle name="20% - 강조색2 67 14" xfId="4433" xr:uid="{00000000-0005-0000-0000-000062060000}"/>
    <cellStyle name="20% - 강조색2 67 15" xfId="4037" xr:uid="{00000000-0005-0000-0000-000063060000}"/>
    <cellStyle name="20% - 강조색2 67 2" xfId="6681" xr:uid="{00000000-0005-0000-0000-000064060000}"/>
    <cellStyle name="20% - 강조색2 67 3" xfId="7290" xr:uid="{00000000-0005-0000-0000-000065060000}"/>
    <cellStyle name="20% - 강조색2 67 4" xfId="7187" xr:uid="{00000000-0005-0000-0000-000066060000}"/>
    <cellStyle name="20% - 강조색2 67 5" xfId="7518" xr:uid="{00000000-0005-0000-0000-000067060000}"/>
    <cellStyle name="20% - 강조색2 67 6" xfId="979" xr:uid="{00000000-0005-0000-0000-000068060000}"/>
    <cellStyle name="20% - 강조색2 67 7" xfId="8597" xr:uid="{00000000-0005-0000-0000-000069060000}"/>
    <cellStyle name="20% - 강조색2 67 8" xfId="8772" xr:uid="{00000000-0005-0000-0000-00006A060000}"/>
    <cellStyle name="20% - 강조색2 67 9" xfId="9279" xr:uid="{00000000-0005-0000-0000-00006B060000}"/>
    <cellStyle name="20% - 강조색2 68" xfId="6304" xr:uid="{00000000-0005-0000-0000-00006C060000}"/>
    <cellStyle name="20% - 강조색2 68 10" xfId="9855" xr:uid="{00000000-0005-0000-0000-00006D060000}"/>
    <cellStyle name="20% - 강조색2 68 11" xfId="2146" xr:uid="{00000000-0005-0000-0000-00006E060000}"/>
    <cellStyle name="20% - 강조색2 68 12" xfId="10690" xr:uid="{00000000-0005-0000-0000-00006F060000}"/>
    <cellStyle name="20% - 강조색2 68 13" xfId="6574" xr:uid="{00000000-0005-0000-0000-000070060000}"/>
    <cellStyle name="20% - 강조색2 68 14" xfId="7216" xr:uid="{00000000-0005-0000-0000-000071060000}"/>
    <cellStyle name="20% - 강조색2 68 2" xfId="7342" xr:uid="{00000000-0005-0000-0000-000072060000}"/>
    <cellStyle name="20% - 강조색2 68 3" xfId="7379" xr:uid="{00000000-0005-0000-0000-000073060000}"/>
    <cellStyle name="20% - 강조색2 68 4" xfId="7868" xr:uid="{00000000-0005-0000-0000-000074060000}"/>
    <cellStyle name="20% - 강조색2 68 5" xfId="1582" xr:uid="{00000000-0005-0000-0000-000075060000}"/>
    <cellStyle name="20% - 강조색2 68 6" xfId="7418" xr:uid="{00000000-0005-0000-0000-000076060000}"/>
    <cellStyle name="20% - 강조색2 68 7" xfId="8963" xr:uid="{00000000-0005-0000-0000-000077060000}"/>
    <cellStyle name="20% - 강조색2 68 8" xfId="9283" xr:uid="{00000000-0005-0000-0000-000078060000}"/>
    <cellStyle name="20% - 강조색2 68 9" xfId="6579" xr:uid="{00000000-0005-0000-0000-000079060000}"/>
    <cellStyle name="20% - 강조색2 69" xfId="7277" xr:uid="{00000000-0005-0000-0000-00007A060000}"/>
    <cellStyle name="20% - 강조색2 69 10" xfId="10437" xr:uid="{00000000-0005-0000-0000-00007B060000}"/>
    <cellStyle name="20% - 강조색2 69 11" xfId="8083" xr:uid="{00000000-0005-0000-0000-00007C060000}"/>
    <cellStyle name="20% - 강조색2 69 12" xfId="11245" xr:uid="{00000000-0005-0000-0000-00007D060000}"/>
    <cellStyle name="20% - 강조색2 69 2" xfId="7892" xr:uid="{00000000-0005-0000-0000-00007E060000}"/>
    <cellStyle name="20% - 강조색2 69 3" xfId="8286" xr:uid="{00000000-0005-0000-0000-00007F060000}"/>
    <cellStyle name="20% - 강조색2 69 4" xfId="8648" xr:uid="{00000000-0005-0000-0000-000080060000}"/>
    <cellStyle name="20% - 강조색2 69 5" xfId="8834" xr:uid="{00000000-0005-0000-0000-000081060000}"/>
    <cellStyle name="20% - 강조색2 69 6" xfId="9267" xr:uid="{00000000-0005-0000-0000-000082060000}"/>
    <cellStyle name="20% - 강조색2 69 7" xfId="9511" xr:uid="{00000000-0005-0000-0000-000083060000}"/>
    <cellStyle name="20% - 강조색2 69 8" xfId="1546" xr:uid="{00000000-0005-0000-0000-000084060000}"/>
    <cellStyle name="20% - 강조색2 69 9" xfId="7911" xr:uid="{00000000-0005-0000-0000-000085060000}"/>
    <cellStyle name="20% - 강조색2 7" xfId="110" xr:uid="{00000000-0005-0000-0000-000086060000}"/>
    <cellStyle name="20% - 강조색2 70" xfId="7374" xr:uid="{00000000-0005-0000-0000-000087060000}"/>
    <cellStyle name="20% - 강조색2 70 10" xfId="10167" xr:uid="{00000000-0005-0000-0000-000088060000}"/>
    <cellStyle name="20% - 강조색2 70 11" xfId="6457" xr:uid="{00000000-0005-0000-0000-000089060000}"/>
    <cellStyle name="20% - 강조색2 70 12" xfId="11035" xr:uid="{00000000-0005-0000-0000-00008A060000}"/>
    <cellStyle name="20% - 강조색2 70 2" xfId="7899" xr:uid="{00000000-0005-0000-0000-00008B060000}"/>
    <cellStyle name="20% - 강조색2 70 3" xfId="8293" xr:uid="{00000000-0005-0000-0000-00008C060000}"/>
    <cellStyle name="20% - 강조색2 70 4" xfId="8655" xr:uid="{00000000-0005-0000-0000-00008D060000}"/>
    <cellStyle name="20% - 강조색2 70 5" xfId="9019" xr:uid="{00000000-0005-0000-0000-00008E060000}"/>
    <cellStyle name="20% - 강조색2 70 6" xfId="2525" xr:uid="{00000000-0005-0000-0000-00008F060000}"/>
    <cellStyle name="20% - 강조색2 70 7" xfId="9633" xr:uid="{00000000-0005-0000-0000-000090060000}"/>
    <cellStyle name="20% - 강조색2 70 8" xfId="8825" xr:uid="{00000000-0005-0000-0000-000091060000}"/>
    <cellStyle name="20% - 강조색2 70 9" xfId="9185" xr:uid="{00000000-0005-0000-0000-000092060000}"/>
    <cellStyle name="20% - 강조색2 71" xfId="7853" xr:uid="{00000000-0005-0000-0000-000093060000}"/>
    <cellStyle name="20% - 강조색2 71 10" xfId="4297" xr:uid="{00000000-0005-0000-0000-000094060000}"/>
    <cellStyle name="20% - 강조색2 71 11" xfId="11158" xr:uid="{00000000-0005-0000-0000-000095060000}"/>
    <cellStyle name="20% - 강조색2 71 2" xfId="8304" xr:uid="{00000000-0005-0000-0000-000096060000}"/>
    <cellStyle name="20% - 강조색2 71 3" xfId="8666" xr:uid="{00000000-0005-0000-0000-000097060000}"/>
    <cellStyle name="20% - 강조색2 71 4" xfId="9030" xr:uid="{00000000-0005-0000-0000-000098060000}"/>
    <cellStyle name="20% - 강조색2 71 5" xfId="9388" xr:uid="{00000000-0005-0000-0000-000099060000}"/>
    <cellStyle name="20% - 강조색2 71 6" xfId="9484" xr:uid="{00000000-0005-0000-0000-00009A060000}"/>
    <cellStyle name="20% - 강조색2 71 7" xfId="9848" xr:uid="{00000000-0005-0000-0000-00009B060000}"/>
    <cellStyle name="20% - 강조색2 71 8" xfId="10312" xr:uid="{00000000-0005-0000-0000-00009C060000}"/>
    <cellStyle name="20% - 강조색2 71 9" xfId="10241" xr:uid="{00000000-0005-0000-0000-00009D060000}"/>
    <cellStyle name="20% - 강조색2 72" xfId="8266" xr:uid="{00000000-0005-0000-0000-00009E060000}"/>
    <cellStyle name="20% - 강조색2 72 10" xfId="11185" xr:uid="{00000000-0005-0000-0000-00009F060000}"/>
    <cellStyle name="20% - 강조색2 72 2" xfId="8676" xr:uid="{00000000-0005-0000-0000-0000A0060000}"/>
    <cellStyle name="20% - 강조색2 72 3" xfId="9040" xr:uid="{00000000-0005-0000-0000-0000A1060000}"/>
    <cellStyle name="20% - 강조색2 72 4" xfId="9399" xr:uid="{00000000-0005-0000-0000-0000A2060000}"/>
    <cellStyle name="20% - 강조색2 72 5" xfId="9731" xr:uid="{00000000-0005-0000-0000-0000A3060000}"/>
    <cellStyle name="20% - 강조색2 72 6" xfId="6729" xr:uid="{00000000-0005-0000-0000-0000A4060000}"/>
    <cellStyle name="20% - 강조색2 72 7" xfId="10125" xr:uid="{00000000-0005-0000-0000-0000A5060000}"/>
    <cellStyle name="20% - 강조색2 72 8" xfId="9512" xr:uid="{00000000-0005-0000-0000-0000A6060000}"/>
    <cellStyle name="20% - 강조색2 72 9" xfId="9270" xr:uid="{00000000-0005-0000-0000-0000A7060000}"/>
    <cellStyle name="20% - 강조색2 73" xfId="8634" xr:uid="{00000000-0005-0000-0000-0000A8060000}"/>
    <cellStyle name="20% - 강조색2 73 2" xfId="9049" xr:uid="{00000000-0005-0000-0000-0000A9060000}"/>
    <cellStyle name="20% - 강조색2 73 3" xfId="9408" xr:uid="{00000000-0005-0000-0000-0000AA060000}"/>
    <cellStyle name="20% - 강조색2 73 4" xfId="9740" xr:uid="{00000000-0005-0000-0000-0000AB060000}"/>
    <cellStyle name="20% - 강조색2 73 5" xfId="10066" xr:uid="{00000000-0005-0000-0000-0000AC060000}"/>
    <cellStyle name="20% - 강조색2 73 6" xfId="4798" xr:uid="{00000000-0005-0000-0000-0000AD060000}"/>
    <cellStyle name="20% - 강조색2 73 7" xfId="7724" xr:uid="{00000000-0005-0000-0000-0000AE060000}"/>
    <cellStyle name="20% - 강조색2 73 8" xfId="2537" xr:uid="{00000000-0005-0000-0000-0000AF060000}"/>
    <cellStyle name="20% - 강조색2 73 9" xfId="7678" xr:uid="{00000000-0005-0000-0000-0000B0060000}"/>
    <cellStyle name="20% - 강조색2 74" xfId="9001" xr:uid="{00000000-0005-0000-0000-0000B1060000}"/>
    <cellStyle name="20% - 강조색2 74 2" xfId="9414" xr:uid="{00000000-0005-0000-0000-0000B2060000}"/>
    <cellStyle name="20% - 강조색2 74 3" xfId="9746" xr:uid="{00000000-0005-0000-0000-0000B3060000}"/>
    <cellStyle name="20% - 강조색2 74 4" xfId="10072" xr:uid="{00000000-0005-0000-0000-0000B4060000}"/>
    <cellStyle name="20% - 강조색2 74 5" xfId="10385" xr:uid="{00000000-0005-0000-0000-0000B5060000}"/>
    <cellStyle name="20% - 강조색2 74 6" xfId="9172" xr:uid="{00000000-0005-0000-0000-0000B6060000}"/>
    <cellStyle name="20% - 강조색2 74 7" xfId="10869" xr:uid="{00000000-0005-0000-0000-0000B7060000}"/>
    <cellStyle name="20% - 강조색2 74 8" xfId="9061" xr:uid="{00000000-0005-0000-0000-0000B8060000}"/>
    <cellStyle name="20% - 강조색2 75" xfId="9352" xr:uid="{00000000-0005-0000-0000-0000B9060000}"/>
    <cellStyle name="20% - 강조색2 75 2" xfId="9755" xr:uid="{00000000-0005-0000-0000-0000BA060000}"/>
    <cellStyle name="20% - 강조색2 75 3" xfId="10081" xr:uid="{00000000-0005-0000-0000-0000BB060000}"/>
    <cellStyle name="20% - 강조색2 75 4" xfId="10394" xr:uid="{00000000-0005-0000-0000-0000BC060000}"/>
    <cellStyle name="20% - 강조색2 75 5" xfId="10703" xr:uid="{00000000-0005-0000-0000-0000BD060000}"/>
    <cellStyle name="20% - 강조색2 75 6" xfId="10428" xr:uid="{00000000-0005-0000-0000-0000BE060000}"/>
    <cellStyle name="20% - 강조색2 75 7" xfId="9997" xr:uid="{00000000-0005-0000-0000-0000BF060000}"/>
    <cellStyle name="20% - 강조색2 76" xfId="9712" xr:uid="{00000000-0005-0000-0000-0000C0060000}"/>
    <cellStyle name="20% - 강조색2 76 2" xfId="10089" xr:uid="{00000000-0005-0000-0000-0000C1060000}"/>
    <cellStyle name="20% - 강조색2 76 3" xfId="10403" xr:uid="{00000000-0005-0000-0000-0000C2060000}"/>
    <cellStyle name="20% - 강조색2 76 4" xfId="10713" xr:uid="{00000000-0005-0000-0000-0000C3060000}"/>
    <cellStyle name="20% - 강조색2 76 5" xfId="10996" xr:uid="{00000000-0005-0000-0000-0000C4060000}"/>
    <cellStyle name="20% - 강조색2 76 6" xfId="8364" xr:uid="{00000000-0005-0000-0000-0000C5060000}"/>
    <cellStyle name="20% - 강조색2 77" xfId="9969" xr:uid="{00000000-0005-0000-0000-0000C6060000}"/>
    <cellStyle name="20% - 강조색2 77 2" xfId="10409" xr:uid="{00000000-0005-0000-0000-0000C7060000}"/>
    <cellStyle name="20% - 강조색2 77 3" xfId="10720" xr:uid="{00000000-0005-0000-0000-0000C8060000}"/>
    <cellStyle name="20% - 강조색2 77 4" xfId="11004" xr:uid="{00000000-0005-0000-0000-0000C9060000}"/>
    <cellStyle name="20% - 강조색2 77 5" xfId="11280" xr:uid="{00000000-0005-0000-0000-0000CA060000}"/>
    <cellStyle name="20% - 강조색2 78" xfId="10362" xr:uid="{00000000-0005-0000-0000-0000CB060000}"/>
    <cellStyle name="20% - 강조색2 78 2" xfId="10728" xr:uid="{00000000-0005-0000-0000-0000CC060000}"/>
    <cellStyle name="20% - 강조색2 78 3" xfId="11012" xr:uid="{00000000-0005-0000-0000-0000CD060000}"/>
    <cellStyle name="20% - 강조색2 78 4" xfId="11289" xr:uid="{00000000-0005-0000-0000-0000CE060000}"/>
    <cellStyle name="20% - 강조색2 79" xfId="10664" xr:uid="{00000000-0005-0000-0000-0000CF060000}"/>
    <cellStyle name="20% - 강조색2 79 2" xfId="11020" xr:uid="{00000000-0005-0000-0000-0000D0060000}"/>
    <cellStyle name="20% - 강조색2 79 3" xfId="11298" xr:uid="{00000000-0005-0000-0000-0000D1060000}"/>
    <cellStyle name="20% - 강조색2 8" xfId="123" xr:uid="{00000000-0005-0000-0000-0000D2060000}"/>
    <cellStyle name="20% - 강조색2 80" xfId="10970" xr:uid="{00000000-0005-0000-0000-0000D3060000}"/>
    <cellStyle name="20% - 강조색2 80 2" xfId="11308" xr:uid="{00000000-0005-0000-0000-0000D4060000}"/>
    <cellStyle name="20% - 강조색2 81" xfId="8534" xr:uid="{00000000-0005-0000-0000-0000D5060000}"/>
    <cellStyle name="20% - 강조색2 82" xfId="588" xr:uid="{00000000-0005-0000-0000-0000D6060000}"/>
    <cellStyle name="20% - 강조색2 83" xfId="567" xr:uid="{00000000-0005-0000-0000-0000D7060000}"/>
    <cellStyle name="20% - 강조색2 84" xfId="11373" xr:uid="{00000000-0005-0000-0000-0000D8060000}"/>
    <cellStyle name="20% - 강조색2 85" xfId="11413" xr:uid="{00000000-0005-0000-0000-0000D9060000}"/>
    <cellStyle name="20% - 강조색2 86" xfId="11440" xr:uid="{00000000-0005-0000-0000-0000DA060000}"/>
    <cellStyle name="20% - 강조색2 9" xfId="136" xr:uid="{00000000-0005-0000-0000-0000DB060000}"/>
    <cellStyle name="20% - 강조색3" xfId="29" builtinId="38" customBuiltin="1"/>
    <cellStyle name="20% - 강조색3 10" xfId="159" xr:uid="{00000000-0005-0000-0000-0000DD060000}"/>
    <cellStyle name="20% - 강조색3 11" xfId="172" xr:uid="{00000000-0005-0000-0000-0000DE060000}"/>
    <cellStyle name="20% - 강조색3 12" xfId="185" xr:uid="{00000000-0005-0000-0000-0000DF060000}"/>
    <cellStyle name="20% - 강조색3 13" xfId="198" xr:uid="{00000000-0005-0000-0000-0000E0060000}"/>
    <cellStyle name="20% - 강조색3 14" xfId="211" xr:uid="{00000000-0005-0000-0000-0000E1060000}"/>
    <cellStyle name="20% - 강조색3 15" xfId="224" xr:uid="{00000000-0005-0000-0000-0000E2060000}"/>
    <cellStyle name="20% - 강조색3 16" xfId="237" xr:uid="{00000000-0005-0000-0000-0000E3060000}"/>
    <cellStyle name="20% - 강조색3 17" xfId="250" xr:uid="{00000000-0005-0000-0000-0000E4060000}"/>
    <cellStyle name="20% - 강조색3 18" xfId="263" xr:uid="{00000000-0005-0000-0000-0000E5060000}"/>
    <cellStyle name="20% - 강조색3 19" xfId="276" xr:uid="{00000000-0005-0000-0000-0000E6060000}"/>
    <cellStyle name="20% - 강조색3 2" xfId="50" xr:uid="{00000000-0005-0000-0000-0000E7060000}"/>
    <cellStyle name="20% - 강조색3 20" xfId="289" xr:uid="{00000000-0005-0000-0000-0000E8060000}"/>
    <cellStyle name="20% - 강조색3 21" xfId="302" xr:uid="{00000000-0005-0000-0000-0000E9060000}"/>
    <cellStyle name="20% - 강조색3 22" xfId="315" xr:uid="{00000000-0005-0000-0000-0000EA060000}"/>
    <cellStyle name="20% - 강조색3 23" xfId="328" xr:uid="{00000000-0005-0000-0000-0000EB060000}"/>
    <cellStyle name="20% - 강조색3 24" xfId="341" xr:uid="{00000000-0005-0000-0000-0000EC060000}"/>
    <cellStyle name="20% - 강조색3 25" xfId="354" xr:uid="{00000000-0005-0000-0000-0000ED060000}"/>
    <cellStyle name="20% - 강조색3 26" xfId="367" xr:uid="{00000000-0005-0000-0000-0000EE060000}"/>
    <cellStyle name="20% - 강조색3 27" xfId="380" xr:uid="{00000000-0005-0000-0000-0000EF060000}"/>
    <cellStyle name="20% - 강조색3 28" xfId="393" xr:uid="{00000000-0005-0000-0000-0000F0060000}"/>
    <cellStyle name="20% - 강조색3 29" xfId="406" xr:uid="{00000000-0005-0000-0000-0000F1060000}"/>
    <cellStyle name="20% - 강조색3 3" xfId="77" xr:uid="{00000000-0005-0000-0000-0000F2060000}"/>
    <cellStyle name="20% - 강조색3 30" xfId="419" xr:uid="{00000000-0005-0000-0000-0000F3060000}"/>
    <cellStyle name="20% - 강조색3 31" xfId="432" xr:uid="{00000000-0005-0000-0000-0000F4060000}"/>
    <cellStyle name="20% - 강조색3 32" xfId="444" xr:uid="{00000000-0005-0000-0000-0000F5060000}"/>
    <cellStyle name="20% - 강조색3 33" xfId="456" xr:uid="{00000000-0005-0000-0000-0000F6060000}"/>
    <cellStyle name="20% - 강조색3 34" xfId="468" xr:uid="{00000000-0005-0000-0000-0000F7060000}"/>
    <cellStyle name="20% - 강조색3 35" xfId="480" xr:uid="{00000000-0005-0000-0000-0000F8060000}"/>
    <cellStyle name="20% - 강조색3 36" xfId="492" xr:uid="{00000000-0005-0000-0000-0000F9060000}"/>
    <cellStyle name="20% - 강조색3 37" xfId="503" xr:uid="{00000000-0005-0000-0000-0000FA060000}"/>
    <cellStyle name="20% - 강조색3 38" xfId="514" xr:uid="{00000000-0005-0000-0000-0000FB060000}"/>
    <cellStyle name="20% - 강조색3 39" xfId="525" xr:uid="{00000000-0005-0000-0000-0000FC060000}"/>
    <cellStyle name="20% - 강조색3 4" xfId="86" xr:uid="{00000000-0005-0000-0000-0000FD060000}"/>
    <cellStyle name="20% - 강조색3 40" xfId="549" xr:uid="{00000000-0005-0000-0000-0000FE060000}"/>
    <cellStyle name="20% - 강조색3 40 10" xfId="3205" xr:uid="{00000000-0005-0000-0000-0000FF060000}"/>
    <cellStyle name="20% - 강조색3 40 11" xfId="3395" xr:uid="{00000000-0005-0000-0000-000000070000}"/>
    <cellStyle name="20% - 강조색3 40 12" xfId="3799" xr:uid="{00000000-0005-0000-0000-000001070000}"/>
    <cellStyle name="20% - 강조색3 40 13" xfId="1993" xr:uid="{00000000-0005-0000-0000-000002070000}"/>
    <cellStyle name="20% - 강조색3 40 14" xfId="4198" xr:uid="{00000000-0005-0000-0000-000003070000}"/>
    <cellStyle name="20% - 강조색3 40 15" xfId="5413" xr:uid="{00000000-0005-0000-0000-000004070000}"/>
    <cellStyle name="20% - 강조색3 40 16" xfId="4910" xr:uid="{00000000-0005-0000-0000-000005070000}"/>
    <cellStyle name="20% - 강조색3 40 17" xfId="2486" xr:uid="{00000000-0005-0000-0000-000006070000}"/>
    <cellStyle name="20% - 강조색3 40 18" xfId="4839" xr:uid="{00000000-0005-0000-0000-000007070000}"/>
    <cellStyle name="20% - 강조색3 40 19" xfId="6190" xr:uid="{00000000-0005-0000-0000-000008070000}"/>
    <cellStyle name="20% - 강조색3 40 2" xfId="597" xr:uid="{00000000-0005-0000-0000-000009070000}"/>
    <cellStyle name="20% - 강조색3 40 20" xfId="6324" xr:uid="{00000000-0005-0000-0000-00000A070000}"/>
    <cellStyle name="20% - 강조색3 40 21" xfId="3435" xr:uid="{00000000-0005-0000-0000-00000B070000}"/>
    <cellStyle name="20% - 강조색3 40 22" xfId="7572" xr:uid="{00000000-0005-0000-0000-00000C070000}"/>
    <cellStyle name="20% - 강조색3 40 23" xfId="6094" xr:uid="{00000000-0005-0000-0000-00000D070000}"/>
    <cellStyle name="20% - 강조색3 40 24" xfId="8160" xr:uid="{00000000-0005-0000-0000-00000E070000}"/>
    <cellStyle name="20% - 강조색3 40 25" xfId="8545" xr:uid="{00000000-0005-0000-0000-00000F070000}"/>
    <cellStyle name="20% - 강조색3 40 26" xfId="9160" xr:uid="{00000000-0005-0000-0000-000010070000}"/>
    <cellStyle name="20% - 강조색3 40 27" xfId="2536" xr:uid="{00000000-0005-0000-0000-000011070000}"/>
    <cellStyle name="20% - 강조색3 40 28" xfId="9964" xr:uid="{00000000-0005-0000-0000-000012070000}"/>
    <cellStyle name="20% - 강조색3 40 29" xfId="7450" xr:uid="{00000000-0005-0000-0000-000013070000}"/>
    <cellStyle name="20% - 강조색3 40 3" xfId="1008" xr:uid="{00000000-0005-0000-0000-000014070000}"/>
    <cellStyle name="20% - 강조색3 40 30" xfId="7542" xr:uid="{00000000-0005-0000-0000-000015070000}"/>
    <cellStyle name="20% - 강조색3 40 31" xfId="4582" xr:uid="{00000000-0005-0000-0000-000016070000}"/>
    <cellStyle name="20% - 강조색3 40 32" xfId="3585" xr:uid="{00000000-0005-0000-0000-000017070000}"/>
    <cellStyle name="20% - 강조색3 40 33" xfId="11319" xr:uid="{00000000-0005-0000-0000-000018070000}"/>
    <cellStyle name="20% - 강조색3 40 34" xfId="579" xr:uid="{00000000-0005-0000-0000-000019070000}"/>
    <cellStyle name="20% - 강조색3 40 35" xfId="11370" xr:uid="{00000000-0005-0000-0000-00001A070000}"/>
    <cellStyle name="20% - 강조색3 40 36" xfId="11401" xr:uid="{00000000-0005-0000-0000-00001B070000}"/>
    <cellStyle name="20% - 강조색3 40 4" xfId="1272" xr:uid="{00000000-0005-0000-0000-00001C070000}"/>
    <cellStyle name="20% - 강조색3 40 5" xfId="1659" xr:uid="{00000000-0005-0000-0000-00001D070000}"/>
    <cellStyle name="20% - 강조색3 40 6" xfId="1594" xr:uid="{00000000-0005-0000-0000-00001E070000}"/>
    <cellStyle name="20% - 강조색3 40 7" xfId="1589" xr:uid="{00000000-0005-0000-0000-00001F070000}"/>
    <cellStyle name="20% - 강조색3 40 8" xfId="2510" xr:uid="{00000000-0005-0000-0000-000020070000}"/>
    <cellStyle name="20% - 강조색3 40 9" xfId="2930" xr:uid="{00000000-0005-0000-0000-000021070000}"/>
    <cellStyle name="20% - 강조색3 41" xfId="657" xr:uid="{00000000-0005-0000-0000-000022070000}"/>
    <cellStyle name="20% - 강조색3 41 10" xfId="3337" xr:uid="{00000000-0005-0000-0000-000023070000}"/>
    <cellStyle name="20% - 강조색3 41 11" xfId="3428" xr:uid="{00000000-0005-0000-0000-000024070000}"/>
    <cellStyle name="20% - 강조색3 41 12" xfId="3879" xr:uid="{00000000-0005-0000-0000-000025070000}"/>
    <cellStyle name="20% - 강조색3 41 13" xfId="4334" xr:uid="{00000000-0005-0000-0000-000026070000}"/>
    <cellStyle name="20% - 강조색3 41 14" xfId="4436" xr:uid="{00000000-0005-0000-0000-000027070000}"/>
    <cellStyle name="20% - 강조색3 41 15" xfId="4907" xr:uid="{00000000-0005-0000-0000-000028070000}"/>
    <cellStyle name="20% - 강조색3 41 16" xfId="4961" xr:uid="{00000000-0005-0000-0000-000029070000}"/>
    <cellStyle name="20% - 강조색3 41 17" xfId="5841" xr:uid="{00000000-0005-0000-0000-00002A070000}"/>
    <cellStyle name="20% - 강조색3 41 18" xfId="5917" xr:uid="{00000000-0005-0000-0000-00002B070000}"/>
    <cellStyle name="20% - 강조색3 41 19" xfId="6410" xr:uid="{00000000-0005-0000-0000-00002C070000}"/>
    <cellStyle name="20% - 강조색3 41 2" xfId="1160" xr:uid="{00000000-0005-0000-0000-00002D070000}"/>
    <cellStyle name="20% - 강조색3 41 20" xfId="4906" xr:uid="{00000000-0005-0000-0000-00002E070000}"/>
    <cellStyle name="20% - 강조색3 41 21" xfId="7019" xr:uid="{00000000-0005-0000-0000-00002F070000}"/>
    <cellStyle name="20% - 강조색3 41 22" xfId="7429" xr:uid="{00000000-0005-0000-0000-000030070000}"/>
    <cellStyle name="20% - 강조색3 41 23" xfId="7120" xr:uid="{00000000-0005-0000-0000-000031070000}"/>
    <cellStyle name="20% - 강조색3 41 24" xfId="8493" xr:uid="{00000000-0005-0000-0000-000032070000}"/>
    <cellStyle name="20% - 강조색3 41 25" xfId="8829" xr:uid="{00000000-0005-0000-0000-000033070000}"/>
    <cellStyle name="20% - 강조색3 41 26" xfId="9288" xr:uid="{00000000-0005-0000-0000-000034070000}"/>
    <cellStyle name="20% - 강조색3 41 27" xfId="9664" xr:uid="{00000000-0005-0000-0000-000035070000}"/>
    <cellStyle name="20% - 강조색3 41 28" xfId="9931" xr:uid="{00000000-0005-0000-0000-000036070000}"/>
    <cellStyle name="20% - 강조색3 41 29" xfId="10129" xr:uid="{00000000-0005-0000-0000-000037070000}"/>
    <cellStyle name="20% - 강조색3 41 3" xfId="1240" xr:uid="{00000000-0005-0000-0000-000038070000}"/>
    <cellStyle name="20% - 강조색3 41 30" xfId="3485" xr:uid="{00000000-0005-0000-0000-000039070000}"/>
    <cellStyle name="20% - 강조색3 41 31" xfId="10456" xr:uid="{00000000-0005-0000-0000-00003A070000}"/>
    <cellStyle name="20% - 강조색3 41 32" xfId="3549" xr:uid="{00000000-0005-0000-0000-00003B070000}"/>
    <cellStyle name="20% - 강조색3 41 4" xfId="1332" xr:uid="{00000000-0005-0000-0000-00003C070000}"/>
    <cellStyle name="20% - 강조색3 41 5" xfId="1780" xr:uid="{00000000-0005-0000-0000-00003D070000}"/>
    <cellStyle name="20% - 강조색3 41 6" xfId="1513" xr:uid="{00000000-0005-0000-0000-00003E070000}"/>
    <cellStyle name="20% - 강조색3 41 7" xfId="825" xr:uid="{00000000-0005-0000-0000-00003F070000}"/>
    <cellStyle name="20% - 강조색3 41 8" xfId="2568" xr:uid="{00000000-0005-0000-0000-000040070000}"/>
    <cellStyle name="20% - 강조색3 41 9" xfId="2867" xr:uid="{00000000-0005-0000-0000-000041070000}"/>
    <cellStyle name="20% - 강조색3 42" xfId="625" xr:uid="{00000000-0005-0000-0000-000042070000}"/>
    <cellStyle name="20% - 강조색3 42 10" xfId="3082" xr:uid="{00000000-0005-0000-0000-000043070000}"/>
    <cellStyle name="20% - 강조색3 42 11" xfId="3686" xr:uid="{00000000-0005-0000-0000-000044070000}"/>
    <cellStyle name="20% - 강조색3 42 12" xfId="3876" xr:uid="{00000000-0005-0000-0000-000045070000}"/>
    <cellStyle name="20% - 강조색3 42 13" xfId="3162" xr:uid="{00000000-0005-0000-0000-000046070000}"/>
    <cellStyle name="20% - 강조색3 42 14" xfId="4690" xr:uid="{00000000-0005-0000-0000-000047070000}"/>
    <cellStyle name="20% - 강조색3 42 15" xfId="4171" xr:uid="{00000000-0005-0000-0000-000048070000}"/>
    <cellStyle name="20% - 강조색3 42 16" xfId="5759" xr:uid="{00000000-0005-0000-0000-000049070000}"/>
    <cellStyle name="20% - 강조색3 42 17" xfId="5859" xr:uid="{00000000-0005-0000-0000-00004A070000}"/>
    <cellStyle name="20% - 강조색3 42 18" xfId="5931" xr:uid="{00000000-0005-0000-0000-00004B070000}"/>
    <cellStyle name="20% - 강조색3 42 19" xfId="3957" xr:uid="{00000000-0005-0000-0000-00004C070000}"/>
    <cellStyle name="20% - 강조색3 42 2" xfId="1128" xr:uid="{00000000-0005-0000-0000-00004D070000}"/>
    <cellStyle name="20% - 강조색3 42 20" xfId="7196" xr:uid="{00000000-0005-0000-0000-00004E070000}"/>
    <cellStyle name="20% - 강조색3 42 21" xfId="7284" xr:uid="{00000000-0005-0000-0000-00004F070000}"/>
    <cellStyle name="20% - 강조색3 42 22" xfId="7702" xr:uid="{00000000-0005-0000-0000-000050070000}"/>
    <cellStyle name="20% - 강조색3 42 23" xfId="8214" xr:uid="{00000000-0005-0000-0000-000051070000}"/>
    <cellStyle name="20% - 강조색3 42 24" xfId="8431" xr:uid="{00000000-0005-0000-0000-000052070000}"/>
    <cellStyle name="20% - 강조색3 42 25" xfId="6192" xr:uid="{00000000-0005-0000-0000-000053070000}"/>
    <cellStyle name="20% - 강조색3 42 26" xfId="9083" xr:uid="{00000000-0005-0000-0000-000054070000}"/>
    <cellStyle name="20% - 강조색3 42 27" xfId="1823" xr:uid="{00000000-0005-0000-0000-000055070000}"/>
    <cellStyle name="20% - 강조색3 42 28" xfId="6229" xr:uid="{00000000-0005-0000-0000-000056070000}"/>
    <cellStyle name="20% - 강조색3 42 29" xfId="6352" xr:uid="{00000000-0005-0000-0000-000057070000}"/>
    <cellStyle name="20% - 강조색3 42 3" xfId="1208" xr:uid="{00000000-0005-0000-0000-000058070000}"/>
    <cellStyle name="20% - 강조색3 42 30" xfId="8087" xr:uid="{00000000-0005-0000-0000-000059070000}"/>
    <cellStyle name="20% - 강조색3 42 31" xfId="10737" xr:uid="{00000000-0005-0000-0000-00005A070000}"/>
    <cellStyle name="20% - 강조색3 42 32" xfId="11129" xr:uid="{00000000-0005-0000-0000-00005B070000}"/>
    <cellStyle name="20% - 강조색3 42 4" xfId="1300" xr:uid="{00000000-0005-0000-0000-00005C070000}"/>
    <cellStyle name="20% - 강조색3 42 5" xfId="1757" xr:uid="{00000000-0005-0000-0000-00005D070000}"/>
    <cellStyle name="20% - 강조색3 42 6" xfId="1840" xr:uid="{00000000-0005-0000-0000-00005E070000}"/>
    <cellStyle name="20% - 강조색3 42 7" xfId="2284" xr:uid="{00000000-0005-0000-0000-00005F070000}"/>
    <cellStyle name="20% - 강조색3 42 8" xfId="2642" xr:uid="{00000000-0005-0000-0000-000060070000}"/>
    <cellStyle name="20% - 강조색3 42 9" xfId="2966" xr:uid="{00000000-0005-0000-0000-000061070000}"/>
    <cellStyle name="20% - 강조색3 43" xfId="672" xr:uid="{00000000-0005-0000-0000-000062070000}"/>
    <cellStyle name="20% - 강조색3 43 10" xfId="3113" xr:uid="{00000000-0005-0000-0000-000063070000}"/>
    <cellStyle name="20% - 강조색3 43 11" xfId="3675" xr:uid="{00000000-0005-0000-0000-000064070000}"/>
    <cellStyle name="20% - 강조색3 43 12" xfId="4011" xr:uid="{00000000-0005-0000-0000-000065070000}"/>
    <cellStyle name="20% - 강조색3 43 13" xfId="3187" xr:uid="{00000000-0005-0000-0000-000066070000}"/>
    <cellStyle name="20% - 강조색3 43 14" xfId="4092" xr:uid="{00000000-0005-0000-0000-000067070000}"/>
    <cellStyle name="20% - 강조색3 43 15" xfId="5079" xr:uid="{00000000-0005-0000-0000-000068070000}"/>
    <cellStyle name="20% - 강조색3 43 16" xfId="3249" xr:uid="{00000000-0005-0000-0000-000069070000}"/>
    <cellStyle name="20% - 강조색3 43 17" xfId="5334" xr:uid="{00000000-0005-0000-0000-00006A070000}"/>
    <cellStyle name="20% - 강조색3 43 18" xfId="5444" xr:uid="{00000000-0005-0000-0000-00006B070000}"/>
    <cellStyle name="20% - 강조색3 43 19" xfId="4122" xr:uid="{00000000-0005-0000-0000-00006C070000}"/>
    <cellStyle name="20% - 강조색3 43 2" xfId="1175" xr:uid="{00000000-0005-0000-0000-00006D070000}"/>
    <cellStyle name="20% - 강조색3 43 20" xfId="6878" xr:uid="{00000000-0005-0000-0000-00006E070000}"/>
    <cellStyle name="20% - 강조색3 43 21" xfId="6356" xr:uid="{00000000-0005-0000-0000-00006F070000}"/>
    <cellStyle name="20% - 강조색3 43 22" xfId="6158" xr:uid="{00000000-0005-0000-0000-000070070000}"/>
    <cellStyle name="20% - 강조색3 43 23" xfId="7906" xr:uid="{00000000-0005-0000-0000-000071070000}"/>
    <cellStyle name="20% - 강조색3 43 24" xfId="7695" xr:uid="{00000000-0005-0000-0000-000072070000}"/>
    <cellStyle name="20% - 강조색3 43 25" xfId="8973" xr:uid="{00000000-0005-0000-0000-000073070000}"/>
    <cellStyle name="20% - 강조색3 43 26" xfId="6053" xr:uid="{00000000-0005-0000-0000-000074070000}"/>
    <cellStyle name="20% - 강조색3 43 27" xfId="9644" xr:uid="{00000000-0005-0000-0000-000075070000}"/>
    <cellStyle name="20% - 강조색3 43 28" xfId="9865" xr:uid="{00000000-0005-0000-0000-000076070000}"/>
    <cellStyle name="20% - 강조색3 43 29" xfId="8469" xr:uid="{00000000-0005-0000-0000-000077070000}"/>
    <cellStyle name="20% - 강조색3 43 3" xfId="1255" xr:uid="{00000000-0005-0000-0000-000078070000}"/>
    <cellStyle name="20% - 강조색3 43 30" xfId="8827" xr:uid="{00000000-0005-0000-0000-000079070000}"/>
    <cellStyle name="20% - 강조색3 43 31" xfId="10974" xr:uid="{00000000-0005-0000-0000-00007A070000}"/>
    <cellStyle name="20% - 강조색3 43 32" xfId="11251" xr:uid="{00000000-0005-0000-0000-00007B070000}"/>
    <cellStyle name="20% - 강조색3 43 4" xfId="1347" xr:uid="{00000000-0005-0000-0000-00007C070000}"/>
    <cellStyle name="20% - 강조색3 43 5" xfId="1711" xr:uid="{00000000-0005-0000-0000-00007D070000}"/>
    <cellStyle name="20% - 강조색3 43 6" xfId="885" xr:uid="{00000000-0005-0000-0000-00007E070000}"/>
    <cellStyle name="20% - 강조색3 43 7" xfId="2200" xr:uid="{00000000-0005-0000-0000-00007F070000}"/>
    <cellStyle name="20% - 강조색3 43 8" xfId="2433" xr:uid="{00000000-0005-0000-0000-000080070000}"/>
    <cellStyle name="20% - 강조색3 43 9" xfId="2793" xr:uid="{00000000-0005-0000-0000-000081070000}"/>
    <cellStyle name="20% - 강조색3 44" xfId="656" xr:uid="{00000000-0005-0000-0000-000082070000}"/>
    <cellStyle name="20% - 강조색3 44 10" xfId="3069" xr:uid="{00000000-0005-0000-0000-000083070000}"/>
    <cellStyle name="20% - 강조색3 44 11" xfId="3079" xr:uid="{00000000-0005-0000-0000-000084070000}"/>
    <cellStyle name="20% - 강조색3 44 12" xfId="3923" xr:uid="{00000000-0005-0000-0000-000085070000}"/>
    <cellStyle name="20% - 강조색3 44 13" xfId="4223" xr:uid="{00000000-0005-0000-0000-000086070000}"/>
    <cellStyle name="20% - 강조색3 44 14" xfId="4738" xr:uid="{00000000-0005-0000-0000-000087070000}"/>
    <cellStyle name="20% - 강조색3 44 15" xfId="4924" xr:uid="{00000000-0005-0000-0000-000088070000}"/>
    <cellStyle name="20% - 강조색3 44 16" xfId="5598" xr:uid="{00000000-0005-0000-0000-000089070000}"/>
    <cellStyle name="20% - 강조색3 44 17" xfId="3156" xr:uid="{00000000-0005-0000-0000-00008A070000}"/>
    <cellStyle name="20% - 강조색3 44 18" xfId="5467" xr:uid="{00000000-0005-0000-0000-00008B070000}"/>
    <cellStyle name="20% - 강조색3 44 19" xfId="4452" xr:uid="{00000000-0005-0000-0000-00008C070000}"/>
    <cellStyle name="20% - 강조색3 44 2" xfId="1159" xr:uid="{00000000-0005-0000-0000-00008D070000}"/>
    <cellStyle name="20% - 강조색3 44 20" xfId="6951" xr:uid="{00000000-0005-0000-0000-00008E070000}"/>
    <cellStyle name="20% - 강조색3 44 21" xfId="6980" xr:uid="{00000000-0005-0000-0000-00008F070000}"/>
    <cellStyle name="20% - 강조색3 44 22" xfId="7687" xr:uid="{00000000-0005-0000-0000-000090070000}"/>
    <cellStyle name="20% - 강조색3 44 23" xfId="7912" xr:uid="{00000000-0005-0000-0000-000091070000}"/>
    <cellStyle name="20% - 강조색3 44 24" xfId="8375" xr:uid="{00000000-0005-0000-0000-000092070000}"/>
    <cellStyle name="20% - 강조색3 44 25" xfId="2423" xr:uid="{00000000-0005-0000-0000-000093070000}"/>
    <cellStyle name="20% - 강조색3 44 26" xfId="9310" xr:uid="{00000000-0005-0000-0000-000094070000}"/>
    <cellStyle name="20% - 강조색3 44 27" xfId="8105" xr:uid="{00000000-0005-0000-0000-000095070000}"/>
    <cellStyle name="20% - 강조색3 44 28" xfId="9968" xr:uid="{00000000-0005-0000-0000-000096070000}"/>
    <cellStyle name="20% - 강조색3 44 29" xfId="10235" xr:uid="{00000000-0005-0000-0000-000097070000}"/>
    <cellStyle name="20% - 강조색3 44 3" xfId="1239" xr:uid="{00000000-0005-0000-0000-000098070000}"/>
    <cellStyle name="20% - 강조색3 44 30" xfId="8835" xr:uid="{00000000-0005-0000-0000-000099070000}"/>
    <cellStyle name="20% - 강조색3 44 31" xfId="2095" xr:uid="{00000000-0005-0000-0000-00009A070000}"/>
    <cellStyle name="20% - 강조색3 44 32" xfId="4875" xr:uid="{00000000-0005-0000-0000-00009B070000}"/>
    <cellStyle name="20% - 강조색3 44 4" xfId="1331" xr:uid="{00000000-0005-0000-0000-00009C070000}"/>
    <cellStyle name="20% - 강조색3 44 5" xfId="1761" xr:uid="{00000000-0005-0000-0000-00009D070000}"/>
    <cellStyle name="20% - 강조색3 44 6" xfId="1450" xr:uid="{00000000-0005-0000-0000-00009E070000}"/>
    <cellStyle name="20% - 강조색3 44 7" xfId="2270" xr:uid="{00000000-0005-0000-0000-00009F070000}"/>
    <cellStyle name="20% - 강조색3 44 8" xfId="2509" xr:uid="{00000000-0005-0000-0000-0000A0070000}"/>
    <cellStyle name="20% - 강조색3 44 9" xfId="2915" xr:uid="{00000000-0005-0000-0000-0000A1070000}"/>
    <cellStyle name="20% - 강조색3 45" xfId="610" xr:uid="{00000000-0005-0000-0000-0000A2070000}"/>
    <cellStyle name="20% - 강조색3 45 10" xfId="3285" xr:uid="{00000000-0005-0000-0000-0000A3070000}"/>
    <cellStyle name="20% - 강조색3 45 11" xfId="1587" xr:uid="{00000000-0005-0000-0000-0000A4070000}"/>
    <cellStyle name="20% - 강조색3 45 12" xfId="3098" xr:uid="{00000000-0005-0000-0000-0000A5070000}"/>
    <cellStyle name="20% - 강조색3 45 13" xfId="1525" xr:uid="{00000000-0005-0000-0000-0000A6070000}"/>
    <cellStyle name="20% - 강조색3 45 14" xfId="4707" xr:uid="{00000000-0005-0000-0000-0000A7070000}"/>
    <cellStyle name="20% - 강조색3 45 15" xfId="5391" xr:uid="{00000000-0005-0000-0000-0000A8070000}"/>
    <cellStyle name="20% - 강조색3 45 16" xfId="5799" xr:uid="{00000000-0005-0000-0000-0000A9070000}"/>
    <cellStyle name="20% - 강조색3 45 17" xfId="5886" xr:uid="{00000000-0005-0000-0000-0000AA070000}"/>
    <cellStyle name="20% - 강조색3 45 18" xfId="5947" xr:uid="{00000000-0005-0000-0000-0000AB070000}"/>
    <cellStyle name="20% - 강조색3 45 19" xfId="6439" xr:uid="{00000000-0005-0000-0000-0000AC070000}"/>
    <cellStyle name="20% - 강조색3 45 2" xfId="1113" xr:uid="{00000000-0005-0000-0000-0000AD070000}"/>
    <cellStyle name="20% - 강조색3 45 20" xfId="7193" xr:uid="{00000000-0005-0000-0000-0000AE070000}"/>
    <cellStyle name="20% - 강조색3 45 21" xfId="7315" xr:uid="{00000000-0005-0000-0000-0000AF070000}"/>
    <cellStyle name="20% - 강조색3 45 22" xfId="7692" xr:uid="{00000000-0005-0000-0000-0000B0070000}"/>
    <cellStyle name="20% - 강조색3 45 23" xfId="6409" xr:uid="{00000000-0005-0000-0000-0000B1070000}"/>
    <cellStyle name="20% - 강조색3 45 24" xfId="7007" xr:uid="{00000000-0005-0000-0000-0000B2070000}"/>
    <cellStyle name="20% - 강조색3 45 25" xfId="8705" xr:uid="{00000000-0005-0000-0000-0000B3070000}"/>
    <cellStyle name="20% - 강조색3 45 26" xfId="8167" xr:uid="{00000000-0005-0000-0000-0000B4070000}"/>
    <cellStyle name="20% - 강조색3 45 27" xfId="9498" xr:uid="{00000000-0005-0000-0000-0000B5070000}"/>
    <cellStyle name="20% - 강조색3 45 28" xfId="9898" xr:uid="{00000000-0005-0000-0000-0000B6070000}"/>
    <cellStyle name="20% - 강조색3 45 29" xfId="10239" xr:uid="{00000000-0005-0000-0000-0000B7070000}"/>
    <cellStyle name="20% - 강조색3 45 3" xfId="1193" xr:uid="{00000000-0005-0000-0000-0000B8070000}"/>
    <cellStyle name="20% - 강조색3 45 30" xfId="10647" xr:uid="{00000000-0005-0000-0000-0000B9070000}"/>
    <cellStyle name="20% - 강조색3 45 31" xfId="10910" xr:uid="{00000000-0005-0000-0000-0000BA070000}"/>
    <cellStyle name="20% - 강조색3 45 32" xfId="11154" xr:uid="{00000000-0005-0000-0000-0000BB070000}"/>
    <cellStyle name="20% - 강조색3 45 4" xfId="1285" xr:uid="{00000000-0005-0000-0000-0000BC070000}"/>
    <cellStyle name="20% - 강조색3 45 5" xfId="1756" xr:uid="{00000000-0005-0000-0000-0000BD070000}"/>
    <cellStyle name="20% - 강조색3 45 6" xfId="808" xr:uid="{00000000-0005-0000-0000-0000BE070000}"/>
    <cellStyle name="20% - 강조색3 45 7" xfId="2303" xr:uid="{00000000-0005-0000-0000-0000BF070000}"/>
    <cellStyle name="20% - 강조색3 45 8" xfId="2623" xr:uid="{00000000-0005-0000-0000-0000C0070000}"/>
    <cellStyle name="20% - 강조색3 45 9" xfId="2981" xr:uid="{00000000-0005-0000-0000-0000C1070000}"/>
    <cellStyle name="20% - 강조색3 46" xfId="660" xr:uid="{00000000-0005-0000-0000-0000C2070000}"/>
    <cellStyle name="20% - 강조색3 46 10" xfId="3244" xr:uid="{00000000-0005-0000-0000-0000C3070000}"/>
    <cellStyle name="20% - 강조색3 46 11" xfId="3643" xr:uid="{00000000-0005-0000-0000-0000C4070000}"/>
    <cellStyle name="20% - 강조색3 46 12" xfId="3794" xr:uid="{00000000-0005-0000-0000-0000C5070000}"/>
    <cellStyle name="20% - 강조색3 46 13" xfId="4219" xr:uid="{00000000-0005-0000-0000-0000C6070000}"/>
    <cellStyle name="20% - 강조색3 46 14" xfId="3916" xr:uid="{00000000-0005-0000-0000-0000C7070000}"/>
    <cellStyle name="20% - 강조색3 46 15" xfId="1913" xr:uid="{00000000-0005-0000-0000-0000C8070000}"/>
    <cellStyle name="20% - 강조색3 46 16" xfId="4788" xr:uid="{00000000-0005-0000-0000-0000C9070000}"/>
    <cellStyle name="20% - 강조색3 46 17" xfId="4931" xr:uid="{00000000-0005-0000-0000-0000CA070000}"/>
    <cellStyle name="20% - 강조색3 46 18" xfId="5283" xr:uid="{00000000-0005-0000-0000-0000CB070000}"/>
    <cellStyle name="20% - 강조색3 46 19" xfId="6343" xr:uid="{00000000-0005-0000-0000-0000CC070000}"/>
    <cellStyle name="20% - 강조색3 46 2" xfId="1163" xr:uid="{00000000-0005-0000-0000-0000CD070000}"/>
    <cellStyle name="20% - 강조색3 46 20" xfId="6942" xr:uid="{00000000-0005-0000-0000-0000CE070000}"/>
    <cellStyle name="20% - 강조색3 46 21" xfId="2412" xr:uid="{00000000-0005-0000-0000-0000CF070000}"/>
    <cellStyle name="20% - 강조색3 46 22" xfId="1869" xr:uid="{00000000-0005-0000-0000-0000D0070000}"/>
    <cellStyle name="20% - 강조색3 46 23" xfId="8112" xr:uid="{00000000-0005-0000-0000-0000D1070000}"/>
    <cellStyle name="20% - 강조색3 46 24" xfId="6204" xr:uid="{00000000-0005-0000-0000-0000D2070000}"/>
    <cellStyle name="20% - 강조색3 46 25" xfId="8945" xr:uid="{00000000-0005-0000-0000-0000D3070000}"/>
    <cellStyle name="20% - 강조색3 46 26" xfId="9309" xr:uid="{00000000-0005-0000-0000-0000D4070000}"/>
    <cellStyle name="20% - 강조색3 46 27" xfId="9494" xr:uid="{00000000-0005-0000-0000-0000D5070000}"/>
    <cellStyle name="20% - 강조색3 46 28" xfId="9861" xr:uid="{00000000-0005-0000-0000-0000D6070000}"/>
    <cellStyle name="20% - 강조색3 46 29" xfId="6110" xr:uid="{00000000-0005-0000-0000-0000D7070000}"/>
    <cellStyle name="20% - 강조색3 46 3" xfId="1243" xr:uid="{00000000-0005-0000-0000-0000D8070000}"/>
    <cellStyle name="20% - 강조색3 46 30" xfId="10610" xr:uid="{00000000-0005-0000-0000-0000D9070000}"/>
    <cellStyle name="20% - 강조색3 46 31" xfId="10874" xr:uid="{00000000-0005-0000-0000-0000DA070000}"/>
    <cellStyle name="20% - 강조색3 46 32" xfId="11033" xr:uid="{00000000-0005-0000-0000-0000DB070000}"/>
    <cellStyle name="20% - 강조색3 46 4" xfId="1335" xr:uid="{00000000-0005-0000-0000-0000DC070000}"/>
    <cellStyle name="20% - 강조색3 46 5" xfId="1717" xr:uid="{00000000-0005-0000-0000-0000DD070000}"/>
    <cellStyle name="20% - 강조색3 46 6" xfId="1405" xr:uid="{00000000-0005-0000-0000-0000DE070000}"/>
    <cellStyle name="20% - 강조색3 46 7" xfId="1832" xr:uid="{00000000-0005-0000-0000-0000DF070000}"/>
    <cellStyle name="20% - 강조색3 46 8" xfId="1362" xr:uid="{00000000-0005-0000-0000-0000E0070000}"/>
    <cellStyle name="20% - 강조색3 46 9" xfId="2863" xr:uid="{00000000-0005-0000-0000-0000E1070000}"/>
    <cellStyle name="20% - 강조색3 47" xfId="586" xr:uid="{00000000-0005-0000-0000-0000E2070000}"/>
    <cellStyle name="20% - 강조색3 47 10" xfId="4231" xr:uid="{00000000-0005-0000-0000-0000E3070000}"/>
    <cellStyle name="20% - 강조색3 47 11" xfId="4439" xr:uid="{00000000-0005-0000-0000-0000E4070000}"/>
    <cellStyle name="20% - 강조색3 47 12" xfId="2118" xr:uid="{00000000-0005-0000-0000-0000E5070000}"/>
    <cellStyle name="20% - 강조색3 47 13" xfId="4783" xr:uid="{00000000-0005-0000-0000-0000E6070000}"/>
    <cellStyle name="20% - 강조색3 47 14" xfId="5394" xr:uid="{00000000-0005-0000-0000-0000E7070000}"/>
    <cellStyle name="20% - 강조색3 47 15" xfId="5405" xr:uid="{00000000-0005-0000-0000-0000E8070000}"/>
    <cellStyle name="20% - 강조색3 47 16" xfId="6448" xr:uid="{00000000-0005-0000-0000-0000E9070000}"/>
    <cellStyle name="20% - 강조색3 47 17" xfId="6927" xr:uid="{00000000-0005-0000-0000-0000EA070000}"/>
    <cellStyle name="20% - 강조색3 47 18" xfId="6799" xr:uid="{00000000-0005-0000-0000-0000EB070000}"/>
    <cellStyle name="20% - 강조색3 47 19" xfId="6004" xr:uid="{00000000-0005-0000-0000-0000EC070000}"/>
    <cellStyle name="20% - 강조색3 47 2" xfId="1048" xr:uid="{00000000-0005-0000-0000-0000ED070000}"/>
    <cellStyle name="20% - 강조색3 47 20" xfId="6720" xr:uid="{00000000-0005-0000-0000-0000EE070000}"/>
    <cellStyle name="20% - 강조색3 47 21" xfId="6214" xr:uid="{00000000-0005-0000-0000-0000EF070000}"/>
    <cellStyle name="20% - 강조색3 47 22" xfId="8903" xr:uid="{00000000-0005-0000-0000-0000F0070000}"/>
    <cellStyle name="20% - 강조색3 47 23" xfId="3887" xr:uid="{00000000-0005-0000-0000-0000F1070000}"/>
    <cellStyle name="20% - 강조색3 47 24" xfId="9432" xr:uid="{00000000-0005-0000-0000-0000F2070000}"/>
    <cellStyle name="20% - 강조색3 47 25" xfId="9907" xr:uid="{00000000-0005-0000-0000-0000F3070000}"/>
    <cellStyle name="20% - 강조색3 47 26" xfId="10351" xr:uid="{00000000-0005-0000-0000-0000F4070000}"/>
    <cellStyle name="20% - 강조색3 47 27" xfId="10115" xr:uid="{00000000-0005-0000-0000-0000F5070000}"/>
    <cellStyle name="20% - 강조색3 47 28" xfId="10892" xr:uid="{00000000-0005-0000-0000-0000F6070000}"/>
    <cellStyle name="20% - 강조색3 47 29" xfId="10266" xr:uid="{00000000-0005-0000-0000-0000F7070000}"/>
    <cellStyle name="20% - 강조색3 47 3" xfId="747" xr:uid="{00000000-0005-0000-0000-0000F8070000}"/>
    <cellStyle name="20% - 강조색3 47 30" xfId="11329" xr:uid="{00000000-0005-0000-0000-0000F9070000}"/>
    <cellStyle name="20% - 강조색3 47 31" xfId="11427" xr:uid="{00000000-0005-0000-0000-0000FA070000}"/>
    <cellStyle name="20% - 강조색3 47 32" xfId="11387" xr:uid="{00000000-0005-0000-0000-0000FB070000}"/>
    <cellStyle name="20% - 강조색3 47 33" xfId="11352" xr:uid="{00000000-0005-0000-0000-0000FC070000}"/>
    <cellStyle name="20% - 강조색3 47 4" xfId="1820" xr:uid="{00000000-0005-0000-0000-0000FD070000}"/>
    <cellStyle name="20% - 강조색3 47 5" xfId="734" xr:uid="{00000000-0005-0000-0000-0000FE070000}"/>
    <cellStyle name="20% - 강조색3 47 6" xfId="724" xr:uid="{00000000-0005-0000-0000-0000FF070000}"/>
    <cellStyle name="20% - 강조색3 47 7" xfId="3269" xr:uid="{00000000-0005-0000-0000-000000080000}"/>
    <cellStyle name="20% - 강조색3 47 8" xfId="925" xr:uid="{00000000-0005-0000-0000-000001080000}"/>
    <cellStyle name="20% - 강조색3 47 9" xfId="3763" xr:uid="{00000000-0005-0000-0000-000002080000}"/>
    <cellStyle name="20% - 강조색3 48" xfId="1073" xr:uid="{00000000-0005-0000-0000-000003080000}"/>
    <cellStyle name="20% - 강조색3 48 10" xfId="1377" xr:uid="{00000000-0005-0000-0000-000004080000}"/>
    <cellStyle name="20% - 강조색3 48 11" xfId="4741" xr:uid="{00000000-0005-0000-0000-000005080000}"/>
    <cellStyle name="20% - 강조색3 48 12" xfId="4531" xr:uid="{00000000-0005-0000-0000-000006080000}"/>
    <cellStyle name="20% - 강조색3 48 13" xfId="5680" xr:uid="{00000000-0005-0000-0000-000007080000}"/>
    <cellStyle name="20% - 강조색3 48 14" xfId="2102" xr:uid="{00000000-0005-0000-0000-000008080000}"/>
    <cellStyle name="20% - 강조색3 48 15" xfId="5426" xr:uid="{00000000-0005-0000-0000-000009080000}"/>
    <cellStyle name="20% - 강조색3 48 16" xfId="6500" xr:uid="{00000000-0005-0000-0000-00000A080000}"/>
    <cellStyle name="20% - 강조색3 48 17" xfId="1371" xr:uid="{00000000-0005-0000-0000-00000B080000}"/>
    <cellStyle name="20% - 강조색3 48 18" xfId="7156" xr:uid="{00000000-0005-0000-0000-00000C080000}"/>
    <cellStyle name="20% - 강조색3 48 19" xfId="3776" xr:uid="{00000000-0005-0000-0000-00000D080000}"/>
    <cellStyle name="20% - 강조색3 48 2" xfId="1768" xr:uid="{00000000-0005-0000-0000-00000E080000}"/>
    <cellStyle name="20% - 강조색3 48 20" xfId="8043" xr:uid="{00000000-0005-0000-0000-00000F080000}"/>
    <cellStyle name="20% - 강조색3 48 21" xfId="8425" xr:uid="{00000000-0005-0000-0000-000010080000}"/>
    <cellStyle name="20% - 강조색3 48 22" xfId="8793" xr:uid="{00000000-0005-0000-0000-000011080000}"/>
    <cellStyle name="20% - 강조색3 48 23" xfId="9291" xr:uid="{00000000-0005-0000-0000-000012080000}"/>
    <cellStyle name="20% - 강조색3 48 24" xfId="3830" xr:uid="{00000000-0005-0000-0000-000013080000}"/>
    <cellStyle name="20% - 강조색3 48 25" xfId="9773" xr:uid="{00000000-0005-0000-0000-000014080000}"/>
    <cellStyle name="20% - 강조색3 48 26" xfId="10277" xr:uid="{00000000-0005-0000-0000-000015080000}"/>
    <cellStyle name="20% - 강조색3 48 27" xfId="10611" xr:uid="{00000000-0005-0000-0000-000016080000}"/>
    <cellStyle name="20% - 강조색3 48 28" xfId="10102" xr:uid="{00000000-0005-0000-0000-000017080000}"/>
    <cellStyle name="20% - 강조색3 48 29" xfId="10481" xr:uid="{00000000-0005-0000-0000-000018080000}"/>
    <cellStyle name="20% - 강조색3 48 3" xfId="1380" xr:uid="{00000000-0005-0000-0000-000019080000}"/>
    <cellStyle name="20% - 강조색3 48 4" xfId="2191" xr:uid="{00000000-0005-0000-0000-00001A080000}"/>
    <cellStyle name="20% - 강조색3 48 5" xfId="2608" xr:uid="{00000000-0005-0000-0000-00001B080000}"/>
    <cellStyle name="20% - 강조색3 48 6" xfId="2939" xr:uid="{00000000-0005-0000-0000-00001C080000}"/>
    <cellStyle name="20% - 강조색3 48 7" xfId="3210" xr:uid="{00000000-0005-0000-0000-00001D080000}"/>
    <cellStyle name="20% - 강조색3 48 8" xfId="2492" xr:uid="{00000000-0005-0000-0000-00001E080000}"/>
    <cellStyle name="20% - 강조색3 48 9" xfId="3874" xr:uid="{00000000-0005-0000-0000-00001F080000}"/>
    <cellStyle name="20% - 강조색3 49" xfId="1031" xr:uid="{00000000-0005-0000-0000-000020080000}"/>
    <cellStyle name="20% - 강조색3 49 10" xfId="1530" xr:uid="{00000000-0005-0000-0000-000021080000}"/>
    <cellStyle name="20% - 강조색3 49 11" xfId="4719" xr:uid="{00000000-0005-0000-0000-000022080000}"/>
    <cellStyle name="20% - 강조색3 49 12" xfId="732" xr:uid="{00000000-0005-0000-0000-000023080000}"/>
    <cellStyle name="20% - 강조색3 49 13" xfId="5669" xr:uid="{00000000-0005-0000-0000-000024080000}"/>
    <cellStyle name="20% - 강조색3 49 14" xfId="5702" xr:uid="{00000000-0005-0000-0000-000025080000}"/>
    <cellStyle name="20% - 강조색3 49 15" xfId="5144" xr:uid="{00000000-0005-0000-0000-000026080000}"/>
    <cellStyle name="20% - 강조색3 49 16" xfId="6106" xr:uid="{00000000-0005-0000-0000-000027080000}"/>
    <cellStyle name="20% - 강조색3 49 17" xfId="1930" xr:uid="{00000000-0005-0000-0000-000028080000}"/>
    <cellStyle name="20% - 강조색3 49 18" xfId="4603" xr:uid="{00000000-0005-0000-0000-000029080000}"/>
    <cellStyle name="20% - 강조색3 49 19" xfId="7605" xr:uid="{00000000-0005-0000-0000-00002A080000}"/>
    <cellStyle name="20% - 강조색3 49 2" xfId="1687" xr:uid="{00000000-0005-0000-0000-00002B080000}"/>
    <cellStyle name="20% - 강조색3 49 20" xfId="8248" xr:uid="{00000000-0005-0000-0000-00002C080000}"/>
    <cellStyle name="20% - 강조색3 49 21" xfId="7808" xr:uid="{00000000-0005-0000-0000-00002D080000}"/>
    <cellStyle name="20% - 강조색3 49 22" xfId="9013" xr:uid="{00000000-0005-0000-0000-00002E080000}"/>
    <cellStyle name="20% - 강조색3 49 23" xfId="8848" xr:uid="{00000000-0005-0000-0000-00002F080000}"/>
    <cellStyle name="20% - 강조색3 49 24" xfId="9444" xr:uid="{00000000-0005-0000-0000-000030080000}"/>
    <cellStyle name="20% - 강조색3 49 25" xfId="8441" xr:uid="{00000000-0005-0000-0000-000031080000}"/>
    <cellStyle name="20% - 강조색3 49 26" xfId="10293" xr:uid="{00000000-0005-0000-0000-000032080000}"/>
    <cellStyle name="20% - 강조색3 49 27" xfId="9778" xr:uid="{00000000-0005-0000-0000-000033080000}"/>
    <cellStyle name="20% - 강조색3 49 28" xfId="2900" xr:uid="{00000000-0005-0000-0000-000034080000}"/>
    <cellStyle name="20% - 강조색3 49 29" xfId="10748" xr:uid="{00000000-0005-0000-0000-000035080000}"/>
    <cellStyle name="20% - 강조색3 49 3" xfId="2018" xr:uid="{00000000-0005-0000-0000-000036080000}"/>
    <cellStyle name="20% - 강조색3 49 4" xfId="2299" xr:uid="{00000000-0005-0000-0000-000037080000}"/>
    <cellStyle name="20% - 강조색3 49 5" xfId="2649" xr:uid="{00000000-0005-0000-0000-000038080000}"/>
    <cellStyle name="20% - 강조색3 49 6" xfId="2920" xr:uid="{00000000-0005-0000-0000-000039080000}"/>
    <cellStyle name="20% - 강조색3 49 7" xfId="3236" xr:uid="{00000000-0005-0000-0000-00003A080000}"/>
    <cellStyle name="20% - 강조색3 49 8" xfId="3484" xr:uid="{00000000-0005-0000-0000-00003B080000}"/>
    <cellStyle name="20% - 강조색3 49 9" xfId="3797" xr:uid="{00000000-0005-0000-0000-00003C080000}"/>
    <cellStyle name="20% - 강조색3 5" xfId="94" xr:uid="{00000000-0005-0000-0000-00003D080000}"/>
    <cellStyle name="20% - 강조색3 50" xfId="1083" xr:uid="{00000000-0005-0000-0000-00003E080000}"/>
    <cellStyle name="20% - 강조색3 50 10" xfId="4166" xr:uid="{00000000-0005-0000-0000-00003F080000}"/>
    <cellStyle name="20% - 강조색3 50 11" xfId="4710" xr:uid="{00000000-0005-0000-0000-000040080000}"/>
    <cellStyle name="20% - 강조색3 50 12" xfId="5409" xr:uid="{00000000-0005-0000-0000-000041080000}"/>
    <cellStyle name="20% - 강조색3 50 13" xfId="5204" xr:uid="{00000000-0005-0000-0000-000042080000}"/>
    <cellStyle name="20% - 강조색3 50 14" xfId="4915" xr:uid="{00000000-0005-0000-0000-000043080000}"/>
    <cellStyle name="20% - 강조색3 50 15" xfId="5582" xr:uid="{00000000-0005-0000-0000-000044080000}"/>
    <cellStyle name="20% - 강조색3 50 16" xfId="6276" xr:uid="{00000000-0005-0000-0000-000045080000}"/>
    <cellStyle name="20% - 강조색3 50 17" xfId="6952" xr:uid="{00000000-0005-0000-0000-000046080000}"/>
    <cellStyle name="20% - 강조색3 50 18" xfId="7355" xr:uid="{00000000-0005-0000-0000-000047080000}"/>
    <cellStyle name="20% - 강조색3 50 19" xfId="988" xr:uid="{00000000-0005-0000-0000-000048080000}"/>
    <cellStyle name="20% - 강조색3 50 2" xfId="1785" xr:uid="{00000000-0005-0000-0000-000049080000}"/>
    <cellStyle name="20% - 강조색3 50 20" xfId="8260" xr:uid="{00000000-0005-0000-0000-00004A080000}"/>
    <cellStyle name="20% - 강조색3 50 21" xfId="8617" xr:uid="{00000000-0005-0000-0000-00004B080000}"/>
    <cellStyle name="20% - 강조색3 50 22" xfId="4472" xr:uid="{00000000-0005-0000-0000-00004C080000}"/>
    <cellStyle name="20% - 강조색3 50 23" xfId="9096" xr:uid="{00000000-0005-0000-0000-00004D080000}"/>
    <cellStyle name="20% - 강조색3 50 24" xfId="6104" xr:uid="{00000000-0005-0000-0000-00004E080000}"/>
    <cellStyle name="20% - 강조색3 50 25" xfId="8028" xr:uid="{00000000-0005-0000-0000-00004F080000}"/>
    <cellStyle name="20% - 강조색3 50 26" xfId="4620" xr:uid="{00000000-0005-0000-0000-000050080000}"/>
    <cellStyle name="20% - 강조색3 50 27" xfId="7446" xr:uid="{00000000-0005-0000-0000-000051080000}"/>
    <cellStyle name="20% - 강조색3 50 28" xfId="6243" xr:uid="{00000000-0005-0000-0000-000052080000}"/>
    <cellStyle name="20% - 강조색3 50 29" xfId="5080" xr:uid="{00000000-0005-0000-0000-000053080000}"/>
    <cellStyle name="20% - 강조색3 50 3" xfId="2027" xr:uid="{00000000-0005-0000-0000-000054080000}"/>
    <cellStyle name="20% - 강조색3 50 4" xfId="711" xr:uid="{00000000-0005-0000-0000-000055080000}"/>
    <cellStyle name="20% - 강조색3 50 5" xfId="2567" xr:uid="{00000000-0005-0000-0000-000056080000}"/>
    <cellStyle name="20% - 강조색3 50 6" xfId="2750" xr:uid="{00000000-0005-0000-0000-000057080000}"/>
    <cellStyle name="20% - 강조색3 50 7" xfId="3127" xr:uid="{00000000-0005-0000-0000-000058080000}"/>
    <cellStyle name="20% - 강조색3 50 8" xfId="2465" xr:uid="{00000000-0005-0000-0000-000059080000}"/>
    <cellStyle name="20% - 강조색3 50 9" xfId="2217" xr:uid="{00000000-0005-0000-0000-00005A080000}"/>
    <cellStyle name="20% - 강조색3 51" xfId="1039" xr:uid="{00000000-0005-0000-0000-00005B080000}"/>
    <cellStyle name="20% - 강조색3 51 10" xfId="2223" xr:uid="{00000000-0005-0000-0000-00005C080000}"/>
    <cellStyle name="20% - 강조색3 51 11" xfId="3070" xr:uid="{00000000-0005-0000-0000-00005D080000}"/>
    <cellStyle name="20% - 강조색3 51 12" xfId="4958" xr:uid="{00000000-0005-0000-0000-00005E080000}"/>
    <cellStyle name="20% - 강조색3 51 13" xfId="5539" xr:uid="{00000000-0005-0000-0000-00005F080000}"/>
    <cellStyle name="20% - 강조색3 51 14" xfId="826" xr:uid="{00000000-0005-0000-0000-000060080000}"/>
    <cellStyle name="20% - 강조색3 51 15" xfId="5493" xr:uid="{00000000-0005-0000-0000-000061080000}"/>
    <cellStyle name="20% - 강조색3 51 16" xfId="1618" xr:uid="{00000000-0005-0000-0000-000062080000}"/>
    <cellStyle name="20% - 강조색3 51 17" xfId="6986" xr:uid="{00000000-0005-0000-0000-000063080000}"/>
    <cellStyle name="20% - 강조색3 51 18" xfId="7125" xr:uid="{00000000-0005-0000-0000-000064080000}"/>
    <cellStyle name="20% - 강조색3 51 19" xfId="7602" xr:uid="{00000000-0005-0000-0000-000065080000}"/>
    <cellStyle name="20% - 강조색3 51 2" xfId="1701" xr:uid="{00000000-0005-0000-0000-000066080000}"/>
    <cellStyle name="20% - 강조색3 51 20" xfId="7972" xr:uid="{00000000-0005-0000-0000-000067080000}"/>
    <cellStyle name="20% - 강조색3 51 21" xfId="8560" xr:uid="{00000000-0005-0000-0000-000068080000}"/>
    <cellStyle name="20% - 강조색3 51 22" xfId="8943" xr:uid="{00000000-0005-0000-0000-000069080000}"/>
    <cellStyle name="20% - 강조색3 51 23" xfId="6332" xr:uid="{00000000-0005-0000-0000-00006A080000}"/>
    <cellStyle name="20% - 강조색3 51 24" xfId="9482" xr:uid="{00000000-0005-0000-0000-00006B080000}"/>
    <cellStyle name="20% - 강조색3 51 25" xfId="9792" xr:uid="{00000000-0005-0000-0000-00006C080000}"/>
    <cellStyle name="20% - 강조색3 51 26" xfId="7639" xr:uid="{00000000-0005-0000-0000-00006D080000}"/>
    <cellStyle name="20% - 강조색3 51 27" xfId="10648" xr:uid="{00000000-0005-0000-0000-00006E080000}"/>
    <cellStyle name="20% - 강조색3 51 28" xfId="8712" xr:uid="{00000000-0005-0000-0000-00006F080000}"/>
    <cellStyle name="20% - 강조색3 51 29" xfId="2516" xr:uid="{00000000-0005-0000-0000-000070080000}"/>
    <cellStyle name="20% - 강조색3 51 3" xfId="1590" xr:uid="{00000000-0005-0000-0000-000071080000}"/>
    <cellStyle name="20% - 강조색3 51 4" xfId="1472" xr:uid="{00000000-0005-0000-0000-000072080000}"/>
    <cellStyle name="20% - 강조색3 51 5" xfId="2650" xr:uid="{00000000-0005-0000-0000-000073080000}"/>
    <cellStyle name="20% - 강조색3 51 6" xfId="2575" xr:uid="{00000000-0005-0000-0000-000074080000}"/>
    <cellStyle name="20% - 강조색3 51 7" xfId="909" xr:uid="{00000000-0005-0000-0000-000075080000}"/>
    <cellStyle name="20% - 강조색3 51 8" xfId="3178" xr:uid="{00000000-0005-0000-0000-000076080000}"/>
    <cellStyle name="20% - 강조색3 51 9" xfId="4022" xr:uid="{00000000-0005-0000-0000-000077080000}"/>
    <cellStyle name="20% - 강조색3 52" xfId="1062" xr:uid="{00000000-0005-0000-0000-000078080000}"/>
    <cellStyle name="20% - 강조색3 52 10" xfId="4252" xr:uid="{00000000-0005-0000-0000-000079080000}"/>
    <cellStyle name="20% - 강조색3 52 11" xfId="4749" xr:uid="{00000000-0005-0000-0000-00007A080000}"/>
    <cellStyle name="20% - 강조색3 52 12" xfId="4837" xr:uid="{00000000-0005-0000-0000-00007B080000}"/>
    <cellStyle name="20% - 강조색3 52 13" xfId="5404" xr:uid="{00000000-0005-0000-0000-00007C080000}"/>
    <cellStyle name="20% - 강조색3 52 14" xfId="5305" xr:uid="{00000000-0005-0000-0000-00007D080000}"/>
    <cellStyle name="20% - 강조색3 52 15" xfId="4786" xr:uid="{00000000-0005-0000-0000-00007E080000}"/>
    <cellStyle name="20% - 강조색3 52 16" xfId="6130" xr:uid="{00000000-0005-0000-0000-00007F080000}"/>
    <cellStyle name="20% - 강조색3 52 17" xfId="7165" xr:uid="{00000000-0005-0000-0000-000080080000}"/>
    <cellStyle name="20% - 강조색3 52 18" xfId="6893" xr:uid="{00000000-0005-0000-0000-000081080000}"/>
    <cellStyle name="20% - 강조색3 52 19" xfId="7623" xr:uid="{00000000-0005-0000-0000-000082080000}"/>
    <cellStyle name="20% - 강조색3 52 2" xfId="1744" xr:uid="{00000000-0005-0000-0000-000083080000}"/>
    <cellStyle name="20% - 강조색3 52 20" xfId="8208" xr:uid="{00000000-0005-0000-0000-000084080000}"/>
    <cellStyle name="20% - 강조색3 52 21" xfId="2893" xr:uid="{00000000-0005-0000-0000-000085080000}"/>
    <cellStyle name="20% - 강조색3 52 22" xfId="8844" xr:uid="{00000000-0005-0000-0000-000086080000}"/>
    <cellStyle name="20% - 강조색3 52 23" xfId="9087" xr:uid="{00000000-0005-0000-0000-000087080000}"/>
    <cellStyle name="20% - 강조색3 52 24" xfId="7745" xr:uid="{00000000-0005-0000-0000-000088080000}"/>
    <cellStyle name="20% - 강조색3 52 25" xfId="9975" xr:uid="{00000000-0005-0000-0000-000089080000}"/>
    <cellStyle name="20% - 강조색3 52 26" xfId="864" xr:uid="{00000000-0005-0000-0000-00008A080000}"/>
    <cellStyle name="20% - 강조색3 52 27" xfId="10569" xr:uid="{00000000-0005-0000-0000-00008B080000}"/>
    <cellStyle name="20% - 강조색3 52 28" xfId="9981" xr:uid="{00000000-0005-0000-0000-00008C080000}"/>
    <cellStyle name="20% - 강조색3 52 29" xfId="11219" xr:uid="{00000000-0005-0000-0000-00008D080000}"/>
    <cellStyle name="20% - 강조색3 52 3" xfId="2022" xr:uid="{00000000-0005-0000-0000-00008E080000}"/>
    <cellStyle name="20% - 강조색3 52 4" xfId="2276" xr:uid="{00000000-0005-0000-0000-00008F080000}"/>
    <cellStyle name="20% - 강조색3 52 5" xfId="2618" xr:uid="{00000000-0005-0000-0000-000090080000}"/>
    <cellStyle name="20% - 강조색3 52 6" xfId="2846" xr:uid="{00000000-0005-0000-0000-000091080000}"/>
    <cellStyle name="20% - 강조색3 52 7" xfId="3344" xr:uid="{00000000-0005-0000-0000-000092080000}"/>
    <cellStyle name="20% - 강조색3 52 8" xfId="3678" xr:uid="{00000000-0005-0000-0000-000093080000}"/>
    <cellStyle name="20% - 강조색3 52 9" xfId="3898" xr:uid="{00000000-0005-0000-0000-000094080000}"/>
    <cellStyle name="20% - 강조색3 53" xfId="1028" xr:uid="{00000000-0005-0000-0000-000095080000}"/>
    <cellStyle name="20% - 강조색3 53 10" xfId="4379" xr:uid="{00000000-0005-0000-0000-000096080000}"/>
    <cellStyle name="20% - 강조색3 53 11" xfId="4624" xr:uid="{00000000-0005-0000-0000-000097080000}"/>
    <cellStyle name="20% - 강조색3 53 12" xfId="5456" xr:uid="{00000000-0005-0000-0000-000098080000}"/>
    <cellStyle name="20% - 강조색3 53 13" xfId="5139" xr:uid="{00000000-0005-0000-0000-000099080000}"/>
    <cellStyle name="20% - 강조색3 53 14" xfId="4804" xr:uid="{00000000-0005-0000-0000-00009A080000}"/>
    <cellStyle name="20% - 강조색3 53 15" xfId="4898" xr:uid="{00000000-0005-0000-0000-00009B080000}"/>
    <cellStyle name="20% - 강조색3 53 16" xfId="2733" xr:uid="{00000000-0005-0000-0000-00009C080000}"/>
    <cellStyle name="20% - 강조색3 53 17" xfId="5201" xr:uid="{00000000-0005-0000-0000-00009D080000}"/>
    <cellStyle name="20% - 강조색3 53 18" xfId="7058" xr:uid="{00000000-0005-0000-0000-00009E080000}"/>
    <cellStyle name="20% - 강조색3 53 19" xfId="7763" xr:uid="{00000000-0005-0000-0000-00009F080000}"/>
    <cellStyle name="20% - 강조색3 53 2" xfId="1684" xr:uid="{00000000-0005-0000-0000-0000A0080000}"/>
    <cellStyle name="20% - 강조색3 53 20" xfId="1385" xr:uid="{00000000-0005-0000-0000-0000A1080000}"/>
    <cellStyle name="20% - 강조색3 53 21" xfId="8538" xr:uid="{00000000-0005-0000-0000-0000A2080000}"/>
    <cellStyle name="20% - 강조색3 53 22" xfId="8836" xr:uid="{00000000-0005-0000-0000-0000A3080000}"/>
    <cellStyle name="20% - 강조색3 53 23" xfId="8330" xr:uid="{00000000-0005-0000-0000-0000A4080000}"/>
    <cellStyle name="20% - 강조색3 53 24" xfId="4665" xr:uid="{00000000-0005-0000-0000-0000A5080000}"/>
    <cellStyle name="20% - 강조색3 53 25" xfId="9967" xr:uid="{00000000-0005-0000-0000-0000A6080000}"/>
    <cellStyle name="20% - 강조색3 53 26" xfId="10092" xr:uid="{00000000-0005-0000-0000-0000A7080000}"/>
    <cellStyle name="20% - 강조색3 53 27" xfId="10578" xr:uid="{00000000-0005-0000-0000-0000A8080000}"/>
    <cellStyle name="20% - 강조색3 53 28" xfId="4222" xr:uid="{00000000-0005-0000-0000-0000A9080000}"/>
    <cellStyle name="20% - 강조색3 53 29" xfId="11099" xr:uid="{00000000-0005-0000-0000-0000AA080000}"/>
    <cellStyle name="20% - 강조색3 53 3" xfId="2008" xr:uid="{00000000-0005-0000-0000-0000AB080000}"/>
    <cellStyle name="20% - 강조색3 53 4" xfId="2282" xr:uid="{00000000-0005-0000-0000-0000AC080000}"/>
    <cellStyle name="20% - 강조색3 53 5" xfId="2495" xr:uid="{00000000-0005-0000-0000-0000AD080000}"/>
    <cellStyle name="20% - 강조색3 53 6" xfId="2483" xr:uid="{00000000-0005-0000-0000-0000AE080000}"/>
    <cellStyle name="20% - 강조색3 53 7" xfId="3095" xr:uid="{00000000-0005-0000-0000-0000AF080000}"/>
    <cellStyle name="20% - 강조색3 53 8" xfId="3554" xr:uid="{00000000-0005-0000-0000-0000B0080000}"/>
    <cellStyle name="20% - 강조색3 53 9" xfId="1867" xr:uid="{00000000-0005-0000-0000-0000B1080000}"/>
    <cellStyle name="20% - 강조색3 54" xfId="1365" xr:uid="{00000000-0005-0000-0000-0000B2080000}"/>
    <cellStyle name="20% - 강조색3 54 10" xfId="3740" xr:uid="{00000000-0005-0000-0000-0000B3080000}"/>
    <cellStyle name="20% - 강조색3 54 11" xfId="4873" xr:uid="{00000000-0005-0000-0000-0000B4080000}"/>
    <cellStyle name="20% - 강조색3 54 12" xfId="5019" xr:uid="{00000000-0005-0000-0000-0000B5080000}"/>
    <cellStyle name="20% - 강조색3 54 13" xfId="5178" xr:uid="{00000000-0005-0000-0000-0000B6080000}"/>
    <cellStyle name="20% - 강조색3 54 14" xfId="5046" xr:uid="{00000000-0005-0000-0000-0000B7080000}"/>
    <cellStyle name="20% - 강조색3 54 15" xfId="6036" xr:uid="{00000000-0005-0000-0000-0000B8080000}"/>
    <cellStyle name="20% - 강조색3 54 16" xfId="6466" xr:uid="{00000000-0005-0000-0000-0000B9080000}"/>
    <cellStyle name="20% - 강조색3 54 17" xfId="6105" xr:uid="{00000000-0005-0000-0000-0000BA080000}"/>
    <cellStyle name="20% - 강조색3 54 18" xfId="4295" xr:uid="{00000000-0005-0000-0000-0000BB080000}"/>
    <cellStyle name="20% - 강조색3 54 19" xfId="7959" xr:uid="{00000000-0005-0000-0000-0000BC080000}"/>
    <cellStyle name="20% - 강조색3 54 2" xfId="2080" xr:uid="{00000000-0005-0000-0000-0000BD080000}"/>
    <cellStyle name="20% - 강조색3 54 20" xfId="8546" xr:uid="{00000000-0005-0000-0000-0000BE080000}"/>
    <cellStyle name="20% - 강조색3 54 21" xfId="8763" xr:uid="{00000000-0005-0000-0000-0000BF080000}"/>
    <cellStyle name="20% - 강조색3 54 22" xfId="3166" xr:uid="{00000000-0005-0000-0000-0000C0080000}"/>
    <cellStyle name="20% - 강조색3 54 23" xfId="9455" xr:uid="{00000000-0005-0000-0000-0000C1080000}"/>
    <cellStyle name="20% - 강조색3 54 24" xfId="7841" xr:uid="{00000000-0005-0000-0000-0000C2080000}"/>
    <cellStyle name="20% - 강조색3 54 25" xfId="10332" xr:uid="{00000000-0005-0000-0000-0000C3080000}"/>
    <cellStyle name="20% - 강조색3 54 26" xfId="4560" xr:uid="{00000000-0005-0000-0000-0000C4080000}"/>
    <cellStyle name="20% - 강조색3 54 27" xfId="6247" xr:uid="{00000000-0005-0000-0000-0000C5080000}"/>
    <cellStyle name="20% - 강조색3 54 28" xfId="8370" xr:uid="{00000000-0005-0000-0000-0000C6080000}"/>
    <cellStyle name="20% - 강조색3 54 3" xfId="2361" xr:uid="{00000000-0005-0000-0000-0000C7080000}"/>
    <cellStyle name="20% - 강조색3 54 4" xfId="2439" xr:uid="{00000000-0005-0000-0000-0000C8080000}"/>
    <cellStyle name="20% - 강조색3 54 5" xfId="1949" xr:uid="{00000000-0005-0000-0000-0000C9080000}"/>
    <cellStyle name="20% - 강조색3 54 6" xfId="3338" xr:uid="{00000000-0005-0000-0000-0000CA080000}"/>
    <cellStyle name="20% - 강조색3 54 7" xfId="3641" xr:uid="{00000000-0005-0000-0000-0000CB080000}"/>
    <cellStyle name="20% - 강조색3 54 8" xfId="3911" xr:uid="{00000000-0005-0000-0000-0000CC080000}"/>
    <cellStyle name="20% - 강조색3 54 9" xfId="3867" xr:uid="{00000000-0005-0000-0000-0000CD080000}"/>
    <cellStyle name="20% - 강조색3 55" xfId="2077" xr:uid="{00000000-0005-0000-0000-0000CE080000}"/>
    <cellStyle name="20% - 강조색3 55 10" xfId="4971" xr:uid="{00000000-0005-0000-0000-0000CF080000}"/>
    <cellStyle name="20% - 강조색3 55 11" xfId="5501" xr:uid="{00000000-0005-0000-0000-0000D0080000}"/>
    <cellStyle name="20% - 강조색3 55 12" xfId="5248" xr:uid="{00000000-0005-0000-0000-0000D1080000}"/>
    <cellStyle name="20% - 강조색3 55 13" xfId="4861" xr:uid="{00000000-0005-0000-0000-0000D2080000}"/>
    <cellStyle name="20% - 강조색3 55 14" xfId="6615" xr:uid="{00000000-0005-0000-0000-0000D3080000}"/>
    <cellStyle name="20% - 강조색3 55 15" xfId="6168" xr:uid="{00000000-0005-0000-0000-0000D4080000}"/>
    <cellStyle name="20% - 강조색3 55 16" xfId="7188" xr:uid="{00000000-0005-0000-0000-0000D5080000}"/>
    <cellStyle name="20% - 강조색3 55 17" xfId="7618" xr:uid="{00000000-0005-0000-0000-0000D6080000}"/>
    <cellStyle name="20% - 강조색3 55 18" xfId="4673" xr:uid="{00000000-0005-0000-0000-0000D7080000}"/>
    <cellStyle name="20% - 강조색3 55 19" xfId="8149" xr:uid="{00000000-0005-0000-0000-0000D8080000}"/>
    <cellStyle name="20% - 강조색3 55 2" xfId="2381" xr:uid="{00000000-0005-0000-0000-0000D9080000}"/>
    <cellStyle name="20% - 강조색3 55 20" xfId="8815" xr:uid="{00000000-0005-0000-0000-0000DA080000}"/>
    <cellStyle name="20% - 강조색3 55 21" xfId="7946" xr:uid="{00000000-0005-0000-0000-0000DB080000}"/>
    <cellStyle name="20% - 강조색3 55 22" xfId="8418" xr:uid="{00000000-0005-0000-0000-0000DC080000}"/>
    <cellStyle name="20% - 강조색3 55 23" xfId="10054" xr:uid="{00000000-0005-0000-0000-0000DD080000}"/>
    <cellStyle name="20% - 강조색3 55 24" xfId="8070" xr:uid="{00000000-0005-0000-0000-0000DE080000}"/>
    <cellStyle name="20% - 강조색3 55 25" xfId="9886" xr:uid="{00000000-0005-0000-0000-0000DF080000}"/>
    <cellStyle name="20% - 강조색3 55 26" xfId="10905" xr:uid="{00000000-0005-0000-0000-0000E0080000}"/>
    <cellStyle name="20% - 강조색3 55 27" xfId="11171" xr:uid="{00000000-0005-0000-0000-0000E1080000}"/>
    <cellStyle name="20% - 강조색3 55 3" xfId="2700" xr:uid="{00000000-0005-0000-0000-0000E2080000}"/>
    <cellStyle name="20% - 강조색3 55 4" xfId="3015" xr:uid="{00000000-0005-0000-0000-0000E3080000}"/>
    <cellStyle name="20% - 강조색3 55 5" xfId="3306" xr:uid="{00000000-0005-0000-0000-0000E4080000}"/>
    <cellStyle name="20% - 강조색3 55 6" xfId="3651" xr:uid="{00000000-0005-0000-0000-0000E5080000}"/>
    <cellStyle name="20% - 강조색3 55 7" xfId="4019" xr:uid="{00000000-0005-0000-0000-0000E6080000}"/>
    <cellStyle name="20% - 강조색3 55 8" xfId="4317" xr:uid="{00000000-0005-0000-0000-0000E7080000}"/>
    <cellStyle name="20% - 강조색3 55 9" xfId="4641" xr:uid="{00000000-0005-0000-0000-0000E8080000}"/>
    <cellStyle name="20% - 강조색3 56" xfId="2245" xr:uid="{00000000-0005-0000-0000-0000E9080000}"/>
    <cellStyle name="20% - 강조색3 56 10" xfId="4993" xr:uid="{00000000-0005-0000-0000-0000EA080000}"/>
    <cellStyle name="20% - 강조색3 56 11" xfId="5323" xr:uid="{00000000-0005-0000-0000-0000EB080000}"/>
    <cellStyle name="20% - 강조색3 56 12" xfId="5380" xr:uid="{00000000-0005-0000-0000-0000EC080000}"/>
    <cellStyle name="20% - 강조색3 56 13" xfId="2778" xr:uid="{00000000-0005-0000-0000-0000ED080000}"/>
    <cellStyle name="20% - 강조색3 56 14" xfId="7264" xr:uid="{00000000-0005-0000-0000-0000EE080000}"/>
    <cellStyle name="20% - 강조색3 56 15" xfId="1420" xr:uid="{00000000-0005-0000-0000-0000EF080000}"/>
    <cellStyle name="20% - 강조색3 56 16" xfId="7551" xr:uid="{00000000-0005-0000-0000-0000F0080000}"/>
    <cellStyle name="20% - 강조색3 56 17" xfId="8220" xr:uid="{00000000-0005-0000-0000-0000F1080000}"/>
    <cellStyle name="20% - 강조색3 56 18" xfId="3811" xr:uid="{00000000-0005-0000-0000-0000F2080000}"/>
    <cellStyle name="20% - 강조색3 56 19" xfId="8996" xr:uid="{00000000-0005-0000-0000-0000F3080000}"/>
    <cellStyle name="20% - 강조색3 56 2" xfId="2703" xr:uid="{00000000-0005-0000-0000-0000F4080000}"/>
    <cellStyle name="20% - 강조색3 56 20" xfId="6525" xr:uid="{00000000-0005-0000-0000-0000F5080000}"/>
    <cellStyle name="20% - 강조색3 56 21" xfId="8020" xr:uid="{00000000-0005-0000-0000-0000F6080000}"/>
    <cellStyle name="20% - 강조색3 56 22" xfId="6030" xr:uid="{00000000-0005-0000-0000-0000F7080000}"/>
    <cellStyle name="20% - 강조색3 56 23" xfId="6791" xr:uid="{00000000-0005-0000-0000-0000F8080000}"/>
    <cellStyle name="20% - 강조색3 56 24" xfId="3403" xr:uid="{00000000-0005-0000-0000-0000F9080000}"/>
    <cellStyle name="20% - 강조색3 56 25" xfId="10875" xr:uid="{00000000-0005-0000-0000-0000FA080000}"/>
    <cellStyle name="20% - 강조색3 56 26" xfId="11040" xr:uid="{00000000-0005-0000-0000-0000FB080000}"/>
    <cellStyle name="20% - 강조색3 56 3" xfId="3018" xr:uid="{00000000-0005-0000-0000-0000FC080000}"/>
    <cellStyle name="20% - 강조색3 56 4" xfId="3351" xr:uid="{00000000-0005-0000-0000-0000FD080000}"/>
    <cellStyle name="20% - 강조색3 56 5" xfId="3530" xr:uid="{00000000-0005-0000-0000-0000FE080000}"/>
    <cellStyle name="20% - 강조색3 56 6" xfId="3998" xr:uid="{00000000-0005-0000-0000-0000FF080000}"/>
    <cellStyle name="20% - 강조색3 56 7" xfId="4283" xr:uid="{00000000-0005-0000-0000-000000090000}"/>
    <cellStyle name="20% - 강조색3 56 8" xfId="915" xr:uid="{00000000-0005-0000-0000-000001090000}"/>
    <cellStyle name="20% - 강조색3 56 9" xfId="4921" xr:uid="{00000000-0005-0000-0000-000002090000}"/>
    <cellStyle name="20% - 강조색3 57" xfId="2651" xr:uid="{00000000-0005-0000-0000-000003090000}"/>
    <cellStyle name="20% - 강조색3 57 10" xfId="5118" xr:uid="{00000000-0005-0000-0000-000004090000}"/>
    <cellStyle name="20% - 강조색3 57 11" xfId="4300" xr:uid="{00000000-0005-0000-0000-000005090000}"/>
    <cellStyle name="20% - 강조색3 57 12" xfId="6543" xr:uid="{00000000-0005-0000-0000-000006090000}"/>
    <cellStyle name="20% - 강조색3 57 13" xfId="6945" xr:uid="{00000000-0005-0000-0000-000007090000}"/>
    <cellStyle name="20% - 강조색3 57 14" xfId="7337" xr:uid="{00000000-0005-0000-0000-000008090000}"/>
    <cellStyle name="20% - 강조색3 57 15" xfId="7757" xr:uid="{00000000-0005-0000-0000-000009090000}"/>
    <cellStyle name="20% - 강조색3 57 16" xfId="874" xr:uid="{00000000-0005-0000-0000-00000A090000}"/>
    <cellStyle name="20% - 강조색3 57 17" xfId="5214" xr:uid="{00000000-0005-0000-0000-00000B090000}"/>
    <cellStyle name="20% - 강조색3 57 18" xfId="8950" xr:uid="{00000000-0005-0000-0000-00000C090000}"/>
    <cellStyle name="20% - 강조색3 57 19" xfId="9074" xr:uid="{00000000-0005-0000-0000-00000D090000}"/>
    <cellStyle name="20% - 강조색3 57 2" xfId="3032" xr:uid="{00000000-0005-0000-0000-00000E090000}"/>
    <cellStyle name="20% - 강조색3 57 20" xfId="5090" xr:uid="{00000000-0005-0000-0000-00000F090000}"/>
    <cellStyle name="20% - 강조색3 57 21" xfId="9958" xr:uid="{00000000-0005-0000-0000-000010090000}"/>
    <cellStyle name="20% - 강조색3 57 22" xfId="8868" xr:uid="{00000000-0005-0000-0000-000011090000}"/>
    <cellStyle name="20% - 강조색3 57 23" xfId="10538" xr:uid="{00000000-0005-0000-0000-000012090000}"/>
    <cellStyle name="20% - 강조색3 57 24" xfId="10786" xr:uid="{00000000-0005-0000-0000-000013090000}"/>
    <cellStyle name="20% - 강조색3 57 25" xfId="2307" xr:uid="{00000000-0005-0000-0000-000014090000}"/>
    <cellStyle name="20% - 강조색3 57 3" xfId="3365" xr:uid="{00000000-0005-0000-0000-000015090000}"/>
    <cellStyle name="20% - 강조색3 57 4" xfId="3697" xr:uid="{00000000-0005-0000-0000-000016090000}"/>
    <cellStyle name="20% - 강조색3 57 5" xfId="1933" xr:uid="{00000000-0005-0000-0000-000017090000}"/>
    <cellStyle name="20% - 강조색3 57 6" xfId="4099" xr:uid="{00000000-0005-0000-0000-000018090000}"/>
    <cellStyle name="20% - 강조색3 57 7" xfId="779" xr:uid="{00000000-0005-0000-0000-000019090000}"/>
    <cellStyle name="20% - 강조색3 57 8" xfId="1902" xr:uid="{00000000-0005-0000-0000-00001A090000}"/>
    <cellStyle name="20% - 강조색3 57 9" xfId="2113" xr:uid="{00000000-0005-0000-0000-00001B090000}"/>
    <cellStyle name="20% - 강조색3 58" xfId="1968" xr:uid="{00000000-0005-0000-0000-00001C090000}"/>
    <cellStyle name="20% - 강조색3 58 10" xfId="5169" xr:uid="{00000000-0005-0000-0000-00001D090000}"/>
    <cellStyle name="20% - 강조색3 58 11" xfId="6223" xr:uid="{00000000-0005-0000-0000-00001E090000}"/>
    <cellStyle name="20% - 강조색3 58 12" xfId="2741" xr:uid="{00000000-0005-0000-0000-00001F090000}"/>
    <cellStyle name="20% - 강조색3 58 13" xfId="6059" xr:uid="{00000000-0005-0000-0000-000020090000}"/>
    <cellStyle name="20% - 강조색3 58 14" xfId="7524" xr:uid="{00000000-0005-0000-0000-000021090000}"/>
    <cellStyle name="20% - 강조색3 58 15" xfId="5636" xr:uid="{00000000-0005-0000-0000-000022090000}"/>
    <cellStyle name="20% - 강조색3 58 16" xfId="6822" xr:uid="{00000000-0005-0000-0000-000023090000}"/>
    <cellStyle name="20% - 강조색3 58 17" xfId="7699" xr:uid="{00000000-0005-0000-0000-000024090000}"/>
    <cellStyle name="20% - 강조색3 58 18" xfId="8102" xr:uid="{00000000-0005-0000-0000-000025090000}"/>
    <cellStyle name="20% - 강조색3 58 19" xfId="8426" xr:uid="{00000000-0005-0000-0000-000026090000}"/>
    <cellStyle name="20% - 강조색3 58 2" xfId="966" xr:uid="{00000000-0005-0000-0000-000027090000}"/>
    <cellStyle name="20% - 강조색3 58 20" xfId="7565" xr:uid="{00000000-0005-0000-0000-000028090000}"/>
    <cellStyle name="20% - 강조색3 58 21" xfId="10181" xr:uid="{00000000-0005-0000-0000-000029090000}"/>
    <cellStyle name="20% - 강조색3 58 22" xfId="9893" xr:uid="{00000000-0005-0000-0000-00002A090000}"/>
    <cellStyle name="20% - 강조색3 58 23" xfId="6086" xr:uid="{00000000-0005-0000-0000-00002B090000}"/>
    <cellStyle name="20% - 강조색3 58 24" xfId="11265" xr:uid="{00000000-0005-0000-0000-00002C090000}"/>
    <cellStyle name="20% - 강조색3 58 3" xfId="3429" xr:uid="{00000000-0005-0000-0000-00002D090000}"/>
    <cellStyle name="20% - 강조색3 58 4" xfId="2894" xr:uid="{00000000-0005-0000-0000-00002E090000}"/>
    <cellStyle name="20% - 강조색3 58 5" xfId="2251" xr:uid="{00000000-0005-0000-0000-00002F090000}"/>
    <cellStyle name="20% - 강조색3 58 6" xfId="4604" xr:uid="{00000000-0005-0000-0000-000030090000}"/>
    <cellStyle name="20% - 강조색3 58 7" xfId="1924" xr:uid="{00000000-0005-0000-0000-000031090000}"/>
    <cellStyle name="20% - 강조색3 58 8" xfId="4444" xr:uid="{00000000-0005-0000-0000-000032090000}"/>
    <cellStyle name="20% - 강조색3 58 9" xfId="5180" xr:uid="{00000000-0005-0000-0000-000033090000}"/>
    <cellStyle name="20% - 강조색3 59" xfId="3316" xr:uid="{00000000-0005-0000-0000-000034090000}"/>
    <cellStyle name="20% - 강조색3 59 10" xfId="6160" xr:uid="{00000000-0005-0000-0000-000035090000}"/>
    <cellStyle name="20% - 강조색3 59 11" xfId="7133" xr:uid="{00000000-0005-0000-0000-000036090000}"/>
    <cellStyle name="20% - 강조색3 59 12" xfId="7275" xr:uid="{00000000-0005-0000-0000-000037090000}"/>
    <cellStyle name="20% - 강조색3 59 13" xfId="7839" xr:uid="{00000000-0005-0000-0000-000038090000}"/>
    <cellStyle name="20% - 강조색3 59 14" xfId="7943" xr:uid="{00000000-0005-0000-0000-000039090000}"/>
    <cellStyle name="20% - 강조색3 59 15" xfId="3752" xr:uid="{00000000-0005-0000-0000-00003A090000}"/>
    <cellStyle name="20% - 강조색3 59 16" xfId="5213" xr:uid="{00000000-0005-0000-0000-00003B090000}"/>
    <cellStyle name="20% - 강조색3 59 17" xfId="8966" xr:uid="{00000000-0005-0000-0000-00003C090000}"/>
    <cellStyle name="20% - 강조색3 59 18" xfId="6894" xr:uid="{00000000-0005-0000-0000-00003D090000}"/>
    <cellStyle name="20% - 강조색3 59 19" xfId="2120" xr:uid="{00000000-0005-0000-0000-00003E090000}"/>
    <cellStyle name="20% - 강조색3 59 2" xfId="3719" xr:uid="{00000000-0005-0000-0000-00003F090000}"/>
    <cellStyle name="20% - 강조색3 59 20" xfId="10215" xr:uid="{00000000-0005-0000-0000-000040090000}"/>
    <cellStyle name="20% - 강조색3 59 21" xfId="10687" xr:uid="{00000000-0005-0000-0000-000041090000}"/>
    <cellStyle name="20% - 강조색3 59 22" xfId="10849" xr:uid="{00000000-0005-0000-0000-000042090000}"/>
    <cellStyle name="20% - 강조색3 59 23" xfId="3582" xr:uid="{00000000-0005-0000-0000-000043090000}"/>
    <cellStyle name="20% - 강조색3 59 3" xfId="4058" xr:uid="{00000000-0005-0000-0000-000044090000}"/>
    <cellStyle name="20% - 강조색3 59 4" xfId="4394" xr:uid="{00000000-0005-0000-0000-000045090000}"/>
    <cellStyle name="20% - 강조색3 59 5" xfId="999" xr:uid="{00000000-0005-0000-0000-000046090000}"/>
    <cellStyle name="20% - 강조색3 59 6" xfId="3525" xr:uid="{00000000-0005-0000-0000-000047090000}"/>
    <cellStyle name="20% - 강조색3 59 7" xfId="5238" xr:uid="{00000000-0005-0000-0000-000048090000}"/>
    <cellStyle name="20% - 강조색3 59 8" xfId="5077" xr:uid="{00000000-0005-0000-0000-000049090000}"/>
    <cellStyle name="20% - 강조색3 59 9" xfId="5726" xr:uid="{00000000-0005-0000-0000-00004A090000}"/>
    <cellStyle name="20% - 강조색3 6" xfId="107" xr:uid="{00000000-0005-0000-0000-00004B090000}"/>
    <cellStyle name="20% - 강조색3 60" xfId="3668" xr:uid="{00000000-0005-0000-0000-00004C090000}"/>
    <cellStyle name="20% - 강조색3 60 10" xfId="5356" xr:uid="{00000000-0005-0000-0000-00004D090000}"/>
    <cellStyle name="20% - 강조색3 60 11" xfId="7055" xr:uid="{00000000-0005-0000-0000-00004E090000}"/>
    <cellStyle name="20% - 강조색3 60 12" xfId="7525" xr:uid="{00000000-0005-0000-0000-00004F090000}"/>
    <cellStyle name="20% - 강조색3 60 13" xfId="8146" xr:uid="{00000000-0005-0000-0000-000050090000}"/>
    <cellStyle name="20% - 강조색3 60 14" xfId="6126" xr:uid="{00000000-0005-0000-0000-000051090000}"/>
    <cellStyle name="20% - 강조색3 60 15" xfId="8703" xr:uid="{00000000-0005-0000-0000-000052090000}"/>
    <cellStyle name="20% - 강조색3 60 16" xfId="6816" xr:uid="{00000000-0005-0000-0000-000053090000}"/>
    <cellStyle name="20% - 강조색3 60 17" xfId="2157" xr:uid="{00000000-0005-0000-0000-000054090000}"/>
    <cellStyle name="20% - 강조색3 60 18" xfId="9948" xr:uid="{00000000-0005-0000-0000-000055090000}"/>
    <cellStyle name="20% - 강조색3 60 19" xfId="4277" xr:uid="{00000000-0005-0000-0000-000056090000}"/>
    <cellStyle name="20% - 강조색3 60 2" xfId="4068" xr:uid="{00000000-0005-0000-0000-000057090000}"/>
    <cellStyle name="20% - 강조색3 60 20" xfId="10443" xr:uid="{00000000-0005-0000-0000-000058090000}"/>
    <cellStyle name="20% - 강조색3 60 21" xfId="10990" xr:uid="{00000000-0005-0000-0000-000059090000}"/>
    <cellStyle name="20% - 강조색3 60 22" xfId="5208" xr:uid="{00000000-0005-0000-0000-00005A090000}"/>
    <cellStyle name="20% - 강조색3 60 3" xfId="4404" xr:uid="{00000000-0005-0000-0000-00005B090000}"/>
    <cellStyle name="20% - 강조색3 60 4" xfId="4757" xr:uid="{00000000-0005-0000-0000-00005C090000}"/>
    <cellStyle name="20% - 강조색3 60 5" xfId="5123" xr:uid="{00000000-0005-0000-0000-00005D090000}"/>
    <cellStyle name="20% - 강조색3 60 6" xfId="5351" xr:uid="{00000000-0005-0000-0000-00005E090000}"/>
    <cellStyle name="20% - 강조색3 60 7" xfId="2394" xr:uid="{00000000-0005-0000-0000-00005F090000}"/>
    <cellStyle name="20% - 강조색3 60 8" xfId="5287" xr:uid="{00000000-0005-0000-0000-000060090000}"/>
    <cellStyle name="20% - 강조색3 60 9" xfId="6585" xr:uid="{00000000-0005-0000-0000-000061090000}"/>
    <cellStyle name="20% - 강조색3 61" xfId="4020" xr:uid="{00000000-0005-0000-0000-000062090000}"/>
    <cellStyle name="20% - 강조색3 61 10" xfId="3477" xr:uid="{00000000-0005-0000-0000-000063090000}"/>
    <cellStyle name="20% - 강조색3 61 11" xfId="7805" xr:uid="{00000000-0005-0000-0000-000064090000}"/>
    <cellStyle name="20% - 강조색3 61 12" xfId="8048" xr:uid="{00000000-0005-0000-0000-000065090000}"/>
    <cellStyle name="20% - 강조색3 61 13" xfId="8529" xr:uid="{00000000-0005-0000-0000-000066090000}"/>
    <cellStyle name="20% - 강조색3 61 14" xfId="8826" xr:uid="{00000000-0005-0000-0000-000067090000}"/>
    <cellStyle name="20% - 강조색3 61 15" xfId="9248" xr:uid="{00000000-0005-0000-0000-000068090000}"/>
    <cellStyle name="20% - 강조색3 61 16" xfId="9591" xr:uid="{00000000-0005-0000-0000-000069090000}"/>
    <cellStyle name="20% - 강조색3 61 17" xfId="8314" xr:uid="{00000000-0005-0000-0000-00006A090000}"/>
    <cellStyle name="20% - 강조색3 61 18" xfId="10188" xr:uid="{00000000-0005-0000-0000-00006B090000}"/>
    <cellStyle name="20% - 강조색3 61 19" xfId="10470" xr:uid="{00000000-0005-0000-0000-00006C090000}"/>
    <cellStyle name="20% - 강조색3 61 2" xfId="4413" xr:uid="{00000000-0005-0000-0000-00006D090000}"/>
    <cellStyle name="20% - 강조색3 61 20" xfId="10961" xr:uid="{00000000-0005-0000-0000-00006E090000}"/>
    <cellStyle name="20% - 강조색3 61 21" xfId="11055" xr:uid="{00000000-0005-0000-0000-00006F090000}"/>
    <cellStyle name="20% - 강조색3 61 3" xfId="4767" xr:uid="{00000000-0005-0000-0000-000070090000}"/>
    <cellStyle name="20% - 강조색3 61 4" xfId="5692" xr:uid="{00000000-0005-0000-0000-000071090000}"/>
    <cellStyle name="20% - 강조색3 61 5" xfId="3559" xr:uid="{00000000-0005-0000-0000-000072090000}"/>
    <cellStyle name="20% - 강조색3 61 6" xfId="4995" xr:uid="{00000000-0005-0000-0000-000073090000}"/>
    <cellStyle name="20% - 강조색3 61 7" xfId="4165" xr:uid="{00000000-0005-0000-0000-000074090000}"/>
    <cellStyle name="20% - 강조색3 61 8" xfId="6625" xr:uid="{00000000-0005-0000-0000-000075090000}"/>
    <cellStyle name="20% - 강조색3 61 9" xfId="3445" xr:uid="{00000000-0005-0000-0000-000076090000}"/>
    <cellStyle name="20% - 강조색3 62" xfId="4336" xr:uid="{00000000-0005-0000-0000-000077090000}"/>
    <cellStyle name="20% - 강조색3 62 10" xfId="7690" xr:uid="{00000000-0005-0000-0000-000078090000}"/>
    <cellStyle name="20% - 강조색3 62 11" xfId="5291" xr:uid="{00000000-0005-0000-0000-000079090000}"/>
    <cellStyle name="20% - 강조색3 62 12" xfId="8583" xr:uid="{00000000-0005-0000-0000-00007A090000}"/>
    <cellStyle name="20% - 강조색3 62 13" xfId="4025" xr:uid="{00000000-0005-0000-0000-00007B090000}"/>
    <cellStyle name="20% - 강조색3 62 14" xfId="5365" xr:uid="{00000000-0005-0000-0000-00007C090000}"/>
    <cellStyle name="20% - 강조색3 62 15" xfId="9532" xr:uid="{00000000-0005-0000-0000-00007D090000}"/>
    <cellStyle name="20% - 강조색3 62 16" xfId="9901" xr:uid="{00000000-0005-0000-0000-00007E090000}"/>
    <cellStyle name="20% - 강조색3 62 17" xfId="8172" xr:uid="{00000000-0005-0000-0000-00007F090000}"/>
    <cellStyle name="20% - 강조색3 62 18" xfId="10282" xr:uid="{00000000-0005-0000-0000-000080090000}"/>
    <cellStyle name="20% - 강조색3 62 19" xfId="9171" xr:uid="{00000000-0005-0000-0000-000081090000}"/>
    <cellStyle name="20% - 강조색3 62 2" xfId="4777" xr:uid="{00000000-0005-0000-0000-000082090000}"/>
    <cellStyle name="20% - 강조색3 62 20" xfId="7930" xr:uid="{00000000-0005-0000-0000-000083090000}"/>
    <cellStyle name="20% - 강조색3 62 3" xfId="5748" xr:uid="{00000000-0005-0000-0000-000084090000}"/>
    <cellStyle name="20% - 강조색3 62 4" xfId="5851" xr:uid="{00000000-0005-0000-0000-000085090000}"/>
    <cellStyle name="20% - 강조색3 62 5" xfId="5926" xr:uid="{00000000-0005-0000-0000-000086090000}"/>
    <cellStyle name="20% - 강조색3 62 6" xfId="5976" xr:uid="{00000000-0005-0000-0000-000087090000}"/>
    <cellStyle name="20% - 강조색3 62 7" xfId="6635" xr:uid="{00000000-0005-0000-0000-000088090000}"/>
    <cellStyle name="20% - 강조색3 62 8" xfId="1481" xr:uid="{00000000-0005-0000-0000-000089090000}"/>
    <cellStyle name="20% - 강조색3 62 9" xfId="6715" xr:uid="{00000000-0005-0000-0000-00008A090000}"/>
    <cellStyle name="20% - 강조색3 63" xfId="4726" xr:uid="{00000000-0005-0000-0000-00008B090000}"/>
    <cellStyle name="20% - 강조색3 63 10" xfId="8169" xr:uid="{00000000-0005-0000-0000-00008C090000}"/>
    <cellStyle name="20% - 강조색3 63 11" xfId="5129" xr:uid="{00000000-0005-0000-0000-00008D090000}"/>
    <cellStyle name="20% - 강조색3 63 12" xfId="6211" xr:uid="{00000000-0005-0000-0000-00008E090000}"/>
    <cellStyle name="20% - 강조색3 63 13" xfId="9258" xr:uid="{00000000-0005-0000-0000-00008F090000}"/>
    <cellStyle name="20% - 강조색3 63 14" xfId="3050" xr:uid="{00000000-0005-0000-0000-000090090000}"/>
    <cellStyle name="20% - 강조색3 63 15" xfId="8833" xr:uid="{00000000-0005-0000-0000-000091090000}"/>
    <cellStyle name="20% - 강조색3 63 16" xfId="7571" xr:uid="{00000000-0005-0000-0000-000092090000}"/>
    <cellStyle name="20% - 강조색3 63 17" xfId="6752" xr:uid="{00000000-0005-0000-0000-000093090000}"/>
    <cellStyle name="20% - 강조색3 63 18" xfId="9177" xr:uid="{00000000-0005-0000-0000-000094090000}"/>
    <cellStyle name="20% - 강조색3 63 19" xfId="11233" xr:uid="{00000000-0005-0000-0000-000095090000}"/>
    <cellStyle name="20% - 강조색3 63 2" xfId="5827" xr:uid="{00000000-0005-0000-0000-000096090000}"/>
    <cellStyle name="20% - 강조색3 63 3" xfId="5905" xr:uid="{00000000-0005-0000-0000-000097090000}"/>
    <cellStyle name="20% - 강조색3 63 4" xfId="5963" xr:uid="{00000000-0005-0000-0000-000098090000}"/>
    <cellStyle name="20% - 강조색3 63 5" xfId="5987" xr:uid="{00000000-0005-0000-0000-000099090000}"/>
    <cellStyle name="20% - 강조색3 63 6" xfId="6647" xr:uid="{00000000-0005-0000-0000-00009A090000}"/>
    <cellStyle name="20% - 강조색3 63 7" xfId="7066" xr:uid="{00000000-0005-0000-0000-00009B090000}"/>
    <cellStyle name="20% - 강조색3 63 8" xfId="7212" xr:uid="{00000000-0005-0000-0000-00009C090000}"/>
    <cellStyle name="20% - 강조색3 63 9" xfId="7437" xr:uid="{00000000-0005-0000-0000-00009D090000}"/>
    <cellStyle name="20% - 강조색3 64" xfId="5538" xr:uid="{00000000-0005-0000-0000-00009E090000}"/>
    <cellStyle name="20% - 강조색3 64 10" xfId="9692" xr:uid="{00000000-0005-0000-0000-00009F090000}"/>
    <cellStyle name="20% - 강조색3 64 11" xfId="9814" xr:uid="{00000000-0005-0000-0000-0000A0090000}"/>
    <cellStyle name="20% - 강조색3 64 12" xfId="10131" xr:uid="{00000000-0005-0000-0000-0000A1090000}"/>
    <cellStyle name="20% - 강조색3 64 13" xfId="9813" xr:uid="{00000000-0005-0000-0000-0000A2090000}"/>
    <cellStyle name="20% - 강조색3 64 14" xfId="8843" xr:uid="{00000000-0005-0000-0000-0000A3090000}"/>
    <cellStyle name="20% - 강조색3 64 15" xfId="11257" xr:uid="{00000000-0005-0000-0000-0000A4090000}"/>
    <cellStyle name="20% - 강조색3 64 2" xfId="6677" xr:uid="{00000000-0005-0000-0000-0000A5090000}"/>
    <cellStyle name="20% - 강조색3 64 3" xfId="7282" xr:uid="{00000000-0005-0000-0000-0000A6090000}"/>
    <cellStyle name="20% - 강조색3 64 4" xfId="7237" xr:uid="{00000000-0005-0000-0000-0000A7090000}"/>
    <cellStyle name="20% - 강조색3 64 5" xfId="7663" xr:uid="{00000000-0005-0000-0000-0000A8090000}"/>
    <cellStyle name="20% - 강조색3 64 6" xfId="8225" xr:uid="{00000000-0005-0000-0000-0000A9090000}"/>
    <cellStyle name="20% - 강조색3 64 7" xfId="8496" xr:uid="{00000000-0005-0000-0000-0000AA090000}"/>
    <cellStyle name="20% - 강조색3 64 8" xfId="2474" xr:uid="{00000000-0005-0000-0000-0000AB090000}"/>
    <cellStyle name="20% - 강조색3 64 9" xfId="7986" xr:uid="{00000000-0005-0000-0000-0000AC090000}"/>
    <cellStyle name="20% - 강조색3 65" xfId="5671" xr:uid="{00000000-0005-0000-0000-0000AD090000}"/>
    <cellStyle name="20% - 강조색3 65 10" xfId="4631" xr:uid="{00000000-0005-0000-0000-0000AE090000}"/>
    <cellStyle name="20% - 강조색3 65 11" xfId="5135" xr:uid="{00000000-0005-0000-0000-0000AF090000}"/>
    <cellStyle name="20% - 강조색3 65 12" xfId="10373" xr:uid="{00000000-0005-0000-0000-0000B0090000}"/>
    <cellStyle name="20% - 강조색3 65 13" xfId="6215" xr:uid="{00000000-0005-0000-0000-0000B1090000}"/>
    <cellStyle name="20% - 강조색3 65 14" xfId="6805" xr:uid="{00000000-0005-0000-0000-0000B2090000}"/>
    <cellStyle name="20% - 강조색3 65 15" xfId="10194" xr:uid="{00000000-0005-0000-0000-0000B3090000}"/>
    <cellStyle name="20% - 강조색3 65 2" xfId="6684" xr:uid="{00000000-0005-0000-0000-0000B4090000}"/>
    <cellStyle name="20% - 강조색3 65 3" xfId="7300" xr:uid="{00000000-0005-0000-0000-0000B5090000}"/>
    <cellStyle name="20% - 강조색3 65 4" xfId="4505" xr:uid="{00000000-0005-0000-0000-0000B6090000}"/>
    <cellStyle name="20% - 강조색3 65 5" xfId="7714" xr:uid="{00000000-0005-0000-0000-0000B7090000}"/>
    <cellStyle name="20% - 강조색3 65 6" xfId="4078" xr:uid="{00000000-0005-0000-0000-0000B8090000}"/>
    <cellStyle name="20% - 강조색3 65 7" xfId="8329" xr:uid="{00000000-0005-0000-0000-0000B9090000}"/>
    <cellStyle name="20% - 강조색3 65 8" xfId="3134" xr:uid="{00000000-0005-0000-0000-0000BA090000}"/>
    <cellStyle name="20% - 강조색3 65 9" xfId="735" xr:uid="{00000000-0005-0000-0000-0000BB090000}"/>
    <cellStyle name="20% - 강조색3 66" xfId="5738" xr:uid="{00000000-0005-0000-0000-0000BC090000}"/>
    <cellStyle name="20% - 강조색3 66 10" xfId="7018" xr:uid="{00000000-0005-0000-0000-0000BD090000}"/>
    <cellStyle name="20% - 강조색3 66 11" xfId="10056" xr:uid="{00000000-0005-0000-0000-0000BE090000}"/>
    <cellStyle name="20% - 강조색3 66 12" xfId="10252" xr:uid="{00000000-0005-0000-0000-0000BF090000}"/>
    <cellStyle name="20% - 강조색3 66 13" xfId="9466" xr:uid="{00000000-0005-0000-0000-0000C0090000}"/>
    <cellStyle name="20% - 강조색3 66 14" xfId="5221" xr:uid="{00000000-0005-0000-0000-0000C1090000}"/>
    <cellStyle name="20% - 강조색3 66 15" xfId="4667" xr:uid="{00000000-0005-0000-0000-0000C2090000}"/>
    <cellStyle name="20% - 강조색3 66 2" xfId="6686" xr:uid="{00000000-0005-0000-0000-0000C3090000}"/>
    <cellStyle name="20% - 강조색3 66 3" xfId="7309" xr:uid="{00000000-0005-0000-0000-0000C4090000}"/>
    <cellStyle name="20% - 강조색3 66 4" xfId="6934" xr:uid="{00000000-0005-0000-0000-0000C5090000}"/>
    <cellStyle name="20% - 강조색3 66 5" xfId="7854" xr:uid="{00000000-0005-0000-0000-0000C6090000}"/>
    <cellStyle name="20% - 강조색3 66 6" xfId="8108" xr:uid="{00000000-0005-0000-0000-0000C7090000}"/>
    <cellStyle name="20% - 강조색3 66 7" xfId="6888" xr:uid="{00000000-0005-0000-0000-0000C8090000}"/>
    <cellStyle name="20% - 강조색3 66 8" xfId="8812" xr:uid="{00000000-0005-0000-0000-0000C9090000}"/>
    <cellStyle name="20% - 강조색3 66 9" xfId="6396" xr:uid="{00000000-0005-0000-0000-0000CA090000}"/>
    <cellStyle name="20% - 강조색3 67" xfId="5843" xr:uid="{00000000-0005-0000-0000-0000CB090000}"/>
    <cellStyle name="20% - 강조색3 67 10" xfId="9471" xr:uid="{00000000-0005-0000-0000-0000CC090000}"/>
    <cellStyle name="20% - 강조색3 67 11" xfId="7716" xr:uid="{00000000-0005-0000-0000-0000CD090000}"/>
    <cellStyle name="20% - 강조색3 67 12" xfId="8331" xr:uid="{00000000-0005-0000-0000-0000CE090000}"/>
    <cellStyle name="20% - 강조색3 67 13" xfId="10441" xr:uid="{00000000-0005-0000-0000-0000CF090000}"/>
    <cellStyle name="20% - 강조색3 67 14" xfId="9780" xr:uid="{00000000-0005-0000-0000-0000D0090000}"/>
    <cellStyle name="20% - 강조색3 67 15" xfId="11206" xr:uid="{00000000-0005-0000-0000-0000D1090000}"/>
    <cellStyle name="20% - 강조색3 67 2" xfId="6692" xr:uid="{00000000-0005-0000-0000-0000D2090000}"/>
    <cellStyle name="20% - 강조색3 67 3" xfId="7318" xr:uid="{00000000-0005-0000-0000-0000D3090000}"/>
    <cellStyle name="20% - 강조색3 67 4" xfId="7354" xr:uid="{00000000-0005-0000-0000-0000D4090000}"/>
    <cellStyle name="20% - 강조색3 67 5" xfId="7860" xr:uid="{00000000-0005-0000-0000-0000D5090000}"/>
    <cellStyle name="20% - 강조색3 67 6" xfId="7977" xr:uid="{00000000-0005-0000-0000-0000D6090000}"/>
    <cellStyle name="20% - 강조색3 67 7" xfId="8498" xr:uid="{00000000-0005-0000-0000-0000D7090000}"/>
    <cellStyle name="20% - 강조색3 67 8" xfId="6415" xr:uid="{00000000-0005-0000-0000-0000D8090000}"/>
    <cellStyle name="20% - 강조색3 67 9" xfId="7511" xr:uid="{00000000-0005-0000-0000-0000D9090000}"/>
    <cellStyle name="20% - 강조색3 68" xfId="6538" xr:uid="{00000000-0005-0000-0000-0000DA090000}"/>
    <cellStyle name="20% - 강조색3 68 10" xfId="3431" xr:uid="{00000000-0005-0000-0000-0000DB090000}"/>
    <cellStyle name="20% - 강조색3 68 11" xfId="4970" xr:uid="{00000000-0005-0000-0000-0000DC090000}"/>
    <cellStyle name="20% - 강조색3 68 12" xfId="8349" xr:uid="{00000000-0005-0000-0000-0000DD090000}"/>
    <cellStyle name="20% - 강조색3 68 13" xfId="6712" xr:uid="{00000000-0005-0000-0000-0000DE090000}"/>
    <cellStyle name="20% - 강조색3 68 14" xfId="11125" xr:uid="{00000000-0005-0000-0000-0000DF090000}"/>
    <cellStyle name="20% - 강조색3 68 2" xfId="7360" xr:uid="{00000000-0005-0000-0000-0000E0090000}"/>
    <cellStyle name="20% - 강조색3 68 3" xfId="7386" xr:uid="{00000000-0005-0000-0000-0000E1090000}"/>
    <cellStyle name="20% - 강조색3 68 4" xfId="7875" xr:uid="{00000000-0005-0000-0000-0000E2090000}"/>
    <cellStyle name="20% - 강조색3 68 5" xfId="7993" xr:uid="{00000000-0005-0000-0000-0000E3090000}"/>
    <cellStyle name="20% - 강조색3 68 6" xfId="8557" xr:uid="{00000000-0005-0000-0000-0000E4090000}"/>
    <cellStyle name="20% - 강조색3 68 7" xfId="6811" xr:uid="{00000000-0005-0000-0000-0000E5090000}"/>
    <cellStyle name="20% - 강조색3 68 8" xfId="8071" xr:uid="{00000000-0005-0000-0000-0000E6090000}"/>
    <cellStyle name="20% - 강조색3 68 9" xfId="9703" xr:uid="{00000000-0005-0000-0000-0000E7090000}"/>
    <cellStyle name="20% - 강조색3 69" xfId="7262" xr:uid="{00000000-0005-0000-0000-0000E8090000}"/>
    <cellStyle name="20% - 강조색3 69 10" xfId="10511" xr:uid="{00000000-0005-0000-0000-0000E9090000}"/>
    <cellStyle name="20% - 강조색3 69 11" xfId="8537" xr:uid="{00000000-0005-0000-0000-0000EA090000}"/>
    <cellStyle name="20% - 강조색3 69 12" xfId="10759" xr:uid="{00000000-0005-0000-0000-0000EB090000}"/>
    <cellStyle name="20% - 강조색3 69 2" xfId="7890" xr:uid="{00000000-0005-0000-0000-0000EC090000}"/>
    <cellStyle name="20% - 강조색3 69 3" xfId="8284" xr:uid="{00000000-0005-0000-0000-0000ED090000}"/>
    <cellStyle name="20% - 강조색3 69 4" xfId="8646" xr:uid="{00000000-0005-0000-0000-0000EE090000}"/>
    <cellStyle name="20% - 강조색3 69 5" xfId="7750" xr:uid="{00000000-0005-0000-0000-0000EF090000}"/>
    <cellStyle name="20% - 강조색3 69 6" xfId="3473" xr:uid="{00000000-0005-0000-0000-0000F0090000}"/>
    <cellStyle name="20% - 강조색3 69 7" xfId="9449" xr:uid="{00000000-0005-0000-0000-0000F1090000}"/>
    <cellStyle name="20% - 강조색3 69 8" xfId="8319" xr:uid="{00000000-0005-0000-0000-0000F2090000}"/>
    <cellStyle name="20% - 강조색3 69 9" xfId="10310" xr:uid="{00000000-0005-0000-0000-0000F3090000}"/>
    <cellStyle name="20% - 강조색3 7" xfId="120" xr:uid="{00000000-0005-0000-0000-0000F4090000}"/>
    <cellStyle name="20% - 강조색3 70" xfId="7333" xr:uid="{00000000-0005-0000-0000-0000F5090000}"/>
    <cellStyle name="20% - 강조색3 70 10" xfId="10604" xr:uid="{00000000-0005-0000-0000-0000F6090000}"/>
    <cellStyle name="20% - 강조색3 70 11" xfId="9545" xr:uid="{00000000-0005-0000-0000-0000F7090000}"/>
    <cellStyle name="20% - 강조색3 70 12" xfId="4159" xr:uid="{00000000-0005-0000-0000-0000F8090000}"/>
    <cellStyle name="20% - 강조색3 70 2" xfId="7896" xr:uid="{00000000-0005-0000-0000-0000F9090000}"/>
    <cellStyle name="20% - 강조색3 70 3" xfId="8290" xr:uid="{00000000-0005-0000-0000-0000FA090000}"/>
    <cellStyle name="20% - 강조색3 70 4" xfId="8652" xr:uid="{00000000-0005-0000-0000-0000FB090000}"/>
    <cellStyle name="20% - 강조색3 70 5" xfId="4593" xr:uid="{00000000-0005-0000-0000-0000FC090000}"/>
    <cellStyle name="20% - 강조색3 70 6" xfId="9280" xr:uid="{00000000-0005-0000-0000-0000FD090000}"/>
    <cellStyle name="20% - 강조색3 70 7" xfId="8092" xr:uid="{00000000-0005-0000-0000-0000FE090000}"/>
    <cellStyle name="20% - 강조색3 70 8" xfId="3792" xr:uid="{00000000-0005-0000-0000-0000FF090000}"/>
    <cellStyle name="20% - 강조색3 70 9" xfId="3766" xr:uid="{00000000-0005-0000-0000-0000000A0000}"/>
    <cellStyle name="20% - 강조색3 71" xfId="7828" xr:uid="{00000000-0005-0000-0000-0000010A0000}"/>
    <cellStyle name="20% - 강조색3 71 10" xfId="10826" xr:uid="{00000000-0005-0000-0000-0000020A0000}"/>
    <cellStyle name="20% - 강조색3 71 11" xfId="6886" xr:uid="{00000000-0005-0000-0000-0000030A0000}"/>
    <cellStyle name="20% - 강조색3 71 2" xfId="8301" xr:uid="{00000000-0005-0000-0000-0000040A0000}"/>
    <cellStyle name="20% - 강조색3 71 3" xfId="8663" xr:uid="{00000000-0005-0000-0000-0000050A0000}"/>
    <cellStyle name="20% - 강조색3 71 4" xfId="9027" xr:uid="{00000000-0005-0000-0000-0000060A0000}"/>
    <cellStyle name="20% - 강조색3 71 5" xfId="9385" xr:uid="{00000000-0005-0000-0000-0000070A0000}"/>
    <cellStyle name="20% - 강조색3 71 6" xfId="4920" xr:uid="{00000000-0005-0000-0000-0000080A0000}"/>
    <cellStyle name="20% - 강조색3 71 7" xfId="10045" xr:uid="{00000000-0005-0000-0000-0000090A0000}"/>
    <cellStyle name="20% - 강조색3 71 8" xfId="8094" xr:uid="{00000000-0005-0000-0000-00000A0A0000}"/>
    <cellStyle name="20% - 강조색3 71 9" xfId="10680" xr:uid="{00000000-0005-0000-0000-00000B0A0000}"/>
    <cellStyle name="20% - 강조색3 72" xfId="7965" xr:uid="{00000000-0005-0000-0000-00000C0A0000}"/>
    <cellStyle name="20% - 강조색3 72 10" xfId="11173" xr:uid="{00000000-0005-0000-0000-00000D0A0000}"/>
    <cellStyle name="20% - 강조색3 72 2" xfId="8668" xr:uid="{00000000-0005-0000-0000-00000E0A0000}"/>
    <cellStyle name="20% - 강조색3 72 3" xfId="9032" xr:uid="{00000000-0005-0000-0000-00000F0A0000}"/>
    <cellStyle name="20% - 강조색3 72 4" xfId="9391" xr:uid="{00000000-0005-0000-0000-0000100A0000}"/>
    <cellStyle name="20% - 강조색3 72 5" xfId="3542" xr:uid="{00000000-0005-0000-0000-0000110A0000}"/>
    <cellStyle name="20% - 강조색3 72 6" xfId="10022" xr:uid="{00000000-0005-0000-0000-0000120A0000}"/>
    <cellStyle name="20% - 강조색3 72 7" xfId="6337" xr:uid="{00000000-0005-0000-0000-0000130A0000}"/>
    <cellStyle name="20% - 강조색3 72 8" xfId="6512" xr:uid="{00000000-0005-0000-0000-0000140A0000}"/>
    <cellStyle name="20% - 강조색3 72 9" xfId="10973" xr:uid="{00000000-0005-0000-0000-0000150A0000}"/>
    <cellStyle name="20% - 강조색3 73" xfId="5158" xr:uid="{00000000-0005-0000-0000-0000160A0000}"/>
    <cellStyle name="20% - 강조색3 73 2" xfId="8870" xr:uid="{00000000-0005-0000-0000-0000170A0000}"/>
    <cellStyle name="20% - 강조색3 73 3" xfId="9155" xr:uid="{00000000-0005-0000-0000-0000180A0000}"/>
    <cellStyle name="20% - 강조색3 73 4" xfId="9538" xr:uid="{00000000-0005-0000-0000-0000190A0000}"/>
    <cellStyle name="20% - 강조색3 73 5" xfId="3962" xr:uid="{00000000-0005-0000-0000-00001A0A0000}"/>
    <cellStyle name="20% - 강조색3 73 6" xfId="7969" xr:uid="{00000000-0005-0000-0000-00001B0A0000}"/>
    <cellStyle name="20% - 강조색3 73 7" xfId="10478" xr:uid="{00000000-0005-0000-0000-00001C0A0000}"/>
    <cellStyle name="20% - 강조색3 73 8" xfId="10900" xr:uid="{00000000-0005-0000-0000-00001D0A0000}"/>
    <cellStyle name="20% - 강조색3 73 9" xfId="11133" xr:uid="{00000000-0005-0000-0000-00001E0A0000}"/>
    <cellStyle name="20% - 강조색3 74" xfId="8723" xr:uid="{00000000-0005-0000-0000-00001F0A0000}"/>
    <cellStyle name="20% - 강조색3 74 2" xfId="9409" xr:uid="{00000000-0005-0000-0000-0000200A0000}"/>
    <cellStyle name="20% - 강조색3 74 3" xfId="9741" xr:uid="{00000000-0005-0000-0000-0000210A0000}"/>
    <cellStyle name="20% - 강조색3 74 4" xfId="10067" xr:uid="{00000000-0005-0000-0000-0000220A0000}"/>
    <cellStyle name="20% - 강조색3 74 5" xfId="10304" xr:uid="{00000000-0005-0000-0000-0000230A0000}"/>
    <cellStyle name="20% - 강조색3 74 6" xfId="10602" xr:uid="{00000000-0005-0000-0000-0000240A0000}"/>
    <cellStyle name="20% - 강조색3 74 7" xfId="8333" xr:uid="{00000000-0005-0000-0000-0000250A0000}"/>
    <cellStyle name="20% - 강조색3 74 8" xfId="8799" xr:uid="{00000000-0005-0000-0000-0000260A0000}"/>
    <cellStyle name="20% - 강조색3 75" xfId="9065" xr:uid="{00000000-0005-0000-0000-0000270A0000}"/>
    <cellStyle name="20% - 강조색3 75 2" xfId="9749" xr:uid="{00000000-0005-0000-0000-0000280A0000}"/>
    <cellStyle name="20% - 강조색3 75 3" xfId="10075" xr:uid="{00000000-0005-0000-0000-0000290A0000}"/>
    <cellStyle name="20% - 강조색3 75 4" xfId="10388" xr:uid="{00000000-0005-0000-0000-00002A0A0000}"/>
    <cellStyle name="20% - 강조색3 75 5" xfId="10446" xr:uid="{00000000-0005-0000-0000-00002B0A0000}"/>
    <cellStyle name="20% - 강조색3 75 6" xfId="8697" xr:uid="{00000000-0005-0000-0000-00002C0A0000}"/>
    <cellStyle name="20% - 강조색3 75 7" xfId="11165" xr:uid="{00000000-0005-0000-0000-00002D0A0000}"/>
    <cellStyle name="20% - 강조색3 76" xfId="9459" xr:uid="{00000000-0005-0000-0000-00002E0A0000}"/>
    <cellStyle name="20% - 강조색3 76 2" xfId="10084" xr:uid="{00000000-0005-0000-0000-00002F0A0000}"/>
    <cellStyle name="20% - 강조색3 76 3" xfId="10397" xr:uid="{00000000-0005-0000-0000-0000300A0000}"/>
    <cellStyle name="20% - 강조색3 76 4" xfId="10706" xr:uid="{00000000-0005-0000-0000-0000310A0000}"/>
    <cellStyle name="20% - 강조색3 76 5" xfId="10957" xr:uid="{00000000-0005-0000-0000-0000320A0000}"/>
    <cellStyle name="20% - 강조색3 76 6" xfId="1889" xr:uid="{00000000-0005-0000-0000-0000330A0000}"/>
    <cellStyle name="20% - 강조색3 77" xfId="9897" xr:uid="{00000000-0005-0000-0000-0000340A0000}"/>
    <cellStyle name="20% - 강조색3 77 2" xfId="10408" xr:uid="{00000000-0005-0000-0000-0000350A0000}"/>
    <cellStyle name="20% - 강조색3 77 3" xfId="10719" xr:uid="{00000000-0005-0000-0000-0000360A0000}"/>
    <cellStyle name="20% - 강조색3 77 4" xfId="11003" xr:uid="{00000000-0005-0000-0000-0000370A0000}"/>
    <cellStyle name="20% - 강조색3 77 5" xfId="11144" xr:uid="{00000000-0005-0000-0000-0000380A0000}"/>
    <cellStyle name="20% - 강조색3 78" xfId="9582" xr:uid="{00000000-0005-0000-0000-0000390A0000}"/>
    <cellStyle name="20% - 강조색3 78 2" xfId="10709" xr:uid="{00000000-0005-0000-0000-00003A0A0000}"/>
    <cellStyle name="20% - 강조색3 78 3" xfId="10468" xr:uid="{00000000-0005-0000-0000-00003B0A0000}"/>
    <cellStyle name="20% - 강조색3 78 4" xfId="2108" xr:uid="{00000000-0005-0000-0000-00003C0A0000}"/>
    <cellStyle name="20% - 강조색3 79" xfId="10616" xr:uid="{00000000-0005-0000-0000-00003D0A0000}"/>
    <cellStyle name="20% - 강조색3 79 2" xfId="11019" xr:uid="{00000000-0005-0000-0000-00003E0A0000}"/>
    <cellStyle name="20% - 강조색3 79 3" xfId="11297" xr:uid="{00000000-0005-0000-0000-00003F0A0000}"/>
    <cellStyle name="20% - 강조색3 8" xfId="133" xr:uid="{00000000-0005-0000-0000-0000400A0000}"/>
    <cellStyle name="20% - 강조색3 80" xfId="10977" xr:uid="{00000000-0005-0000-0000-0000410A0000}"/>
    <cellStyle name="20% - 강조색3 80 2" xfId="11309" xr:uid="{00000000-0005-0000-0000-0000420A0000}"/>
    <cellStyle name="20% - 강조색3 81" xfId="11164" xr:uid="{00000000-0005-0000-0000-0000430A0000}"/>
    <cellStyle name="20% - 강조색3 82" xfId="1065" xr:uid="{00000000-0005-0000-0000-0000440A0000}"/>
    <cellStyle name="20% - 강조색3 83" xfId="11431" xr:uid="{00000000-0005-0000-0000-0000450A0000}"/>
    <cellStyle name="20% - 강조색3 84" xfId="11346" xr:uid="{00000000-0005-0000-0000-0000460A0000}"/>
    <cellStyle name="20% - 강조색3 85" xfId="11389" xr:uid="{00000000-0005-0000-0000-0000470A0000}"/>
    <cellStyle name="20% - 강조색3 86" xfId="11442" xr:uid="{00000000-0005-0000-0000-0000480A0000}"/>
    <cellStyle name="20% - 강조색3 9" xfId="146" xr:uid="{00000000-0005-0000-0000-0000490A0000}"/>
    <cellStyle name="20% - 강조색4" xfId="33" builtinId="42" customBuiltin="1"/>
    <cellStyle name="20% - 강조색4 10" xfId="152" xr:uid="{00000000-0005-0000-0000-00004B0A0000}"/>
    <cellStyle name="20% - 강조색4 11" xfId="165" xr:uid="{00000000-0005-0000-0000-00004C0A0000}"/>
    <cellStyle name="20% - 강조색4 12" xfId="178" xr:uid="{00000000-0005-0000-0000-00004D0A0000}"/>
    <cellStyle name="20% - 강조색4 13" xfId="191" xr:uid="{00000000-0005-0000-0000-00004E0A0000}"/>
    <cellStyle name="20% - 강조색4 14" xfId="204" xr:uid="{00000000-0005-0000-0000-00004F0A0000}"/>
    <cellStyle name="20% - 강조색4 15" xfId="217" xr:uid="{00000000-0005-0000-0000-0000500A0000}"/>
    <cellStyle name="20% - 강조색4 16" xfId="230" xr:uid="{00000000-0005-0000-0000-0000510A0000}"/>
    <cellStyle name="20% - 강조색4 17" xfId="243" xr:uid="{00000000-0005-0000-0000-0000520A0000}"/>
    <cellStyle name="20% - 강조색4 18" xfId="256" xr:uid="{00000000-0005-0000-0000-0000530A0000}"/>
    <cellStyle name="20% - 강조색4 19" xfId="269" xr:uid="{00000000-0005-0000-0000-0000540A0000}"/>
    <cellStyle name="20% - 강조색4 2" xfId="52" xr:uid="{00000000-0005-0000-0000-0000550A0000}"/>
    <cellStyle name="20% - 강조색4 20" xfId="282" xr:uid="{00000000-0005-0000-0000-0000560A0000}"/>
    <cellStyle name="20% - 강조색4 21" xfId="295" xr:uid="{00000000-0005-0000-0000-0000570A0000}"/>
    <cellStyle name="20% - 강조색4 22" xfId="308" xr:uid="{00000000-0005-0000-0000-0000580A0000}"/>
    <cellStyle name="20% - 강조색4 23" xfId="321" xr:uid="{00000000-0005-0000-0000-0000590A0000}"/>
    <cellStyle name="20% - 강조색4 24" xfId="334" xr:uid="{00000000-0005-0000-0000-00005A0A0000}"/>
    <cellStyle name="20% - 강조색4 25" xfId="347" xr:uid="{00000000-0005-0000-0000-00005B0A0000}"/>
    <cellStyle name="20% - 강조색4 26" xfId="360" xr:uid="{00000000-0005-0000-0000-00005C0A0000}"/>
    <cellStyle name="20% - 강조색4 27" xfId="373" xr:uid="{00000000-0005-0000-0000-00005D0A0000}"/>
    <cellStyle name="20% - 강조색4 28" xfId="386" xr:uid="{00000000-0005-0000-0000-00005E0A0000}"/>
    <cellStyle name="20% - 강조색4 29" xfId="399" xr:uid="{00000000-0005-0000-0000-00005F0A0000}"/>
    <cellStyle name="20% - 강조색4 3" xfId="80" xr:uid="{00000000-0005-0000-0000-0000600A0000}"/>
    <cellStyle name="20% - 강조색4 30" xfId="412" xr:uid="{00000000-0005-0000-0000-0000610A0000}"/>
    <cellStyle name="20% - 강조색4 31" xfId="425" xr:uid="{00000000-0005-0000-0000-0000620A0000}"/>
    <cellStyle name="20% - 강조색4 32" xfId="438" xr:uid="{00000000-0005-0000-0000-0000630A0000}"/>
    <cellStyle name="20% - 강조색4 33" xfId="450" xr:uid="{00000000-0005-0000-0000-0000640A0000}"/>
    <cellStyle name="20% - 강조색4 34" xfId="462" xr:uid="{00000000-0005-0000-0000-0000650A0000}"/>
    <cellStyle name="20% - 강조색4 35" xfId="474" xr:uid="{00000000-0005-0000-0000-0000660A0000}"/>
    <cellStyle name="20% - 강조색4 36" xfId="486" xr:uid="{00000000-0005-0000-0000-0000670A0000}"/>
    <cellStyle name="20% - 강조색4 37" xfId="497" xr:uid="{00000000-0005-0000-0000-0000680A0000}"/>
    <cellStyle name="20% - 강조색4 38" xfId="508" xr:uid="{00000000-0005-0000-0000-0000690A0000}"/>
    <cellStyle name="20% - 강조색4 39" xfId="519" xr:uid="{00000000-0005-0000-0000-00006A0A0000}"/>
    <cellStyle name="20% - 강조색4 4" xfId="71" xr:uid="{00000000-0005-0000-0000-00006B0A0000}"/>
    <cellStyle name="20% - 강조색4 40" xfId="551" xr:uid="{00000000-0005-0000-0000-00006C0A0000}"/>
    <cellStyle name="20% - 강조색4 40 10" xfId="2794" xr:uid="{00000000-0005-0000-0000-00006D0A0000}"/>
    <cellStyle name="20% - 강조색4 40 11" xfId="3246" xr:uid="{00000000-0005-0000-0000-00006E0A0000}"/>
    <cellStyle name="20% - 강조색4 40 12" xfId="4031" xr:uid="{00000000-0005-0000-0000-00006F0A0000}"/>
    <cellStyle name="20% - 강조색4 40 13" xfId="3779" xr:uid="{00000000-0005-0000-0000-0000700A0000}"/>
    <cellStyle name="20% - 강조색4 40 14" xfId="2155" xr:uid="{00000000-0005-0000-0000-0000710A0000}"/>
    <cellStyle name="20% - 강조색4 40 15" xfId="5018" xr:uid="{00000000-0005-0000-0000-0000720A0000}"/>
    <cellStyle name="20% - 강조색4 40 16" xfId="5438" xr:uid="{00000000-0005-0000-0000-0000730A0000}"/>
    <cellStyle name="20% - 강조색4 40 17" xfId="5567" xr:uid="{00000000-0005-0000-0000-0000740A0000}"/>
    <cellStyle name="20% - 강조색4 40 18" xfId="5460" xr:uid="{00000000-0005-0000-0000-0000750A0000}"/>
    <cellStyle name="20% - 강조색4 40 19" xfId="6025" xr:uid="{00000000-0005-0000-0000-0000760A0000}"/>
    <cellStyle name="20% - 강조색4 40 2" xfId="599" xr:uid="{00000000-0005-0000-0000-0000770A0000}"/>
    <cellStyle name="20% - 강조색4 40 20" xfId="6815" xr:uid="{00000000-0005-0000-0000-0000780A0000}"/>
    <cellStyle name="20% - 강조색4 40 21" xfId="6971" xr:uid="{00000000-0005-0000-0000-0000790A0000}"/>
    <cellStyle name="20% - 강조색4 40 22" xfId="7616" xr:uid="{00000000-0005-0000-0000-00007A0A0000}"/>
    <cellStyle name="20% - 강조색4 40 23" xfId="804" xr:uid="{00000000-0005-0000-0000-00007B0A0000}"/>
    <cellStyle name="20% - 강조색4 40 24" xfId="3810" xr:uid="{00000000-0005-0000-0000-00007C0A0000}"/>
    <cellStyle name="20% - 강조색4 40 25" xfId="8788" xr:uid="{00000000-0005-0000-0000-00007D0A0000}"/>
    <cellStyle name="20% - 강조색4 40 26" xfId="5996" xr:uid="{00000000-0005-0000-0000-00007E0A0000}"/>
    <cellStyle name="20% - 강조색4 40 27" xfId="2457" xr:uid="{00000000-0005-0000-0000-00007F0A0000}"/>
    <cellStyle name="20% - 강조색4 40 28" xfId="9938" xr:uid="{00000000-0005-0000-0000-0000800A0000}"/>
    <cellStyle name="20% - 강조색4 40 29" xfId="6962" xr:uid="{00000000-0005-0000-0000-0000810A0000}"/>
    <cellStyle name="20% - 강조색4 40 3" xfId="1010" xr:uid="{00000000-0005-0000-0000-0000820A0000}"/>
    <cellStyle name="20% - 강조색4 40 30" xfId="10440" xr:uid="{00000000-0005-0000-0000-0000830A0000}"/>
    <cellStyle name="20% - 강조색4 40 31" xfId="10978" xr:uid="{00000000-0005-0000-0000-0000840A0000}"/>
    <cellStyle name="20% - 강조색4 40 32" xfId="11236" xr:uid="{00000000-0005-0000-0000-0000850A0000}"/>
    <cellStyle name="20% - 강조색4 40 33" xfId="11321" xr:uid="{00000000-0005-0000-0000-0000860A0000}"/>
    <cellStyle name="20% - 강조색4 40 34" xfId="566" xr:uid="{00000000-0005-0000-0000-0000870A0000}"/>
    <cellStyle name="20% - 강조색4 40 35" xfId="11386" xr:uid="{00000000-0005-0000-0000-0000880A0000}"/>
    <cellStyle name="20% - 강조색4 40 36" xfId="11345" xr:uid="{00000000-0005-0000-0000-0000890A0000}"/>
    <cellStyle name="20% - 강조색4 40 4" xfId="1274" xr:uid="{00000000-0005-0000-0000-00008A0A0000}"/>
    <cellStyle name="20% - 강조색4 40 5" xfId="1661" xr:uid="{00000000-0005-0000-0000-00008B0A0000}"/>
    <cellStyle name="20% - 강조색4 40 6" xfId="862" xr:uid="{00000000-0005-0000-0000-00008C0A0000}"/>
    <cellStyle name="20% - 강조색4 40 7" xfId="717" xr:uid="{00000000-0005-0000-0000-00008D0A0000}"/>
    <cellStyle name="20% - 강조색4 40 8" xfId="2592" xr:uid="{00000000-0005-0000-0000-00008E0A0000}"/>
    <cellStyle name="20% - 강조색4 40 9" xfId="2958" xr:uid="{00000000-0005-0000-0000-00008F0A0000}"/>
    <cellStyle name="20% - 강조색4 41" xfId="652" xr:uid="{00000000-0005-0000-0000-0000900A0000}"/>
    <cellStyle name="20% - 강조색4 41 10" xfId="3184" xr:uid="{00000000-0005-0000-0000-0000910A0000}"/>
    <cellStyle name="20% - 강조색4 41 11" xfId="3601" xr:uid="{00000000-0005-0000-0000-0000920A0000}"/>
    <cellStyle name="20% - 강조색4 41 12" xfId="4032" xr:uid="{00000000-0005-0000-0000-0000930A0000}"/>
    <cellStyle name="20% - 강조색4 41 13" xfId="4357" xr:uid="{00000000-0005-0000-0000-0000940A0000}"/>
    <cellStyle name="20% - 강조색4 41 14" xfId="4713" xr:uid="{00000000-0005-0000-0000-0000950A0000}"/>
    <cellStyle name="20% - 강조색4 41 15" xfId="4274" xr:uid="{00000000-0005-0000-0000-0000960A0000}"/>
    <cellStyle name="20% - 강조색4 41 16" xfId="4878" xr:uid="{00000000-0005-0000-0000-0000970A0000}"/>
    <cellStyle name="20% - 강조색4 41 17" xfId="5691" xr:uid="{00000000-0005-0000-0000-0000980A0000}"/>
    <cellStyle name="20% - 강조색4 41 18" xfId="5320" xr:uid="{00000000-0005-0000-0000-0000990A0000}"/>
    <cellStyle name="20% - 강조색4 41 19" xfId="6252" xr:uid="{00000000-0005-0000-0000-00009A0A0000}"/>
    <cellStyle name="20% - 강조색4 41 2" xfId="1155" xr:uid="{00000000-0005-0000-0000-00009B0A0000}"/>
    <cellStyle name="20% - 강조색4 41 20" xfId="7269" xr:uid="{00000000-0005-0000-0000-00009C0A0000}"/>
    <cellStyle name="20% - 강조색4 41 21" xfId="7210" xr:uid="{00000000-0005-0000-0000-00009D0A0000}"/>
    <cellStyle name="20% - 강조색4 41 22" xfId="7445" xr:uid="{00000000-0005-0000-0000-00009E0A0000}"/>
    <cellStyle name="20% - 강조색4 41 23" xfId="7983" xr:uid="{00000000-0005-0000-0000-00009F0A0000}"/>
    <cellStyle name="20% - 강조색4 41 24" xfId="7394" xr:uid="{00000000-0005-0000-0000-0000A00A0000}"/>
    <cellStyle name="20% - 강조색4 41 25" xfId="6367" xr:uid="{00000000-0005-0000-0000-0000A10A0000}"/>
    <cellStyle name="20% - 강조색4 41 26" xfId="9295" xr:uid="{00000000-0005-0000-0000-0000A20A0000}"/>
    <cellStyle name="20% - 강조색4 41 27" xfId="8253" xr:uid="{00000000-0005-0000-0000-0000A30A0000}"/>
    <cellStyle name="20% - 강조색4 41 28" xfId="9829" xr:uid="{00000000-0005-0000-0000-0000A40A0000}"/>
    <cellStyle name="20% - 강조색4 41 29" xfId="3674" xr:uid="{00000000-0005-0000-0000-0000A50A0000}"/>
    <cellStyle name="20% - 강조색4 41 3" xfId="1235" xr:uid="{00000000-0005-0000-0000-0000A60A0000}"/>
    <cellStyle name="20% - 강조색4 41 30" xfId="10505" xr:uid="{00000000-0005-0000-0000-0000A70A0000}"/>
    <cellStyle name="20% - 강조색4 41 31" xfId="9468" xr:uid="{00000000-0005-0000-0000-0000A80A0000}"/>
    <cellStyle name="20% - 강조색4 41 32" xfId="9810" xr:uid="{00000000-0005-0000-0000-0000A90A0000}"/>
    <cellStyle name="20% - 강조색4 41 4" xfId="1327" xr:uid="{00000000-0005-0000-0000-0000AA0A0000}"/>
    <cellStyle name="20% - 강조색4 41 5" xfId="1769" xr:uid="{00000000-0005-0000-0000-0000AB0A0000}"/>
    <cellStyle name="20% - 강조색4 41 6" xfId="824" xr:uid="{00000000-0005-0000-0000-0000AC0A0000}"/>
    <cellStyle name="20% - 강조색4 41 7" xfId="2198" xr:uid="{00000000-0005-0000-0000-0000AD0A0000}"/>
    <cellStyle name="20% - 강조색4 41 8" xfId="2546" xr:uid="{00000000-0005-0000-0000-0000AE0A0000}"/>
    <cellStyle name="20% - 강조색4 41 9" xfId="2942" xr:uid="{00000000-0005-0000-0000-0000AF0A0000}"/>
    <cellStyle name="20% - 강조색4 42" xfId="646" xr:uid="{00000000-0005-0000-0000-0000B00A0000}"/>
    <cellStyle name="20% - 강조색4 42 10" xfId="2477" xr:uid="{00000000-0005-0000-0000-0000B10A0000}"/>
    <cellStyle name="20% - 강조색4 42 11" xfId="3593" xr:uid="{00000000-0005-0000-0000-0000B20A0000}"/>
    <cellStyle name="20% - 강조색4 42 12" xfId="3952" xr:uid="{00000000-0005-0000-0000-0000B30A0000}"/>
    <cellStyle name="20% - 강조색4 42 13" xfId="4355" xr:uid="{00000000-0005-0000-0000-0000B40A0000}"/>
    <cellStyle name="20% - 강조색4 42 14" xfId="4083" xr:uid="{00000000-0005-0000-0000-0000B50A0000}"/>
    <cellStyle name="20% - 강조색4 42 15" xfId="5373" xr:uid="{00000000-0005-0000-0000-0000B60A0000}"/>
    <cellStyle name="20% - 강조색4 42 16" xfId="5819" xr:uid="{00000000-0005-0000-0000-0000B70A0000}"/>
    <cellStyle name="20% - 강조색4 42 17" xfId="5898" xr:uid="{00000000-0005-0000-0000-0000B80A0000}"/>
    <cellStyle name="20% - 강조색4 42 18" xfId="5956" xr:uid="{00000000-0005-0000-0000-0000B90A0000}"/>
    <cellStyle name="20% - 강조색4 42 19" xfId="6109" xr:uid="{00000000-0005-0000-0000-0000BA0A0000}"/>
    <cellStyle name="20% - 강조색4 42 2" xfId="1149" xr:uid="{00000000-0005-0000-0000-0000BB0A0000}"/>
    <cellStyle name="20% - 강조색4 42 20" xfId="7172" xr:uid="{00000000-0005-0000-0000-0000BC0A0000}"/>
    <cellStyle name="20% - 강조색4 42 21" xfId="7304" xr:uid="{00000000-0005-0000-0000-0000BD0A0000}"/>
    <cellStyle name="20% - 강조색4 42 22" xfId="7514" xr:uid="{00000000-0005-0000-0000-0000BE0A0000}"/>
    <cellStyle name="20% - 강조색4 42 23" xfId="6576" xr:uid="{00000000-0005-0000-0000-0000BF0A0000}"/>
    <cellStyle name="20% - 강조색4 42 24" xfId="8360" xr:uid="{00000000-0005-0000-0000-0000C00A0000}"/>
    <cellStyle name="20% - 강조색4 42 25" xfId="8931" xr:uid="{00000000-0005-0000-0000-0000C10A0000}"/>
    <cellStyle name="20% - 강조색4 42 26" xfId="9236" xr:uid="{00000000-0005-0000-0000-0000C20A0000}"/>
    <cellStyle name="20% - 강조색4 42 27" xfId="9343" xr:uid="{00000000-0005-0000-0000-0000C30A0000}"/>
    <cellStyle name="20% - 강조색4 42 28" xfId="3727" xr:uid="{00000000-0005-0000-0000-0000C40A0000}"/>
    <cellStyle name="20% - 강조색4 42 29" xfId="8465" xr:uid="{00000000-0005-0000-0000-0000C50A0000}"/>
    <cellStyle name="20% - 강조색4 42 3" xfId="1229" xr:uid="{00000000-0005-0000-0000-0000C60A0000}"/>
    <cellStyle name="20% - 강조색4 42 30" xfId="10613" xr:uid="{00000000-0005-0000-0000-0000C70A0000}"/>
    <cellStyle name="20% - 강조색4 42 31" xfId="3142" xr:uid="{00000000-0005-0000-0000-0000C80A0000}"/>
    <cellStyle name="20% - 강조색4 42 32" xfId="11080" xr:uid="{00000000-0005-0000-0000-0000C90A0000}"/>
    <cellStyle name="20% - 강조색4 42 4" xfId="1321" xr:uid="{00000000-0005-0000-0000-0000CA0A0000}"/>
    <cellStyle name="20% - 강조색4 42 5" xfId="1680" xr:uid="{00000000-0005-0000-0000-0000CB0A0000}"/>
    <cellStyle name="20% - 강조색4 42 6" xfId="2039" xr:uid="{00000000-0005-0000-0000-0000CC0A0000}"/>
    <cellStyle name="20% - 강조색4 42 7" xfId="2277" xr:uid="{00000000-0005-0000-0000-0000CD0A0000}"/>
    <cellStyle name="20% - 강조색4 42 8" xfId="2419" xr:uid="{00000000-0005-0000-0000-0000CE0A0000}"/>
    <cellStyle name="20% - 강조색4 42 9" xfId="978" xr:uid="{00000000-0005-0000-0000-0000CF0A0000}"/>
    <cellStyle name="20% - 강조색4 43" xfId="609" xr:uid="{00000000-0005-0000-0000-0000D00A0000}"/>
    <cellStyle name="20% - 강조색4 43 10" xfId="3348" xr:uid="{00000000-0005-0000-0000-0000D10A0000}"/>
    <cellStyle name="20% - 강조색4 43 11" xfId="2197" xr:uid="{00000000-0005-0000-0000-0000D20A0000}"/>
    <cellStyle name="20% - 강조색4 43 12" xfId="1987" xr:uid="{00000000-0005-0000-0000-0000D30A0000}"/>
    <cellStyle name="20% - 강조색4 43 13" xfId="4286" xr:uid="{00000000-0005-0000-0000-0000D40A0000}"/>
    <cellStyle name="20% - 강조색4 43 14" xfId="4671" xr:uid="{00000000-0005-0000-0000-0000D50A0000}"/>
    <cellStyle name="20% - 강조색4 43 15" xfId="5342" xr:uid="{00000000-0005-0000-0000-0000D60A0000}"/>
    <cellStyle name="20% - 강조색4 43 16" xfId="4802" xr:uid="{00000000-0005-0000-0000-0000D70A0000}"/>
    <cellStyle name="20% - 강조색4 43 17" xfId="5700" xr:uid="{00000000-0005-0000-0000-0000D80A0000}"/>
    <cellStyle name="20% - 강조색4 43 18" xfId="3741" xr:uid="{00000000-0005-0000-0000-0000D90A0000}"/>
    <cellStyle name="20% - 강조색4 43 19" xfId="3103" xr:uid="{00000000-0005-0000-0000-0000DA0A0000}"/>
    <cellStyle name="20% - 강조색4 43 2" xfId="1112" xr:uid="{00000000-0005-0000-0000-0000DB0A0000}"/>
    <cellStyle name="20% - 강조색4 43 20" xfId="7041" xr:uid="{00000000-0005-0000-0000-0000DC0A0000}"/>
    <cellStyle name="20% - 강조색4 43 21" xfId="6407" xr:uid="{00000000-0005-0000-0000-0000DD0A0000}"/>
    <cellStyle name="20% - 강조색4 43 22" xfId="7723" xr:uid="{00000000-0005-0000-0000-0000DE0A0000}"/>
    <cellStyle name="20% - 강조색4 43 23" xfId="8213" xr:uid="{00000000-0005-0000-0000-0000DF0A0000}"/>
    <cellStyle name="20% - 강조색4 43 24" xfId="6166" xr:uid="{00000000-0005-0000-0000-0000E00A0000}"/>
    <cellStyle name="20% - 강조색4 43 25" xfId="8934" xr:uid="{00000000-0005-0000-0000-0000E10A0000}"/>
    <cellStyle name="20% - 강조색4 43 26" xfId="3638" xr:uid="{00000000-0005-0000-0000-0000E20A0000}"/>
    <cellStyle name="20% - 강조색4 43 27" xfId="9625" xr:uid="{00000000-0005-0000-0000-0000E30A0000}"/>
    <cellStyle name="20% - 강조색4 43 28" xfId="9974" xr:uid="{00000000-0005-0000-0000-0000E40A0000}"/>
    <cellStyle name="20% - 강조색4 43 29" xfId="6074" xr:uid="{00000000-0005-0000-0000-0000E50A0000}"/>
    <cellStyle name="20% - 강조색4 43 3" xfId="1192" xr:uid="{00000000-0005-0000-0000-0000E60A0000}"/>
    <cellStyle name="20% - 강조색4 43 30" xfId="9888" xr:uid="{00000000-0005-0000-0000-0000E70A0000}"/>
    <cellStyle name="20% - 강조색4 43 31" xfId="10203" xr:uid="{00000000-0005-0000-0000-0000E80A0000}"/>
    <cellStyle name="20% - 강조색4 43 32" xfId="9157" xr:uid="{00000000-0005-0000-0000-0000E90A0000}"/>
    <cellStyle name="20% - 강조색4 43 4" xfId="1284" xr:uid="{00000000-0005-0000-0000-0000EA0A0000}"/>
    <cellStyle name="20% - 강조색4 43 5" xfId="1736" xr:uid="{00000000-0005-0000-0000-0000EB0A0000}"/>
    <cellStyle name="20% - 강조색4 43 6" xfId="2021" xr:uid="{00000000-0005-0000-0000-0000EC0A0000}"/>
    <cellStyle name="20% - 강조색4 43 7" xfId="2336" xr:uid="{00000000-0005-0000-0000-0000ED0A0000}"/>
    <cellStyle name="20% - 강조색4 43 8" xfId="2545" xr:uid="{00000000-0005-0000-0000-0000EE0A0000}"/>
    <cellStyle name="20% - 강조색4 43 9" xfId="1526" xr:uid="{00000000-0005-0000-0000-0000EF0A0000}"/>
    <cellStyle name="20% - 강조색4 44" xfId="630" xr:uid="{00000000-0005-0000-0000-0000F00A0000}"/>
    <cellStyle name="20% - 강조색4 44 10" xfId="3314" xr:uid="{00000000-0005-0000-0000-0000F10A0000}"/>
    <cellStyle name="20% - 강조색4 44 11" xfId="3652" xr:uid="{00000000-0005-0000-0000-0000F20A0000}"/>
    <cellStyle name="20% - 강조색4 44 12" xfId="3846" xr:uid="{00000000-0005-0000-0000-0000F30A0000}"/>
    <cellStyle name="20% - 강조색4 44 13" xfId="4340" xr:uid="{00000000-0005-0000-0000-0000F40A0000}"/>
    <cellStyle name="20% - 강조색4 44 14" xfId="4732" xr:uid="{00000000-0005-0000-0000-0000F50A0000}"/>
    <cellStyle name="20% - 강조색4 44 15" xfId="5196" xr:uid="{00000000-0005-0000-0000-0000F60A0000}"/>
    <cellStyle name="20% - 강조색4 44 16" xfId="4249" xr:uid="{00000000-0005-0000-0000-0000F70A0000}"/>
    <cellStyle name="20% - 강조색4 44 17" xfId="4241" xr:uid="{00000000-0005-0000-0000-0000F80A0000}"/>
    <cellStyle name="20% - 강조색4 44 18" xfId="5565" xr:uid="{00000000-0005-0000-0000-0000F90A0000}"/>
    <cellStyle name="20% - 강조색4 44 19" xfId="6351" xr:uid="{00000000-0005-0000-0000-0000FA0A0000}"/>
    <cellStyle name="20% - 강조색4 44 2" xfId="1133" xr:uid="{00000000-0005-0000-0000-0000FB0A0000}"/>
    <cellStyle name="20% - 강조색4 44 20" xfId="6452" xr:uid="{00000000-0005-0000-0000-0000FC0A0000}"/>
    <cellStyle name="20% - 강조색4 44 21" xfId="3619" xr:uid="{00000000-0005-0000-0000-0000FD0A0000}"/>
    <cellStyle name="20% - 강조색4 44 22" xfId="6565" xr:uid="{00000000-0005-0000-0000-0000FE0A0000}"/>
    <cellStyle name="20% - 강조색4 44 23" xfId="8219" xr:uid="{00000000-0005-0000-0000-0000FF0A0000}"/>
    <cellStyle name="20% - 강조색4 44 24" xfId="2214" xr:uid="{00000000-0005-0000-0000-0000000B0000}"/>
    <cellStyle name="20% - 강조색4 44 25" xfId="3392" xr:uid="{00000000-0005-0000-0000-0000010B0000}"/>
    <cellStyle name="20% - 강조색4 44 26" xfId="2751" xr:uid="{00000000-0005-0000-0000-0000020B0000}"/>
    <cellStyle name="20% - 강조색4 44 27" xfId="9604" xr:uid="{00000000-0005-0000-0000-0000030B0000}"/>
    <cellStyle name="20% - 강조색4 44 28" xfId="10044" xr:uid="{00000000-0005-0000-0000-0000040B0000}"/>
    <cellStyle name="20% - 강조색4 44 29" xfId="10287" xr:uid="{00000000-0005-0000-0000-0000050B0000}"/>
    <cellStyle name="20% - 강조색4 44 3" xfId="1213" xr:uid="{00000000-0005-0000-0000-0000060B0000}"/>
    <cellStyle name="20% - 강조색4 44 30" xfId="10615" xr:uid="{00000000-0005-0000-0000-0000070B0000}"/>
    <cellStyle name="20% - 강조색4 44 31" xfId="1431" xr:uid="{00000000-0005-0000-0000-0000080B0000}"/>
    <cellStyle name="20% - 강조색4 44 32" xfId="10844" xr:uid="{00000000-0005-0000-0000-0000090B0000}"/>
    <cellStyle name="20% - 강조색4 44 4" xfId="1305" xr:uid="{00000000-0005-0000-0000-00000A0B0000}"/>
    <cellStyle name="20% - 강조색4 44 5" xfId="1751" xr:uid="{00000000-0005-0000-0000-00000B0B0000}"/>
    <cellStyle name="20% - 강조색4 44 6" xfId="975" xr:uid="{00000000-0005-0000-0000-00000C0B0000}"/>
    <cellStyle name="20% - 강조색4 44 7" xfId="942" xr:uid="{00000000-0005-0000-0000-00000D0B0000}"/>
    <cellStyle name="20% - 강조색4 44 8" xfId="2627" xr:uid="{00000000-0005-0000-0000-00000E0B0000}"/>
    <cellStyle name="20% - 강조색4 44 9" xfId="3001" xr:uid="{00000000-0005-0000-0000-00000F0B0000}"/>
    <cellStyle name="20% - 강조색4 45" xfId="619" xr:uid="{00000000-0005-0000-0000-0000100B0000}"/>
    <cellStyle name="20% - 강조색4 45 10" xfId="920" xr:uid="{00000000-0005-0000-0000-0000110B0000}"/>
    <cellStyle name="20% - 강조색4 45 11" xfId="3571" xr:uid="{00000000-0005-0000-0000-0000120B0000}"/>
    <cellStyle name="20% - 강조색4 45 12" xfId="2543" xr:uid="{00000000-0005-0000-0000-0000130B0000}"/>
    <cellStyle name="20% - 강조색4 45 13" xfId="2112" xr:uid="{00000000-0005-0000-0000-0000140B0000}"/>
    <cellStyle name="20% - 강조색4 45 14" xfId="4474" xr:uid="{00000000-0005-0000-0000-0000150B0000}"/>
    <cellStyle name="20% - 강조색4 45 15" xfId="3275" xr:uid="{00000000-0005-0000-0000-0000160B0000}"/>
    <cellStyle name="20% - 강조색4 45 16" xfId="5642" xr:uid="{00000000-0005-0000-0000-0000170B0000}"/>
    <cellStyle name="20% - 강조색4 45 17" xfId="4490" xr:uid="{00000000-0005-0000-0000-0000180B0000}"/>
    <cellStyle name="20% - 강조색4 45 18" xfId="3833" xr:uid="{00000000-0005-0000-0000-0000190B0000}"/>
    <cellStyle name="20% - 강조색4 45 19" xfId="1882" xr:uid="{00000000-0005-0000-0000-00001A0B0000}"/>
    <cellStyle name="20% - 강조색4 45 2" xfId="1122" xr:uid="{00000000-0005-0000-0000-00001B0B0000}"/>
    <cellStyle name="20% - 강조색4 45 20" xfId="7138" xr:uid="{00000000-0005-0000-0000-00001C0B0000}"/>
    <cellStyle name="20% - 강조색4 45 21" xfId="1581" xr:uid="{00000000-0005-0000-0000-00001D0B0000}"/>
    <cellStyle name="20% - 강조색4 45 22" xfId="718" xr:uid="{00000000-0005-0000-0000-00001E0B0000}"/>
    <cellStyle name="20% - 강조색4 45 23" xfId="8008" xr:uid="{00000000-0005-0000-0000-00001F0B0000}"/>
    <cellStyle name="20% - 강조색4 45 24" xfId="6120" xr:uid="{00000000-0005-0000-0000-0000200B0000}"/>
    <cellStyle name="20% - 강조색4 45 25" xfId="4237" xr:uid="{00000000-0005-0000-0000-0000210B0000}"/>
    <cellStyle name="20% - 강조색4 45 26" xfId="9111" xr:uid="{00000000-0005-0000-0000-0000220B0000}"/>
    <cellStyle name="20% - 강조색4 45 27" xfId="8784" xr:uid="{00000000-0005-0000-0000-0000230B0000}"/>
    <cellStyle name="20% - 강조색4 45 28" xfId="3448" xr:uid="{00000000-0005-0000-0000-0000240B0000}"/>
    <cellStyle name="20% - 강조색4 45 29" xfId="6824" xr:uid="{00000000-0005-0000-0000-0000250B0000}"/>
    <cellStyle name="20% - 강조색4 45 3" xfId="1202" xr:uid="{00000000-0005-0000-0000-0000260B0000}"/>
    <cellStyle name="20% - 강조색4 45 30" xfId="7562" xr:uid="{00000000-0005-0000-0000-0000270B0000}"/>
    <cellStyle name="20% - 강조색4 45 31" xfId="9676" xr:uid="{00000000-0005-0000-0000-0000280B0000}"/>
    <cellStyle name="20% - 강조색4 45 32" xfId="6936" xr:uid="{00000000-0005-0000-0000-0000290B0000}"/>
    <cellStyle name="20% - 강조색4 45 4" xfId="1294" xr:uid="{00000000-0005-0000-0000-00002A0B0000}"/>
    <cellStyle name="20% - 강조색4 45 5" xfId="1771" xr:uid="{00000000-0005-0000-0000-00002B0B0000}"/>
    <cellStyle name="20% - 강조색4 45 6" xfId="1635" xr:uid="{00000000-0005-0000-0000-00002C0B0000}"/>
    <cellStyle name="20% - 강조색4 45 7" xfId="945" xr:uid="{00000000-0005-0000-0000-00002D0B0000}"/>
    <cellStyle name="20% - 강조색4 45 8" xfId="2663" xr:uid="{00000000-0005-0000-0000-00002E0B0000}"/>
    <cellStyle name="20% - 강조색4 45 9" xfId="2938" xr:uid="{00000000-0005-0000-0000-00002F0B0000}"/>
    <cellStyle name="20% - 강조색4 46" xfId="651" xr:uid="{00000000-0005-0000-0000-0000300B0000}"/>
    <cellStyle name="20% - 강조색4 46 10" xfId="2830" xr:uid="{00000000-0005-0000-0000-0000310B0000}"/>
    <cellStyle name="20% - 강조색4 46 11" xfId="3683" xr:uid="{00000000-0005-0000-0000-0000320B0000}"/>
    <cellStyle name="20% - 강조색4 46 12" xfId="1955" xr:uid="{00000000-0005-0000-0000-0000330B0000}"/>
    <cellStyle name="20% - 강조색4 46 13" xfId="4296" xr:uid="{00000000-0005-0000-0000-0000340B0000}"/>
    <cellStyle name="20% - 강조색4 46 14" xfId="4599" xr:uid="{00000000-0005-0000-0000-0000350B0000}"/>
    <cellStyle name="20% - 강조색4 46 15" xfId="3124" xr:uid="{00000000-0005-0000-0000-0000360B0000}"/>
    <cellStyle name="20% - 강조색4 46 16" xfId="1418" xr:uid="{00000000-0005-0000-0000-0000370B0000}"/>
    <cellStyle name="20% - 강조색4 46 17" xfId="5720" xr:uid="{00000000-0005-0000-0000-0000380B0000}"/>
    <cellStyle name="20% - 강조색4 46 18" xfId="5825" xr:uid="{00000000-0005-0000-0000-0000390B0000}"/>
    <cellStyle name="20% - 강조색4 46 19" xfId="3450" xr:uid="{00000000-0005-0000-0000-00003A0B0000}"/>
    <cellStyle name="20% - 강조색4 46 2" xfId="1154" xr:uid="{00000000-0005-0000-0000-00003B0B0000}"/>
    <cellStyle name="20% - 강조색4 46 20" xfId="6896" xr:uid="{00000000-0005-0000-0000-00003C0B0000}"/>
    <cellStyle name="20% - 강조색4 46 21" xfId="6825" xr:uid="{00000000-0005-0000-0000-00003D0B0000}"/>
    <cellStyle name="20% - 강조색4 46 22" xfId="7842" xr:uid="{00000000-0005-0000-0000-00003E0B0000}"/>
    <cellStyle name="20% - 강조색4 46 23" xfId="8154" xr:uid="{00000000-0005-0000-0000-00003F0B0000}"/>
    <cellStyle name="20% - 강조색4 46 24" xfId="6325" xr:uid="{00000000-0005-0000-0000-0000400B0000}"/>
    <cellStyle name="20% - 강조색4 46 25" xfId="3935" xr:uid="{00000000-0005-0000-0000-0000410B0000}"/>
    <cellStyle name="20% - 강조색4 46 26" xfId="9182" xr:uid="{00000000-0005-0000-0000-0000420B0000}"/>
    <cellStyle name="20% - 강조색4 46 27" xfId="8358" xr:uid="{00000000-0005-0000-0000-0000430B0000}"/>
    <cellStyle name="20% - 강조색4 46 28" xfId="10026" xr:uid="{00000000-0005-0000-0000-0000440B0000}"/>
    <cellStyle name="20% - 강조색4 46 29" xfId="3788" xr:uid="{00000000-0005-0000-0000-0000450B0000}"/>
    <cellStyle name="20% - 강조색4 46 3" xfId="1234" xr:uid="{00000000-0005-0000-0000-0000460B0000}"/>
    <cellStyle name="20% - 강조색4 46 30" xfId="10515" xr:uid="{00000000-0005-0000-0000-0000470B0000}"/>
    <cellStyle name="20% - 강조색4 46 31" xfId="10924" xr:uid="{00000000-0005-0000-0000-0000480B0000}"/>
    <cellStyle name="20% - 강조색4 46 32" xfId="2526" xr:uid="{00000000-0005-0000-0000-0000490B0000}"/>
    <cellStyle name="20% - 강조색4 46 4" xfId="1326" xr:uid="{00000000-0005-0000-0000-00004A0B0000}"/>
    <cellStyle name="20% - 강조색4 46 5" xfId="1773" xr:uid="{00000000-0005-0000-0000-00004B0B0000}"/>
    <cellStyle name="20% - 강조색4 46 6" xfId="1556" xr:uid="{00000000-0005-0000-0000-00004C0B0000}"/>
    <cellStyle name="20% - 강조색4 46 7" xfId="2215" xr:uid="{00000000-0005-0000-0000-00004D0B0000}"/>
    <cellStyle name="20% - 강조색4 46 8" xfId="2612" xr:uid="{00000000-0005-0000-0000-00004E0B0000}"/>
    <cellStyle name="20% - 강조색4 46 9" xfId="2964" xr:uid="{00000000-0005-0000-0000-00004F0B0000}"/>
    <cellStyle name="20% - 강조색4 47" xfId="582" xr:uid="{00000000-0005-0000-0000-0000500B0000}"/>
    <cellStyle name="20% - 강조색4 47 10" xfId="4176" xr:uid="{00000000-0005-0000-0000-0000510B0000}"/>
    <cellStyle name="20% - 강조색4 47 11" xfId="3470" xr:uid="{00000000-0005-0000-0000-0000520B0000}"/>
    <cellStyle name="20% - 강조색4 47 12" xfId="4818" xr:uid="{00000000-0005-0000-0000-0000530B0000}"/>
    <cellStyle name="20% - 강조색4 47 13" xfId="5668" xr:uid="{00000000-0005-0000-0000-0000540B0000}"/>
    <cellStyle name="20% - 강조색4 47 14" xfId="5651" xr:uid="{00000000-0005-0000-0000-0000550B0000}"/>
    <cellStyle name="20% - 강조색4 47 15" xfId="5772" xr:uid="{00000000-0005-0000-0000-0000560B0000}"/>
    <cellStyle name="20% - 강조색4 47 16" xfId="6225" xr:uid="{00000000-0005-0000-0000-0000570B0000}"/>
    <cellStyle name="20% - 강조색4 47 17" xfId="6922" xr:uid="{00000000-0005-0000-0000-0000580B0000}"/>
    <cellStyle name="20% - 강조색4 47 18" xfId="4956" xr:uid="{00000000-0005-0000-0000-0000590B0000}"/>
    <cellStyle name="20% - 강조색4 47 19" xfId="7407" xr:uid="{00000000-0005-0000-0000-00005A0B0000}"/>
    <cellStyle name="20% - 강조색4 47 2" xfId="1066" xr:uid="{00000000-0005-0000-0000-00005B0B0000}"/>
    <cellStyle name="20% - 강조색4 47 20" xfId="8179" xr:uid="{00000000-0005-0000-0000-00005C0B0000}"/>
    <cellStyle name="20% - 강조색4 47 21" xfId="8450" xr:uid="{00000000-0005-0000-0000-00005D0B0000}"/>
    <cellStyle name="20% - 강조색4 47 22" xfId="7901" xr:uid="{00000000-0005-0000-0000-00005E0B0000}"/>
    <cellStyle name="20% - 강조색4 47 23" xfId="9239" xr:uid="{00000000-0005-0000-0000-00005F0B0000}"/>
    <cellStyle name="20% - 강조색4 47 24" xfId="9418" xr:uid="{00000000-0005-0000-0000-0000600B0000}"/>
    <cellStyle name="20% - 강조색4 47 25" xfId="9786" xr:uid="{00000000-0005-0000-0000-0000610B0000}"/>
    <cellStyle name="20% - 강조색4 47 26" xfId="2177" xr:uid="{00000000-0005-0000-0000-0000620B0000}"/>
    <cellStyle name="20% - 강조색4 47 27" xfId="10496" xr:uid="{00000000-0005-0000-0000-0000630B0000}"/>
    <cellStyle name="20% - 강조색4 47 28" xfId="10893" xr:uid="{00000000-0005-0000-0000-0000640B0000}"/>
    <cellStyle name="20% - 강조색4 47 29" xfId="3804" xr:uid="{00000000-0005-0000-0000-0000650B0000}"/>
    <cellStyle name="20% - 강조색4 47 3" xfId="1574" xr:uid="{00000000-0005-0000-0000-0000660B0000}"/>
    <cellStyle name="20% - 강조색4 47 30" xfId="11334" xr:uid="{00000000-0005-0000-0000-0000670B0000}"/>
    <cellStyle name="20% - 강조색4 47 31" xfId="11418" xr:uid="{00000000-0005-0000-0000-0000680B0000}"/>
    <cellStyle name="20% - 강조색4 47 32" xfId="11407" xr:uid="{00000000-0005-0000-0000-0000690B0000}"/>
    <cellStyle name="20% - 강조색4 47 33" xfId="11367" xr:uid="{00000000-0005-0000-0000-00006A0B0000}"/>
    <cellStyle name="20% - 강조색4 47 4" xfId="2290" xr:uid="{00000000-0005-0000-0000-00006B0B0000}"/>
    <cellStyle name="20% - 강조색4 47 5" xfId="2633" xr:uid="{00000000-0005-0000-0000-00006C0B0000}"/>
    <cellStyle name="20% - 강조색4 47 6" xfId="2841" xr:uid="{00000000-0005-0000-0000-00006D0B0000}"/>
    <cellStyle name="20% - 강조색4 47 7" xfId="3117" xr:uid="{00000000-0005-0000-0000-00006E0B0000}"/>
    <cellStyle name="20% - 강조색4 47 8" xfId="3563" xr:uid="{00000000-0005-0000-0000-00006F0B0000}"/>
    <cellStyle name="20% - 강조색4 47 9" xfId="1922" xr:uid="{00000000-0005-0000-0000-0000700B0000}"/>
    <cellStyle name="20% - 강조색4 48" xfId="1043" xr:uid="{00000000-0005-0000-0000-0000710B0000}"/>
    <cellStyle name="20% - 강조색4 48 10" xfId="4262" xr:uid="{00000000-0005-0000-0000-0000720B0000}"/>
    <cellStyle name="20% - 강조색4 48 11" xfId="4454" xr:uid="{00000000-0005-0000-0000-0000730B0000}"/>
    <cellStyle name="20% - 강조색4 48 12" xfId="1860" xr:uid="{00000000-0005-0000-0000-0000740B0000}"/>
    <cellStyle name="20% - 강조색4 48 13" xfId="684" xr:uid="{00000000-0005-0000-0000-0000750B0000}"/>
    <cellStyle name="20% - 강조색4 48 14" xfId="4847" xr:uid="{00000000-0005-0000-0000-0000760B0000}"/>
    <cellStyle name="20% - 강조색4 48 15" xfId="5660" xr:uid="{00000000-0005-0000-0000-0000770B0000}"/>
    <cellStyle name="20% - 강조색4 48 16" xfId="6532" xr:uid="{00000000-0005-0000-0000-0000780B0000}"/>
    <cellStyle name="20% - 강조색4 48 17" xfId="708" xr:uid="{00000000-0005-0000-0000-0000790B0000}"/>
    <cellStyle name="20% - 강조색4 48 18" xfId="6978" xr:uid="{00000000-0005-0000-0000-00007A0B0000}"/>
    <cellStyle name="20% - 강조색4 48 19" xfId="2310" xr:uid="{00000000-0005-0000-0000-00007B0B0000}"/>
    <cellStyle name="20% - 강조색4 48 2" xfId="1716" xr:uid="{00000000-0005-0000-0000-00007C0B0000}"/>
    <cellStyle name="20% - 강조색4 48 20" xfId="3157" xr:uid="{00000000-0005-0000-0000-00007D0B0000}"/>
    <cellStyle name="20% - 강조색4 48 21" xfId="2855" xr:uid="{00000000-0005-0000-0000-00007E0B0000}"/>
    <cellStyle name="20% - 강조색4 48 22" xfId="5997" xr:uid="{00000000-0005-0000-0000-00007F0B0000}"/>
    <cellStyle name="20% - 강조색4 48 23" xfId="4167" xr:uid="{00000000-0005-0000-0000-0000800B0000}"/>
    <cellStyle name="20% - 강조색4 48 24" xfId="9198" xr:uid="{00000000-0005-0000-0000-0000810B0000}"/>
    <cellStyle name="20% - 강조색4 48 25" xfId="3731" xr:uid="{00000000-0005-0000-0000-0000820B0000}"/>
    <cellStyle name="20% - 강조색4 48 26" xfId="6861" xr:uid="{00000000-0005-0000-0000-0000830B0000}"/>
    <cellStyle name="20% - 강조색4 48 27" xfId="9224" xr:uid="{00000000-0005-0000-0000-0000840B0000}"/>
    <cellStyle name="20% - 강조색4 48 28" xfId="7624" xr:uid="{00000000-0005-0000-0000-0000850B0000}"/>
    <cellStyle name="20% - 강조색4 48 29" xfId="7406" xr:uid="{00000000-0005-0000-0000-0000860B0000}"/>
    <cellStyle name="20% - 강조색4 48 3" xfId="1390" xr:uid="{00000000-0005-0000-0000-0000870B0000}"/>
    <cellStyle name="20% - 강조색4 48 4" xfId="1932" xr:uid="{00000000-0005-0000-0000-0000880B0000}"/>
    <cellStyle name="20% - 강조색4 48 5" xfId="2530" xr:uid="{00000000-0005-0000-0000-0000890B0000}"/>
    <cellStyle name="20% - 강조색4 48 6" xfId="2910" xr:uid="{00000000-0005-0000-0000-00008A0B0000}"/>
    <cellStyle name="20% - 강조색4 48 7" xfId="3176" xr:uid="{00000000-0005-0000-0000-00008B0B0000}"/>
    <cellStyle name="20% - 강조색4 48 8" xfId="1886" xr:uid="{00000000-0005-0000-0000-00008C0B0000}"/>
    <cellStyle name="20% - 강조색4 48 9" xfId="2409" xr:uid="{00000000-0005-0000-0000-00008D0B0000}"/>
    <cellStyle name="20% - 강조색4 49" xfId="1056" xr:uid="{00000000-0005-0000-0000-00008E0B0000}"/>
    <cellStyle name="20% - 강조색4 49 10" xfId="4383" xr:uid="{00000000-0005-0000-0000-00008F0B0000}"/>
    <cellStyle name="20% - 강조색4 49 11" xfId="4562" xr:uid="{00000000-0005-0000-0000-0000900B0000}"/>
    <cellStyle name="20% - 강조색4 49 12" xfId="5245" xr:uid="{00000000-0005-0000-0000-0000910B0000}"/>
    <cellStyle name="20% - 강조색4 49 13" xfId="1397" xr:uid="{00000000-0005-0000-0000-0000920B0000}"/>
    <cellStyle name="20% - 강조색4 49 14" xfId="5296" xr:uid="{00000000-0005-0000-0000-0000930B0000}"/>
    <cellStyle name="20% - 강조색4 49 15" xfId="5250" xr:uid="{00000000-0005-0000-0000-0000940B0000}"/>
    <cellStyle name="20% - 강조색4 49 16" xfId="6490" xr:uid="{00000000-0005-0000-0000-0000950B0000}"/>
    <cellStyle name="20% - 강조색4 49 17" xfId="7278" xr:uid="{00000000-0005-0000-0000-0000960B0000}"/>
    <cellStyle name="20% - 강조색4 49 18" xfId="6146" xr:uid="{00000000-0005-0000-0000-0000970B0000}"/>
    <cellStyle name="20% - 강조색4 49 19" xfId="7532" xr:uid="{00000000-0005-0000-0000-0000980B0000}"/>
    <cellStyle name="20% - 강조색4 49 2" xfId="1732" xr:uid="{00000000-0005-0000-0000-0000990B0000}"/>
    <cellStyle name="20% - 강조색4 49 20" xfId="6091" xr:uid="{00000000-0005-0000-0000-00009A0B0000}"/>
    <cellStyle name="20% - 강조색4 49 21" xfId="8551" xr:uid="{00000000-0005-0000-0000-00009B0B0000}"/>
    <cellStyle name="20% - 강조색4 49 22" xfId="8897" xr:uid="{00000000-0005-0000-0000-00009C0B0000}"/>
    <cellStyle name="20% - 강조색4 49 23" xfId="9232" xr:uid="{00000000-0005-0000-0000-00009D0B0000}"/>
    <cellStyle name="20% - 강조색4 49 24" xfId="2218" xr:uid="{00000000-0005-0000-0000-00009E0B0000}"/>
    <cellStyle name="20% - 강조색4 49 25" xfId="10053" xr:uid="{00000000-0005-0000-0000-00009F0B0000}"/>
    <cellStyle name="20% - 강조색4 49 26" xfId="6014" xr:uid="{00000000-0005-0000-0000-0000A00B0000}"/>
    <cellStyle name="20% - 강조색4 49 27" xfId="10111" xr:uid="{00000000-0005-0000-0000-0000A10B0000}"/>
    <cellStyle name="20% - 강조색4 49 28" xfId="10938" xr:uid="{00000000-0005-0000-0000-0000A20B0000}"/>
    <cellStyle name="20% - 강조색4 49 29" xfId="5255" xr:uid="{00000000-0005-0000-0000-0000A30B0000}"/>
    <cellStyle name="20% - 강조색4 49 3" xfId="2058" xr:uid="{00000000-0005-0000-0000-0000A40B0000}"/>
    <cellStyle name="20% - 강조색4 49 4" xfId="2354" xr:uid="{00000000-0005-0000-0000-0000A50B0000}"/>
    <cellStyle name="20% - 강조색4 49 5" xfId="2566" xr:uid="{00000000-0005-0000-0000-0000A60B0000}"/>
    <cellStyle name="20% - 강조색4 49 6" xfId="2796" xr:uid="{00000000-0005-0000-0000-0000A70B0000}"/>
    <cellStyle name="20% - 강조색4 49 7" xfId="3191" xr:uid="{00000000-0005-0000-0000-0000A80B0000}"/>
    <cellStyle name="20% - 강조색4 49 8" xfId="3632" xr:uid="{00000000-0005-0000-0000-0000A90B0000}"/>
    <cellStyle name="20% - 강조색4 49 9" xfId="3770" xr:uid="{00000000-0005-0000-0000-0000AA0B0000}"/>
    <cellStyle name="20% - 강조색4 5" xfId="83" xr:uid="{00000000-0005-0000-0000-0000AB0B0000}"/>
    <cellStyle name="20% - 강조색4 50" xfId="1044" xr:uid="{00000000-0005-0000-0000-0000AC0B0000}"/>
    <cellStyle name="20% - 강조색4 50 10" xfId="4246" xr:uid="{00000000-0005-0000-0000-0000AD0B0000}"/>
    <cellStyle name="20% - 강조색4 50 11" xfId="4548" xr:uid="{00000000-0005-0000-0000-0000AE0B0000}"/>
    <cellStyle name="20% - 강조색4 50 12" xfId="5029" xr:uid="{00000000-0005-0000-0000-0000AF0B0000}"/>
    <cellStyle name="20% - 강조색4 50 13" xfId="5445" xr:uid="{00000000-0005-0000-0000-0000B00B0000}"/>
    <cellStyle name="20% - 강조색4 50 14" xfId="5031" xr:uid="{00000000-0005-0000-0000-0000B10B0000}"/>
    <cellStyle name="20% - 강조색4 50 15" xfId="5469" xr:uid="{00000000-0005-0000-0000-0000B20B0000}"/>
    <cellStyle name="20% - 강조색4 50 16" xfId="6406" xr:uid="{00000000-0005-0000-0000-0000B30B0000}"/>
    <cellStyle name="20% - 강조색4 50 17" xfId="2091" xr:uid="{00000000-0005-0000-0000-0000B40B0000}"/>
    <cellStyle name="20% - 강조색4 50 18" xfId="7047" xr:uid="{00000000-0005-0000-0000-0000B50B0000}"/>
    <cellStyle name="20% - 강조색4 50 19" xfId="7625" xr:uid="{00000000-0005-0000-0000-0000B60B0000}"/>
    <cellStyle name="20% - 강조색4 50 2" xfId="1718" xr:uid="{00000000-0005-0000-0000-0000B70B0000}"/>
    <cellStyle name="20% - 강조색4 50 20" xfId="6786" xr:uid="{00000000-0005-0000-0000-0000B80B0000}"/>
    <cellStyle name="20% - 강조색4 50 21" xfId="8568" xr:uid="{00000000-0005-0000-0000-0000B90B0000}"/>
    <cellStyle name="20% - 강조색4 50 22" xfId="6357" xr:uid="{00000000-0005-0000-0000-0000BA0B0000}"/>
    <cellStyle name="20% - 강조색4 50 23" xfId="9256" xr:uid="{00000000-0005-0000-0000-0000BB0B0000}"/>
    <cellStyle name="20% - 강조색4 50 24" xfId="3523" xr:uid="{00000000-0005-0000-0000-0000BC0B0000}"/>
    <cellStyle name="20% - 강조색4 50 25" xfId="6438" xr:uid="{00000000-0005-0000-0000-0000BD0B0000}"/>
    <cellStyle name="20% - 강조색4 50 26" xfId="10268" xr:uid="{00000000-0005-0000-0000-0000BE0B0000}"/>
    <cellStyle name="20% - 강조색4 50 27" xfId="3495" xr:uid="{00000000-0005-0000-0000-0000BF0B0000}"/>
    <cellStyle name="20% - 강조색4 50 28" xfId="7806" xr:uid="{00000000-0005-0000-0000-0000C00B0000}"/>
    <cellStyle name="20% - 강조색4 50 29" xfId="3862" xr:uid="{00000000-0005-0000-0000-0000C10B0000}"/>
    <cellStyle name="20% - 강조색4 50 3" xfId="1466" xr:uid="{00000000-0005-0000-0000-0000C20B0000}"/>
    <cellStyle name="20% - 강조색4 50 4" xfId="1498" xr:uid="{00000000-0005-0000-0000-0000C30B0000}"/>
    <cellStyle name="20% - 강조색4 50 5" xfId="738" xr:uid="{00000000-0005-0000-0000-0000C40B0000}"/>
    <cellStyle name="20% - 강조색4 50 6" xfId="2907" xr:uid="{00000000-0005-0000-0000-0000C50B0000}"/>
    <cellStyle name="20% - 강조색4 50 7" xfId="2147" xr:uid="{00000000-0005-0000-0000-0000C60B0000}"/>
    <cellStyle name="20% - 강조색4 50 8" xfId="3656" xr:uid="{00000000-0005-0000-0000-0000C70B0000}"/>
    <cellStyle name="20% - 강조색4 50 9" xfId="3942" xr:uid="{00000000-0005-0000-0000-0000C80B0000}"/>
    <cellStyle name="20% - 강조색4 51" xfId="1076" xr:uid="{00000000-0005-0000-0000-0000C90B0000}"/>
    <cellStyle name="20% - 강조색4 51 10" xfId="836" xr:uid="{00000000-0005-0000-0000-0000CA0B0000}"/>
    <cellStyle name="20% - 강조색4 51 11" xfId="4557" xr:uid="{00000000-0005-0000-0000-0000CB0B0000}"/>
    <cellStyle name="20% - 강조색4 51 12" xfId="5473" xr:uid="{00000000-0005-0000-0000-0000CC0B0000}"/>
    <cellStyle name="20% - 강조색4 51 13" xfId="5047" xr:uid="{00000000-0005-0000-0000-0000CD0B0000}"/>
    <cellStyle name="20% - 강조색4 51 14" xfId="5479" xr:uid="{00000000-0005-0000-0000-0000CE0B0000}"/>
    <cellStyle name="20% - 강조색4 51 15" xfId="5235" xr:uid="{00000000-0005-0000-0000-0000CF0B0000}"/>
    <cellStyle name="20% - 강조색4 51 16" xfId="6507" xr:uid="{00000000-0005-0000-0000-0000D00B0000}"/>
    <cellStyle name="20% - 강조색4 51 17" xfId="6940" xr:uid="{00000000-0005-0000-0000-0000D10B0000}"/>
    <cellStyle name="20% - 강조색4 51 18" xfId="7010" xr:uid="{00000000-0005-0000-0000-0000D20B0000}"/>
    <cellStyle name="20% - 강조색4 51 19" xfId="6331" xr:uid="{00000000-0005-0000-0000-0000D30B0000}"/>
    <cellStyle name="20% - 강조색4 51 2" xfId="1775" xr:uid="{00000000-0005-0000-0000-0000D40B0000}"/>
    <cellStyle name="20% - 강조색4 51 20" xfId="8251" xr:uid="{00000000-0005-0000-0000-0000D50B0000}"/>
    <cellStyle name="20% - 강조색4 51 21" xfId="5037" xr:uid="{00000000-0005-0000-0000-0000D60B0000}"/>
    <cellStyle name="20% - 강조색4 51 22" xfId="8782" xr:uid="{00000000-0005-0000-0000-0000D70B0000}"/>
    <cellStyle name="20% - 강조색4 51 23" xfId="1637" xr:uid="{00000000-0005-0000-0000-0000D80B0000}"/>
    <cellStyle name="20% - 강조색4 51 24" xfId="9536" xr:uid="{00000000-0005-0000-0000-0000D90B0000}"/>
    <cellStyle name="20% - 강조색4 51 25" xfId="7752" xr:uid="{00000000-0005-0000-0000-0000DA0B0000}"/>
    <cellStyle name="20% - 강조색4 51 26" xfId="9570" xr:uid="{00000000-0005-0000-0000-0000DB0B0000}"/>
    <cellStyle name="20% - 강조색4 51 27" xfId="8822" xr:uid="{00000000-0005-0000-0000-0000DC0B0000}"/>
    <cellStyle name="20% - 강조색4 51 28" xfId="4828" xr:uid="{00000000-0005-0000-0000-0000DD0B0000}"/>
    <cellStyle name="20% - 강조색4 51 29" xfId="10256" xr:uid="{00000000-0005-0000-0000-0000DE0B0000}"/>
    <cellStyle name="20% - 강조색4 51 3" xfId="705" xr:uid="{00000000-0005-0000-0000-0000DF0B0000}"/>
    <cellStyle name="20% - 강조색4 51 4" xfId="2233" xr:uid="{00000000-0005-0000-0000-0000E00B0000}"/>
    <cellStyle name="20% - 강조색4 51 5" xfId="2599" xr:uid="{00000000-0005-0000-0000-0000E10B0000}"/>
    <cellStyle name="20% - 강조색4 51 6" xfId="2909" xr:uid="{00000000-0005-0000-0000-0000E20B0000}"/>
    <cellStyle name="20% - 강조색4 51 7" xfId="3088" xr:uid="{00000000-0005-0000-0000-0000E30B0000}"/>
    <cellStyle name="20% - 강조색4 51 8" xfId="3500" xr:uid="{00000000-0005-0000-0000-0000E40B0000}"/>
    <cellStyle name="20% - 강조색4 51 9" xfId="3959" xr:uid="{00000000-0005-0000-0000-0000E50B0000}"/>
    <cellStyle name="20% - 강조색4 52" xfId="1042" xr:uid="{00000000-0005-0000-0000-0000E60B0000}"/>
    <cellStyle name="20% - 강조색4 52 10" xfId="4315" xr:uid="{00000000-0005-0000-0000-0000E70B0000}"/>
    <cellStyle name="20% - 강조색4 52 11" xfId="4570" xr:uid="{00000000-0005-0000-0000-0000E80B0000}"/>
    <cellStyle name="20% - 강조색4 52 12" xfId="1865" xr:uid="{00000000-0005-0000-0000-0000E90B0000}"/>
    <cellStyle name="20% - 강조색4 52 13" xfId="5098" xr:uid="{00000000-0005-0000-0000-0000EA0B0000}"/>
    <cellStyle name="20% - 강조색4 52 14" xfId="5331" xr:uid="{00000000-0005-0000-0000-0000EB0B0000}"/>
    <cellStyle name="20% - 강조색4 52 15" xfId="3503" xr:uid="{00000000-0005-0000-0000-0000EC0B0000}"/>
    <cellStyle name="20% - 강조색4 52 16" xfId="6604" xr:uid="{00000000-0005-0000-0000-0000ED0B0000}"/>
    <cellStyle name="20% - 강조색4 52 17" xfId="7025" xr:uid="{00000000-0005-0000-0000-0000EE0B0000}"/>
    <cellStyle name="20% - 강조색4 52 18" xfId="7035" xr:uid="{00000000-0005-0000-0000-0000EF0B0000}"/>
    <cellStyle name="20% - 강조색4 52 19" xfId="857" xr:uid="{00000000-0005-0000-0000-0000F00B0000}"/>
    <cellStyle name="20% - 강조색4 52 2" xfId="1714" xr:uid="{00000000-0005-0000-0000-0000F10B0000}"/>
    <cellStyle name="20% - 강조색4 52 20" xfId="4553" xr:uid="{00000000-0005-0000-0000-0000F20B0000}"/>
    <cellStyle name="20% - 강조색4 52 21" xfId="6804" xr:uid="{00000000-0005-0000-0000-0000F30B0000}"/>
    <cellStyle name="20% - 강조색4 52 22" xfId="8427" xr:uid="{00000000-0005-0000-0000-0000F40B0000}"/>
    <cellStyle name="20% - 강조색4 52 23" xfId="7979" xr:uid="{00000000-0005-0000-0000-0000F50B0000}"/>
    <cellStyle name="20% - 강조색4 52 24" xfId="9646" xr:uid="{00000000-0005-0000-0000-0000F60B0000}"/>
    <cellStyle name="20% - 강조색4 52 25" xfId="7451" xr:uid="{00000000-0005-0000-0000-0000F70B0000}"/>
    <cellStyle name="20% - 강조색4 52 26" xfId="3447" xr:uid="{00000000-0005-0000-0000-0000F80B0000}"/>
    <cellStyle name="20% - 강조색4 52 27" xfId="10104" xr:uid="{00000000-0005-0000-0000-0000F90B0000}"/>
    <cellStyle name="20% - 강조색4 52 28" xfId="10946" xr:uid="{00000000-0005-0000-0000-0000FA0B0000}"/>
    <cellStyle name="20% - 강조색4 52 29" xfId="4817" xr:uid="{00000000-0005-0000-0000-0000FB0B0000}"/>
    <cellStyle name="20% - 강조색4 52 3" xfId="1395" xr:uid="{00000000-0005-0000-0000-0000FC0B0000}"/>
    <cellStyle name="20% - 강조색4 52 4" xfId="859" xr:uid="{00000000-0005-0000-0000-0000FD0B0000}"/>
    <cellStyle name="20% - 강조색4 52 5" xfId="2494" xr:uid="{00000000-0005-0000-0000-0000FE0B0000}"/>
    <cellStyle name="20% - 강조색4 52 6" xfId="2946" xr:uid="{00000000-0005-0000-0000-0000FF0B0000}"/>
    <cellStyle name="20% - 강조색4 52 7" xfId="1977" xr:uid="{00000000-0005-0000-0000-0000000C0000}"/>
    <cellStyle name="20% - 강조색4 52 8" xfId="3574" xr:uid="{00000000-0005-0000-0000-0000010C0000}"/>
    <cellStyle name="20% - 강조색4 52 9" xfId="1560" xr:uid="{00000000-0005-0000-0000-0000020C0000}"/>
    <cellStyle name="20% - 강조색4 53" xfId="1082" xr:uid="{00000000-0005-0000-0000-0000030C0000}"/>
    <cellStyle name="20% - 강조색4 53 10" xfId="3041" xr:uid="{00000000-0005-0000-0000-0000040C0000}"/>
    <cellStyle name="20% - 강조색4 53 11" xfId="733" xr:uid="{00000000-0005-0000-0000-0000050C0000}"/>
    <cellStyle name="20% - 강조색4 53 12" xfId="5422" xr:uid="{00000000-0005-0000-0000-0000060C0000}"/>
    <cellStyle name="20% - 강조색4 53 13" xfId="4933" xr:uid="{00000000-0005-0000-0000-0000070C0000}"/>
    <cellStyle name="20% - 강조색4 53 14" xfId="5302" xr:uid="{00000000-0005-0000-0000-0000080C0000}"/>
    <cellStyle name="20% - 강조색4 53 15" xfId="5686" xr:uid="{00000000-0005-0000-0000-0000090C0000}"/>
    <cellStyle name="20% - 강조색4 53 16" xfId="6359" xr:uid="{00000000-0005-0000-0000-00000A0C0000}"/>
    <cellStyle name="20% - 강조색4 53 17" xfId="6891" xr:uid="{00000000-0005-0000-0000-00000B0C0000}"/>
    <cellStyle name="20% - 강조색4 53 18" xfId="7259" xr:uid="{00000000-0005-0000-0000-00000C0C0000}"/>
    <cellStyle name="20% - 강조색4 53 19" xfId="7519" xr:uid="{00000000-0005-0000-0000-00000D0C0000}"/>
    <cellStyle name="20% - 강조색4 53 2" xfId="1783" xr:uid="{00000000-0005-0000-0000-00000E0C0000}"/>
    <cellStyle name="20% - 강조색4 53 20" xfId="8089" xr:uid="{00000000-0005-0000-0000-00000F0C0000}"/>
    <cellStyle name="20% - 강조색4 53 21" xfId="8635" xr:uid="{00000000-0005-0000-0000-0000100C0000}"/>
    <cellStyle name="20% - 강조색4 53 22" xfId="700" xr:uid="{00000000-0005-0000-0000-0000110C0000}"/>
    <cellStyle name="20% - 강조색4 53 23" xfId="7393" xr:uid="{00000000-0005-0000-0000-0000120C0000}"/>
    <cellStyle name="20% - 강조색4 53 24" xfId="9704" xr:uid="{00000000-0005-0000-0000-0000130C0000}"/>
    <cellStyle name="20% - 강조색4 53 25" xfId="7560" xr:uid="{00000000-0005-0000-0000-0000140C0000}"/>
    <cellStyle name="20% - 강조색4 53 26" xfId="10296" xr:uid="{00000000-0005-0000-0000-0000150C0000}"/>
    <cellStyle name="20% - 강조색4 53 27" xfId="10479" xr:uid="{00000000-0005-0000-0000-0000160C0000}"/>
    <cellStyle name="20% - 강조색4 53 28" xfId="6864" xr:uid="{00000000-0005-0000-0000-0000170C0000}"/>
    <cellStyle name="20% - 강조색4 53 29" xfId="8762" xr:uid="{00000000-0005-0000-0000-0000180C0000}"/>
    <cellStyle name="20% - 강조색4 53 3" xfId="2076" xr:uid="{00000000-0005-0000-0000-0000190C0000}"/>
    <cellStyle name="20% - 강조색4 53 4" xfId="2242" xr:uid="{00000000-0005-0000-0000-00001A0C0000}"/>
    <cellStyle name="20% - 강조색4 53 5" xfId="2610" xr:uid="{00000000-0005-0000-0000-00001B0C0000}"/>
    <cellStyle name="20% - 강조색4 53 6" xfId="2919" xr:uid="{00000000-0005-0000-0000-00001C0C0000}"/>
    <cellStyle name="20% - 강조색4 53 7" xfId="2785" xr:uid="{00000000-0005-0000-0000-00001D0C0000}"/>
    <cellStyle name="20% - 강조색4 53 8" xfId="3537" xr:uid="{00000000-0005-0000-0000-00001E0C0000}"/>
    <cellStyle name="20% - 강조색4 53 9" xfId="954" xr:uid="{00000000-0005-0000-0000-00001F0C0000}"/>
    <cellStyle name="20% - 강조색4 54" xfId="1570" xr:uid="{00000000-0005-0000-0000-0000200C0000}"/>
    <cellStyle name="20% - 강조색4 54 10" xfId="3413" xr:uid="{00000000-0005-0000-0000-0000210C0000}"/>
    <cellStyle name="20% - 강조색4 54 11" xfId="2225" xr:uid="{00000000-0005-0000-0000-0000220C0000}"/>
    <cellStyle name="20% - 강조색4 54 12" xfId="5021" xr:uid="{00000000-0005-0000-0000-0000230C0000}"/>
    <cellStyle name="20% - 강조색4 54 13" xfId="5583" xr:uid="{00000000-0005-0000-0000-0000240C0000}"/>
    <cellStyle name="20% - 강조색4 54 14" xfId="3101" xr:uid="{00000000-0005-0000-0000-0000250C0000}"/>
    <cellStyle name="20% - 강조색4 54 15" xfId="6469" xr:uid="{00000000-0005-0000-0000-0000260C0000}"/>
    <cellStyle name="20% - 강조색4 54 16" xfId="6960" xr:uid="{00000000-0005-0000-0000-0000270C0000}"/>
    <cellStyle name="20% - 강조색4 54 17" xfId="7346" xr:uid="{00000000-0005-0000-0000-0000280C0000}"/>
    <cellStyle name="20% - 강조색4 54 18" xfId="4091" xr:uid="{00000000-0005-0000-0000-0000290C0000}"/>
    <cellStyle name="20% - 강조색4 54 19" xfId="888" xr:uid="{00000000-0005-0000-0000-00002A0C0000}"/>
    <cellStyle name="20% - 강조색4 54 2" xfId="2084" xr:uid="{00000000-0005-0000-0000-00002B0C0000}"/>
    <cellStyle name="20% - 강조색4 54 20" xfId="3978" xr:uid="{00000000-0005-0000-0000-00002C0C0000}"/>
    <cellStyle name="20% - 강조색4 54 21" xfId="8339" xr:uid="{00000000-0005-0000-0000-00002D0C0000}"/>
    <cellStyle name="20% - 강조색4 54 22" xfId="9190" xr:uid="{00000000-0005-0000-0000-00002E0C0000}"/>
    <cellStyle name="20% - 강조색4 54 23" xfId="8507" xr:uid="{00000000-0005-0000-0000-00002F0C0000}"/>
    <cellStyle name="20% - 강조색4 54 24" xfId="1953" xr:uid="{00000000-0005-0000-0000-0000300C0000}"/>
    <cellStyle name="20% - 강조색4 54 25" xfId="10148" xr:uid="{00000000-0005-0000-0000-0000310C0000}"/>
    <cellStyle name="20% - 강조색4 54 26" xfId="10637" xr:uid="{00000000-0005-0000-0000-0000320C0000}"/>
    <cellStyle name="20% - 강조색4 54 27" xfId="9956" xr:uid="{00000000-0005-0000-0000-0000330C0000}"/>
    <cellStyle name="20% - 강조색4 54 28" xfId="11025" xr:uid="{00000000-0005-0000-0000-0000340C0000}"/>
    <cellStyle name="20% - 강조색4 54 3" xfId="2366" xr:uid="{00000000-0005-0000-0000-0000350C0000}"/>
    <cellStyle name="20% - 강조색4 54 4" xfId="1909" xr:uid="{00000000-0005-0000-0000-0000360C0000}"/>
    <cellStyle name="20% - 강조색4 54 5" xfId="2925" xr:uid="{00000000-0005-0000-0000-0000370C0000}"/>
    <cellStyle name="20% - 강조색4 54 6" xfId="3254" xr:uid="{00000000-0005-0000-0000-0000380C0000}"/>
    <cellStyle name="20% - 강조색4 54 7" xfId="3572" xr:uid="{00000000-0005-0000-0000-0000390C0000}"/>
    <cellStyle name="20% - 강조색4 54 8" xfId="2903" xr:uid="{00000000-0005-0000-0000-00003A0C0000}"/>
    <cellStyle name="20% - 강조색4 54 9" xfId="4173" xr:uid="{00000000-0005-0000-0000-00003B0C0000}"/>
    <cellStyle name="20% - 강조색4 55" xfId="2033" xr:uid="{00000000-0005-0000-0000-00003C0C0000}"/>
    <cellStyle name="20% - 강조색4 55 10" xfId="5227" xr:uid="{00000000-0005-0000-0000-00003D0C0000}"/>
    <cellStyle name="20% - 강조색4 55 11" xfId="1440" xr:uid="{00000000-0005-0000-0000-00003E0C0000}"/>
    <cellStyle name="20% - 강조색4 55 12" xfId="5378" xr:uid="{00000000-0005-0000-0000-00003F0C0000}"/>
    <cellStyle name="20% - 강조색4 55 13" xfId="5780" xr:uid="{00000000-0005-0000-0000-0000400C0000}"/>
    <cellStyle name="20% - 강조색4 55 14" xfId="6421" xr:uid="{00000000-0005-0000-0000-0000410C0000}"/>
    <cellStyle name="20% - 강조색4 55 15" xfId="6395" xr:uid="{00000000-0005-0000-0000-0000420C0000}"/>
    <cellStyle name="20% - 강조색4 55 16" xfId="6873" xr:uid="{00000000-0005-0000-0000-0000430C0000}"/>
    <cellStyle name="20% - 강조색4 55 17" xfId="6444" xr:uid="{00000000-0005-0000-0000-0000440C0000}"/>
    <cellStyle name="20% - 강조색4 55 18" xfId="8031" xr:uid="{00000000-0005-0000-0000-0000450C0000}"/>
    <cellStyle name="20% - 강조색4 55 19" xfId="6882" xr:uid="{00000000-0005-0000-0000-0000460C0000}"/>
    <cellStyle name="20% - 강조색4 55 2" xfId="2375" xr:uid="{00000000-0005-0000-0000-0000470C0000}"/>
    <cellStyle name="20% - 강조색4 55 20" xfId="6441" xr:uid="{00000000-0005-0000-0000-0000480C0000}"/>
    <cellStyle name="20% - 강조색4 55 21" xfId="7801" xr:uid="{00000000-0005-0000-0000-0000490C0000}"/>
    <cellStyle name="20% - 강조색4 55 22" xfId="9598" xr:uid="{00000000-0005-0000-0000-00004A0C0000}"/>
    <cellStyle name="20% - 강조색4 55 23" xfId="9760" xr:uid="{00000000-0005-0000-0000-00004B0C0000}"/>
    <cellStyle name="20% - 강조색4 55 24" xfId="7168" xr:uid="{00000000-0005-0000-0000-00004C0C0000}"/>
    <cellStyle name="20% - 강조색4 55 25" xfId="2171" xr:uid="{00000000-0005-0000-0000-00004D0C0000}"/>
    <cellStyle name="20% - 강조색4 55 26" xfId="10139" xr:uid="{00000000-0005-0000-0000-00004E0C0000}"/>
    <cellStyle name="20% - 강조색4 55 27" xfId="6200" xr:uid="{00000000-0005-0000-0000-00004F0C0000}"/>
    <cellStyle name="20% - 강조색4 55 3" xfId="2694" xr:uid="{00000000-0005-0000-0000-0000500C0000}"/>
    <cellStyle name="20% - 강조색4 55 4" xfId="3009" xr:uid="{00000000-0005-0000-0000-0000510C0000}"/>
    <cellStyle name="20% - 강조색4 55 5" xfId="3332" xr:uid="{00000000-0005-0000-0000-0000520C0000}"/>
    <cellStyle name="20% - 강조색4 55 6" xfId="2621" xr:uid="{00000000-0005-0000-0000-0000530C0000}"/>
    <cellStyle name="20% - 강조색4 55 7" xfId="3900" xr:uid="{00000000-0005-0000-0000-0000540C0000}"/>
    <cellStyle name="20% - 강조색4 55 8" xfId="2139" xr:uid="{00000000-0005-0000-0000-0000550C0000}"/>
    <cellStyle name="20% - 강조색4 55 9" xfId="2141" xr:uid="{00000000-0005-0000-0000-0000560C0000}"/>
    <cellStyle name="20% - 강조색4 56" xfId="2356" xr:uid="{00000000-0005-0000-0000-0000570C0000}"/>
    <cellStyle name="20% - 강조색4 56 10" xfId="3954" xr:uid="{00000000-0005-0000-0000-0000580C0000}"/>
    <cellStyle name="20% - 강조색4 56 11" xfId="5710" xr:uid="{00000000-0005-0000-0000-0000590C0000}"/>
    <cellStyle name="20% - 강조색4 56 12" xfId="5658" xr:uid="{00000000-0005-0000-0000-00005A0C0000}"/>
    <cellStyle name="20% - 강조색4 56 13" xfId="6580" xr:uid="{00000000-0005-0000-0000-00005B0C0000}"/>
    <cellStyle name="20% - 강조색4 56 14" xfId="6961" xr:uid="{00000000-0005-0000-0000-00005C0C0000}"/>
    <cellStyle name="20% - 강조색4 56 15" xfId="4168" xr:uid="{00000000-0005-0000-0000-00005D0C0000}"/>
    <cellStyle name="20% - 강조색4 56 16" xfId="3908" xr:uid="{00000000-0005-0000-0000-00005E0C0000}"/>
    <cellStyle name="20% - 강조색4 56 17" xfId="8117" xr:uid="{00000000-0005-0000-0000-00005F0C0000}"/>
    <cellStyle name="20% - 강조색4 56 18" xfId="8428" xr:uid="{00000000-0005-0000-0000-0000600C0000}"/>
    <cellStyle name="20% - 강조색4 56 19" xfId="3228" xr:uid="{00000000-0005-0000-0000-0000610C0000}"/>
    <cellStyle name="20% - 강조색4 56 2" xfId="2711" xr:uid="{00000000-0005-0000-0000-0000620C0000}"/>
    <cellStyle name="20% - 강조색4 56 20" xfId="2576" xr:uid="{00000000-0005-0000-0000-0000630C0000}"/>
    <cellStyle name="20% - 강조색4 56 21" xfId="9458" xr:uid="{00000000-0005-0000-0000-0000640C0000}"/>
    <cellStyle name="20% - 강조색4 56 22" xfId="7507" xr:uid="{00000000-0005-0000-0000-0000650C0000}"/>
    <cellStyle name="20% - 강조색4 56 23" xfId="9862" xr:uid="{00000000-0005-0000-0000-0000660C0000}"/>
    <cellStyle name="20% - 강조색4 56 24" xfId="10494" xr:uid="{00000000-0005-0000-0000-0000670C0000}"/>
    <cellStyle name="20% - 강조색4 56 25" xfId="10787" xr:uid="{00000000-0005-0000-0000-0000680C0000}"/>
    <cellStyle name="20% - 강조색4 56 26" xfId="8746" xr:uid="{00000000-0005-0000-0000-0000690C0000}"/>
    <cellStyle name="20% - 강조색4 56 3" xfId="3026" xr:uid="{00000000-0005-0000-0000-00006A0C0000}"/>
    <cellStyle name="20% - 강조색4 56 4" xfId="3359" xr:uid="{00000000-0005-0000-0000-00006B0C0000}"/>
    <cellStyle name="20% - 강조색4 56 5" xfId="3048" xr:uid="{00000000-0005-0000-0000-00006C0C0000}"/>
    <cellStyle name="20% - 강조색4 56 6" xfId="1465" xr:uid="{00000000-0005-0000-0000-00006D0C0000}"/>
    <cellStyle name="20% - 강조색4 56 7" xfId="2216" xr:uid="{00000000-0005-0000-0000-00006E0C0000}"/>
    <cellStyle name="20% - 강조색4 56 8" xfId="4541" xr:uid="{00000000-0005-0000-0000-00006F0C0000}"/>
    <cellStyle name="20% - 강조색4 56 9" xfId="4938" xr:uid="{00000000-0005-0000-0000-0000700C0000}"/>
    <cellStyle name="20% - 강조색4 57" xfId="2630" xr:uid="{00000000-0005-0000-0000-0000710C0000}"/>
    <cellStyle name="20% - 강조색4 57 10" xfId="5531" xr:uid="{00000000-0005-0000-0000-0000720C0000}"/>
    <cellStyle name="20% - 강조색4 57 11" xfId="4821" xr:uid="{00000000-0005-0000-0000-0000730C0000}"/>
    <cellStyle name="20% - 강조색4 57 12" xfId="6099" xr:uid="{00000000-0005-0000-0000-0000740C0000}"/>
    <cellStyle name="20% - 강조색4 57 13" xfId="1396" xr:uid="{00000000-0005-0000-0000-0000750C0000}"/>
    <cellStyle name="20% - 강조색4 57 14" xfId="7307" xr:uid="{00000000-0005-0000-0000-0000760C0000}"/>
    <cellStyle name="20% - 강조색4 57 15" xfId="6703" xr:uid="{00000000-0005-0000-0000-0000770C0000}"/>
    <cellStyle name="20% - 강조색4 57 16" xfId="4555" xr:uid="{00000000-0005-0000-0000-0000780C0000}"/>
    <cellStyle name="20% - 강조색4 57 17" xfId="5025" xr:uid="{00000000-0005-0000-0000-0000790C0000}"/>
    <cellStyle name="20% - 강조색4 57 18" xfId="749" xr:uid="{00000000-0005-0000-0000-00007A0C0000}"/>
    <cellStyle name="20% - 강조색4 57 19" xfId="9334" xr:uid="{00000000-0005-0000-0000-00007B0C0000}"/>
    <cellStyle name="20% - 강조색4 57 2" xfId="3031" xr:uid="{00000000-0005-0000-0000-00007C0C0000}"/>
    <cellStyle name="20% - 강조색4 57 20" xfId="8804" xr:uid="{00000000-0005-0000-0000-00007D0C0000}"/>
    <cellStyle name="20% - 강조색4 57 21" xfId="10011" xr:uid="{00000000-0005-0000-0000-00007E0C0000}"/>
    <cellStyle name="20% - 강조색4 57 22" xfId="4725" xr:uid="{00000000-0005-0000-0000-00007F0C0000}"/>
    <cellStyle name="20% - 강조색4 57 23" xfId="10540" xr:uid="{00000000-0005-0000-0000-0000800C0000}"/>
    <cellStyle name="20% - 강조색4 57 24" xfId="9323" xr:uid="{00000000-0005-0000-0000-0000810C0000}"/>
    <cellStyle name="20% - 강조색4 57 25" xfId="11037" xr:uid="{00000000-0005-0000-0000-0000820C0000}"/>
    <cellStyle name="20% - 강조색4 57 3" xfId="3364" xr:uid="{00000000-0005-0000-0000-0000830C0000}"/>
    <cellStyle name="20% - 강조색4 57 4" xfId="3696" xr:uid="{00000000-0005-0000-0000-0000840C0000}"/>
    <cellStyle name="20% - 강조색4 57 5" xfId="2528" xr:uid="{00000000-0005-0000-0000-0000850C0000}"/>
    <cellStyle name="20% - 강조색4 57 6" xfId="4100" xr:uid="{00000000-0005-0000-0000-0000860C0000}"/>
    <cellStyle name="20% - 강조색4 57 7" xfId="4574" xr:uid="{00000000-0005-0000-0000-0000870C0000}"/>
    <cellStyle name="20% - 강조색4 57 8" xfId="4077" xr:uid="{00000000-0005-0000-0000-0000880C0000}"/>
    <cellStyle name="20% - 강조색4 57 9" xfId="2848" xr:uid="{00000000-0005-0000-0000-0000890C0000}"/>
    <cellStyle name="20% - 강조색4 58" xfId="2934" xr:uid="{00000000-0005-0000-0000-00008A0C0000}"/>
    <cellStyle name="20% - 강조색4 58 10" xfId="5325" xr:uid="{00000000-0005-0000-0000-00008B0C0000}"/>
    <cellStyle name="20% - 강조색4 58 11" xfId="6621" xr:uid="{00000000-0005-0000-0000-00008C0C0000}"/>
    <cellStyle name="20% - 강조색4 58 12" xfId="6075" xr:uid="{00000000-0005-0000-0000-00008D0C0000}"/>
    <cellStyle name="20% - 강조색4 58 13" xfId="6999" xr:uid="{00000000-0005-0000-0000-00008E0C0000}"/>
    <cellStyle name="20% - 강조색4 58 14" xfId="7659" xr:uid="{00000000-0005-0000-0000-00008F0C0000}"/>
    <cellStyle name="20% - 강조색4 58 15" xfId="8207" xr:uid="{00000000-0005-0000-0000-0000900C0000}"/>
    <cellStyle name="20% - 강조색4 58 16" xfId="8536" xr:uid="{00000000-0005-0000-0000-0000910C0000}"/>
    <cellStyle name="20% - 강조색4 58 17" xfId="7637" xr:uid="{00000000-0005-0000-0000-0000920C0000}"/>
    <cellStyle name="20% - 강조색4 58 18" xfId="3084" xr:uid="{00000000-0005-0000-0000-0000930C0000}"/>
    <cellStyle name="20% - 강조색4 58 19" xfId="9447" xr:uid="{00000000-0005-0000-0000-0000940C0000}"/>
    <cellStyle name="20% - 강조색4 58 2" xfId="3374" xr:uid="{00000000-0005-0000-0000-0000950C0000}"/>
    <cellStyle name="20% - 강조색4 58 20" xfId="9950" xr:uid="{00000000-0005-0000-0000-0000960C0000}"/>
    <cellStyle name="20% - 강조색4 58 21" xfId="10357" xr:uid="{00000000-0005-0000-0000-0000970C0000}"/>
    <cellStyle name="20% - 강조색4 58 22" xfId="10487" xr:uid="{00000000-0005-0000-0000-0000980C0000}"/>
    <cellStyle name="20% - 강조색4 58 23" xfId="10956" xr:uid="{00000000-0005-0000-0000-0000990C0000}"/>
    <cellStyle name="20% - 강조색4 58 24" xfId="11094" xr:uid="{00000000-0005-0000-0000-00009A0C0000}"/>
    <cellStyle name="20% - 강조색4 58 3" xfId="3707" xr:uid="{00000000-0005-0000-0000-00009B0C0000}"/>
    <cellStyle name="20% - 강조색4 58 4" xfId="4045" xr:uid="{00000000-0005-0000-0000-00009C0C0000}"/>
    <cellStyle name="20% - 강조색4 58 5" xfId="4130" xr:uid="{00000000-0005-0000-0000-00009D0C0000}"/>
    <cellStyle name="20% - 강조색4 58 6" xfId="4644" xr:uid="{00000000-0005-0000-0000-00009E0C0000}"/>
    <cellStyle name="20% - 강조색4 58 7" xfId="5044" xr:uid="{00000000-0005-0000-0000-00009F0C0000}"/>
    <cellStyle name="20% - 강조색4 58 8" xfId="5407" xr:uid="{00000000-0005-0000-0000-0000A00C0000}"/>
    <cellStyle name="20% - 강조색4 58 9" xfId="5606" xr:uid="{00000000-0005-0000-0000-0000A10C0000}"/>
    <cellStyle name="20% - 강조색4 59" xfId="3077" xr:uid="{00000000-0005-0000-0000-0000A20C0000}"/>
    <cellStyle name="20% - 강조색4 59 10" xfId="6506" xr:uid="{00000000-0005-0000-0000-0000A30C0000}"/>
    <cellStyle name="20% - 강조색4 59 11" xfId="7205" xr:uid="{00000000-0005-0000-0000-0000A40C0000}"/>
    <cellStyle name="20% - 강조색4 59 12" xfId="7349" xr:uid="{00000000-0005-0000-0000-0000A50C0000}"/>
    <cellStyle name="20% - 강조색4 59 13" xfId="6921" xr:uid="{00000000-0005-0000-0000-0000A60C0000}"/>
    <cellStyle name="20% - 강조색4 59 14" xfId="7910" xr:uid="{00000000-0005-0000-0000-0000A70C0000}"/>
    <cellStyle name="20% - 강조색4 59 15" xfId="8528" xr:uid="{00000000-0005-0000-0000-0000A80C0000}"/>
    <cellStyle name="20% - 강조색4 59 16" xfId="4224" xr:uid="{00000000-0005-0000-0000-0000A90C0000}"/>
    <cellStyle name="20% - 강조색4 59 17" xfId="7538" xr:uid="{00000000-0005-0000-0000-0000AA0C0000}"/>
    <cellStyle name="20% - 강조색4 59 18" xfId="6070" xr:uid="{00000000-0005-0000-0000-0000AB0C0000}"/>
    <cellStyle name="20% - 강조색4 59 19" xfId="9085" xr:uid="{00000000-0005-0000-0000-0000AC0C0000}"/>
    <cellStyle name="20% - 강조색4 59 2" xfId="3714" xr:uid="{00000000-0005-0000-0000-0000AD0C0000}"/>
    <cellStyle name="20% - 강조색4 59 20" xfId="10338" xr:uid="{00000000-0005-0000-0000-0000AE0C0000}"/>
    <cellStyle name="20% - 강조색4 59 21" xfId="10636" xr:uid="{00000000-0005-0000-0000-0000AF0C0000}"/>
    <cellStyle name="20% - 강조색4 59 22" xfId="7988" xr:uid="{00000000-0005-0000-0000-0000B00C0000}"/>
    <cellStyle name="20% - 강조색4 59 23" xfId="11276" xr:uid="{00000000-0005-0000-0000-0000B10C0000}"/>
    <cellStyle name="20% - 강조색4 59 3" xfId="4053" xr:uid="{00000000-0005-0000-0000-0000B20C0000}"/>
    <cellStyle name="20% - 강조색4 59 4" xfId="2882" xr:uid="{00000000-0005-0000-0000-0000B30C0000}"/>
    <cellStyle name="20% - 강조색4 59 5" xfId="4587" xr:uid="{00000000-0005-0000-0000-0000B40C0000}"/>
    <cellStyle name="20% - 강조색4 59 6" xfId="3121" xr:uid="{00000000-0005-0000-0000-0000B50C0000}"/>
    <cellStyle name="20% - 강조색4 59 7" xfId="5036" xr:uid="{00000000-0005-0000-0000-0000B60C0000}"/>
    <cellStyle name="20% - 강조색4 59 8" xfId="5261" xr:uid="{00000000-0005-0000-0000-0000B70C0000}"/>
    <cellStyle name="20% - 강조색4 59 9" xfId="899" xr:uid="{00000000-0005-0000-0000-0000B80C0000}"/>
    <cellStyle name="20% - 강조색4 6" xfId="100" xr:uid="{00000000-0005-0000-0000-0000B90C0000}"/>
    <cellStyle name="20% - 강조색4 60" xfId="3631" xr:uid="{00000000-0005-0000-0000-0000BA0C0000}"/>
    <cellStyle name="20% - 강조색4 60 10" xfId="4475" xr:uid="{00000000-0005-0000-0000-0000BB0C0000}"/>
    <cellStyle name="20% - 강조색4 60 11" xfId="5121" xr:uid="{00000000-0005-0000-0000-0000BC0C0000}"/>
    <cellStyle name="20% - 강조색4 60 12" xfId="7638" xr:uid="{00000000-0005-0000-0000-0000BD0C0000}"/>
    <cellStyle name="20% - 강조색4 60 13" xfId="7908" xr:uid="{00000000-0005-0000-0000-0000BE0C0000}"/>
    <cellStyle name="20% - 강조색4 60 14" xfId="8513" xr:uid="{00000000-0005-0000-0000-0000BF0C0000}"/>
    <cellStyle name="20% - 강조색4 60 15" xfId="8776" xr:uid="{00000000-0005-0000-0000-0000C00C0000}"/>
    <cellStyle name="20% - 강조색4 60 16" xfId="9333" xr:uid="{00000000-0005-0000-0000-0000C10C0000}"/>
    <cellStyle name="20% - 강조색4 60 17" xfId="8455" xr:uid="{00000000-0005-0000-0000-0000C20C0000}"/>
    <cellStyle name="20% - 강조색4 60 18" xfId="6111" xr:uid="{00000000-0005-0000-0000-0000C30C0000}"/>
    <cellStyle name="20% - 강조색4 60 19" xfId="3220" xr:uid="{00000000-0005-0000-0000-0000C40C0000}"/>
    <cellStyle name="20% - 강조색4 60 2" xfId="4066" xr:uid="{00000000-0005-0000-0000-0000C50C0000}"/>
    <cellStyle name="20% - 강조색4 60 20" xfId="10563" xr:uid="{00000000-0005-0000-0000-0000C60C0000}"/>
    <cellStyle name="20% - 강조색4 60 21" xfId="10886" xr:uid="{00000000-0005-0000-0000-0000C70C0000}"/>
    <cellStyle name="20% - 강조색4 60 22" xfId="11049" xr:uid="{00000000-0005-0000-0000-0000C80C0000}"/>
    <cellStyle name="20% - 강조색4 60 3" xfId="4402" xr:uid="{00000000-0005-0000-0000-0000C90C0000}"/>
    <cellStyle name="20% - 강조색4 60 4" xfId="4755" xr:uid="{00000000-0005-0000-0000-0000CA0C0000}"/>
    <cellStyle name="20% - 강조색4 60 5" xfId="5329" xr:uid="{00000000-0005-0000-0000-0000CB0C0000}"/>
    <cellStyle name="20% - 강조색4 60 6" xfId="5376" xr:uid="{00000000-0005-0000-0000-0000CC0C0000}"/>
    <cellStyle name="20% - 강조색4 60 7" xfId="4914" xr:uid="{00000000-0005-0000-0000-0000CD0C0000}"/>
    <cellStyle name="20% - 강조색4 60 8" xfId="2312" xr:uid="{00000000-0005-0000-0000-0000CE0C0000}"/>
    <cellStyle name="20% - 강조색4 60 9" xfId="6112" xr:uid="{00000000-0005-0000-0000-0000CF0C0000}"/>
    <cellStyle name="20% - 강조색4 61" xfId="3989" xr:uid="{00000000-0005-0000-0000-0000D00C0000}"/>
    <cellStyle name="20% - 강조색4 61 10" xfId="7178" xr:uid="{00000000-0005-0000-0000-0000D10C0000}"/>
    <cellStyle name="20% - 강조색4 61 11" xfId="7715" xr:uid="{00000000-0005-0000-0000-0000D20C0000}"/>
    <cellStyle name="20% - 강조색4 61 12" xfId="8233" xr:uid="{00000000-0005-0000-0000-0000D30C0000}"/>
    <cellStyle name="20% - 강조색4 61 13" xfId="3756" xr:uid="{00000000-0005-0000-0000-0000D40C0000}"/>
    <cellStyle name="20% - 강조색4 61 14" xfId="952" xr:uid="{00000000-0005-0000-0000-0000D50C0000}"/>
    <cellStyle name="20% - 강조색4 61 15" xfId="9247" xr:uid="{00000000-0005-0000-0000-0000D60C0000}"/>
    <cellStyle name="20% - 강조색4 61 16" xfId="9460" xr:uid="{00000000-0005-0000-0000-0000D70C0000}"/>
    <cellStyle name="20% - 강조색4 61 17" xfId="9853" xr:uid="{00000000-0005-0000-0000-0000D80C0000}"/>
    <cellStyle name="20% - 강조색4 61 18" xfId="10124" xr:uid="{00000000-0005-0000-0000-0000D90C0000}"/>
    <cellStyle name="20% - 강조색4 61 19" xfId="9654" xr:uid="{00000000-0005-0000-0000-0000DA0C0000}"/>
    <cellStyle name="20% - 강조색4 61 2" xfId="4411" xr:uid="{00000000-0005-0000-0000-0000DB0C0000}"/>
    <cellStyle name="20% - 강조색4 61 20" xfId="9067" xr:uid="{00000000-0005-0000-0000-0000DC0C0000}"/>
    <cellStyle name="20% - 강조색4 61 21" xfId="8852" xr:uid="{00000000-0005-0000-0000-0000DD0C0000}"/>
    <cellStyle name="20% - 강조색4 61 3" xfId="4765" xr:uid="{00000000-0005-0000-0000-0000DE0C0000}"/>
    <cellStyle name="20% - 강조색4 61 4" xfId="5683" xr:uid="{00000000-0005-0000-0000-0000DF0C0000}"/>
    <cellStyle name="20% - 강조색4 61 5" xfId="5140" xr:uid="{00000000-0005-0000-0000-0000E00C0000}"/>
    <cellStyle name="20% - 강조색4 61 6" xfId="1619" xr:uid="{00000000-0005-0000-0000-0000E10C0000}"/>
    <cellStyle name="20% - 강조색4 61 7" xfId="5750" xr:uid="{00000000-0005-0000-0000-0000E20C0000}"/>
    <cellStyle name="20% - 강조색4 61 8" xfId="6623" xr:uid="{00000000-0005-0000-0000-0000E30C0000}"/>
    <cellStyle name="20% - 강조색4 61 9" xfId="7098" xr:uid="{00000000-0005-0000-0000-0000E40C0000}"/>
    <cellStyle name="20% - 강조색4 62" xfId="4329" xr:uid="{00000000-0005-0000-0000-0000E50C0000}"/>
    <cellStyle name="20% - 강조색4 62 10" xfId="7506" xr:uid="{00000000-0005-0000-0000-0000E60C0000}"/>
    <cellStyle name="20% - 강조색4 62 11" xfId="8056" xr:uid="{00000000-0005-0000-0000-0000E70C0000}"/>
    <cellStyle name="20% - 강조색4 62 12" xfId="8262" xr:uid="{00000000-0005-0000-0000-0000E80C0000}"/>
    <cellStyle name="20% - 강조색4 62 13" xfId="8898" xr:uid="{00000000-0005-0000-0000-0000E90C0000}"/>
    <cellStyle name="20% - 강조색4 62 14" xfId="9231" xr:uid="{00000000-0005-0000-0000-0000EA0C0000}"/>
    <cellStyle name="20% - 강조색4 62 15" xfId="9602" xr:uid="{00000000-0005-0000-0000-0000EB0C0000}"/>
    <cellStyle name="20% - 강조색4 62 16" xfId="9802" xr:uid="{00000000-0005-0000-0000-0000EC0C0000}"/>
    <cellStyle name="20% - 강조색4 62 17" xfId="10260" xr:uid="{00000000-0005-0000-0000-0000ED0C0000}"/>
    <cellStyle name="20% - 강조색4 62 18" xfId="10638" xr:uid="{00000000-0005-0000-0000-0000EE0C0000}"/>
    <cellStyle name="20% - 강조색4 62 19" xfId="9422" xr:uid="{00000000-0005-0000-0000-0000EF0C0000}"/>
    <cellStyle name="20% - 강조색4 62 2" xfId="4775" xr:uid="{00000000-0005-0000-0000-0000F00C0000}"/>
    <cellStyle name="20% - 강조색4 62 20" xfId="10322" xr:uid="{00000000-0005-0000-0000-0000F10C0000}"/>
    <cellStyle name="20% - 강조색4 62 3" xfId="5746" xr:uid="{00000000-0005-0000-0000-0000F20C0000}"/>
    <cellStyle name="20% - 강조색4 62 4" xfId="5849" xr:uid="{00000000-0005-0000-0000-0000F30C0000}"/>
    <cellStyle name="20% - 강조색4 62 5" xfId="5924" xr:uid="{00000000-0005-0000-0000-0000F40C0000}"/>
    <cellStyle name="20% - 강조색4 62 6" xfId="5974" xr:uid="{00000000-0005-0000-0000-0000F50C0000}"/>
    <cellStyle name="20% - 강조색4 62 7" xfId="6633" xr:uid="{00000000-0005-0000-0000-0000F60C0000}"/>
    <cellStyle name="20% - 강조색4 62 8" xfId="1853" xr:uid="{00000000-0005-0000-0000-0000F70C0000}"/>
    <cellStyle name="20% - 강조색4 62 9" xfId="7279" xr:uid="{00000000-0005-0000-0000-0000F80C0000}"/>
    <cellStyle name="20% - 강조색4 63" xfId="4677" xr:uid="{00000000-0005-0000-0000-0000F90C0000}"/>
    <cellStyle name="20% - 강조색4 63 10" xfId="8107" xr:uid="{00000000-0005-0000-0000-0000FA0C0000}"/>
    <cellStyle name="20% - 강조색4 63 11" xfId="8593" xr:uid="{00000000-0005-0000-0000-0000FB0C0000}"/>
    <cellStyle name="20% - 강조색4 63 12" xfId="4950" xr:uid="{00000000-0005-0000-0000-0000FC0C0000}"/>
    <cellStyle name="20% - 강조색4 63 13" xfId="9152" xr:uid="{00000000-0005-0000-0000-0000FD0C0000}"/>
    <cellStyle name="20% - 강조색4 63 14" xfId="8026" xr:uid="{00000000-0005-0000-0000-0000FE0C0000}"/>
    <cellStyle name="20% - 강조색4 63 15" xfId="8795" xr:uid="{00000000-0005-0000-0000-0000FF0C0000}"/>
    <cellStyle name="20% - 강조색4 63 16" xfId="10356" xr:uid="{00000000-0005-0000-0000-0000000D0000}"/>
    <cellStyle name="20% - 강조색4 63 17" xfId="6256" xr:uid="{00000000-0005-0000-0000-0000010D0000}"/>
    <cellStyle name="20% - 강조색4 63 18" xfId="9999" xr:uid="{00000000-0005-0000-0000-0000020D0000}"/>
    <cellStyle name="20% - 강조색4 63 19" xfId="11112" xr:uid="{00000000-0005-0000-0000-0000030D0000}"/>
    <cellStyle name="20% - 강조색4 63 2" xfId="5818" xr:uid="{00000000-0005-0000-0000-0000040D0000}"/>
    <cellStyle name="20% - 강조색4 63 3" xfId="5897" xr:uid="{00000000-0005-0000-0000-0000050D0000}"/>
    <cellStyle name="20% - 강조색4 63 4" xfId="5955" xr:uid="{00000000-0005-0000-0000-0000060D0000}"/>
    <cellStyle name="20% - 강조색4 63 5" xfId="5983" xr:uid="{00000000-0005-0000-0000-0000070D0000}"/>
    <cellStyle name="20% - 강조색4 63 6" xfId="6643" xr:uid="{00000000-0005-0000-0000-0000080D0000}"/>
    <cellStyle name="20% - 강조색4 63 7" xfId="7249" xr:uid="{00000000-0005-0000-0000-0000090D0000}"/>
    <cellStyle name="20% - 강조색4 63 8" xfId="1630" xr:uid="{00000000-0005-0000-0000-00000A0D0000}"/>
    <cellStyle name="20% - 강조색4 63 9" xfId="7591" xr:uid="{00000000-0005-0000-0000-00000B0D0000}"/>
    <cellStyle name="20% - 강조색4 64" xfId="5511" xr:uid="{00000000-0005-0000-0000-00000C0D0000}"/>
    <cellStyle name="20% - 강조색4 64 10" xfId="9548" xr:uid="{00000000-0005-0000-0000-00000D0D0000}"/>
    <cellStyle name="20% - 강조색4 64 11" xfId="4793" xr:uid="{00000000-0005-0000-0000-00000E0D0000}"/>
    <cellStyle name="20% - 강조색4 64 12" xfId="10300" xr:uid="{00000000-0005-0000-0000-00000F0D0000}"/>
    <cellStyle name="20% - 강조색4 64 13" xfId="10038" xr:uid="{00000000-0005-0000-0000-0000100D0000}"/>
    <cellStyle name="20% - 강조색4 64 14" xfId="10438" xr:uid="{00000000-0005-0000-0000-0000110D0000}"/>
    <cellStyle name="20% - 강조색4 64 15" xfId="11061" xr:uid="{00000000-0005-0000-0000-0000120D0000}"/>
    <cellStyle name="20% - 강조색4 64 2" xfId="6673" xr:uid="{00000000-0005-0000-0000-0000130D0000}"/>
    <cellStyle name="20% - 강조색4 64 3" xfId="4843" xr:uid="{00000000-0005-0000-0000-0000140D0000}"/>
    <cellStyle name="20% - 강조색4 64 4" xfId="7005" xr:uid="{00000000-0005-0000-0000-0000150D0000}"/>
    <cellStyle name="20% - 강조색4 64 5" xfId="7645" xr:uid="{00000000-0005-0000-0000-0000160D0000}"/>
    <cellStyle name="20% - 강조색4 64 6" xfId="8158" xr:uid="{00000000-0005-0000-0000-0000170D0000}"/>
    <cellStyle name="20% - 강조색4 64 7" xfId="6545" xr:uid="{00000000-0005-0000-0000-0000180D0000}"/>
    <cellStyle name="20% - 강조색4 64 8" xfId="2137" xr:uid="{00000000-0005-0000-0000-0000190D0000}"/>
    <cellStyle name="20% - 강조색4 64 9" xfId="9073" xr:uid="{00000000-0005-0000-0000-00001A0D0000}"/>
    <cellStyle name="20% - 강조색4 65" xfId="5662" xr:uid="{00000000-0005-0000-0000-00001B0D0000}"/>
    <cellStyle name="20% - 강조색4 65 10" xfId="2502" xr:uid="{00000000-0005-0000-0000-00001C0D0000}"/>
    <cellStyle name="20% - 강조색4 65 11" xfId="8110" xr:uid="{00000000-0005-0000-0000-00001D0D0000}"/>
    <cellStyle name="20% - 강조색4 65 12" xfId="8398" xr:uid="{00000000-0005-0000-0000-00001E0D0000}"/>
    <cellStyle name="20% - 강조색4 65 13" xfId="10689" xr:uid="{00000000-0005-0000-0000-00001F0D0000}"/>
    <cellStyle name="20% - 강조색4 65 14" xfId="6296" xr:uid="{00000000-0005-0000-0000-0000200D0000}"/>
    <cellStyle name="20% - 강조색4 65 15" xfId="9497" xr:uid="{00000000-0005-0000-0000-0000210D0000}"/>
    <cellStyle name="20% - 강조색4 65 2" xfId="6683" xr:uid="{00000000-0005-0000-0000-0000220D0000}"/>
    <cellStyle name="20% - 강조색4 65 3" xfId="7298" xr:uid="{00000000-0005-0000-0000-0000230D0000}"/>
    <cellStyle name="20% - 강조색4 65 4" xfId="7348" xr:uid="{00000000-0005-0000-0000-0000240D0000}"/>
    <cellStyle name="20% - 강조색4 65 5" xfId="970" xr:uid="{00000000-0005-0000-0000-0000250D0000}"/>
    <cellStyle name="20% - 강조색4 65 6" xfId="5143" xr:uid="{00000000-0005-0000-0000-0000260D0000}"/>
    <cellStyle name="20% - 강조색4 65 7" xfId="1910" xr:uid="{00000000-0005-0000-0000-0000270D0000}"/>
    <cellStyle name="20% - 강조색4 65 8" xfId="4937" xr:uid="{00000000-0005-0000-0000-0000280D0000}"/>
    <cellStyle name="20% - 강조색4 65 9" xfId="9218" xr:uid="{00000000-0005-0000-0000-0000290D0000}"/>
    <cellStyle name="20% - 강조색4 66" xfId="5100" xr:uid="{00000000-0005-0000-0000-00002A0D0000}"/>
    <cellStyle name="20% - 강조색4 66 10" xfId="8889" xr:uid="{00000000-0005-0000-0000-00002B0D0000}"/>
    <cellStyle name="20% - 강조색4 66 11" xfId="9724" xr:uid="{00000000-0005-0000-0000-00002C0D0000}"/>
    <cellStyle name="20% - 강조색4 66 12" xfId="8420" xr:uid="{00000000-0005-0000-0000-00002D0D0000}"/>
    <cellStyle name="20% - 강조색4 66 13" xfId="10422" xr:uid="{00000000-0005-0000-0000-00002E0D0000}"/>
    <cellStyle name="20% - 강조색4 66 14" xfId="10860" xr:uid="{00000000-0005-0000-0000-00002F0D0000}"/>
    <cellStyle name="20% - 강조색4 66 15" xfId="8741" xr:uid="{00000000-0005-0000-0000-0000300D0000}"/>
    <cellStyle name="20% - 강조색4 66 2" xfId="6658" xr:uid="{00000000-0005-0000-0000-0000310D0000}"/>
    <cellStyle name="20% - 강조색4 66 3" xfId="6789" xr:uid="{00000000-0005-0000-0000-0000320D0000}"/>
    <cellStyle name="20% - 강조색4 66 4" xfId="7332" xr:uid="{00000000-0005-0000-0000-0000330D0000}"/>
    <cellStyle name="20% - 강조색4 66 5" xfId="1503" xr:uid="{00000000-0005-0000-0000-0000340D0000}"/>
    <cellStyle name="20% - 강조색4 66 6" xfId="6770" xr:uid="{00000000-0005-0000-0000-0000350D0000}"/>
    <cellStyle name="20% - 강조색4 66 7" xfId="2962" xr:uid="{00000000-0005-0000-0000-0000360D0000}"/>
    <cellStyle name="20% - 강조색4 66 8" xfId="8925" xr:uid="{00000000-0005-0000-0000-0000370D0000}"/>
    <cellStyle name="20% - 강조색4 66 9" xfId="8797" xr:uid="{00000000-0005-0000-0000-0000380D0000}"/>
    <cellStyle name="20% - 강조색4 67" xfId="4986" xr:uid="{00000000-0005-0000-0000-0000390D0000}"/>
    <cellStyle name="20% - 강조색4 67 10" xfId="8552" xr:uid="{00000000-0005-0000-0000-00003A0D0000}"/>
    <cellStyle name="20% - 강조색4 67 11" xfId="9768" xr:uid="{00000000-0005-0000-0000-00003B0D0000}"/>
    <cellStyle name="20% - 강조색4 67 12" xfId="10180" xr:uid="{00000000-0005-0000-0000-00003C0D0000}"/>
    <cellStyle name="20% - 강조색4 67 13" xfId="8814" xr:uid="{00000000-0005-0000-0000-00003D0D0000}"/>
    <cellStyle name="20% - 강조색4 67 14" xfId="10771" xr:uid="{00000000-0005-0000-0000-00003E0D0000}"/>
    <cellStyle name="20% - 강조색4 67 15" xfId="10121" xr:uid="{00000000-0005-0000-0000-00003F0D0000}"/>
    <cellStyle name="20% - 강조색4 67 2" xfId="6654" xr:uid="{00000000-0005-0000-0000-0000400D0000}"/>
    <cellStyle name="20% - 강조색4 67 3" xfId="6879" xr:uid="{00000000-0005-0000-0000-0000410D0000}"/>
    <cellStyle name="20% - 강조색4 67 4" xfId="6901" xr:uid="{00000000-0005-0000-0000-0000420D0000}"/>
    <cellStyle name="20% - 강조색4 67 5" xfId="3393" xr:uid="{00000000-0005-0000-0000-0000430D0000}"/>
    <cellStyle name="20% - 강조색4 67 6" xfId="7963" xr:uid="{00000000-0005-0000-0000-0000440D0000}"/>
    <cellStyle name="20% - 강조색4 67 7" xfId="787" xr:uid="{00000000-0005-0000-0000-0000450D0000}"/>
    <cellStyle name="20% - 강조색4 67 8" xfId="8851" xr:uid="{00000000-0005-0000-0000-0000460D0000}"/>
    <cellStyle name="20% - 강조색4 67 9" xfId="9209" xr:uid="{00000000-0005-0000-0000-0000470D0000}"/>
    <cellStyle name="20% - 강조색4 68" xfId="6327" xr:uid="{00000000-0005-0000-0000-0000480D0000}"/>
    <cellStyle name="20% - 강조색4 68 10" xfId="8192" xr:uid="{00000000-0005-0000-0000-0000490D0000}"/>
    <cellStyle name="20% - 강조색4 68 11" xfId="10276" xr:uid="{00000000-0005-0000-0000-00004A0D0000}"/>
    <cellStyle name="20% - 강조색4 68 12" xfId="9443" xr:uid="{00000000-0005-0000-0000-00004B0D0000}"/>
    <cellStyle name="20% - 강조색4 68 13" xfId="10765" xr:uid="{00000000-0005-0000-0000-00004C0D0000}"/>
    <cellStyle name="20% - 강조색4 68 14" xfId="11116" xr:uid="{00000000-0005-0000-0000-00004D0D0000}"/>
    <cellStyle name="20% - 강조색4 68 2" xfId="7343" xr:uid="{00000000-0005-0000-0000-00004E0D0000}"/>
    <cellStyle name="20% - 강조색4 68 3" xfId="7380" xr:uid="{00000000-0005-0000-0000-00004F0D0000}"/>
    <cellStyle name="20% - 강조색4 68 4" xfId="7869" xr:uid="{00000000-0005-0000-0000-0000500D0000}"/>
    <cellStyle name="20% - 강조색4 68 5" xfId="2182" xr:uid="{00000000-0005-0000-0000-0000510D0000}"/>
    <cellStyle name="20% - 강조색4 68 6" xfId="810" xr:uid="{00000000-0005-0000-0000-0000520D0000}"/>
    <cellStyle name="20% - 강조색4 68 7" xfId="9009" xr:uid="{00000000-0005-0000-0000-0000530D0000}"/>
    <cellStyle name="20% - 강조색4 68 8" xfId="8016" xr:uid="{00000000-0005-0000-0000-0000540D0000}"/>
    <cellStyle name="20% - 강조색4 68 9" xfId="7729" xr:uid="{00000000-0005-0000-0000-0000550D0000}"/>
    <cellStyle name="20% - 강조색4 69" xfId="7027" xr:uid="{00000000-0005-0000-0000-0000560D0000}"/>
    <cellStyle name="20% - 강조색4 69 10" xfId="10667" xr:uid="{00000000-0005-0000-0000-0000570D0000}"/>
    <cellStyle name="20% - 강조색4 69 11" xfId="10794" xr:uid="{00000000-0005-0000-0000-0000580D0000}"/>
    <cellStyle name="20% - 강조색4 69 12" xfId="3520" xr:uid="{00000000-0005-0000-0000-0000590D0000}"/>
    <cellStyle name="20% - 강조색4 69 2" xfId="7881" xr:uid="{00000000-0005-0000-0000-00005A0D0000}"/>
    <cellStyle name="20% - 강조색4 69 3" xfId="8275" xr:uid="{00000000-0005-0000-0000-00005B0D0000}"/>
    <cellStyle name="20% - 강조색4 69 4" xfId="8139" xr:uid="{00000000-0005-0000-0000-00005C0D0000}"/>
    <cellStyle name="20% - 강조색4 69 5" xfId="4694" xr:uid="{00000000-0005-0000-0000-00005D0D0000}"/>
    <cellStyle name="20% - 강조색4 69 6" xfId="7697" xr:uid="{00000000-0005-0000-0000-00005E0D0000}"/>
    <cellStyle name="20% - 강조색4 69 7" xfId="8754" xr:uid="{00000000-0005-0000-0000-00005F0D0000}"/>
    <cellStyle name="20% - 강조색4 69 8" xfId="9941" xr:uid="{00000000-0005-0000-0000-0000600D0000}"/>
    <cellStyle name="20% - 강조색4 69 9" xfId="10289" xr:uid="{00000000-0005-0000-0000-0000610D0000}"/>
    <cellStyle name="20% - 강조색4 7" xfId="113" xr:uid="{00000000-0005-0000-0000-0000620D0000}"/>
    <cellStyle name="20% - 강조색4 70" xfId="7369" xr:uid="{00000000-0005-0000-0000-0000630D0000}"/>
    <cellStyle name="20% - 강조색4 70 10" xfId="10471" xr:uid="{00000000-0005-0000-0000-0000640D0000}"/>
    <cellStyle name="20% - 강조색4 70 11" xfId="10766" xr:uid="{00000000-0005-0000-0000-0000650D0000}"/>
    <cellStyle name="20% - 강조색4 70 12" xfId="11045" xr:uid="{00000000-0005-0000-0000-0000660D0000}"/>
    <cellStyle name="20% - 강조색4 70 2" xfId="7897" xr:uid="{00000000-0005-0000-0000-0000670D0000}"/>
    <cellStyle name="20% - 강조색4 70 3" xfId="8291" xr:uid="{00000000-0005-0000-0000-0000680D0000}"/>
    <cellStyle name="20% - 강조색4 70 4" xfId="8653" xr:uid="{00000000-0005-0000-0000-0000690D0000}"/>
    <cellStyle name="20% - 강조색4 70 5" xfId="7553" xr:uid="{00000000-0005-0000-0000-00006A0D0000}"/>
    <cellStyle name="20% - 강조색4 70 6" xfId="7439" xr:uid="{00000000-0005-0000-0000-00006B0D0000}"/>
    <cellStyle name="20% - 강조색4 70 7" xfId="9470" xr:uid="{00000000-0005-0000-0000-00006C0D0000}"/>
    <cellStyle name="20% - 강조색4 70 8" xfId="9796" xr:uid="{00000000-0005-0000-0000-00006D0D0000}"/>
    <cellStyle name="20% - 강조색4 70 9" xfId="10209" xr:uid="{00000000-0005-0000-0000-00006E0D0000}"/>
    <cellStyle name="20% - 강조색4 71" xfId="7849" xr:uid="{00000000-0005-0000-0000-00006F0D0000}"/>
    <cellStyle name="20% - 강조색4 71 10" xfId="10838" xr:uid="{00000000-0005-0000-0000-0000700D0000}"/>
    <cellStyle name="20% - 강조색4 71 11" xfId="11202" xr:uid="{00000000-0005-0000-0000-0000710D0000}"/>
    <cellStyle name="20% - 강조색4 71 2" xfId="8302" xr:uid="{00000000-0005-0000-0000-0000720D0000}"/>
    <cellStyle name="20% - 강조색4 71 3" xfId="8664" xr:uid="{00000000-0005-0000-0000-0000730D0000}"/>
    <cellStyle name="20% - 강조색4 71 4" xfId="9028" xr:uid="{00000000-0005-0000-0000-0000740D0000}"/>
    <cellStyle name="20% - 강조색4 71 5" xfId="9386" xr:uid="{00000000-0005-0000-0000-0000750D0000}"/>
    <cellStyle name="20% - 강조색4 71 6" xfId="3888" xr:uid="{00000000-0005-0000-0000-0000760D0000}"/>
    <cellStyle name="20% - 강조색4 71 7" xfId="9873" xr:uid="{00000000-0005-0000-0000-0000770D0000}"/>
    <cellStyle name="20% - 강조색4 71 8" xfId="10249" xr:uid="{00000000-0005-0000-0000-0000780D0000}"/>
    <cellStyle name="20% - 강조색4 71 9" xfId="10525" xr:uid="{00000000-0005-0000-0000-0000790D0000}"/>
    <cellStyle name="20% - 강조색4 72" xfId="8166" xr:uid="{00000000-0005-0000-0000-00007A0D0000}"/>
    <cellStyle name="20% - 강조색4 72 10" xfId="7700" xr:uid="{00000000-0005-0000-0000-00007B0D0000}"/>
    <cellStyle name="20% - 강조색4 72 2" xfId="8669" xr:uid="{00000000-0005-0000-0000-00007C0D0000}"/>
    <cellStyle name="20% - 강조색4 72 3" xfId="9033" xr:uid="{00000000-0005-0000-0000-00007D0D0000}"/>
    <cellStyle name="20% - 강조색4 72 4" xfId="9392" xr:uid="{00000000-0005-0000-0000-00007E0D0000}"/>
    <cellStyle name="20% - 강조색4 72 5" xfId="9607" xr:uid="{00000000-0005-0000-0000-00007F0D0000}"/>
    <cellStyle name="20% - 강조색4 72 6" xfId="9951" xr:uid="{00000000-0005-0000-0000-0000800D0000}"/>
    <cellStyle name="20% - 강조색4 72 7" xfId="8715" xr:uid="{00000000-0005-0000-0000-0000810D0000}"/>
    <cellStyle name="20% - 강조색4 72 8" xfId="9211" xr:uid="{00000000-0005-0000-0000-0000820D0000}"/>
    <cellStyle name="20% - 강조색4 72 9" xfId="10984" xr:uid="{00000000-0005-0000-0000-0000830D0000}"/>
    <cellStyle name="20% - 강조색4 73" xfId="8629" xr:uid="{00000000-0005-0000-0000-0000840D0000}"/>
    <cellStyle name="20% - 강조색4 73 2" xfId="9047" xr:uid="{00000000-0005-0000-0000-0000850D0000}"/>
    <cellStyle name="20% - 강조색4 73 3" xfId="9406" xr:uid="{00000000-0005-0000-0000-0000860D0000}"/>
    <cellStyle name="20% - 강조색4 73 4" xfId="9738" xr:uid="{00000000-0005-0000-0000-0000870D0000}"/>
    <cellStyle name="20% - 강조색4 73 5" xfId="10064" xr:uid="{00000000-0005-0000-0000-0000880D0000}"/>
    <cellStyle name="20% - 강조색4 73 6" xfId="10195" xr:uid="{00000000-0005-0000-0000-0000890D0000}"/>
    <cellStyle name="20% - 강조색4 73 7" xfId="8490" xr:uid="{00000000-0005-0000-0000-00008A0D0000}"/>
    <cellStyle name="20% - 강조색4 73 8" xfId="10760" xr:uid="{00000000-0005-0000-0000-00008B0D0000}"/>
    <cellStyle name="20% - 강조색4 73 9" xfId="11180" xr:uid="{00000000-0005-0000-0000-00008C0D0000}"/>
    <cellStyle name="20% - 강조색4 74" xfId="9005" xr:uid="{00000000-0005-0000-0000-00008D0D0000}"/>
    <cellStyle name="20% - 강조색4 74 2" xfId="9415" xr:uid="{00000000-0005-0000-0000-00008E0D0000}"/>
    <cellStyle name="20% - 강조색4 74 3" xfId="9747" xr:uid="{00000000-0005-0000-0000-00008F0D0000}"/>
    <cellStyle name="20% - 강조색4 74 4" xfId="10073" xr:uid="{00000000-0005-0000-0000-0000900D0000}"/>
    <cellStyle name="20% - 강조색4 74 5" xfId="10386" xr:uid="{00000000-0005-0000-0000-0000910D0000}"/>
    <cellStyle name="20% - 강조색4 74 6" xfId="10161" xr:uid="{00000000-0005-0000-0000-0000920D0000}"/>
    <cellStyle name="20% - 강조색4 74 7" xfId="10752" xr:uid="{00000000-0005-0000-0000-0000930D0000}"/>
    <cellStyle name="20% - 강조색4 74 8" xfId="10473" xr:uid="{00000000-0005-0000-0000-0000940D0000}"/>
    <cellStyle name="20% - 강조색4 75" xfId="9374" xr:uid="{00000000-0005-0000-0000-0000950D0000}"/>
    <cellStyle name="20% - 강조색4 75 2" xfId="9756" xr:uid="{00000000-0005-0000-0000-0000960D0000}"/>
    <cellStyle name="20% - 강조색4 75 3" xfId="10082" xr:uid="{00000000-0005-0000-0000-0000970D0000}"/>
    <cellStyle name="20% - 강조색4 75 4" xfId="10395" xr:uid="{00000000-0005-0000-0000-0000980D0000}"/>
    <cellStyle name="20% - 강조색4 75 5" xfId="10704" xr:uid="{00000000-0005-0000-0000-0000990D0000}"/>
    <cellStyle name="20% - 강조색4 75 6" xfId="6704" xr:uid="{00000000-0005-0000-0000-00009A0D0000}"/>
    <cellStyle name="20% - 강조색4 75 7" xfId="10055" xr:uid="{00000000-0005-0000-0000-00009B0D0000}"/>
    <cellStyle name="20% - 강조색4 76" xfId="4813" xr:uid="{00000000-0005-0000-0000-00009C0D0000}"/>
    <cellStyle name="20% - 강조색4 76 2" xfId="9966" xr:uid="{00000000-0005-0000-0000-00009D0D0000}"/>
    <cellStyle name="20% - 강조색4 76 3" xfId="10347" xr:uid="{00000000-0005-0000-0000-00009E0D0000}"/>
    <cellStyle name="20% - 강조색4 76 4" xfId="9762" xr:uid="{00000000-0005-0000-0000-00009F0D0000}"/>
    <cellStyle name="20% - 강조색4 76 5" xfId="2744" xr:uid="{00000000-0005-0000-0000-0000A00D0000}"/>
    <cellStyle name="20% - 강조색4 76 6" xfId="10733" xr:uid="{00000000-0005-0000-0000-0000A10D0000}"/>
    <cellStyle name="20% - 강조색4 77" xfId="9993" xr:uid="{00000000-0005-0000-0000-0000A20D0000}"/>
    <cellStyle name="20% - 강조색4 77 2" xfId="10411" xr:uid="{00000000-0005-0000-0000-0000A30D0000}"/>
    <cellStyle name="20% - 강조색4 77 3" xfId="10722" xr:uid="{00000000-0005-0000-0000-0000A40D0000}"/>
    <cellStyle name="20% - 강조색4 77 4" xfId="11006" xr:uid="{00000000-0005-0000-0000-0000A50D0000}"/>
    <cellStyle name="20% - 강조색4 77 5" xfId="11282" xr:uid="{00000000-0005-0000-0000-0000A60D0000}"/>
    <cellStyle name="20% - 강조색4 78" xfId="10375" xr:uid="{00000000-0005-0000-0000-0000A70D0000}"/>
    <cellStyle name="20% - 강조색4 78 2" xfId="10731" xr:uid="{00000000-0005-0000-0000-0000A80D0000}"/>
    <cellStyle name="20% - 강조색4 78 3" xfId="11015" xr:uid="{00000000-0005-0000-0000-0000A90D0000}"/>
    <cellStyle name="20% - 강조색4 78 4" xfId="11292" xr:uid="{00000000-0005-0000-0000-0000AA0D0000}"/>
    <cellStyle name="20% - 강조색4 79" xfId="10683" xr:uid="{00000000-0005-0000-0000-0000AB0D0000}"/>
    <cellStyle name="20% - 강조색4 79 2" xfId="11023" xr:uid="{00000000-0005-0000-0000-0000AC0D0000}"/>
    <cellStyle name="20% - 강조색4 79 3" xfId="11301" xr:uid="{00000000-0005-0000-0000-0000AD0D0000}"/>
    <cellStyle name="20% - 강조색4 8" xfId="126" xr:uid="{00000000-0005-0000-0000-0000AE0D0000}"/>
    <cellStyle name="20% - 강조색4 80" xfId="10987" xr:uid="{00000000-0005-0000-0000-0000AF0D0000}"/>
    <cellStyle name="20% - 강조색4 80 2" xfId="11312" xr:uid="{00000000-0005-0000-0000-0000B00D0000}"/>
    <cellStyle name="20% - 강조색4 81" xfId="11272" xr:uid="{00000000-0005-0000-0000-0000B10D0000}"/>
    <cellStyle name="20% - 강조색4 82" xfId="1186" xr:uid="{00000000-0005-0000-0000-0000B20D0000}"/>
    <cellStyle name="20% - 강조색4 83" xfId="11358" xr:uid="{00000000-0005-0000-0000-0000B30D0000}"/>
    <cellStyle name="20% - 강조색4 84" xfId="11351" xr:uid="{00000000-0005-0000-0000-0000B40D0000}"/>
    <cellStyle name="20% - 강조색4 85" xfId="11422" xr:uid="{00000000-0005-0000-0000-0000B50D0000}"/>
    <cellStyle name="20% - 강조색4 86" xfId="11444" xr:uid="{00000000-0005-0000-0000-0000B60D0000}"/>
    <cellStyle name="20% - 강조색4 9" xfId="139" xr:uid="{00000000-0005-0000-0000-0000B70D0000}"/>
    <cellStyle name="20% - 강조색5" xfId="37" builtinId="46" customBuiltin="1"/>
    <cellStyle name="20% - 강조색5 10" xfId="176" xr:uid="{00000000-0005-0000-0000-0000B90D0000}"/>
    <cellStyle name="20% - 강조색5 11" xfId="189" xr:uid="{00000000-0005-0000-0000-0000BA0D0000}"/>
    <cellStyle name="20% - 강조색5 12" xfId="202" xr:uid="{00000000-0005-0000-0000-0000BB0D0000}"/>
    <cellStyle name="20% - 강조색5 13" xfId="215" xr:uid="{00000000-0005-0000-0000-0000BC0D0000}"/>
    <cellStyle name="20% - 강조색5 14" xfId="228" xr:uid="{00000000-0005-0000-0000-0000BD0D0000}"/>
    <cellStyle name="20% - 강조색5 15" xfId="241" xr:uid="{00000000-0005-0000-0000-0000BE0D0000}"/>
    <cellStyle name="20% - 강조색5 16" xfId="254" xr:uid="{00000000-0005-0000-0000-0000BF0D0000}"/>
    <cellStyle name="20% - 강조색5 17" xfId="267" xr:uid="{00000000-0005-0000-0000-0000C00D0000}"/>
    <cellStyle name="20% - 강조색5 18" xfId="280" xr:uid="{00000000-0005-0000-0000-0000C10D0000}"/>
    <cellStyle name="20% - 강조색5 19" xfId="293" xr:uid="{00000000-0005-0000-0000-0000C20D0000}"/>
    <cellStyle name="20% - 강조색5 2" xfId="54" xr:uid="{00000000-0005-0000-0000-0000C30D0000}"/>
    <cellStyle name="20% - 강조색5 20" xfId="306" xr:uid="{00000000-0005-0000-0000-0000C40D0000}"/>
    <cellStyle name="20% - 강조색5 21" xfId="319" xr:uid="{00000000-0005-0000-0000-0000C50D0000}"/>
    <cellStyle name="20% - 강조색5 22" xfId="332" xr:uid="{00000000-0005-0000-0000-0000C60D0000}"/>
    <cellStyle name="20% - 강조색5 23" xfId="345" xr:uid="{00000000-0005-0000-0000-0000C70D0000}"/>
    <cellStyle name="20% - 강조색5 24" xfId="358" xr:uid="{00000000-0005-0000-0000-0000C80D0000}"/>
    <cellStyle name="20% - 강조색5 25" xfId="371" xr:uid="{00000000-0005-0000-0000-0000C90D0000}"/>
    <cellStyle name="20% - 강조색5 26" xfId="384" xr:uid="{00000000-0005-0000-0000-0000CA0D0000}"/>
    <cellStyle name="20% - 강조색5 27" xfId="397" xr:uid="{00000000-0005-0000-0000-0000CB0D0000}"/>
    <cellStyle name="20% - 강조색5 28" xfId="410" xr:uid="{00000000-0005-0000-0000-0000CC0D0000}"/>
    <cellStyle name="20% - 강조색5 29" xfId="423" xr:uid="{00000000-0005-0000-0000-0000CD0D0000}"/>
    <cellStyle name="20% - 강조색5 3" xfId="84" xr:uid="{00000000-0005-0000-0000-0000CE0D0000}"/>
    <cellStyle name="20% - 강조색5 30" xfId="436" xr:uid="{00000000-0005-0000-0000-0000CF0D0000}"/>
    <cellStyle name="20% - 강조색5 31" xfId="448" xr:uid="{00000000-0005-0000-0000-0000D00D0000}"/>
    <cellStyle name="20% - 강조색5 32" xfId="460" xr:uid="{00000000-0005-0000-0000-0000D10D0000}"/>
    <cellStyle name="20% - 강조색5 33" xfId="472" xr:uid="{00000000-0005-0000-0000-0000D20D0000}"/>
    <cellStyle name="20% - 강조색5 34" xfId="484" xr:uid="{00000000-0005-0000-0000-0000D30D0000}"/>
    <cellStyle name="20% - 강조색5 35" xfId="495" xr:uid="{00000000-0005-0000-0000-0000D40D0000}"/>
    <cellStyle name="20% - 강조색5 36" xfId="506" xr:uid="{00000000-0005-0000-0000-0000D50D0000}"/>
    <cellStyle name="20% - 강조색5 37" xfId="517" xr:uid="{00000000-0005-0000-0000-0000D60D0000}"/>
    <cellStyle name="20% - 강조색5 38" xfId="527" xr:uid="{00000000-0005-0000-0000-0000D70D0000}"/>
    <cellStyle name="20% - 강조색5 39" xfId="535" xr:uid="{00000000-0005-0000-0000-0000D80D0000}"/>
    <cellStyle name="20% - 강조색5 4" xfId="98" xr:uid="{00000000-0005-0000-0000-0000D90D0000}"/>
    <cellStyle name="20% - 강조색5 40" xfId="553" xr:uid="{00000000-0005-0000-0000-0000DA0D0000}"/>
    <cellStyle name="20% - 강조색5 40 10" xfId="2485" xr:uid="{00000000-0005-0000-0000-0000DB0D0000}"/>
    <cellStyle name="20% - 강조색5 40 11" xfId="1945" xr:uid="{00000000-0005-0000-0000-0000DC0D0000}"/>
    <cellStyle name="20% - 강조색5 40 12" xfId="3981" xr:uid="{00000000-0005-0000-0000-0000DD0D0000}"/>
    <cellStyle name="20% - 강조색5 40 13" xfId="4143" xr:uid="{00000000-0005-0000-0000-0000DE0D0000}"/>
    <cellStyle name="20% - 강조색5 40 14" xfId="4670" xr:uid="{00000000-0005-0000-0000-0000DF0D0000}"/>
    <cellStyle name="20% - 강조색5 40 15" xfId="3388" xr:uid="{00000000-0005-0000-0000-0000E00D0000}"/>
    <cellStyle name="20% - 강조색5 40 16" xfId="5398" xr:uid="{00000000-0005-0000-0000-0000E10D0000}"/>
    <cellStyle name="20% - 강조색5 40 17" xfId="5513" xr:uid="{00000000-0005-0000-0000-0000E20D0000}"/>
    <cellStyle name="20% - 강조색5 40 18" xfId="1906" xr:uid="{00000000-0005-0000-0000-0000E30D0000}"/>
    <cellStyle name="20% - 강조색5 40 19" xfId="6603" xr:uid="{00000000-0005-0000-0000-0000E40D0000}"/>
    <cellStyle name="20% - 강조색5 40 2" xfId="601" xr:uid="{00000000-0005-0000-0000-0000E50D0000}"/>
    <cellStyle name="20% - 강조색5 40 20" xfId="6735" xr:uid="{00000000-0005-0000-0000-0000E60D0000}"/>
    <cellStyle name="20% - 강조색5 40 21" xfId="6380" xr:uid="{00000000-0005-0000-0000-0000E70D0000}"/>
    <cellStyle name="20% - 강조색5 40 22" xfId="7766" xr:uid="{00000000-0005-0000-0000-0000E80D0000}"/>
    <cellStyle name="20% - 강조색5 40 23" xfId="4184" xr:uid="{00000000-0005-0000-0000-0000E90D0000}"/>
    <cellStyle name="20% - 강조색5 40 24" xfId="8514" xr:uid="{00000000-0005-0000-0000-0000EA0D0000}"/>
    <cellStyle name="20% - 강조색5 40 25" xfId="1518" xr:uid="{00000000-0005-0000-0000-0000EB0D0000}"/>
    <cellStyle name="20% - 강조색5 40 26" xfId="9135" xr:uid="{00000000-0005-0000-0000-0000EC0D0000}"/>
    <cellStyle name="20% - 강조색5 40 27" xfId="9620" xr:uid="{00000000-0005-0000-0000-0000ED0D0000}"/>
    <cellStyle name="20% - 강조색5 40 28" xfId="9868" xr:uid="{00000000-0005-0000-0000-0000EE0D0000}"/>
    <cellStyle name="20% - 강조색5 40 29" xfId="6088" xr:uid="{00000000-0005-0000-0000-0000EF0D0000}"/>
    <cellStyle name="20% - 강조색5 40 3" xfId="1012" xr:uid="{00000000-0005-0000-0000-0000F00D0000}"/>
    <cellStyle name="20% - 강조색5 40 30" xfId="10665" xr:uid="{00000000-0005-0000-0000-0000F10D0000}"/>
    <cellStyle name="20% - 강조색5 40 31" xfId="10954" xr:uid="{00000000-0005-0000-0000-0000F20D0000}"/>
    <cellStyle name="20% - 강조색5 40 32" xfId="11026" xr:uid="{00000000-0005-0000-0000-0000F30D0000}"/>
    <cellStyle name="20% - 강조색5 40 33" xfId="11323" xr:uid="{00000000-0005-0000-0000-0000F40D0000}"/>
    <cellStyle name="20% - 강조색5 40 34" xfId="558" xr:uid="{00000000-0005-0000-0000-0000F50D0000}"/>
    <cellStyle name="20% - 강조색5 40 35" xfId="11357" xr:uid="{00000000-0005-0000-0000-0000F60D0000}"/>
    <cellStyle name="20% - 강조색5 40 36" xfId="11391" xr:uid="{00000000-0005-0000-0000-0000F70D0000}"/>
    <cellStyle name="20% - 강조색5 40 4" xfId="1276" xr:uid="{00000000-0005-0000-0000-0000F80D0000}"/>
    <cellStyle name="20% - 강조색5 40 5" xfId="1663" xr:uid="{00000000-0005-0000-0000-0000F90D0000}"/>
    <cellStyle name="20% - 강조색5 40 6" xfId="1358" xr:uid="{00000000-0005-0000-0000-0000FA0D0000}"/>
    <cellStyle name="20% - 강조색5 40 7" xfId="2316" xr:uid="{00000000-0005-0000-0000-0000FB0D0000}"/>
    <cellStyle name="20% - 강조색5 40 8" xfId="2684" xr:uid="{00000000-0005-0000-0000-0000FC0D0000}"/>
    <cellStyle name="20% - 강조색5 40 9" xfId="2993" xr:uid="{00000000-0005-0000-0000-0000FD0D0000}"/>
    <cellStyle name="20% - 강조색5 41" xfId="643" xr:uid="{00000000-0005-0000-0000-0000FE0D0000}"/>
    <cellStyle name="20% - 강조색5 41 10" xfId="3315" xr:uid="{00000000-0005-0000-0000-0000FF0D0000}"/>
    <cellStyle name="20% - 강조색5 41 11" xfId="3507" xr:uid="{00000000-0005-0000-0000-0000000E0000}"/>
    <cellStyle name="20% - 강조색5 41 12" xfId="4042" xr:uid="{00000000-0005-0000-0000-0000010E0000}"/>
    <cellStyle name="20% - 강조색5 41 13" xfId="4360" xr:uid="{00000000-0005-0000-0000-0000020E0000}"/>
    <cellStyle name="20% - 강조색5 41 14" xfId="3800" xr:uid="{00000000-0005-0000-0000-0000030E0000}"/>
    <cellStyle name="20% - 강조색5 41 15" xfId="916" xr:uid="{00000000-0005-0000-0000-0000040E0000}"/>
    <cellStyle name="20% - 강조색5 41 16" xfId="4881" xr:uid="{00000000-0005-0000-0000-0000050E0000}"/>
    <cellStyle name="20% - 강조색5 41 17" xfId="5495" xr:uid="{00000000-0005-0000-0000-0000060E0000}"/>
    <cellStyle name="20% - 강조색5 41 18" xfId="4466" xr:uid="{00000000-0005-0000-0000-0000070E0000}"/>
    <cellStyle name="20% - 강조색5 41 19" xfId="3929" xr:uid="{00000000-0005-0000-0000-0000080E0000}"/>
    <cellStyle name="20% - 강조색5 41 2" xfId="1146" xr:uid="{00000000-0005-0000-0000-0000090E0000}"/>
    <cellStyle name="20% - 강조색5 41 20" xfId="7117" xr:uid="{00000000-0005-0000-0000-00000A0E0000}"/>
    <cellStyle name="20% - 강조색5 41 21" xfId="6592" xr:uid="{00000000-0005-0000-0000-00000B0E0000}"/>
    <cellStyle name="20% - 강조색5 41 22" xfId="4275" xr:uid="{00000000-0005-0000-0000-00000C0E0000}"/>
    <cellStyle name="20% - 강조색5 41 23" xfId="8091" xr:uid="{00000000-0005-0000-0000-00000D0E0000}"/>
    <cellStyle name="20% - 강조색5 41 24" xfId="8383" xr:uid="{00000000-0005-0000-0000-00000E0E0000}"/>
    <cellStyle name="20% - 강조색5 41 25" xfId="8698" xr:uid="{00000000-0005-0000-0000-00000F0E0000}"/>
    <cellStyle name="20% - 강조색5 41 26" xfId="6820" xr:uid="{00000000-0005-0000-0000-0000100E0000}"/>
    <cellStyle name="20% - 강조색5 41 27" xfId="9491" xr:uid="{00000000-0005-0000-0000-0000110E0000}"/>
    <cellStyle name="20% - 강조색5 41 28" xfId="9957" xr:uid="{00000000-0005-0000-0000-0000120E0000}"/>
    <cellStyle name="20% - 강조색5 41 29" xfId="2088" xr:uid="{00000000-0005-0000-0000-0000130E0000}"/>
    <cellStyle name="20% - 강조색5 41 3" xfId="1226" xr:uid="{00000000-0005-0000-0000-0000140E0000}"/>
    <cellStyle name="20% - 강조색5 41 30" xfId="6711" xr:uid="{00000000-0005-0000-0000-0000150E0000}"/>
    <cellStyle name="20% - 강조색5 41 31" xfId="4427" xr:uid="{00000000-0005-0000-0000-0000160E0000}"/>
    <cellStyle name="20% - 강조색5 41 32" xfId="11207" xr:uid="{00000000-0005-0000-0000-0000170E0000}"/>
    <cellStyle name="20% - 강조색5 41 4" xfId="1318" xr:uid="{00000000-0005-0000-0000-0000180E0000}"/>
    <cellStyle name="20% - 강조색5 41 5" xfId="1759" xr:uid="{00000000-0005-0000-0000-0000190E0000}"/>
    <cellStyle name="20% - 강조색5 41 6" xfId="1539" xr:uid="{00000000-0005-0000-0000-00001A0E0000}"/>
    <cellStyle name="20% - 강조색5 41 7" xfId="2313" xr:uid="{00000000-0005-0000-0000-00001B0E0000}"/>
    <cellStyle name="20% - 강조색5 41 8" xfId="837" xr:uid="{00000000-0005-0000-0000-00001C0E0000}"/>
    <cellStyle name="20% - 강조색5 41 9" xfId="2985" xr:uid="{00000000-0005-0000-0000-00001D0E0000}"/>
    <cellStyle name="20% - 강조색5 42" xfId="644" xr:uid="{00000000-0005-0000-0000-00001E0E0000}"/>
    <cellStyle name="20% - 강조색5 42 10" xfId="3301" xr:uid="{00000000-0005-0000-0000-00001F0E0000}"/>
    <cellStyle name="20% - 강조색5 42 11" xfId="1443" xr:uid="{00000000-0005-0000-0000-0000200E0000}"/>
    <cellStyle name="20% - 강조색5 42 12" xfId="3046" xr:uid="{00000000-0005-0000-0000-0000210E0000}"/>
    <cellStyle name="20% - 강조색5 42 13" xfId="4306" xr:uid="{00000000-0005-0000-0000-0000220E0000}"/>
    <cellStyle name="20% - 강조색5 42 14" xfId="4588" xr:uid="{00000000-0005-0000-0000-0000230E0000}"/>
    <cellStyle name="20% - 강조색5 42 15" xfId="5637" xr:uid="{00000000-0005-0000-0000-0000240E0000}"/>
    <cellStyle name="20% - 강조색5 42 16" xfId="5704" xr:uid="{00000000-0005-0000-0000-0000250E0000}"/>
    <cellStyle name="20% - 강조색5 42 17" xfId="5713" xr:uid="{00000000-0005-0000-0000-0000260E0000}"/>
    <cellStyle name="20% - 강조색5 42 18" xfId="5578" xr:uid="{00000000-0005-0000-0000-0000270E0000}"/>
    <cellStyle name="20% - 강조색5 42 19" xfId="6376" xr:uid="{00000000-0005-0000-0000-0000280E0000}"/>
    <cellStyle name="20% - 강조색5 42 2" xfId="1147" xr:uid="{00000000-0005-0000-0000-0000290E0000}"/>
    <cellStyle name="20% - 강조색5 42 20" xfId="7104" xr:uid="{00000000-0005-0000-0000-00002A0E0000}"/>
    <cellStyle name="20% - 강조색5 42 21" xfId="4282" xr:uid="{00000000-0005-0000-0000-00002B0E0000}"/>
    <cellStyle name="20% - 강조색5 42 22" xfId="4453" xr:uid="{00000000-0005-0000-0000-00002C0E0000}"/>
    <cellStyle name="20% - 강조색5 42 23" xfId="7611" xr:uid="{00000000-0005-0000-0000-00002D0E0000}"/>
    <cellStyle name="20% - 강조색5 42 24" xfId="3814" xr:uid="{00000000-0005-0000-0000-00002E0E0000}"/>
    <cellStyle name="20% - 강조색5 42 25" xfId="8855" xr:uid="{00000000-0005-0000-0000-00002F0E0000}"/>
    <cellStyle name="20% - 강조색5 42 26" xfId="9325" xr:uid="{00000000-0005-0000-0000-0000300E0000}"/>
    <cellStyle name="20% - 강조색5 42 27" xfId="9686" xr:uid="{00000000-0005-0000-0000-0000310E0000}"/>
    <cellStyle name="20% - 강조색5 42 28" xfId="3749" xr:uid="{00000000-0005-0000-0000-0000320E0000}"/>
    <cellStyle name="20% - 강조색5 42 29" xfId="10299" xr:uid="{00000000-0005-0000-0000-0000330E0000}"/>
    <cellStyle name="20% - 강조색5 42 3" xfId="1227" xr:uid="{00000000-0005-0000-0000-0000340E0000}"/>
    <cellStyle name="20% - 강조색5 42 30" xfId="10659" xr:uid="{00000000-0005-0000-0000-0000350E0000}"/>
    <cellStyle name="20% - 강조색5 42 31" xfId="9150" xr:uid="{00000000-0005-0000-0000-0000360E0000}"/>
    <cellStyle name="20% - 강조색5 42 32" xfId="11074" xr:uid="{00000000-0005-0000-0000-0000370E0000}"/>
    <cellStyle name="20% - 강조색5 42 4" xfId="1319" xr:uid="{00000000-0005-0000-0000-0000380E0000}"/>
    <cellStyle name="20% - 강조색5 42 5" xfId="1682" xr:uid="{00000000-0005-0000-0000-0000390E0000}"/>
    <cellStyle name="20% - 강조색5 42 6" xfId="2057" xr:uid="{00000000-0005-0000-0000-00003A0E0000}"/>
    <cellStyle name="20% - 강조색5 42 7" xfId="2327" xr:uid="{00000000-0005-0000-0000-00003B0E0000}"/>
    <cellStyle name="20% - 강조색5 42 8" xfId="2643" xr:uid="{00000000-0005-0000-0000-00003C0E0000}"/>
    <cellStyle name="20% - 강조색5 42 9" xfId="2824" xr:uid="{00000000-0005-0000-0000-00003D0E0000}"/>
    <cellStyle name="20% - 강조색5 43" xfId="648" xr:uid="{00000000-0005-0000-0000-00003E0E0000}"/>
    <cellStyle name="20% - 강조색5 43 10" xfId="697" xr:uid="{00000000-0005-0000-0000-00003F0E0000}"/>
    <cellStyle name="20% - 강조색5 43 11" xfId="3411" xr:uid="{00000000-0005-0000-0000-0000400E0000}"/>
    <cellStyle name="20% - 강조색5 43 12" xfId="3865" xr:uid="{00000000-0005-0000-0000-0000410E0000}"/>
    <cellStyle name="20% - 강조색5 43 13" xfId="4301" xr:uid="{00000000-0005-0000-0000-0000420E0000}"/>
    <cellStyle name="20% - 강조색5 43 14" xfId="4577" xr:uid="{00000000-0005-0000-0000-0000430E0000}"/>
    <cellStyle name="20% - 강조색5 43 15" xfId="4988" xr:uid="{00000000-0005-0000-0000-0000440E0000}"/>
    <cellStyle name="20% - 강조색5 43 16" xfId="1990" xr:uid="{00000000-0005-0000-0000-0000450E0000}"/>
    <cellStyle name="20% - 강조색5 43 17" xfId="786" xr:uid="{00000000-0005-0000-0000-0000460E0000}"/>
    <cellStyle name="20% - 강조색5 43 18" xfId="5537" xr:uid="{00000000-0005-0000-0000-0000470E0000}"/>
    <cellStyle name="20% - 강조색5 43 19" xfId="6612" xr:uid="{00000000-0005-0000-0000-0000480E0000}"/>
    <cellStyle name="20% - 강조색5 43 2" xfId="1151" xr:uid="{00000000-0005-0000-0000-0000490E0000}"/>
    <cellStyle name="20% - 강조색5 43 20" xfId="6213" xr:uid="{00000000-0005-0000-0000-00004A0E0000}"/>
    <cellStyle name="20% - 강조색5 43 21" xfId="4424" xr:uid="{00000000-0005-0000-0000-00004B0E0000}"/>
    <cellStyle name="20% - 강조색5 43 22" xfId="7593" xr:uid="{00000000-0005-0000-0000-00004C0E0000}"/>
    <cellStyle name="20% - 강조색5 43 23" xfId="7995" xr:uid="{00000000-0005-0000-0000-00004D0E0000}"/>
    <cellStyle name="20% - 강조색5 43 24" xfId="8393" xr:uid="{00000000-0005-0000-0000-00004E0E0000}"/>
    <cellStyle name="20% - 강조색5 43 25" xfId="7549" xr:uid="{00000000-0005-0000-0000-00004F0E0000}"/>
    <cellStyle name="20% - 강조색5 43 26" xfId="3880" xr:uid="{00000000-0005-0000-0000-0000500E0000}"/>
    <cellStyle name="20% - 강조색5 43 27" xfId="9682" xr:uid="{00000000-0005-0000-0000-0000510E0000}"/>
    <cellStyle name="20% - 강조색5 43 28" xfId="6157" xr:uid="{00000000-0005-0000-0000-0000520E0000}"/>
    <cellStyle name="20% - 강조색5 43 29" xfId="10361" xr:uid="{00000000-0005-0000-0000-0000530E0000}"/>
    <cellStyle name="20% - 강조색5 43 3" xfId="1231" xr:uid="{00000000-0005-0000-0000-0000540E0000}"/>
    <cellStyle name="20% - 강조색5 43 30" xfId="4941" xr:uid="{00000000-0005-0000-0000-0000550E0000}"/>
    <cellStyle name="20% - 강조색5 43 31" xfId="10173" xr:uid="{00000000-0005-0000-0000-0000560E0000}"/>
    <cellStyle name="20% - 강조색5 43 32" xfId="7620" xr:uid="{00000000-0005-0000-0000-0000570E0000}"/>
    <cellStyle name="20% - 강조색5 43 4" xfId="1323" xr:uid="{00000000-0005-0000-0000-0000580E0000}"/>
    <cellStyle name="20% - 강조색5 43 5" xfId="1704" xr:uid="{00000000-0005-0000-0000-0000590E0000}"/>
    <cellStyle name="20% - 강조색5 43 6" xfId="1895" xr:uid="{00000000-0005-0000-0000-00005A0E0000}"/>
    <cellStyle name="20% - 강조색5 43 7" xfId="2244" xr:uid="{00000000-0005-0000-0000-00005B0E0000}"/>
    <cellStyle name="20% - 강조색5 43 8" xfId="1950" xr:uid="{00000000-0005-0000-0000-00005C0E0000}"/>
    <cellStyle name="20% - 강조색5 43 9" xfId="2932" xr:uid="{00000000-0005-0000-0000-00005D0E0000}"/>
    <cellStyle name="20% - 강조색5 44" xfId="626" xr:uid="{00000000-0005-0000-0000-00005E0E0000}"/>
    <cellStyle name="20% - 강조색5 44 10" xfId="3346" xr:uid="{00000000-0005-0000-0000-00005F0E0000}"/>
    <cellStyle name="20% - 강조색5 44 11" xfId="3644" xr:uid="{00000000-0005-0000-0000-0000600E0000}"/>
    <cellStyle name="20% - 강조색5 44 12" xfId="3822" xr:uid="{00000000-0005-0000-0000-0000610E0000}"/>
    <cellStyle name="20% - 강조색5 44 13" xfId="4226" xr:uid="{00000000-0005-0000-0000-0000620E0000}"/>
    <cellStyle name="20% - 강조색5 44 14" xfId="4172" xr:uid="{00000000-0005-0000-0000-0000630E0000}"/>
    <cellStyle name="20% - 강조색5 44 15" xfId="3567" xr:uid="{00000000-0005-0000-0000-0000640E0000}"/>
    <cellStyle name="20% - 강조색5 44 16" xfId="5614" xr:uid="{00000000-0005-0000-0000-0000650E0000}"/>
    <cellStyle name="20% - 강조색5 44 17" xfId="1959" xr:uid="{00000000-0005-0000-0000-0000660E0000}"/>
    <cellStyle name="20% - 강조색5 44 18" xfId="5062" xr:uid="{00000000-0005-0000-0000-0000670E0000}"/>
    <cellStyle name="20% - 강조색5 44 19" xfId="6607" xr:uid="{00000000-0005-0000-0000-0000680E0000}"/>
    <cellStyle name="20% - 강조색5 44 2" xfId="1129" xr:uid="{00000000-0005-0000-0000-0000690E0000}"/>
    <cellStyle name="20% - 강조색5 44 20" xfId="7053" xr:uid="{00000000-0005-0000-0000-00006A0E0000}"/>
    <cellStyle name="20% - 강조색5 44 21" xfId="3956" xr:uid="{00000000-0005-0000-0000-00006B0E0000}"/>
    <cellStyle name="20% - 강조색5 44 22" xfId="4447" xr:uid="{00000000-0005-0000-0000-00006C0E0000}"/>
    <cellStyle name="20% - 강조색5 44 23" xfId="4430" xr:uid="{00000000-0005-0000-0000-00006D0E0000}"/>
    <cellStyle name="20% - 강조색5 44 24" xfId="5078" xr:uid="{00000000-0005-0000-0000-00006E0E0000}"/>
    <cellStyle name="20% - 강조색5 44 25" xfId="8936" xr:uid="{00000000-0005-0000-0000-00006F0E0000}"/>
    <cellStyle name="20% - 강조색5 44 26" xfId="8311" xr:uid="{00000000-0005-0000-0000-0000700E0000}"/>
    <cellStyle name="20% - 강조색5 44 27" xfId="9716" xr:uid="{00000000-0005-0000-0000-0000710E0000}"/>
    <cellStyle name="20% - 강조색5 44 28" xfId="6430" xr:uid="{00000000-0005-0000-0000-0000720E0000}"/>
    <cellStyle name="20% - 강조색5 44 29" xfId="10112" xr:uid="{00000000-0005-0000-0000-0000730E0000}"/>
    <cellStyle name="20% - 강조색5 44 3" xfId="1209" xr:uid="{00000000-0005-0000-0000-0000740E0000}"/>
    <cellStyle name="20% - 강조색5 44 30" xfId="10617" xr:uid="{00000000-0005-0000-0000-0000750E0000}"/>
    <cellStyle name="20% - 강조색5 44 31" xfId="4156" xr:uid="{00000000-0005-0000-0000-0000760E0000}"/>
    <cellStyle name="20% - 강조색5 44 32" xfId="11246" xr:uid="{00000000-0005-0000-0000-0000770E0000}"/>
    <cellStyle name="20% - 강조색5 44 4" xfId="1301" xr:uid="{00000000-0005-0000-0000-0000780E0000}"/>
    <cellStyle name="20% - 강조색5 44 5" xfId="1758" xr:uid="{00000000-0005-0000-0000-0000790E0000}"/>
    <cellStyle name="20% - 강조색5 44 6" xfId="870" xr:uid="{00000000-0005-0000-0000-00007A0E0000}"/>
    <cellStyle name="20% - 강조색5 44 7" xfId="880" xr:uid="{00000000-0005-0000-0000-00007B0E0000}"/>
    <cellStyle name="20% - 강조색5 44 8" xfId="2603" xr:uid="{00000000-0005-0000-0000-00007C0E0000}"/>
    <cellStyle name="20% - 강조색5 44 9" xfId="2916" xr:uid="{00000000-0005-0000-0000-00007D0E0000}"/>
    <cellStyle name="20% - 강조색5 45" xfId="615" xr:uid="{00000000-0005-0000-0000-00007E0E0000}"/>
    <cellStyle name="20% - 강조색5 45 10" xfId="834" xr:uid="{00000000-0005-0000-0000-00007F0E0000}"/>
    <cellStyle name="20% - 강조색5 45 11" xfId="3648" xr:uid="{00000000-0005-0000-0000-0000800E0000}"/>
    <cellStyle name="20% - 강조색5 45 12" xfId="3995" xr:uid="{00000000-0005-0000-0000-0000810E0000}"/>
    <cellStyle name="20% - 강조색5 45 13" xfId="4346" xr:uid="{00000000-0005-0000-0000-0000820E0000}"/>
    <cellStyle name="20% - 강조색5 45 14" xfId="4592" xr:uid="{00000000-0005-0000-0000-0000830E0000}"/>
    <cellStyle name="20% - 강조색5 45 15" xfId="5294" xr:uid="{00000000-0005-0000-0000-0000840E0000}"/>
    <cellStyle name="20% - 강조색5 45 16" xfId="1901" xr:uid="{00000000-0005-0000-0000-0000850E0000}"/>
    <cellStyle name="20% - 강조색5 45 17" xfId="3294" xr:uid="{00000000-0005-0000-0000-0000860E0000}"/>
    <cellStyle name="20% - 강조색5 45 18" xfId="5321" xr:uid="{00000000-0005-0000-0000-0000870E0000}"/>
    <cellStyle name="20% - 강조색5 45 19" xfId="6319" xr:uid="{00000000-0005-0000-0000-0000880E0000}"/>
    <cellStyle name="20% - 강조색5 45 2" xfId="1118" xr:uid="{00000000-0005-0000-0000-0000890E0000}"/>
    <cellStyle name="20% - 강조색5 45 20" xfId="7189" xr:uid="{00000000-0005-0000-0000-00008A0E0000}"/>
    <cellStyle name="20% - 강조색5 45 21" xfId="6844" xr:uid="{00000000-0005-0000-0000-00008B0E0000}"/>
    <cellStyle name="20% - 강조색5 45 22" xfId="6872" xr:uid="{00000000-0005-0000-0000-00008C0E0000}"/>
    <cellStyle name="20% - 강조색5 45 23" xfId="8084" xr:uid="{00000000-0005-0000-0000-00008D0E0000}"/>
    <cellStyle name="20% - 강조색5 45 24" xfId="7105" xr:uid="{00000000-0005-0000-0000-00008E0E0000}"/>
    <cellStyle name="20% - 강조색5 45 25" xfId="2196" xr:uid="{00000000-0005-0000-0000-00008F0E0000}"/>
    <cellStyle name="20% - 강조색5 45 26" xfId="8693" xr:uid="{00000000-0005-0000-0000-0000900E0000}"/>
    <cellStyle name="20% - 강조색5 45 27" xfId="4197" xr:uid="{00000000-0005-0000-0000-0000910E0000}"/>
    <cellStyle name="20% - 강조색5 45 28" xfId="9543" xr:uid="{00000000-0005-0000-0000-0000920E0000}"/>
    <cellStyle name="20% - 강조색5 45 29" xfId="10093" xr:uid="{00000000-0005-0000-0000-0000930E0000}"/>
    <cellStyle name="20% - 강조색5 45 3" xfId="1198" xr:uid="{00000000-0005-0000-0000-0000940E0000}"/>
    <cellStyle name="20% - 강조색5 45 30" xfId="10485" xr:uid="{00000000-0005-0000-0000-0000950E0000}"/>
    <cellStyle name="20% - 강조색5 45 31" xfId="10992" xr:uid="{00000000-0005-0000-0000-0000960E0000}"/>
    <cellStyle name="20% - 강조색5 45 32" xfId="11044" xr:uid="{00000000-0005-0000-0000-0000970E0000}"/>
    <cellStyle name="20% - 강조색5 45 4" xfId="1290" xr:uid="{00000000-0005-0000-0000-0000980E0000}"/>
    <cellStyle name="20% - 강조색5 45 5" xfId="1694" xr:uid="{00000000-0005-0000-0000-0000990E0000}"/>
    <cellStyle name="20% - 강조색5 45 6" xfId="818" xr:uid="{00000000-0005-0000-0000-00009A0E0000}"/>
    <cellStyle name="20% - 강조색5 45 7" xfId="2314" xr:uid="{00000000-0005-0000-0000-00009B0E0000}"/>
    <cellStyle name="20% - 강조색5 45 8" xfId="2497" xr:uid="{00000000-0005-0000-0000-00009C0E0000}"/>
    <cellStyle name="20% - 강조색5 45 9" xfId="2874" xr:uid="{00000000-0005-0000-0000-00009D0E0000}"/>
    <cellStyle name="20% - 강조색5 46" xfId="606" xr:uid="{00000000-0005-0000-0000-00009E0E0000}"/>
    <cellStyle name="20% - 강조색5 46 10" xfId="3143" xr:uid="{00000000-0005-0000-0000-00009F0E0000}"/>
    <cellStyle name="20% - 강조색5 46 11" xfId="3455" xr:uid="{00000000-0005-0000-0000-0000A00E0000}"/>
    <cellStyle name="20% - 강조색5 46 12" xfId="3805" xr:uid="{00000000-0005-0000-0000-0000A10E0000}"/>
    <cellStyle name="20% - 강조색5 46 13" xfId="4218" xr:uid="{00000000-0005-0000-0000-0000A20E0000}"/>
    <cellStyle name="20% - 강조색5 46 14" xfId="4639" xr:uid="{00000000-0005-0000-0000-0000A30E0000}"/>
    <cellStyle name="20% - 강조색5 46 15" xfId="5622" xr:uid="{00000000-0005-0000-0000-0000A40E0000}"/>
    <cellStyle name="20% - 강조색5 46 16" xfId="5233" xr:uid="{00000000-0005-0000-0000-0000A50E0000}"/>
    <cellStyle name="20% - 강조색5 46 17" xfId="5276" xr:uid="{00000000-0005-0000-0000-0000A60E0000}"/>
    <cellStyle name="20% - 강조색5 46 18" xfId="4181" xr:uid="{00000000-0005-0000-0000-0000A70E0000}"/>
    <cellStyle name="20% - 강조색5 46 19" xfId="6551" xr:uid="{00000000-0005-0000-0000-0000A80E0000}"/>
    <cellStyle name="20% - 강조색5 46 2" xfId="1109" xr:uid="{00000000-0005-0000-0000-0000A90E0000}"/>
    <cellStyle name="20% - 강조색5 46 20" xfId="2105" xr:uid="{00000000-0005-0000-0000-0000AA0E0000}"/>
    <cellStyle name="20% - 강조색5 46 21" xfId="3058" xr:uid="{00000000-0005-0000-0000-0000AB0E0000}"/>
    <cellStyle name="20% - 강조색5 46 22" xfId="5177" xr:uid="{00000000-0005-0000-0000-0000AC0E0000}"/>
    <cellStyle name="20% - 강조색5 46 23" xfId="8116" xr:uid="{00000000-0005-0000-0000-0000AD0E0000}"/>
    <cellStyle name="20% - 강조색5 46 24" xfId="8574" xr:uid="{00000000-0005-0000-0000-0000AE0E0000}"/>
    <cellStyle name="20% - 강조색5 46 25" xfId="3202" xr:uid="{00000000-0005-0000-0000-0000AF0E0000}"/>
    <cellStyle name="20% - 강조색5 46 26" xfId="6100" xr:uid="{00000000-0005-0000-0000-0000B00E0000}"/>
    <cellStyle name="20% - 강조색5 46 27" xfId="8115" xr:uid="{00000000-0005-0000-0000-0000B10E0000}"/>
    <cellStyle name="20% - 강조색5 46 28" xfId="9984" xr:uid="{00000000-0005-0000-0000-0000B20E0000}"/>
    <cellStyle name="20% - 강조색5 46 29" xfId="10313" xr:uid="{00000000-0005-0000-0000-0000B30E0000}"/>
    <cellStyle name="20% - 강조색5 46 3" xfId="1189" xr:uid="{00000000-0005-0000-0000-0000B40E0000}"/>
    <cellStyle name="20% - 강조색5 46 30" xfId="6201" xr:uid="{00000000-0005-0000-0000-0000B50E0000}"/>
    <cellStyle name="20% - 강조색5 46 31" xfId="6140" xr:uid="{00000000-0005-0000-0000-0000B60E0000}"/>
    <cellStyle name="20% - 강조색5 46 32" xfId="8801" xr:uid="{00000000-0005-0000-0000-0000B70E0000}"/>
    <cellStyle name="20% - 강조색5 46 4" xfId="1281" xr:uid="{00000000-0005-0000-0000-0000B80E0000}"/>
    <cellStyle name="20% - 강조색5 46 5" xfId="1699" xr:uid="{00000000-0005-0000-0000-0000B90E0000}"/>
    <cellStyle name="20% - 강조색5 46 6" xfId="1519" xr:uid="{00000000-0005-0000-0000-0000BA0E0000}"/>
    <cellStyle name="20% - 강조색5 46 7" xfId="2208" xr:uid="{00000000-0005-0000-0000-0000BB0E0000}"/>
    <cellStyle name="20% - 강조색5 46 8" xfId="2529" xr:uid="{00000000-0005-0000-0000-0000BC0E0000}"/>
    <cellStyle name="20% - 강조색5 46 9" xfId="2735" xr:uid="{00000000-0005-0000-0000-0000BD0E0000}"/>
    <cellStyle name="20% - 강조색5 47" xfId="578" xr:uid="{00000000-0005-0000-0000-0000BE0E0000}"/>
    <cellStyle name="20% - 강조색5 47 10" xfId="4328" xr:uid="{00000000-0005-0000-0000-0000BF0E0000}"/>
    <cellStyle name="20% - 강조색5 47 11" xfId="4674" xr:uid="{00000000-0005-0000-0000-0000C00E0000}"/>
    <cellStyle name="20% - 강조색5 47 12" xfId="4904" xr:uid="{00000000-0005-0000-0000-0000C10E0000}"/>
    <cellStyle name="20% - 강조색5 47 13" xfId="5247" xr:uid="{00000000-0005-0000-0000-0000C20E0000}"/>
    <cellStyle name="20% - 강조색5 47 14" xfId="2397" xr:uid="{00000000-0005-0000-0000-0000C30E0000}"/>
    <cellStyle name="20% - 강조색5 47 15" xfId="4890" xr:uid="{00000000-0005-0000-0000-0000C40E0000}"/>
    <cellStyle name="20% - 강조색5 47 16" xfId="2250" xr:uid="{00000000-0005-0000-0000-0000C50E0000}"/>
    <cellStyle name="20% - 강조색5 47 17" xfId="6424" xr:uid="{00000000-0005-0000-0000-0000C60E0000}"/>
    <cellStyle name="20% - 강조색5 47 18" xfId="7209" xr:uid="{00000000-0005-0000-0000-0000C70E0000}"/>
    <cellStyle name="20% - 강조색5 47 19" xfId="1442" xr:uid="{00000000-0005-0000-0000-0000C80E0000}"/>
    <cellStyle name="20% - 강조색5 47 2" xfId="1033" xr:uid="{00000000-0005-0000-0000-0000C90E0000}"/>
    <cellStyle name="20% - 강조색5 47 20" xfId="8197" xr:uid="{00000000-0005-0000-0000-0000CA0E0000}"/>
    <cellStyle name="20% - 강조색5 47 21" xfId="5104" xr:uid="{00000000-0005-0000-0000-0000CB0E0000}"/>
    <cellStyle name="20% - 강조색5 47 22" xfId="8967" xr:uid="{00000000-0005-0000-0000-0000CC0E0000}"/>
    <cellStyle name="20% - 강조색5 47 23" xfId="9235" xr:uid="{00000000-0005-0000-0000-0000CD0E0000}"/>
    <cellStyle name="20% - 강조색5 47 24" xfId="9281" xr:uid="{00000000-0005-0000-0000-0000CE0E0000}"/>
    <cellStyle name="20% - 강조색5 47 25" xfId="9992" xr:uid="{00000000-0005-0000-0000-0000CF0E0000}"/>
    <cellStyle name="20% - 강조색5 47 26" xfId="10251" xr:uid="{00000000-0005-0000-0000-0000D00E0000}"/>
    <cellStyle name="20% - 강조색5 47 27" xfId="8756" xr:uid="{00000000-0005-0000-0000-0000D10E0000}"/>
    <cellStyle name="20% - 강조색5 47 28" xfId="6306" xr:uid="{00000000-0005-0000-0000-0000D20E0000}"/>
    <cellStyle name="20% - 강조색5 47 29" xfId="10890" xr:uid="{00000000-0005-0000-0000-0000D30E0000}"/>
    <cellStyle name="20% - 강조색5 47 3" xfId="2020" xr:uid="{00000000-0005-0000-0000-0000D40E0000}"/>
    <cellStyle name="20% - 강조색5 47 30" xfId="11327" xr:uid="{00000000-0005-0000-0000-0000D50E0000}"/>
    <cellStyle name="20% - 강조색5 47 31" xfId="11434" xr:uid="{00000000-0005-0000-0000-0000D60E0000}"/>
    <cellStyle name="20% - 강조색5 47 32" xfId="11435" xr:uid="{00000000-0005-0000-0000-0000D70E0000}"/>
    <cellStyle name="20% - 강조색5 47 33" xfId="11436" xr:uid="{00000000-0005-0000-0000-0000D80E0000}"/>
    <cellStyle name="20% - 강조색5 47 4" xfId="2347" xr:uid="{00000000-0005-0000-0000-0000D90E0000}"/>
    <cellStyle name="20% - 강조색5 47 5" xfId="956" xr:uid="{00000000-0005-0000-0000-0000DA0E0000}"/>
    <cellStyle name="20% - 강조색5 47 6" xfId="1927" xr:uid="{00000000-0005-0000-0000-0000DB0E0000}"/>
    <cellStyle name="20% - 강조색5 47 7" xfId="3282" xr:uid="{00000000-0005-0000-0000-0000DC0E0000}"/>
    <cellStyle name="20% - 강조색5 47 8" xfId="3689" xr:uid="{00000000-0005-0000-0000-0000DD0E0000}"/>
    <cellStyle name="20% - 강조색5 47 9" xfId="2861" xr:uid="{00000000-0005-0000-0000-0000DE0E0000}"/>
    <cellStyle name="20% - 강조색5 48" xfId="1045" xr:uid="{00000000-0005-0000-0000-0000DF0E0000}"/>
    <cellStyle name="20% - 강조색5 48 10" xfId="4234" xr:uid="{00000000-0005-0000-0000-0000E00E0000}"/>
    <cellStyle name="20% - 강조색5 48 11" xfId="4583" xr:uid="{00000000-0005-0000-0000-0000E10E0000}"/>
    <cellStyle name="20% - 강조색5 48 12" xfId="5590" xr:uid="{00000000-0005-0000-0000-0000E20E0000}"/>
    <cellStyle name="20% - 강조색5 48 13" xfId="5464" xr:uid="{00000000-0005-0000-0000-0000E30E0000}"/>
    <cellStyle name="20% - 강조색5 48 14" xfId="2774" xr:uid="{00000000-0005-0000-0000-0000E40E0000}"/>
    <cellStyle name="20% - 강조색5 48 15" xfId="4991" xr:uid="{00000000-0005-0000-0000-0000E50E0000}"/>
    <cellStyle name="20% - 강조색5 48 16" xfId="4132" xr:uid="{00000000-0005-0000-0000-0000E60E0000}"/>
    <cellStyle name="20% - 강조색5 48 17" xfId="6947" xr:uid="{00000000-0005-0000-0000-0000E70E0000}"/>
    <cellStyle name="20% - 강조색5 48 18" xfId="7339" xr:uid="{00000000-0005-0000-0000-0000E80E0000}"/>
    <cellStyle name="20% - 강조색5 48 19" xfId="7777" xr:uid="{00000000-0005-0000-0000-0000E90E0000}"/>
    <cellStyle name="20% - 강조색5 48 2" xfId="1720" xr:uid="{00000000-0005-0000-0000-0000EA0E0000}"/>
    <cellStyle name="20% - 강조색5 48 20" xfId="8103" xr:uid="{00000000-0005-0000-0000-0000EB0E0000}"/>
    <cellStyle name="20% - 강조색5 48 21" xfId="8599" xr:uid="{00000000-0005-0000-0000-0000EC0E0000}"/>
    <cellStyle name="20% - 강조색5 48 22" xfId="7428" xr:uid="{00000000-0005-0000-0000-0000ED0E0000}"/>
    <cellStyle name="20% - 강조색5 48 23" xfId="6550" xr:uid="{00000000-0005-0000-0000-0000EE0E0000}"/>
    <cellStyle name="20% - 강조색5 48 24" xfId="9544" xr:uid="{00000000-0005-0000-0000-0000EF0E0000}"/>
    <cellStyle name="20% - 강조색5 48 25" xfId="9772" xr:uid="{00000000-0005-0000-0000-0000F00E0000}"/>
    <cellStyle name="20% - 강조색5 48 26" xfId="10201" xr:uid="{00000000-0005-0000-0000-0000F10E0000}"/>
    <cellStyle name="20% - 강조색5 48 27" xfId="10620" xr:uid="{00000000-0005-0000-0000-0000F20E0000}"/>
    <cellStyle name="20% - 강조색5 48 28" xfId="10445" xr:uid="{00000000-0005-0000-0000-0000F30E0000}"/>
    <cellStyle name="20% - 강조색5 48 29" xfId="9522" xr:uid="{00000000-0005-0000-0000-0000F40E0000}"/>
    <cellStyle name="20% - 강조색5 48 3" xfId="913" xr:uid="{00000000-0005-0000-0000-0000F50E0000}"/>
    <cellStyle name="20% - 강조색5 48 4" xfId="2220" xr:uid="{00000000-0005-0000-0000-0000F60E0000}"/>
    <cellStyle name="20% - 강조색5 48 5" xfId="2499" xr:uid="{00000000-0005-0000-0000-0000F70E0000}"/>
    <cellStyle name="20% - 강조색5 48 6" xfId="823" xr:uid="{00000000-0005-0000-0000-0000F80E0000}"/>
    <cellStyle name="20% - 강조색5 48 7" xfId="3130" xr:uid="{00000000-0005-0000-0000-0000F90E0000}"/>
    <cellStyle name="20% - 강조색5 48 8" xfId="3439" xr:uid="{00000000-0005-0000-0000-0000FA0E0000}"/>
    <cellStyle name="20% - 강조색5 48 9" xfId="4016" xr:uid="{00000000-0005-0000-0000-0000FB0E0000}"/>
    <cellStyle name="20% - 강조색5 49" xfId="1038" xr:uid="{00000000-0005-0000-0000-0000FC0E0000}"/>
    <cellStyle name="20% - 강조색5 49 10" xfId="4292" xr:uid="{00000000-0005-0000-0000-0000FD0E0000}"/>
    <cellStyle name="20% - 강조색5 49 11" xfId="4716" xr:uid="{00000000-0005-0000-0000-0000FE0E0000}"/>
    <cellStyle name="20% - 강조색5 49 12" xfId="3945" xr:uid="{00000000-0005-0000-0000-0000FF0E0000}"/>
    <cellStyle name="20% - 강조색5 49 13" xfId="5821" xr:uid="{00000000-0005-0000-0000-0000000F0000}"/>
    <cellStyle name="20% - 강조색5 49 14" xfId="5900" xr:uid="{00000000-0005-0000-0000-0000010F0000}"/>
    <cellStyle name="20% - 강조색5 49 15" xfId="5958" xr:uid="{00000000-0005-0000-0000-0000020F0000}"/>
    <cellStyle name="20% - 강조색5 49 16" xfId="784" xr:uid="{00000000-0005-0000-0000-0000030F0000}"/>
    <cellStyle name="20% - 강조색5 49 17" xfId="6174" xr:uid="{00000000-0005-0000-0000-0000040F0000}"/>
    <cellStyle name="20% - 강조색5 49 18" xfId="7229" xr:uid="{00000000-0005-0000-0000-0000050F0000}"/>
    <cellStyle name="20% - 강조색5 49 19" xfId="7635" xr:uid="{00000000-0005-0000-0000-0000060F0000}"/>
    <cellStyle name="20% - 강조색5 49 2" xfId="1697" xr:uid="{00000000-0005-0000-0000-0000070F0000}"/>
    <cellStyle name="20% - 강조색5 49 20" xfId="8138" xr:uid="{00000000-0005-0000-0000-0000080F0000}"/>
    <cellStyle name="20% - 강조색5 49 21" xfId="8618" xr:uid="{00000000-0005-0000-0000-0000090F0000}"/>
    <cellStyle name="20% - 강조색5 49 22" xfId="8863" xr:uid="{00000000-0005-0000-0000-00000A0F0000}"/>
    <cellStyle name="20% - 강조색5 49 23" xfId="9122" xr:uid="{00000000-0005-0000-0000-00000B0F0000}"/>
    <cellStyle name="20% - 강조색5 49 24" xfId="9603" xr:uid="{00000000-0005-0000-0000-00000C0F0000}"/>
    <cellStyle name="20% - 강조색5 49 25" xfId="6547" xr:uid="{00000000-0005-0000-0000-00000D0F0000}"/>
    <cellStyle name="20% - 강조색5 49 26" xfId="10212" xr:uid="{00000000-0005-0000-0000-00000E0F0000}"/>
    <cellStyle name="20% - 강조색5 49 27" xfId="10688" xr:uid="{00000000-0005-0000-0000-00000F0F0000}"/>
    <cellStyle name="20% - 강조색5 49 28" xfId="3471" xr:uid="{00000000-0005-0000-0000-0000100F0000}"/>
    <cellStyle name="20% - 강조색5 49 29" xfId="10937" xr:uid="{00000000-0005-0000-0000-0000110F0000}"/>
    <cellStyle name="20% - 강조색5 49 3" xfId="1603" xr:uid="{00000000-0005-0000-0000-0000120F0000}"/>
    <cellStyle name="20% - 강조색5 49 4" xfId="1461" xr:uid="{00000000-0005-0000-0000-0000130F0000}"/>
    <cellStyle name="20% - 강조색5 49 5" xfId="2614" xr:uid="{00000000-0005-0000-0000-0000140F0000}"/>
    <cellStyle name="20% - 강조색5 49 6" xfId="2850" xr:uid="{00000000-0005-0000-0000-0000150F0000}"/>
    <cellStyle name="20% - 강조색5 49 7" xfId="3245" xr:uid="{00000000-0005-0000-0000-0000160F0000}"/>
    <cellStyle name="20% - 강조색5 49 8" xfId="3645" xr:uid="{00000000-0005-0000-0000-0000170F0000}"/>
    <cellStyle name="20% - 강조색5 49 9" xfId="1972" xr:uid="{00000000-0005-0000-0000-0000180F0000}"/>
    <cellStyle name="20% - 강조색5 5" xfId="111" xr:uid="{00000000-0005-0000-0000-0000190F0000}"/>
    <cellStyle name="20% - 강조색5 50" xfId="1016" xr:uid="{00000000-0005-0000-0000-00001A0F0000}"/>
    <cellStyle name="20% - 강조색5 50 10" xfId="4135" xr:uid="{00000000-0005-0000-0000-00001B0F0000}"/>
    <cellStyle name="20% - 강조색5 50 11" xfId="4602" xr:uid="{00000000-0005-0000-0000-00001C0F0000}"/>
    <cellStyle name="20% - 강조색5 50 12" xfId="4450" xr:uid="{00000000-0005-0000-0000-00001D0F0000}"/>
    <cellStyle name="20% - 강조색5 50 13" xfId="5225" xr:uid="{00000000-0005-0000-0000-00001E0F0000}"/>
    <cellStyle name="20% - 강조색5 50 14" xfId="5414" xr:uid="{00000000-0005-0000-0000-00001F0F0000}"/>
    <cellStyle name="20% - 강조색5 50 15" xfId="5102" xr:uid="{00000000-0005-0000-0000-0000200F0000}"/>
    <cellStyle name="20% - 강조색5 50 16" xfId="3901" xr:uid="{00000000-0005-0000-0000-0000210F0000}"/>
    <cellStyle name="20% - 강조색5 50 17" xfId="7164" xr:uid="{00000000-0005-0000-0000-0000220F0000}"/>
    <cellStyle name="20% - 강조색5 50 18" xfId="6919" xr:uid="{00000000-0005-0000-0000-0000230F0000}"/>
    <cellStyle name="20% - 강조색5 50 19" xfId="7843" xr:uid="{00000000-0005-0000-0000-0000240F0000}"/>
    <cellStyle name="20% - 강조색5 50 2" xfId="1667" xr:uid="{00000000-0005-0000-0000-0000250F0000}"/>
    <cellStyle name="20% - 강조색5 50 20" xfId="7931" xr:uid="{00000000-0005-0000-0000-0000260F0000}"/>
    <cellStyle name="20% - 강조색5 50 21" xfId="8412" xr:uid="{00000000-0005-0000-0000-0000270F0000}"/>
    <cellStyle name="20% - 강조색5 50 22" xfId="7779" xr:uid="{00000000-0005-0000-0000-0000280F0000}"/>
    <cellStyle name="20% - 강조색5 50 23" xfId="3469" xr:uid="{00000000-0005-0000-0000-0000290F0000}"/>
    <cellStyle name="20% - 강조색5 50 24" xfId="9597" xr:uid="{00000000-0005-0000-0000-00002A0F0000}"/>
    <cellStyle name="20% - 강조색5 50 25" xfId="8706" xr:uid="{00000000-0005-0000-0000-00002B0F0000}"/>
    <cellStyle name="20% - 강조색5 50 26" xfId="10326" xr:uid="{00000000-0005-0000-0000-00002C0F0000}"/>
    <cellStyle name="20% - 강조색5 50 27" xfId="10579" xr:uid="{00000000-0005-0000-0000-00002D0F0000}"/>
    <cellStyle name="20% - 강조색5 50 28" xfId="10779" xr:uid="{00000000-0005-0000-0000-00002E0F0000}"/>
    <cellStyle name="20% - 강조색5 50 29" xfId="3152" xr:uid="{00000000-0005-0000-0000-00002F0F0000}"/>
    <cellStyle name="20% - 강조색5 50 3" xfId="1508" xr:uid="{00000000-0005-0000-0000-0000300F0000}"/>
    <cellStyle name="20% - 강조색5 50 4" xfId="2323" xr:uid="{00000000-0005-0000-0000-0000310F0000}"/>
    <cellStyle name="20% - 강조색5 50 5" xfId="2617" xr:uid="{00000000-0005-0000-0000-0000320F0000}"/>
    <cellStyle name="20% - 강조색5 50 6" xfId="2506" xr:uid="{00000000-0005-0000-0000-0000330F0000}"/>
    <cellStyle name="20% - 강조색5 50 7" xfId="3221" xr:uid="{00000000-0005-0000-0000-0000340F0000}"/>
    <cellStyle name="20% - 강조색5 50 8" xfId="3497" xr:uid="{00000000-0005-0000-0000-0000350F0000}"/>
    <cellStyle name="20% - 강조색5 50 9" xfId="3964" xr:uid="{00000000-0005-0000-0000-0000360F0000}"/>
    <cellStyle name="20% - 강조색5 51" xfId="1092" xr:uid="{00000000-0005-0000-0000-0000370F0000}"/>
    <cellStyle name="20% - 강조색5 51 10" xfId="4228" xr:uid="{00000000-0005-0000-0000-0000380F0000}"/>
    <cellStyle name="20% - 강조색5 51 11" xfId="3812" xr:uid="{00000000-0005-0000-0000-0000390F0000}"/>
    <cellStyle name="20% - 강조색5 51 12" xfId="3913" xr:uid="{00000000-0005-0000-0000-00003A0F0000}"/>
    <cellStyle name="20% - 강조색5 51 13" xfId="5441" xr:uid="{00000000-0005-0000-0000-00003B0F0000}"/>
    <cellStyle name="20% - 강조색5 51 14" xfId="5613" xr:uid="{00000000-0005-0000-0000-00003C0F0000}"/>
    <cellStyle name="20% - 강조색5 51 15" xfId="5527" xr:uid="{00000000-0005-0000-0000-00003D0F0000}"/>
    <cellStyle name="20% - 강조색5 51 16" xfId="3322" xr:uid="{00000000-0005-0000-0000-00003E0F0000}"/>
    <cellStyle name="20% - 강조색5 51 17" xfId="7174" xr:uid="{00000000-0005-0000-0000-00003F0F0000}"/>
    <cellStyle name="20% - 강조색5 51 18" xfId="7037" xr:uid="{00000000-0005-0000-0000-0000400F0000}"/>
    <cellStyle name="20% - 강조색5 51 19" xfId="3057" xr:uid="{00000000-0005-0000-0000-0000410F0000}"/>
    <cellStyle name="20% - 강조색5 51 2" xfId="1805" xr:uid="{00000000-0005-0000-0000-0000420F0000}"/>
    <cellStyle name="20% - 강조색5 51 20" xfId="7994" xr:uid="{00000000-0005-0000-0000-0000430F0000}"/>
    <cellStyle name="20% - 강조색5 51 21" xfId="8553" xr:uid="{00000000-0005-0000-0000-0000440F0000}"/>
    <cellStyle name="20% - 강조색5 51 22" xfId="8890" xr:uid="{00000000-0005-0000-0000-0000450F0000}"/>
    <cellStyle name="20% - 강조색5 51 23" xfId="8468" xr:uid="{00000000-0005-0000-0000-0000460F0000}"/>
    <cellStyle name="20% - 강조색5 51 24" xfId="9695" xr:uid="{00000000-0005-0000-0000-0000470F0000}"/>
    <cellStyle name="20% - 강조색5 51 25" xfId="8780" xr:uid="{00000000-0005-0000-0000-0000480F0000}"/>
    <cellStyle name="20% - 강조색5 51 26" xfId="10324" xr:uid="{00000000-0005-0000-0000-0000490F0000}"/>
    <cellStyle name="20% - 강조색5 51 27" xfId="10191" xr:uid="{00000000-0005-0000-0000-00004A0F0000}"/>
    <cellStyle name="20% - 강조색5 51 28" xfId="10870" xr:uid="{00000000-0005-0000-0000-00004B0F0000}"/>
    <cellStyle name="20% - 강조색5 51 29" xfId="11139" xr:uid="{00000000-0005-0000-0000-00004C0F0000}"/>
    <cellStyle name="20% - 강조색5 51 3" xfId="1625" xr:uid="{00000000-0005-0000-0000-00004D0F0000}"/>
    <cellStyle name="20% - 강조색5 51 4" xfId="2349" xr:uid="{00000000-0005-0000-0000-00004E0F0000}"/>
    <cellStyle name="20% - 강조색5 51 5" xfId="2180" xr:uid="{00000000-0005-0000-0000-00004F0F0000}"/>
    <cellStyle name="20% - 강조색5 51 6" xfId="1432" xr:uid="{00000000-0005-0000-0000-0000500F0000}"/>
    <cellStyle name="20% - 강조색5 51 7" xfId="1441" xr:uid="{00000000-0005-0000-0000-0000510F0000}"/>
    <cellStyle name="20% - 강조색5 51 8" xfId="1647" xr:uid="{00000000-0005-0000-0000-0000520F0000}"/>
    <cellStyle name="20% - 강조색5 51 9" xfId="4007" xr:uid="{00000000-0005-0000-0000-0000530F0000}"/>
    <cellStyle name="20% - 강조색5 52" xfId="1023" xr:uid="{00000000-0005-0000-0000-0000540F0000}"/>
    <cellStyle name="20% - 강조색5 52 10" xfId="4247" xr:uid="{00000000-0005-0000-0000-0000550F0000}"/>
    <cellStyle name="20% - 강조색5 52 11" xfId="4723" xr:uid="{00000000-0005-0000-0000-0000560F0000}"/>
    <cellStyle name="20% - 강조색5 52 12" xfId="4805" xr:uid="{00000000-0005-0000-0000-0000570F0000}"/>
    <cellStyle name="20% - 강조색5 52 13" xfId="5823" xr:uid="{00000000-0005-0000-0000-0000580F0000}"/>
    <cellStyle name="20% - 강조색5 52 14" xfId="5902" xr:uid="{00000000-0005-0000-0000-0000590F0000}"/>
    <cellStyle name="20% - 강조색5 52 15" xfId="5960" xr:uid="{00000000-0005-0000-0000-00005A0F0000}"/>
    <cellStyle name="20% - 강조색5 52 16" xfId="6289" xr:uid="{00000000-0005-0000-0000-00005B0F0000}"/>
    <cellStyle name="20% - 강조색5 52 17" xfId="833" xr:uid="{00000000-0005-0000-0000-00005C0F0000}"/>
    <cellStyle name="20% - 강조색5 52 18" xfId="1453" xr:uid="{00000000-0005-0000-0000-00005D0F0000}"/>
    <cellStyle name="20% - 강조색5 52 19" xfId="7588" xr:uid="{00000000-0005-0000-0000-00005E0F0000}"/>
    <cellStyle name="20% - 강조색5 52 2" xfId="1676" xr:uid="{00000000-0005-0000-0000-00005F0F0000}"/>
    <cellStyle name="20% - 강조색5 52 20" xfId="2461" xr:uid="{00000000-0005-0000-0000-0000600F0000}"/>
    <cellStyle name="20% - 강조색5 52 21" xfId="6796" xr:uid="{00000000-0005-0000-0000-0000610F0000}"/>
    <cellStyle name="20% - 강조색5 52 22" xfId="4080" xr:uid="{00000000-0005-0000-0000-0000620F0000}"/>
    <cellStyle name="20% - 강조색5 52 23" xfId="9332" xr:uid="{00000000-0005-0000-0000-0000630F0000}"/>
    <cellStyle name="20% - 강조색5 52 24" xfId="9553" xr:uid="{00000000-0005-0000-0000-0000640F0000}"/>
    <cellStyle name="20% - 강조색5 52 25" xfId="9858" xr:uid="{00000000-0005-0000-0000-0000650F0000}"/>
    <cellStyle name="20% - 강조색5 52 26" xfId="9260" xr:uid="{00000000-0005-0000-0000-0000660F0000}"/>
    <cellStyle name="20% - 강조색5 52 27" xfId="9774" xr:uid="{00000000-0005-0000-0000-0000670F0000}"/>
    <cellStyle name="20% - 강조색5 52 28" xfId="8886" xr:uid="{00000000-0005-0000-0000-0000680F0000}"/>
    <cellStyle name="20% - 강조색5 52 29" xfId="6818" xr:uid="{00000000-0005-0000-0000-0000690F0000}"/>
    <cellStyle name="20% - 강조색5 52 3" xfId="2063" xr:uid="{00000000-0005-0000-0000-00006A0F0000}"/>
    <cellStyle name="20% - 강조색5 52 4" xfId="2275" xr:uid="{00000000-0005-0000-0000-00006B0F0000}"/>
    <cellStyle name="20% - 강조색5 52 5" xfId="2671" xr:uid="{00000000-0005-0000-0000-00006C0F0000}"/>
    <cellStyle name="20% - 강조색5 52 6" xfId="2787" xr:uid="{00000000-0005-0000-0000-00006D0F0000}"/>
    <cellStyle name="20% - 강조색5 52 7" xfId="3283" xr:uid="{00000000-0005-0000-0000-00006E0F0000}"/>
    <cellStyle name="20% - 강조색5 52 8" xfId="2522" xr:uid="{00000000-0005-0000-0000-00006F0F0000}"/>
    <cellStyle name="20% - 강조색5 52 9" xfId="4012" xr:uid="{00000000-0005-0000-0000-0000700F0000}"/>
    <cellStyle name="20% - 강조색5 53" xfId="1098" xr:uid="{00000000-0005-0000-0000-0000710F0000}"/>
    <cellStyle name="20% - 강조색5 53 10" xfId="4110" xr:uid="{00000000-0005-0000-0000-0000720F0000}"/>
    <cellStyle name="20% - 강조색5 53 11" xfId="910" xr:uid="{00000000-0005-0000-0000-0000730F0000}"/>
    <cellStyle name="20% - 강조색5 53 12" xfId="5641" xr:uid="{00000000-0005-0000-0000-0000740F0000}"/>
    <cellStyle name="20% - 강조색5 53 13" xfId="5657" xr:uid="{00000000-0005-0000-0000-0000750F0000}"/>
    <cellStyle name="20% - 강조색5 53 14" xfId="5401" xr:uid="{00000000-0005-0000-0000-0000760F0000}"/>
    <cellStyle name="20% - 강조색5 53 15" xfId="5589" xr:uid="{00000000-0005-0000-0000-0000770F0000}"/>
    <cellStyle name="20% - 강조색5 53 16" xfId="4869" xr:uid="{00000000-0005-0000-0000-0000780F0000}"/>
    <cellStyle name="20% - 강조색5 53 17" xfId="4128" xr:uid="{00000000-0005-0000-0000-0000790F0000}"/>
    <cellStyle name="20% - 강조색5 53 18" xfId="6916" xr:uid="{00000000-0005-0000-0000-00007A0F0000}"/>
    <cellStyle name="20% - 강조색5 53 19" xfId="7633" xr:uid="{00000000-0005-0000-0000-00007B0F0000}"/>
    <cellStyle name="20% - 강조색5 53 2" xfId="1811" xr:uid="{00000000-0005-0000-0000-00007C0F0000}"/>
    <cellStyle name="20% - 강조색5 53 20" xfId="4905" xr:uid="{00000000-0005-0000-0000-00007D0F0000}"/>
    <cellStyle name="20% - 강조색5 53 21" xfId="5117" xr:uid="{00000000-0005-0000-0000-00007E0F0000}"/>
    <cellStyle name="20% - 강조색5 53 22" xfId="6830" xr:uid="{00000000-0005-0000-0000-00007F0F0000}"/>
    <cellStyle name="20% - 강조색5 53 23" xfId="4973" xr:uid="{00000000-0005-0000-0000-0000800F0000}"/>
    <cellStyle name="20% - 강조색5 53 24" xfId="8803" xr:uid="{00000000-0005-0000-0000-0000810F0000}"/>
    <cellStyle name="20% - 강조색5 53 25" xfId="9916" xr:uid="{00000000-0005-0000-0000-0000820F0000}"/>
    <cellStyle name="20% - 강조색5 53 26" xfId="10325" xr:uid="{00000000-0005-0000-0000-0000830F0000}"/>
    <cellStyle name="20% - 강조색5 53 27" xfId="8449" xr:uid="{00000000-0005-0000-0000-0000840F0000}"/>
    <cellStyle name="20% - 강조색5 53 28" xfId="4785" xr:uid="{00000000-0005-0000-0000-0000850F0000}"/>
    <cellStyle name="20% - 강조색5 53 29" xfId="11106" xr:uid="{00000000-0005-0000-0000-0000860F0000}"/>
    <cellStyle name="20% - 강조색5 53 3" xfId="1406" xr:uid="{00000000-0005-0000-0000-0000870F0000}"/>
    <cellStyle name="20% - 강조색5 53 4" xfId="2274" xr:uid="{00000000-0005-0000-0000-0000880F0000}"/>
    <cellStyle name="20% - 강조색5 53 5" xfId="2501" xr:uid="{00000000-0005-0000-0000-0000890F0000}"/>
    <cellStyle name="20% - 강조색5 53 6" xfId="2880" xr:uid="{00000000-0005-0000-0000-00008A0F0000}"/>
    <cellStyle name="20% - 강조색5 53 7" xfId="2415" xr:uid="{00000000-0005-0000-0000-00008B0F0000}"/>
    <cellStyle name="20% - 강조색5 53 8" xfId="2003" xr:uid="{00000000-0005-0000-0000-00008C0F0000}"/>
    <cellStyle name="20% - 강조색5 53 9" xfId="3509" xr:uid="{00000000-0005-0000-0000-00008D0F0000}"/>
    <cellStyle name="20% - 강조색5 54" xfId="1608" xr:uid="{00000000-0005-0000-0000-00008E0F0000}"/>
    <cellStyle name="20% - 강조색5 54 10" xfId="4569" xr:uid="{00000000-0005-0000-0000-00008F0F0000}"/>
    <cellStyle name="20% - 강조색5 54 11" xfId="5097" xr:uid="{00000000-0005-0000-0000-0000900F0000}"/>
    <cellStyle name="20% - 강조색5 54 12" xfId="4830" xr:uid="{00000000-0005-0000-0000-0000910F0000}"/>
    <cellStyle name="20% - 강조색5 54 13" xfId="5374" xr:uid="{00000000-0005-0000-0000-0000920F0000}"/>
    <cellStyle name="20% - 강조색5 54 14" xfId="5530" xr:uid="{00000000-0005-0000-0000-0000930F0000}"/>
    <cellStyle name="20% - 강조색5 54 15" xfId="6540" xr:uid="{00000000-0005-0000-0000-0000940F0000}"/>
    <cellStyle name="20% - 강조색5 54 16" xfId="6778" xr:uid="{00000000-0005-0000-0000-0000950F0000}"/>
    <cellStyle name="20% - 강조색5 54 17" xfId="6207" xr:uid="{00000000-0005-0000-0000-0000960F0000}"/>
    <cellStyle name="20% - 강조색5 54 18" xfId="7809" xr:uid="{00000000-0005-0000-0000-0000970F0000}"/>
    <cellStyle name="20% - 강조색5 54 19" xfId="8193" xr:uid="{00000000-0005-0000-0000-0000980F0000}"/>
    <cellStyle name="20% - 강조색5 54 2" xfId="2086" xr:uid="{00000000-0005-0000-0000-0000990F0000}"/>
    <cellStyle name="20% - 강조색5 54 20" xfId="8610" xr:uid="{00000000-0005-0000-0000-00009A0F0000}"/>
    <cellStyle name="20% - 강조색5 54 21" xfId="7520" xr:uid="{00000000-0005-0000-0000-00009B0F0000}"/>
    <cellStyle name="20% - 강조색5 54 22" xfId="9290" xr:uid="{00000000-0005-0000-0000-00009C0F0000}"/>
    <cellStyle name="20% - 강조색5 54 23" xfId="9713" xr:uid="{00000000-0005-0000-0000-00009D0F0000}"/>
    <cellStyle name="20% - 강조색5 54 24" xfId="9900" xr:uid="{00000000-0005-0000-0000-00009E0F0000}"/>
    <cellStyle name="20% - 강조색5 54 25" xfId="10231" xr:uid="{00000000-0005-0000-0000-00009F0F0000}"/>
    <cellStyle name="20% - 강조색5 54 26" xfId="10449" xr:uid="{00000000-0005-0000-0000-0000A00F0000}"/>
    <cellStyle name="20% - 강조색5 54 27" xfId="10747" xr:uid="{00000000-0005-0000-0000-0000A10F0000}"/>
    <cellStyle name="20% - 강조색5 54 28" xfId="9050" xr:uid="{00000000-0005-0000-0000-0000A20F0000}"/>
    <cellStyle name="20% - 강조색5 54 3" xfId="2368" xr:uid="{00000000-0005-0000-0000-0000A30F0000}"/>
    <cellStyle name="20% - 강조색5 54 4" xfId="2505" xr:uid="{00000000-0005-0000-0000-0000A40F0000}"/>
    <cellStyle name="20% - 강조색5 54 5" xfId="2876" xr:uid="{00000000-0005-0000-0000-0000A50F0000}"/>
    <cellStyle name="20% - 강조색5 54 6" xfId="3145" xr:uid="{00000000-0005-0000-0000-0000A60F0000}"/>
    <cellStyle name="20% - 강조색5 54 7" xfId="1598" xr:uid="{00000000-0005-0000-0000-0000A70F0000}"/>
    <cellStyle name="20% - 강조색5 54 8" xfId="3837" xr:uid="{00000000-0005-0000-0000-0000A80F0000}"/>
    <cellStyle name="20% - 강조색5 54 9" xfId="4118" xr:uid="{00000000-0005-0000-0000-0000A90F0000}"/>
    <cellStyle name="20% - 강조색5 55" xfId="2026" xr:uid="{00000000-0005-0000-0000-0000AA0F0000}"/>
    <cellStyle name="20% - 강조색5 55 10" xfId="5244" xr:uid="{00000000-0005-0000-0000-0000AB0F0000}"/>
    <cellStyle name="20% - 강조색5 55 11" xfId="4530" xr:uid="{00000000-0005-0000-0000-0000AC0F0000}"/>
    <cellStyle name="20% - 강조색5 55 12" xfId="2207" xr:uid="{00000000-0005-0000-0000-0000AD0F0000}"/>
    <cellStyle name="20% - 강조색5 55 13" xfId="4800" xr:uid="{00000000-0005-0000-0000-0000AE0F0000}"/>
    <cellStyle name="20% - 강조색5 55 14" xfId="6518" xr:uid="{00000000-0005-0000-0000-0000AF0F0000}"/>
    <cellStyle name="20% - 강조색5 55 15" xfId="7011" xr:uid="{00000000-0005-0000-0000-0000B00F0000}"/>
    <cellStyle name="20% - 강조색5 55 16" xfId="6907" xr:uid="{00000000-0005-0000-0000-0000B10F0000}"/>
    <cellStyle name="20% - 강조색5 55 17" xfId="7529" xr:uid="{00000000-0005-0000-0000-0000B20F0000}"/>
    <cellStyle name="20% - 강조색5 55 18" xfId="8194" xr:uid="{00000000-0005-0000-0000-0000B30F0000}"/>
    <cellStyle name="20% - 강조색5 55 19" xfId="2513" xr:uid="{00000000-0005-0000-0000-0000B40F0000}"/>
    <cellStyle name="20% - 강조색5 55 2" xfId="2374" xr:uid="{00000000-0005-0000-0000-0000B50F0000}"/>
    <cellStyle name="20% - 강조색5 55 20" xfId="8846" xr:uid="{00000000-0005-0000-0000-0000B60F0000}"/>
    <cellStyle name="20% - 강조색5 55 21" xfId="9368" xr:uid="{00000000-0005-0000-0000-0000B70F0000}"/>
    <cellStyle name="20% - 강조색5 55 22" xfId="9500" xr:uid="{00000000-0005-0000-0000-0000B80F0000}"/>
    <cellStyle name="20% - 강조색5 55 23" xfId="9803" xr:uid="{00000000-0005-0000-0000-0000B90F0000}"/>
    <cellStyle name="20% - 강조색5 55 24" xfId="4375" xr:uid="{00000000-0005-0000-0000-0000BA0F0000}"/>
    <cellStyle name="20% - 강조색5 55 25" xfId="10460" xr:uid="{00000000-0005-0000-0000-0000BB0F0000}"/>
    <cellStyle name="20% - 강조색5 55 26" xfId="8356" xr:uid="{00000000-0005-0000-0000-0000BC0F0000}"/>
    <cellStyle name="20% - 강조색5 55 27" xfId="11167" xr:uid="{00000000-0005-0000-0000-0000BD0F0000}"/>
    <cellStyle name="20% - 강조색5 55 3" xfId="2693" xr:uid="{00000000-0005-0000-0000-0000BE0F0000}"/>
    <cellStyle name="20% - 강조색5 55 4" xfId="3008" xr:uid="{00000000-0005-0000-0000-0000BF0F0000}"/>
    <cellStyle name="20% - 강조색5 55 5" xfId="3310" xr:uid="{00000000-0005-0000-0000-0000C00F0000}"/>
    <cellStyle name="20% - 강조색5 55 6" xfId="3459" xr:uid="{00000000-0005-0000-0000-0000C10F0000}"/>
    <cellStyle name="20% - 강조색5 55 7" xfId="3526" xr:uid="{00000000-0005-0000-0000-0000C20F0000}"/>
    <cellStyle name="20% - 강조색5 55 8" xfId="4266" xr:uid="{00000000-0005-0000-0000-0000C30F0000}"/>
    <cellStyle name="20% - 강조색5 55 9" xfId="4655" xr:uid="{00000000-0005-0000-0000-0000C40F0000}"/>
    <cellStyle name="20% - 강조색5 56" xfId="2337" xr:uid="{00000000-0005-0000-0000-0000C50F0000}"/>
    <cellStyle name="20% - 강조색5 56 10" xfId="4827" xr:uid="{00000000-0005-0000-0000-0000C60F0000}"/>
    <cellStyle name="20% - 강조색5 56 11" xfId="4860" xr:uid="{00000000-0005-0000-0000-0000C70F0000}"/>
    <cellStyle name="20% - 강조색5 56 12" xfId="5292" xr:uid="{00000000-0005-0000-0000-0000C80F0000}"/>
    <cellStyle name="20% - 강조색5 56 13" xfId="6346" xr:uid="{00000000-0005-0000-0000-0000C90F0000}"/>
    <cellStyle name="20% - 강조색5 56 14" xfId="7225" xr:uid="{00000000-0005-0000-0000-0000CA0F0000}"/>
    <cellStyle name="20% - 강조색5 56 15" xfId="7285" xr:uid="{00000000-0005-0000-0000-0000CB0F0000}"/>
    <cellStyle name="20% - 강조색5 56 16" xfId="1904" xr:uid="{00000000-0005-0000-0000-0000CC0F0000}"/>
    <cellStyle name="20% - 강조색5 56 17" xfId="2997" xr:uid="{00000000-0005-0000-0000-0000CD0F0000}"/>
    <cellStyle name="20% - 강조색5 56 18" xfId="8542" xr:uid="{00000000-0005-0000-0000-0000CE0F0000}"/>
    <cellStyle name="20% - 강조색5 56 19" xfId="7481" xr:uid="{00000000-0005-0000-0000-0000CF0F0000}"/>
    <cellStyle name="20% - 강조색5 56 2" xfId="2708" xr:uid="{00000000-0005-0000-0000-0000D00F0000}"/>
    <cellStyle name="20% - 강조색5 56 20" xfId="6733" xr:uid="{00000000-0005-0000-0000-0000D10F0000}"/>
    <cellStyle name="20% - 강조색5 56 21" xfId="9630" xr:uid="{00000000-0005-0000-0000-0000D20F0000}"/>
    <cellStyle name="20% - 강조색5 56 22" xfId="9094" xr:uid="{00000000-0005-0000-0000-0000D30F0000}"/>
    <cellStyle name="20% - 강조색5 56 23" xfId="6333" xr:uid="{00000000-0005-0000-0000-0000D40F0000}"/>
    <cellStyle name="20% - 강조색5 56 24" xfId="10426" xr:uid="{00000000-0005-0000-0000-0000D50F0000}"/>
    <cellStyle name="20% - 강조색5 56 25" xfId="10427" xr:uid="{00000000-0005-0000-0000-0000D60F0000}"/>
    <cellStyle name="20% - 강조색5 56 26" xfId="11255" xr:uid="{00000000-0005-0000-0000-0000D70F0000}"/>
    <cellStyle name="20% - 강조색5 56 3" xfId="3023" xr:uid="{00000000-0005-0000-0000-0000D80F0000}"/>
    <cellStyle name="20% - 강조색5 56 4" xfId="3356" xr:uid="{00000000-0005-0000-0000-0000D90F0000}"/>
    <cellStyle name="20% - 강조색5 56 5" xfId="3646" xr:uid="{00000000-0005-0000-0000-0000DA0F0000}"/>
    <cellStyle name="20% - 강조색5 56 6" xfId="3992" xr:uid="{00000000-0005-0000-0000-0000DB0F0000}"/>
    <cellStyle name="20% - 강조색5 56 7" xfId="917" xr:uid="{00000000-0005-0000-0000-0000DC0F0000}"/>
    <cellStyle name="20% - 강조색5 56 8" xfId="3751" xr:uid="{00000000-0005-0000-0000-0000DD0F0000}"/>
    <cellStyle name="20% - 강조색5 56 9" xfId="5326" xr:uid="{00000000-0005-0000-0000-0000DE0F0000}"/>
    <cellStyle name="20% - 강조색5 57" xfId="2685" xr:uid="{00000000-0005-0000-0000-0000DF0F0000}"/>
    <cellStyle name="20% - 강조색5 57 10" xfId="5887" xr:uid="{00000000-0005-0000-0000-0000E00F0000}"/>
    <cellStyle name="20% - 강조색5 57 11" xfId="5948" xr:uid="{00000000-0005-0000-0000-0000E10F0000}"/>
    <cellStyle name="20% - 강조색5 57 12" xfId="4251" xr:uid="{00000000-0005-0000-0000-0000E20F0000}"/>
    <cellStyle name="20% - 강조색5 57 13" xfId="5390" xr:uid="{00000000-0005-0000-0000-0000E30F0000}"/>
    <cellStyle name="20% - 강조색5 57 14" xfId="7080" xr:uid="{00000000-0005-0000-0000-0000E40F0000}"/>
    <cellStyle name="20% - 강조색5 57 15" xfId="7686" xr:uid="{00000000-0005-0000-0000-0000E50F0000}"/>
    <cellStyle name="20% - 강조색5 57 16" xfId="6212" xr:uid="{00000000-0005-0000-0000-0000E60F0000}"/>
    <cellStyle name="20% - 강조색5 57 17" xfId="3040" xr:uid="{00000000-0005-0000-0000-0000E70F0000}"/>
    <cellStyle name="20% - 강조색5 57 18" xfId="8318" xr:uid="{00000000-0005-0000-0000-0000E80F0000}"/>
    <cellStyle name="20% - 강조색5 57 19" xfId="9059" xr:uid="{00000000-0005-0000-0000-0000E90F0000}"/>
    <cellStyle name="20% - 강조색5 57 2" xfId="3036" xr:uid="{00000000-0005-0000-0000-0000EA0F0000}"/>
    <cellStyle name="20% - 강조색5 57 20" xfId="9574" xr:uid="{00000000-0005-0000-0000-0000EB0F0000}"/>
    <cellStyle name="20% - 강조색5 57 21" xfId="8820" xr:uid="{00000000-0005-0000-0000-0000EC0F0000}"/>
    <cellStyle name="20% - 강조색5 57 22" xfId="8058" xr:uid="{00000000-0005-0000-0000-0000ED0F0000}"/>
    <cellStyle name="20% - 강조색5 57 23" xfId="8984" xr:uid="{00000000-0005-0000-0000-0000EE0F0000}"/>
    <cellStyle name="20% - 강조색5 57 24" xfId="3147" xr:uid="{00000000-0005-0000-0000-0000EF0F0000}"/>
    <cellStyle name="20% - 강조색5 57 25" xfId="4199" xr:uid="{00000000-0005-0000-0000-0000F00F0000}"/>
    <cellStyle name="20% - 강조색5 57 3" xfId="3369" xr:uid="{00000000-0005-0000-0000-0000F10F0000}"/>
    <cellStyle name="20% - 강조색5 57 4" xfId="3701" xr:uid="{00000000-0005-0000-0000-0000F20F0000}"/>
    <cellStyle name="20% - 강조색5 57 5" xfId="3979" xr:uid="{00000000-0005-0000-0000-0000F30F0000}"/>
    <cellStyle name="20% - 강조색5 57 6" xfId="4304" xr:uid="{00000000-0005-0000-0000-0000F40F0000}"/>
    <cellStyle name="20% - 강조색5 57 7" xfId="4718" xr:uid="{00000000-0005-0000-0000-0000F50F0000}"/>
    <cellStyle name="20% - 강조색5 57 8" xfId="3729" xr:uid="{00000000-0005-0000-0000-0000F60F0000}"/>
    <cellStyle name="20% - 강조색5 57 9" xfId="5800" xr:uid="{00000000-0005-0000-0000-0000F70F0000}"/>
    <cellStyle name="20% - 강조색5 58" xfId="2811" xr:uid="{00000000-0005-0000-0000-0000F80F0000}"/>
    <cellStyle name="20% - 강조색5 58 10" xfId="5766" xr:uid="{00000000-0005-0000-0000-0000F90F0000}"/>
    <cellStyle name="20% - 강조색5 58 11" xfId="6084" xr:uid="{00000000-0005-0000-0000-0000FA0F0000}"/>
    <cellStyle name="20% - 강조색5 58 12" xfId="6964" xr:uid="{00000000-0005-0000-0000-0000FB0F0000}"/>
    <cellStyle name="20% - 강조색5 58 13" xfId="6138" xr:uid="{00000000-0005-0000-0000-0000FC0F0000}"/>
    <cellStyle name="20% - 강조색5 58 14" xfId="3610" xr:uid="{00000000-0005-0000-0000-0000FD0F0000}"/>
    <cellStyle name="20% - 강조색5 58 15" xfId="8247" xr:uid="{00000000-0005-0000-0000-0000FE0F0000}"/>
    <cellStyle name="20% - 강조색5 58 16" xfId="8381" xr:uid="{00000000-0005-0000-0000-0000FF0F0000}"/>
    <cellStyle name="20% - 강조색5 58 17" xfId="8726" xr:uid="{00000000-0005-0000-0000-000000100000}"/>
    <cellStyle name="20% - 강조색5 58 18" xfId="9103" xr:uid="{00000000-0005-0000-0000-000001100000}"/>
    <cellStyle name="20% - 강조색5 58 19" xfId="2906" xr:uid="{00000000-0005-0000-0000-000002100000}"/>
    <cellStyle name="20% - 강조색5 58 2" xfId="3371" xr:uid="{00000000-0005-0000-0000-000003100000}"/>
    <cellStyle name="20% - 강조색5 58 20" xfId="9924" xr:uid="{00000000-0005-0000-0000-000004100000}"/>
    <cellStyle name="20% - 강조색5 58 21" xfId="10340" xr:uid="{00000000-0005-0000-0000-000005100000}"/>
    <cellStyle name="20% - 강조색5 58 22" xfId="10651" xr:uid="{00000000-0005-0000-0000-000006100000}"/>
    <cellStyle name="20% - 강조색5 58 23" xfId="9516" xr:uid="{00000000-0005-0000-0000-000007100000}"/>
    <cellStyle name="20% - 강조색5 58 24" xfId="8688" xr:uid="{00000000-0005-0000-0000-000008100000}"/>
    <cellStyle name="20% - 강조색5 58 3" xfId="3704" xr:uid="{00000000-0005-0000-0000-000009100000}"/>
    <cellStyle name="20% - 강조색5 58 4" xfId="3795" xr:uid="{00000000-0005-0000-0000-00000A100000}"/>
    <cellStyle name="20% - 강조색5 58 5" xfId="1557" xr:uid="{00000000-0005-0000-0000-00000B100000}"/>
    <cellStyle name="20% - 강조색5 58 6" xfId="3229" xr:uid="{00000000-0005-0000-0000-00000C100000}"/>
    <cellStyle name="20% - 강조색5 58 7" xfId="2462" xr:uid="{00000000-0005-0000-0000-00000D100000}"/>
    <cellStyle name="20% - 강조색5 58 8" xfId="5714" xr:uid="{00000000-0005-0000-0000-00000E100000}"/>
    <cellStyle name="20% - 강조색5 58 9" xfId="5608" xr:uid="{00000000-0005-0000-0000-00000F100000}"/>
    <cellStyle name="20% - 강조색5 59" xfId="3123" xr:uid="{00000000-0005-0000-0000-000010100000}"/>
    <cellStyle name="20% - 강조색5 59 10" xfId="6520" xr:uid="{00000000-0005-0000-0000-000011100000}"/>
    <cellStyle name="20% - 강조색5 59 11" xfId="7162" xr:uid="{00000000-0005-0000-0000-000012100000}"/>
    <cellStyle name="20% - 강조색5 59 12" xfId="7260" xr:uid="{00000000-0005-0000-0000-000013100000}"/>
    <cellStyle name="20% - 강조색5 59 13" xfId="7603" xr:uid="{00000000-0005-0000-0000-000014100000}"/>
    <cellStyle name="20% - 강조색5 59 14" xfId="8134" xr:uid="{00000000-0005-0000-0000-000015100000}"/>
    <cellStyle name="20% - 강조색5 59 15" xfId="6556" xr:uid="{00000000-0005-0000-0000-000016100000}"/>
    <cellStyle name="20% - 강조색5 59 16" xfId="8779" xr:uid="{00000000-0005-0000-0000-000017100000}"/>
    <cellStyle name="20% - 강조색5 59 17" xfId="9128" xr:uid="{00000000-0005-0000-0000-000018100000}"/>
    <cellStyle name="20% - 강조색5 59 18" xfId="8347" xr:uid="{00000000-0005-0000-0000-000019100000}"/>
    <cellStyle name="20% - 강조색5 59 19" xfId="3223" xr:uid="{00000000-0005-0000-0000-00001A100000}"/>
    <cellStyle name="20% - 강조색5 59 2" xfId="3715" xr:uid="{00000000-0005-0000-0000-00001B100000}"/>
    <cellStyle name="20% - 강조색5 59 20" xfId="9099" xr:uid="{00000000-0005-0000-0000-00001C100000}"/>
    <cellStyle name="20% - 강조색5 59 21" xfId="5187" xr:uid="{00000000-0005-0000-0000-00001D100000}"/>
    <cellStyle name="20% - 강조색5 59 22" xfId="10966" xr:uid="{00000000-0005-0000-0000-00001E100000}"/>
    <cellStyle name="20% - 강조색5 59 23" xfId="10833" xr:uid="{00000000-0005-0000-0000-00001F100000}"/>
    <cellStyle name="20% - 강조색5 59 3" xfId="4054" xr:uid="{00000000-0005-0000-0000-000020100000}"/>
    <cellStyle name="20% - 강조색5 59 4" xfId="4390" xr:uid="{00000000-0005-0000-0000-000021100000}"/>
    <cellStyle name="20% - 강조색5 59 5" xfId="4085" xr:uid="{00000000-0005-0000-0000-000022100000}"/>
    <cellStyle name="20% - 강조색5 59 6" xfId="4155" xr:uid="{00000000-0005-0000-0000-000023100000}"/>
    <cellStyle name="20% - 강조색5 59 7" xfId="5835" xr:uid="{00000000-0005-0000-0000-000024100000}"/>
    <cellStyle name="20% - 강조색5 59 8" xfId="5912" xr:uid="{00000000-0005-0000-0000-000025100000}"/>
    <cellStyle name="20% - 강조색5 59 9" xfId="5968" xr:uid="{00000000-0005-0000-0000-000026100000}"/>
    <cellStyle name="20% - 강조색5 6" xfId="124" xr:uid="{00000000-0005-0000-0000-000027100000}"/>
    <cellStyle name="20% - 강조색5 60" xfId="2261" xr:uid="{00000000-0005-0000-0000-000028100000}"/>
    <cellStyle name="20% - 강조색5 60 10" xfId="3827" xr:uid="{00000000-0005-0000-0000-000029100000}"/>
    <cellStyle name="20% - 강조색5 60 11" xfId="7157" xr:uid="{00000000-0005-0000-0000-00002A100000}"/>
    <cellStyle name="20% - 강조색5 60 12" xfId="6899" xr:uid="{00000000-0005-0000-0000-00002B100000}"/>
    <cellStyle name="20% - 강조색5 60 13" xfId="7466" xr:uid="{00000000-0005-0000-0000-00002C100000}"/>
    <cellStyle name="20% - 강조색5 60 14" xfId="8500" xr:uid="{00000000-0005-0000-0000-00002D100000}"/>
    <cellStyle name="20% - 강조색5 60 15" xfId="8783" xr:uid="{00000000-0005-0000-0000-00002E100000}"/>
    <cellStyle name="20% - 강조색5 60 16" xfId="9241" xr:uid="{00000000-0005-0000-0000-00002F100000}"/>
    <cellStyle name="20% - 강조색5 60 17" xfId="7526" xr:uid="{00000000-0005-0000-0000-000030100000}"/>
    <cellStyle name="20% - 강조색5 60 18" xfId="6329" xr:uid="{00000000-0005-0000-0000-000031100000}"/>
    <cellStyle name="20% - 강조색5 60 19" xfId="1844" xr:uid="{00000000-0005-0000-0000-000032100000}"/>
    <cellStyle name="20% - 강조색5 60 2" xfId="4023" xr:uid="{00000000-0005-0000-0000-000033100000}"/>
    <cellStyle name="20% - 강조색5 60 20" xfId="10633" xr:uid="{00000000-0005-0000-0000-000034100000}"/>
    <cellStyle name="20% - 강조색5 60 21" xfId="10732" xr:uid="{00000000-0005-0000-0000-000035100000}"/>
    <cellStyle name="20% - 강조색5 60 22" xfId="11111" xr:uid="{00000000-0005-0000-0000-000036100000}"/>
    <cellStyle name="20% - 강조색5 60 3" xfId="4250" xr:uid="{00000000-0005-0000-0000-000037100000}"/>
    <cellStyle name="20% - 강조색5 60 4" xfId="4469" xr:uid="{00000000-0005-0000-0000-000038100000}"/>
    <cellStyle name="20% - 강조색5 60 5" xfId="5258" xr:uid="{00000000-0005-0000-0000-000039100000}"/>
    <cellStyle name="20% - 강조색5 60 6" xfId="5114" xr:uid="{00000000-0005-0000-0000-00003A100000}"/>
    <cellStyle name="20% - 강조색5 60 7" xfId="3806" xr:uid="{00000000-0005-0000-0000-00003B100000}"/>
    <cellStyle name="20% - 강조색5 60 8" xfId="5575" xr:uid="{00000000-0005-0000-0000-00003C100000}"/>
    <cellStyle name="20% - 강조색5 60 9" xfId="6259" xr:uid="{00000000-0005-0000-0000-00003D100000}"/>
    <cellStyle name="20% - 강조색5 61" xfId="3753" xr:uid="{00000000-0005-0000-0000-00003E100000}"/>
    <cellStyle name="20% - 강조색5 61 10" xfId="6915" xr:uid="{00000000-0005-0000-0000-00003F100000}"/>
    <cellStyle name="20% - 강조색5 61 11" xfId="4088" xr:uid="{00000000-0005-0000-0000-000040100000}"/>
    <cellStyle name="20% - 강조색5 61 12" xfId="6117" xr:uid="{00000000-0005-0000-0000-000041100000}"/>
    <cellStyle name="20% - 강조색5 61 13" xfId="8555" xr:uid="{00000000-0005-0000-0000-000042100000}"/>
    <cellStyle name="20% - 강조색5 61 14" xfId="8905" xr:uid="{00000000-0005-0000-0000-000043100000}"/>
    <cellStyle name="20% - 강조색5 61 15" xfId="4485" xr:uid="{00000000-0005-0000-0000-000044100000}"/>
    <cellStyle name="20% - 강조색5 61 16" xfId="9691" xr:uid="{00000000-0005-0000-0000-000045100000}"/>
    <cellStyle name="20% - 강조색5 61 17" xfId="9906" xr:uid="{00000000-0005-0000-0000-000046100000}"/>
    <cellStyle name="20% - 강조색5 61 18" xfId="6777" xr:uid="{00000000-0005-0000-0000-000047100000}"/>
    <cellStyle name="20% - 강조색5 61 19" xfId="10614" xr:uid="{00000000-0005-0000-0000-000048100000}"/>
    <cellStyle name="20% - 강조색5 61 2" xfId="4406" xr:uid="{00000000-0005-0000-0000-000049100000}"/>
    <cellStyle name="20% - 강조색5 61 20" xfId="10782" xr:uid="{00000000-0005-0000-0000-00004A100000}"/>
    <cellStyle name="20% - 강조색5 61 21" xfId="11268" xr:uid="{00000000-0005-0000-0000-00004B100000}"/>
    <cellStyle name="20% - 강조색5 61 3" xfId="4759" xr:uid="{00000000-0005-0000-0000-00004C100000}"/>
    <cellStyle name="20% - 강조색5 61 4" xfId="5317" xr:uid="{00000000-0005-0000-0000-00004D100000}"/>
    <cellStyle name="20% - 강조색5 61 5" xfId="1848" xr:uid="{00000000-0005-0000-0000-00004E100000}"/>
    <cellStyle name="20% - 강조색5 61 6" xfId="4870" xr:uid="{00000000-0005-0000-0000-00004F100000}"/>
    <cellStyle name="20% - 강조색5 61 7" xfId="5707" xr:uid="{00000000-0005-0000-0000-000050100000}"/>
    <cellStyle name="20% - 강조색5 61 8" xfId="1891" xr:uid="{00000000-0005-0000-0000-000051100000}"/>
    <cellStyle name="20% - 강조색5 61 9" xfId="7184" xr:uid="{00000000-0005-0000-0000-000052100000}"/>
    <cellStyle name="20% - 강조색5 62" xfId="4326" xr:uid="{00000000-0005-0000-0000-000053100000}"/>
    <cellStyle name="20% - 강조색5 62 10" xfId="7778" xr:uid="{00000000-0005-0000-0000-000054100000}"/>
    <cellStyle name="20% - 강조색5 62 11" xfId="8025" xr:uid="{00000000-0005-0000-0000-000055100000}"/>
    <cellStyle name="20% - 강조색5 62 12" xfId="1907" xr:uid="{00000000-0005-0000-0000-000056100000}"/>
    <cellStyle name="20% - 강조색5 62 13" xfId="9010" xr:uid="{00000000-0005-0000-0000-000057100000}"/>
    <cellStyle name="20% - 강조색5 62 14" xfId="9354" xr:uid="{00000000-0005-0000-0000-000058100000}"/>
    <cellStyle name="20% - 강조색5 62 15" xfId="9571" xr:uid="{00000000-0005-0000-0000-000059100000}"/>
    <cellStyle name="20% - 강조색5 62 16" xfId="9884" xr:uid="{00000000-0005-0000-0000-00005A100000}"/>
    <cellStyle name="20% - 강조색5 62 17" xfId="8550" xr:uid="{00000000-0005-0000-0000-00005B100000}"/>
    <cellStyle name="20% - 강조색5 62 18" xfId="10612" xr:uid="{00000000-0005-0000-0000-00005C100000}"/>
    <cellStyle name="20% - 강조색5 62 19" xfId="10164" xr:uid="{00000000-0005-0000-0000-00005D100000}"/>
    <cellStyle name="20% - 강조색5 62 2" xfId="4774" xr:uid="{00000000-0005-0000-0000-00005E100000}"/>
    <cellStyle name="20% - 강조색5 62 20" xfId="6128" xr:uid="{00000000-0005-0000-0000-00005F100000}"/>
    <cellStyle name="20% - 강조색5 62 3" xfId="5745" xr:uid="{00000000-0005-0000-0000-000060100000}"/>
    <cellStyle name="20% - 강조색5 62 4" xfId="5848" xr:uid="{00000000-0005-0000-0000-000061100000}"/>
    <cellStyle name="20% - 강조색5 62 5" xfId="5923" xr:uid="{00000000-0005-0000-0000-000062100000}"/>
    <cellStyle name="20% - 강조색5 62 6" xfId="5973" xr:uid="{00000000-0005-0000-0000-000063100000}"/>
    <cellStyle name="20% - 강조색5 62 7" xfId="6632" xr:uid="{00000000-0005-0000-0000-000064100000}"/>
    <cellStyle name="20% - 강조색5 62 8" xfId="7033" xr:uid="{00000000-0005-0000-0000-000065100000}"/>
    <cellStyle name="20% - 강조색5 62 9" xfId="7299" xr:uid="{00000000-0005-0000-0000-000066100000}"/>
    <cellStyle name="20% - 강조색5 63" xfId="4689" xr:uid="{00000000-0005-0000-0000-000067100000}"/>
    <cellStyle name="20% - 강조색5 63 10" xfId="8231" xr:uid="{00000000-0005-0000-0000-000068100000}"/>
    <cellStyle name="20% - 강조색5 63 11" xfId="8511" xr:uid="{00000000-0005-0000-0000-000069100000}"/>
    <cellStyle name="20% - 강조색5 63 12" xfId="8935" xr:uid="{00000000-0005-0000-0000-00006A100000}"/>
    <cellStyle name="20% - 강조색5 63 13" xfId="4385" xr:uid="{00000000-0005-0000-0000-00006B100000}"/>
    <cellStyle name="20% - 강조색5 63 14" xfId="8095" xr:uid="{00000000-0005-0000-0000-00006C100000}"/>
    <cellStyle name="20% - 강조색5 63 15" xfId="8728" xr:uid="{00000000-0005-0000-0000-00006D100000}"/>
    <cellStyle name="20% - 강조색5 63 16" xfId="10352" xr:uid="{00000000-0005-0000-0000-00006E100000}"/>
    <cellStyle name="20% - 강조색5 63 17" xfId="10643" xr:uid="{00000000-0005-0000-0000-00006F100000}"/>
    <cellStyle name="20% - 강조색5 63 18" xfId="1422" xr:uid="{00000000-0005-0000-0000-000070100000}"/>
    <cellStyle name="20% - 강조색5 63 19" xfId="7412" xr:uid="{00000000-0005-0000-0000-000071100000}"/>
    <cellStyle name="20% - 강조색5 63 2" xfId="5820" xr:uid="{00000000-0005-0000-0000-000072100000}"/>
    <cellStyle name="20% - 강조색5 63 3" xfId="5899" xr:uid="{00000000-0005-0000-0000-000073100000}"/>
    <cellStyle name="20% - 강조색5 63 4" xfId="5957" xr:uid="{00000000-0005-0000-0000-000074100000}"/>
    <cellStyle name="20% - 강조색5 63 5" xfId="5984" xr:uid="{00000000-0005-0000-0000-000075100000}"/>
    <cellStyle name="20% - 강조색5 63 6" xfId="6644" xr:uid="{00000000-0005-0000-0000-000076100000}"/>
    <cellStyle name="20% - 강조색5 63 7" xfId="7043" xr:uid="{00000000-0005-0000-0000-000077100000}"/>
    <cellStyle name="20% - 강조색5 63 8" xfId="6855" xr:uid="{00000000-0005-0000-0000-000078100000}"/>
    <cellStyle name="20% - 강조색5 63 9" xfId="7448" xr:uid="{00000000-0005-0000-0000-000079100000}"/>
    <cellStyle name="20% - 강조색5 64" xfId="5089" xr:uid="{00000000-0005-0000-0000-00007A100000}"/>
    <cellStyle name="20% - 강조색5 64 10" xfId="6765" xr:uid="{00000000-0005-0000-0000-00007B100000}"/>
    <cellStyle name="20% - 강조색5 64 11" xfId="9917" xr:uid="{00000000-0005-0000-0000-00007C100000}"/>
    <cellStyle name="20% - 강조색5 64 12" xfId="6362" xr:uid="{00000000-0005-0000-0000-00007D100000}"/>
    <cellStyle name="20% - 강조색5 64 13" xfId="10546" xr:uid="{00000000-0005-0000-0000-00007E100000}"/>
    <cellStyle name="20% - 강조색5 64 14" xfId="4614" xr:uid="{00000000-0005-0000-0000-00007F100000}"/>
    <cellStyle name="20% - 강조색5 64 15" xfId="11047" xr:uid="{00000000-0005-0000-0000-000080100000}"/>
    <cellStyle name="20% - 강조색5 64 2" xfId="6657" xr:uid="{00000000-0005-0000-0000-000081100000}"/>
    <cellStyle name="20% - 강조색5 64 3" xfId="6928" xr:uid="{00000000-0005-0000-0000-000082100000}"/>
    <cellStyle name="20% - 강조색5 64 4" xfId="7373" xr:uid="{00000000-0005-0000-0000-000083100000}"/>
    <cellStyle name="20% - 강조색5 64 5" xfId="7403" xr:uid="{00000000-0005-0000-0000-000084100000}"/>
    <cellStyle name="20% - 강조색5 64 6" xfId="8049" xr:uid="{00000000-0005-0000-0000-000085100000}"/>
    <cellStyle name="20% - 강조색5 64 7" xfId="1995" xr:uid="{00000000-0005-0000-0000-000086100000}"/>
    <cellStyle name="20% - 강조색5 64 8" xfId="8918" xr:uid="{00000000-0005-0000-0000-000087100000}"/>
    <cellStyle name="20% - 강조색5 64 9" xfId="9170" xr:uid="{00000000-0005-0000-0000-000088100000}"/>
    <cellStyle name="20% - 강조색5 65" xfId="4857" xr:uid="{00000000-0005-0000-0000-000089100000}"/>
    <cellStyle name="20% - 강조색5 65 10" xfId="9560" xr:uid="{00000000-0005-0000-0000-00008A100000}"/>
    <cellStyle name="20% - 강조색5 65 11" xfId="2889" xr:uid="{00000000-0005-0000-0000-00008B100000}"/>
    <cellStyle name="20% - 강조색5 65 12" xfId="10229" xr:uid="{00000000-0005-0000-0000-00008C100000}"/>
    <cellStyle name="20% - 강조색5 65 13" xfId="10574" xr:uid="{00000000-0005-0000-0000-00008D100000}"/>
    <cellStyle name="20% - 강조색5 65 14" xfId="6043" xr:uid="{00000000-0005-0000-0000-00008E100000}"/>
    <cellStyle name="20% - 강조색5 65 15" xfId="11135" xr:uid="{00000000-0005-0000-0000-00008F100000}"/>
    <cellStyle name="20% - 강조색5 65 2" xfId="6649" xr:uid="{00000000-0005-0000-0000-000090100000}"/>
    <cellStyle name="20% - 강조색5 65 3" xfId="7235" xr:uid="{00000000-0005-0000-0000-000091100000}"/>
    <cellStyle name="20% - 강조색5 65 4" xfId="7345" xr:uid="{00000000-0005-0000-0000-000092100000}"/>
    <cellStyle name="20% - 강조색5 65 5" xfId="7794" xr:uid="{00000000-0005-0000-0000-000093100000}"/>
    <cellStyle name="20% - 강조색5 65 6" xfId="4863" xr:uid="{00000000-0005-0000-0000-000094100000}"/>
    <cellStyle name="20% - 강조색5 65 7" xfId="1579" xr:uid="{00000000-0005-0000-0000-000095100000}"/>
    <cellStyle name="20% - 강조색5 65 8" xfId="8742" xr:uid="{00000000-0005-0000-0000-000096100000}"/>
    <cellStyle name="20% - 강조색5 65 9" xfId="8907" xr:uid="{00000000-0005-0000-0000-000097100000}"/>
    <cellStyle name="20% - 강조색5 66" xfId="865" xr:uid="{00000000-0005-0000-0000-000098100000}"/>
    <cellStyle name="20% - 강조색5 66 10" xfId="9671" xr:uid="{00000000-0005-0000-0000-000099100000}"/>
    <cellStyle name="20% - 강조색5 66 11" xfId="2831" xr:uid="{00000000-0005-0000-0000-00009A100000}"/>
    <cellStyle name="20% - 강조색5 66 12" xfId="9057" xr:uid="{00000000-0005-0000-0000-00009B100000}"/>
    <cellStyle name="20% - 강조색5 66 13" xfId="10455" xr:uid="{00000000-0005-0000-0000-00009C100000}"/>
    <cellStyle name="20% - 강조색5 66 14" xfId="9125" xr:uid="{00000000-0005-0000-0000-00009D100000}"/>
    <cellStyle name="20% - 강조색5 66 15" xfId="8678" xr:uid="{00000000-0005-0000-0000-00009E100000}"/>
    <cellStyle name="20% - 강조색5 66 2" xfId="1401" xr:uid="{00000000-0005-0000-0000-00009F100000}"/>
    <cellStyle name="20% - 강조색5 66 3" xfId="7051" xr:uid="{00000000-0005-0000-0000-0000A0100000}"/>
    <cellStyle name="20% - 강조색5 66 4" xfId="7166" xr:uid="{00000000-0005-0000-0000-0000A1100000}"/>
    <cellStyle name="20% - 강조색5 66 5" xfId="7711" xr:uid="{00000000-0005-0000-0000-0000A2100000}"/>
    <cellStyle name="20% - 강조색5 66 6" xfId="6330" xr:uid="{00000000-0005-0000-0000-0000A3100000}"/>
    <cellStyle name="20% - 강조색5 66 7" xfId="8519" xr:uid="{00000000-0005-0000-0000-0000A4100000}"/>
    <cellStyle name="20% - 강조색5 66 8" xfId="4075" xr:uid="{00000000-0005-0000-0000-0000A5100000}"/>
    <cellStyle name="20% - 강조색5 66 9" xfId="3208" xr:uid="{00000000-0005-0000-0000-0000A6100000}"/>
    <cellStyle name="20% - 강조색5 67" xfId="5120" xr:uid="{00000000-0005-0000-0000-0000A7100000}"/>
    <cellStyle name="20% - 강조색5 67 10" xfId="9424" xr:uid="{00000000-0005-0000-0000-0000A8100000}"/>
    <cellStyle name="20% - 강조색5 67 11" xfId="10037" xr:uid="{00000000-0005-0000-0000-0000A9100000}"/>
    <cellStyle name="20% - 강조색5 67 12" xfId="10330" xr:uid="{00000000-0005-0000-0000-0000AA100000}"/>
    <cellStyle name="20% - 강조색5 67 13" xfId="10629" xr:uid="{00000000-0005-0000-0000-0000AB100000}"/>
    <cellStyle name="20% - 강조색5 67 14" xfId="10968" xr:uid="{00000000-0005-0000-0000-0000AC100000}"/>
    <cellStyle name="20% - 강조색5 67 15" xfId="9934" xr:uid="{00000000-0005-0000-0000-0000AD100000}"/>
    <cellStyle name="20% - 강조색5 67 2" xfId="6659" xr:uid="{00000000-0005-0000-0000-0000AE100000}"/>
    <cellStyle name="20% - 강조색5 67 3" xfId="7000" xr:uid="{00000000-0005-0000-0000-0000AF100000}"/>
    <cellStyle name="20% - 강조색5 67 4" xfId="7317" xr:uid="{00000000-0005-0000-0000-0000B0100000}"/>
    <cellStyle name="20% - 강조색5 67 5" xfId="6301" xr:uid="{00000000-0005-0000-0000-0000B1100000}"/>
    <cellStyle name="20% - 강조색5 67 6" xfId="8195" xr:uid="{00000000-0005-0000-0000-0000B2100000}"/>
    <cellStyle name="20% - 강조색5 67 7" xfId="8409" xr:uid="{00000000-0005-0000-0000-0000B3100000}"/>
    <cellStyle name="20% - 강조색5 67 8" xfId="8914" xr:uid="{00000000-0005-0000-0000-0000B4100000}"/>
    <cellStyle name="20% - 강조색5 67 9" xfId="9243" xr:uid="{00000000-0005-0000-0000-0000B5100000}"/>
    <cellStyle name="20% - 강조색5 68" xfId="6335" xr:uid="{00000000-0005-0000-0000-0000B6100000}"/>
    <cellStyle name="20% - 강조색5 68 10" xfId="9860" xr:uid="{00000000-0005-0000-0000-0000B7100000}"/>
    <cellStyle name="20% - 강조색5 68 11" xfId="10321" xr:uid="{00000000-0005-0000-0000-0000B8100000}"/>
    <cellStyle name="20% - 강조색5 68 12" xfId="10649" xr:uid="{00000000-0005-0000-0000-0000B9100000}"/>
    <cellStyle name="20% - 강조색5 68 13" xfId="10872" xr:uid="{00000000-0005-0000-0000-0000BA100000}"/>
    <cellStyle name="20% - 강조색5 68 14" xfId="11043" xr:uid="{00000000-0005-0000-0000-0000BB100000}"/>
    <cellStyle name="20% - 강조색5 68 2" xfId="7344" xr:uid="{00000000-0005-0000-0000-0000BC100000}"/>
    <cellStyle name="20% - 강조색5 68 3" xfId="7381" xr:uid="{00000000-0005-0000-0000-0000BD100000}"/>
    <cellStyle name="20% - 강조색5 68 4" xfId="7870" xr:uid="{00000000-0005-0000-0000-0000BE100000}"/>
    <cellStyle name="20% - 강조색5 68 5" xfId="7926" xr:uid="{00000000-0005-0000-0000-0000BF100000}"/>
    <cellStyle name="20% - 강조색5 68 6" xfId="7546" xr:uid="{00000000-0005-0000-0000-0000C0100000}"/>
    <cellStyle name="20% - 강조색5 68 7" xfId="8819" xr:uid="{00000000-0005-0000-0000-0000C1100000}"/>
    <cellStyle name="20% - 강조색5 68 8" xfId="4525" xr:uid="{00000000-0005-0000-0000-0000C2100000}"/>
    <cellStyle name="20% - 강조색5 68 9" xfId="9450" xr:uid="{00000000-0005-0000-0000-0000C3100000}"/>
    <cellStyle name="20% - 강조색5 69" xfId="6968" xr:uid="{00000000-0005-0000-0000-0000C4100000}"/>
    <cellStyle name="20% - 강조색5 69 10" xfId="10416" xr:uid="{00000000-0005-0000-0000-0000C5100000}"/>
    <cellStyle name="20% - 강조색5 69 11" xfId="9995" xr:uid="{00000000-0005-0000-0000-0000C6100000}"/>
    <cellStyle name="20% - 강조색5 69 12" xfId="10508" xr:uid="{00000000-0005-0000-0000-0000C7100000}"/>
    <cellStyle name="20% - 강조색5 69 2" xfId="7880" xr:uid="{00000000-0005-0000-0000-0000C8100000}"/>
    <cellStyle name="20% - 강조색5 69 3" xfId="8274" xr:uid="{00000000-0005-0000-0000-0000C9100000}"/>
    <cellStyle name="20% - 강조색5 69 4" xfId="8495" xr:uid="{00000000-0005-0000-0000-0000CA100000}"/>
    <cellStyle name="20% - 강조색5 69 5" xfId="8892" xr:uid="{00000000-0005-0000-0000-0000CB100000}"/>
    <cellStyle name="20% - 강조색5 69 6" xfId="1585" xr:uid="{00000000-0005-0000-0000-0000CC100000}"/>
    <cellStyle name="20% - 강조색5 69 7" xfId="9653" xr:uid="{00000000-0005-0000-0000-0000CD100000}"/>
    <cellStyle name="20% - 강조색5 69 8" xfId="9971" xr:uid="{00000000-0005-0000-0000-0000CE100000}"/>
    <cellStyle name="20% - 강조색5 69 9" xfId="10237" xr:uid="{00000000-0005-0000-0000-0000CF100000}"/>
    <cellStyle name="20% - 강조색5 7" xfId="137" xr:uid="{00000000-0005-0000-0000-0000D0100000}"/>
    <cellStyle name="20% - 강조색5 70" xfId="7308" xr:uid="{00000000-0005-0000-0000-0000D1100000}"/>
    <cellStyle name="20% - 강조색5 70 10" xfId="6531" xr:uid="{00000000-0005-0000-0000-0000D2100000}"/>
    <cellStyle name="20% - 강조색5 70 11" xfId="10969" xr:uid="{00000000-0005-0000-0000-0000D3100000}"/>
    <cellStyle name="20% - 강조색5 70 12" xfId="4526" xr:uid="{00000000-0005-0000-0000-0000D4100000}"/>
    <cellStyle name="20% - 강조색5 70 2" xfId="7893" xr:uid="{00000000-0005-0000-0000-0000D5100000}"/>
    <cellStyle name="20% - 강조색5 70 3" xfId="8287" xr:uid="{00000000-0005-0000-0000-0000D6100000}"/>
    <cellStyle name="20% - 강조색5 70 4" xfId="8649" xr:uid="{00000000-0005-0000-0000-0000D7100000}"/>
    <cellStyle name="20% - 강조색5 70 5" xfId="3758" xr:uid="{00000000-0005-0000-0000-0000D8100000}"/>
    <cellStyle name="20% - 강조색5 70 6" xfId="9192" xr:uid="{00000000-0005-0000-0000-0000D9100000}"/>
    <cellStyle name="20% - 강조색5 70 7" xfId="9502" xr:uid="{00000000-0005-0000-0000-0000DA100000}"/>
    <cellStyle name="20% - 강조색5 70 8" xfId="9922" xr:uid="{00000000-0005-0000-0000-0000DB100000}"/>
    <cellStyle name="20% - 강조색5 70 9" xfId="6489" xr:uid="{00000000-0005-0000-0000-0000DC100000}"/>
    <cellStyle name="20% - 강조색5 71" xfId="7751" xr:uid="{00000000-0005-0000-0000-0000DD100000}"/>
    <cellStyle name="20% - 강조색5 71 10" xfId="10818" xr:uid="{00000000-0005-0000-0000-0000DE100000}"/>
    <cellStyle name="20% - 강조색5 71 11" xfId="807" xr:uid="{00000000-0005-0000-0000-0000DF100000}"/>
    <cellStyle name="20% - 강조색5 71 2" xfId="8298" xr:uid="{00000000-0005-0000-0000-0000E0100000}"/>
    <cellStyle name="20% - 강조색5 71 3" xfId="8660" xr:uid="{00000000-0005-0000-0000-0000E1100000}"/>
    <cellStyle name="20% - 강조색5 71 4" xfId="9024" xr:uid="{00000000-0005-0000-0000-0000E2100000}"/>
    <cellStyle name="20% - 강조색5 71 5" xfId="8750" xr:uid="{00000000-0005-0000-0000-0000E3100000}"/>
    <cellStyle name="20% - 강조색5 71 6" xfId="9675" xr:uid="{00000000-0005-0000-0000-0000E4100000}"/>
    <cellStyle name="20% - 강조색5 71 7" xfId="9811" xr:uid="{00000000-0005-0000-0000-0000E5100000}"/>
    <cellStyle name="20% - 강조색5 71 8" xfId="10253" xr:uid="{00000000-0005-0000-0000-0000E6100000}"/>
    <cellStyle name="20% - 강조색5 71 9" xfId="10415" xr:uid="{00000000-0005-0000-0000-0000E7100000}"/>
    <cellStyle name="20% - 강조색5 72" xfId="5165" xr:uid="{00000000-0005-0000-0000-0000E8100000}"/>
    <cellStyle name="20% - 강조색5 72 10" xfId="9055" xr:uid="{00000000-0005-0000-0000-0000E9100000}"/>
    <cellStyle name="20% - 강조색5 72 2" xfId="8510" xr:uid="{00000000-0005-0000-0000-0000EA100000}"/>
    <cellStyle name="20% - 강조색5 72 3" xfId="8399" xr:uid="{00000000-0005-0000-0000-0000EB100000}"/>
    <cellStyle name="20% - 강조색5 72 4" xfId="9317" xr:uid="{00000000-0005-0000-0000-0000EC100000}"/>
    <cellStyle name="20% - 강조색5 72 5" xfId="7597" xr:uid="{00000000-0005-0000-0000-0000ED100000}"/>
    <cellStyle name="20% - 강조색5 72 6" xfId="9939" xr:uid="{00000000-0005-0000-0000-0000EE100000}"/>
    <cellStyle name="20% - 강조색5 72 7" xfId="10291" xr:uid="{00000000-0005-0000-0000-0000EF100000}"/>
    <cellStyle name="20% - 강조색5 72 8" xfId="10464" xr:uid="{00000000-0005-0000-0000-0000F0100000}"/>
    <cellStyle name="20% - 강조색5 72 9" xfId="10854" xr:uid="{00000000-0005-0000-0000-0000F1100000}"/>
    <cellStyle name="20% - 강조색5 73" xfId="8625" xr:uid="{00000000-0005-0000-0000-0000F2100000}"/>
    <cellStyle name="20% - 강조색5 73 2" xfId="9046" xr:uid="{00000000-0005-0000-0000-0000F3100000}"/>
    <cellStyle name="20% - 강조색5 73 3" xfId="9405" xr:uid="{00000000-0005-0000-0000-0000F4100000}"/>
    <cellStyle name="20% - 강조색5 73 4" xfId="9737" xr:uid="{00000000-0005-0000-0000-0000F5100000}"/>
    <cellStyle name="20% - 강조색5 73 5" xfId="10063" xr:uid="{00000000-0005-0000-0000-0000F6100000}"/>
    <cellStyle name="20% - 강조색5 73 6" xfId="4796" xr:uid="{00000000-0005-0000-0000-0000F7100000}"/>
    <cellStyle name="20% - 강조색5 73 7" xfId="6353" xr:uid="{00000000-0005-0000-0000-0000F8100000}"/>
    <cellStyle name="20% - 강조색5 73 8" xfId="10825" xr:uid="{00000000-0005-0000-0000-0000F9100000}"/>
    <cellStyle name="20% - 강조색5 73 9" xfId="9068" xr:uid="{00000000-0005-0000-0000-0000FA100000}"/>
    <cellStyle name="20% - 강조색5 74" xfId="8901" xr:uid="{00000000-0005-0000-0000-0000FB100000}"/>
    <cellStyle name="20% - 강조색5 74 2" xfId="9411" xr:uid="{00000000-0005-0000-0000-0000FC100000}"/>
    <cellStyle name="20% - 강조색5 74 3" xfId="9743" xr:uid="{00000000-0005-0000-0000-0000FD100000}"/>
    <cellStyle name="20% - 강조색5 74 4" xfId="10069" xr:uid="{00000000-0005-0000-0000-0000FE100000}"/>
    <cellStyle name="20% - 강조색5 74 5" xfId="10382" xr:uid="{00000000-0005-0000-0000-0000FF100000}"/>
    <cellStyle name="20% - 강조색5 74 6" xfId="8755" xr:uid="{00000000-0005-0000-0000-000000110000}"/>
    <cellStyle name="20% - 강조색5 74 7" xfId="10920" xr:uid="{00000000-0005-0000-0000-000001110000}"/>
    <cellStyle name="20% - 강조색5 74 8" xfId="6575" xr:uid="{00000000-0005-0000-0000-000002110000}"/>
    <cellStyle name="20% - 강조색5 75" xfId="2395" xr:uid="{00000000-0005-0000-0000-000003110000}"/>
    <cellStyle name="20% - 강조색5 75 2" xfId="8472" xr:uid="{00000000-0005-0000-0000-000004110000}"/>
    <cellStyle name="20% - 강조색5 75 3" xfId="8038" xr:uid="{00000000-0005-0000-0000-000005110000}"/>
    <cellStyle name="20% - 강조색5 75 4" xfId="10108" xr:uid="{00000000-0005-0000-0000-000006110000}"/>
    <cellStyle name="20% - 강조색5 75 5" xfId="7682" xr:uid="{00000000-0005-0000-0000-000007110000}"/>
    <cellStyle name="20% - 강조색5 75 6" xfId="7962" xr:uid="{00000000-0005-0000-0000-000008110000}"/>
    <cellStyle name="20% - 강조색5 75 7" xfId="11243" xr:uid="{00000000-0005-0000-0000-000009110000}"/>
    <cellStyle name="20% - 강조색5 76" xfId="9679" xr:uid="{00000000-0005-0000-0000-00000A110000}"/>
    <cellStyle name="20% - 강조색5 76 2" xfId="10088" xr:uid="{00000000-0005-0000-0000-00000B110000}"/>
    <cellStyle name="20% - 강조색5 76 3" xfId="10402" xr:uid="{00000000-0005-0000-0000-00000C110000}"/>
    <cellStyle name="20% - 강조색5 76 4" xfId="10712" xr:uid="{00000000-0005-0000-0000-00000D110000}"/>
    <cellStyle name="20% - 강조색5 76 5" xfId="10995" xr:uid="{00000000-0005-0000-0000-00000E110000}"/>
    <cellStyle name="20% - 강조색5 76 6" xfId="11218" xr:uid="{00000000-0005-0000-0000-00000F110000}"/>
    <cellStyle name="20% - 강조색5 77" xfId="3772" xr:uid="{00000000-0005-0000-0000-000010110000}"/>
    <cellStyle name="20% - 강조색5 77 2" xfId="10343" xr:uid="{00000000-0005-0000-0000-000011110000}"/>
    <cellStyle name="20% - 강조색5 77 3" xfId="2138" xr:uid="{00000000-0005-0000-0000-000012110000}"/>
    <cellStyle name="20% - 강조색5 77 4" xfId="10856" xr:uid="{00000000-0005-0000-0000-000013110000}"/>
    <cellStyle name="20% - 강조색5 77 5" xfId="11098" xr:uid="{00000000-0005-0000-0000-000014110000}"/>
    <cellStyle name="20% - 강조색5 78" xfId="3817" xr:uid="{00000000-0005-0000-0000-000015110000}"/>
    <cellStyle name="20% - 강조색5 78 2" xfId="3840" xr:uid="{00000000-0005-0000-0000-000016110000}"/>
    <cellStyle name="20% - 강조색5 78 3" xfId="10988" xr:uid="{00000000-0005-0000-0000-000017110000}"/>
    <cellStyle name="20% - 강조색5 78 4" xfId="11279" xr:uid="{00000000-0005-0000-0000-000018110000}"/>
    <cellStyle name="20% - 강조색5 79" xfId="10541" xr:uid="{00000000-0005-0000-0000-000019110000}"/>
    <cellStyle name="20% - 강조색5 79 2" xfId="11017" xr:uid="{00000000-0005-0000-0000-00001A110000}"/>
    <cellStyle name="20% - 강조색5 79 3" xfId="11295" xr:uid="{00000000-0005-0000-0000-00001B110000}"/>
    <cellStyle name="20% - 강조색5 8" xfId="150" xr:uid="{00000000-0005-0000-0000-00001C110000}"/>
    <cellStyle name="20% - 강조색5 80" xfId="1843" xr:uid="{00000000-0005-0000-0000-00001D110000}"/>
    <cellStyle name="20% - 강조색5 80 2" xfId="7609" xr:uid="{00000000-0005-0000-0000-00001E110000}"/>
    <cellStyle name="20% - 강조색5 81" xfId="11155" xr:uid="{00000000-0005-0000-0000-00001F110000}"/>
    <cellStyle name="20% - 강조색5 82" xfId="682" xr:uid="{00000000-0005-0000-0000-000020110000}"/>
    <cellStyle name="20% - 강조색5 83" xfId="11366" xr:uid="{00000000-0005-0000-0000-000021110000}"/>
    <cellStyle name="20% - 강조색5 84" xfId="11375" xr:uid="{00000000-0005-0000-0000-000022110000}"/>
    <cellStyle name="20% - 강조색5 85" xfId="11396" xr:uid="{00000000-0005-0000-0000-000023110000}"/>
    <cellStyle name="20% - 강조색5 86" xfId="11446" xr:uid="{00000000-0005-0000-0000-000024110000}"/>
    <cellStyle name="20% - 강조색5 9" xfId="163" xr:uid="{00000000-0005-0000-0000-000025110000}"/>
    <cellStyle name="20% - 강조색6" xfId="41" builtinId="50" customBuiltin="1"/>
    <cellStyle name="20% - 강조색6 10" xfId="179" xr:uid="{00000000-0005-0000-0000-000027110000}"/>
    <cellStyle name="20% - 강조색6 11" xfId="192" xr:uid="{00000000-0005-0000-0000-000028110000}"/>
    <cellStyle name="20% - 강조색6 12" xfId="205" xr:uid="{00000000-0005-0000-0000-000029110000}"/>
    <cellStyle name="20% - 강조색6 13" xfId="218" xr:uid="{00000000-0005-0000-0000-00002A110000}"/>
    <cellStyle name="20% - 강조색6 14" xfId="231" xr:uid="{00000000-0005-0000-0000-00002B110000}"/>
    <cellStyle name="20% - 강조색6 15" xfId="244" xr:uid="{00000000-0005-0000-0000-00002C110000}"/>
    <cellStyle name="20% - 강조색6 16" xfId="257" xr:uid="{00000000-0005-0000-0000-00002D110000}"/>
    <cellStyle name="20% - 강조색6 17" xfId="270" xr:uid="{00000000-0005-0000-0000-00002E110000}"/>
    <cellStyle name="20% - 강조색6 18" xfId="283" xr:uid="{00000000-0005-0000-0000-00002F110000}"/>
    <cellStyle name="20% - 강조색6 19" xfId="296" xr:uid="{00000000-0005-0000-0000-000030110000}"/>
    <cellStyle name="20% - 강조색6 2" xfId="56" xr:uid="{00000000-0005-0000-0000-000031110000}"/>
    <cellStyle name="20% - 강조색6 20" xfId="309" xr:uid="{00000000-0005-0000-0000-000032110000}"/>
    <cellStyle name="20% - 강조색6 21" xfId="322" xr:uid="{00000000-0005-0000-0000-000033110000}"/>
    <cellStyle name="20% - 강조색6 22" xfId="335" xr:uid="{00000000-0005-0000-0000-000034110000}"/>
    <cellStyle name="20% - 강조색6 23" xfId="348" xr:uid="{00000000-0005-0000-0000-000035110000}"/>
    <cellStyle name="20% - 강조색6 24" xfId="361" xr:uid="{00000000-0005-0000-0000-000036110000}"/>
    <cellStyle name="20% - 강조색6 25" xfId="374" xr:uid="{00000000-0005-0000-0000-000037110000}"/>
    <cellStyle name="20% - 강조색6 26" xfId="387" xr:uid="{00000000-0005-0000-0000-000038110000}"/>
    <cellStyle name="20% - 강조색6 27" xfId="400" xr:uid="{00000000-0005-0000-0000-000039110000}"/>
    <cellStyle name="20% - 강조색6 28" xfId="413" xr:uid="{00000000-0005-0000-0000-00003A110000}"/>
    <cellStyle name="20% - 강조색6 29" xfId="426" xr:uid="{00000000-0005-0000-0000-00003B110000}"/>
    <cellStyle name="20% - 강조색6 3" xfId="88" xr:uid="{00000000-0005-0000-0000-00003C110000}"/>
    <cellStyle name="20% - 강조색6 30" xfId="439" xr:uid="{00000000-0005-0000-0000-00003D110000}"/>
    <cellStyle name="20% - 강조색6 31" xfId="451" xr:uid="{00000000-0005-0000-0000-00003E110000}"/>
    <cellStyle name="20% - 강조색6 32" xfId="463" xr:uid="{00000000-0005-0000-0000-00003F110000}"/>
    <cellStyle name="20% - 강조색6 33" xfId="475" xr:uid="{00000000-0005-0000-0000-000040110000}"/>
    <cellStyle name="20% - 강조색6 34" xfId="487" xr:uid="{00000000-0005-0000-0000-000041110000}"/>
    <cellStyle name="20% - 강조색6 35" xfId="498" xr:uid="{00000000-0005-0000-0000-000042110000}"/>
    <cellStyle name="20% - 강조색6 36" xfId="509" xr:uid="{00000000-0005-0000-0000-000043110000}"/>
    <cellStyle name="20% - 강조색6 37" xfId="520" xr:uid="{00000000-0005-0000-0000-000044110000}"/>
    <cellStyle name="20% - 강조색6 38" xfId="529" xr:uid="{00000000-0005-0000-0000-000045110000}"/>
    <cellStyle name="20% - 강조색6 39" xfId="537" xr:uid="{00000000-0005-0000-0000-000046110000}"/>
    <cellStyle name="20% - 강조색6 4" xfId="101" xr:uid="{00000000-0005-0000-0000-000047110000}"/>
    <cellStyle name="20% - 강조색6 40" xfId="555" xr:uid="{00000000-0005-0000-0000-000048110000}"/>
    <cellStyle name="20% - 강조색6 40 10" xfId="3224" xr:uid="{00000000-0005-0000-0000-000049110000}"/>
    <cellStyle name="20% - 강조색6 40 11" xfId="3406" xr:uid="{00000000-0005-0000-0000-00004A110000}"/>
    <cellStyle name="20% - 강조색6 40 12" xfId="3938" xr:uid="{00000000-0005-0000-0000-00004B110000}"/>
    <cellStyle name="20% - 강조색6 40 13" xfId="4170" xr:uid="{00000000-0005-0000-0000-00004C110000}"/>
    <cellStyle name="20% - 강조색6 40 14" xfId="2531" xr:uid="{00000000-0005-0000-0000-00004D110000}"/>
    <cellStyle name="20% - 강조색6 40 15" xfId="5500" xr:uid="{00000000-0005-0000-0000-00004E110000}"/>
    <cellStyle name="20% - 강조색6 40 16" xfId="4448" xr:uid="{00000000-0005-0000-0000-00004F110000}"/>
    <cellStyle name="20% - 강조색6 40 17" xfId="3161" xr:uid="{00000000-0005-0000-0000-000050110000}"/>
    <cellStyle name="20% - 강조색6 40 18" xfId="4897" xr:uid="{00000000-0005-0000-0000-000051110000}"/>
    <cellStyle name="20% - 강조색6 40 19" xfId="6552" xr:uid="{00000000-0005-0000-0000-000052110000}"/>
    <cellStyle name="20% - 강조색6 40 2" xfId="603" xr:uid="{00000000-0005-0000-0000-000053110000}"/>
    <cellStyle name="20% - 강조색6 40 20" xfId="3909" xr:uid="{00000000-0005-0000-0000-000054110000}"/>
    <cellStyle name="20% - 강조색6 40 21" xfId="6056" xr:uid="{00000000-0005-0000-0000-000055110000}"/>
    <cellStyle name="20% - 강조색6 40 22" xfId="7818" xr:uid="{00000000-0005-0000-0000-000056110000}"/>
    <cellStyle name="20% - 강조색6 40 23" xfId="8123" xr:uid="{00000000-0005-0000-0000-000057110000}"/>
    <cellStyle name="20% - 강조색6 40 24" xfId="8388" xr:uid="{00000000-0005-0000-0000-000058110000}"/>
    <cellStyle name="20% - 강조색6 40 25" xfId="8821" xr:uid="{00000000-0005-0000-0000-000059110000}"/>
    <cellStyle name="20% - 강조색6 40 26" xfId="7430" xr:uid="{00000000-0005-0000-0000-00005A110000}"/>
    <cellStyle name="20% - 강조색6 40 27" xfId="6495" xr:uid="{00000000-0005-0000-0000-00005B110000}"/>
    <cellStyle name="20% - 강조색6 40 28" xfId="9189" xr:uid="{00000000-0005-0000-0000-00005C110000}"/>
    <cellStyle name="20% - 강조색6 40 29" xfId="10190" xr:uid="{00000000-0005-0000-0000-00005D110000}"/>
    <cellStyle name="20% - 강조색6 40 3" xfId="1014" xr:uid="{00000000-0005-0000-0000-00005E110000}"/>
    <cellStyle name="20% - 강조색6 40 30" xfId="10599" xr:uid="{00000000-0005-0000-0000-00005F110000}"/>
    <cellStyle name="20% - 강조색6 40 31" xfId="10749" xr:uid="{00000000-0005-0000-0000-000060110000}"/>
    <cellStyle name="20% - 강조색6 40 32" xfId="11124" xr:uid="{00000000-0005-0000-0000-000061110000}"/>
    <cellStyle name="20% - 강조색6 40 33" xfId="11325" xr:uid="{00000000-0005-0000-0000-000062110000}"/>
    <cellStyle name="20% - 강조색6 40 34" xfId="562" xr:uid="{00000000-0005-0000-0000-000063110000}"/>
    <cellStyle name="20% - 강조색6 40 35" xfId="11371" xr:uid="{00000000-0005-0000-0000-000064110000}"/>
    <cellStyle name="20% - 강조색6 40 36" xfId="11397" xr:uid="{00000000-0005-0000-0000-000065110000}"/>
    <cellStyle name="20% - 강조색6 40 4" xfId="1278" xr:uid="{00000000-0005-0000-0000-000066110000}"/>
    <cellStyle name="20% - 강조색6 40 5" xfId="1665" xr:uid="{00000000-0005-0000-0000-000067110000}"/>
    <cellStyle name="20% - 강조색6 40 6" xfId="844" xr:uid="{00000000-0005-0000-0000-000068110000}"/>
    <cellStyle name="20% - 강조색6 40 7" xfId="2315" xr:uid="{00000000-0005-0000-0000-000069110000}"/>
    <cellStyle name="20% - 강조색6 40 8" xfId="2669" xr:uid="{00000000-0005-0000-0000-00006A110000}"/>
    <cellStyle name="20% - 강조색6 40 9" xfId="2940" xr:uid="{00000000-0005-0000-0000-00006B110000}"/>
    <cellStyle name="20% - 강조색6 41" xfId="605" xr:uid="{00000000-0005-0000-0000-00006C110000}"/>
    <cellStyle name="20% - 강조색6 41 10" xfId="3317" xr:uid="{00000000-0005-0000-0000-00006D110000}"/>
    <cellStyle name="20% - 강조색6 41 11" xfId="2845" xr:uid="{00000000-0005-0000-0000-00006E110000}"/>
    <cellStyle name="20% - 강조색6 41 12" xfId="1855" xr:uid="{00000000-0005-0000-0000-00006F110000}"/>
    <cellStyle name="20% - 강조색6 41 13" xfId="3153" xr:uid="{00000000-0005-0000-0000-000070110000}"/>
    <cellStyle name="20% - 강조색6 41 14" xfId="4635" xr:uid="{00000000-0005-0000-0000-000071110000}"/>
    <cellStyle name="20% - 강조색6 41 15" xfId="3590" xr:uid="{00000000-0005-0000-0000-000072110000}"/>
    <cellStyle name="20% - 강조색6 41 16" xfId="5723" xr:uid="{00000000-0005-0000-0000-000073110000}"/>
    <cellStyle name="20% - 강조색6 41 17" xfId="3907" xr:uid="{00000000-0005-0000-0000-000074110000}"/>
    <cellStyle name="20% - 강조색6 41 18" xfId="4974" xr:uid="{00000000-0005-0000-0000-000075110000}"/>
    <cellStyle name="20% - 강조색6 41 19" xfId="6544" xr:uid="{00000000-0005-0000-0000-000076110000}"/>
    <cellStyle name="20% - 강조색6 41 2" xfId="1108" xr:uid="{00000000-0005-0000-0000-000077110000}"/>
    <cellStyle name="20% - 강조색6 41 20" xfId="7046" xr:uid="{00000000-0005-0000-0000-000078110000}"/>
    <cellStyle name="20% - 강조색6 41 21" xfId="3743" xr:uid="{00000000-0005-0000-0000-000079110000}"/>
    <cellStyle name="20% - 강조색6 41 22" xfId="7650" xr:uid="{00000000-0005-0000-0000-00007A110000}"/>
    <cellStyle name="20% - 강조색6 41 23" xfId="8188" xr:uid="{00000000-0005-0000-0000-00007B110000}"/>
    <cellStyle name="20% - 강조색6 41 24" xfId="8440" xr:uid="{00000000-0005-0000-0000-00007C110000}"/>
    <cellStyle name="20% - 강조색6 41 25" xfId="8989" xr:uid="{00000000-0005-0000-0000-00007D110000}"/>
    <cellStyle name="20% - 강조색6 41 26" xfId="9263" xr:uid="{00000000-0005-0000-0000-00007E110000}"/>
    <cellStyle name="20% - 강조색6 41 27" xfId="9434" xr:uid="{00000000-0005-0000-0000-00007F110000}"/>
    <cellStyle name="20% - 강조색6 41 28" xfId="2808" xr:uid="{00000000-0005-0000-0000-000080110000}"/>
    <cellStyle name="20% - 강조색6 41 29" xfId="10311" xr:uid="{00000000-0005-0000-0000-000081110000}"/>
    <cellStyle name="20% - 강조색6 41 3" xfId="1188" xr:uid="{00000000-0005-0000-0000-000082110000}"/>
    <cellStyle name="20% - 강조색6 41 30" xfId="10600" xr:uid="{00000000-0005-0000-0000-000083110000}"/>
    <cellStyle name="20% - 강조색6 41 31" xfId="1963" xr:uid="{00000000-0005-0000-0000-000084110000}"/>
    <cellStyle name="20% - 강조색6 41 32" xfId="7712" xr:uid="{00000000-0005-0000-0000-000085110000}"/>
    <cellStyle name="20% - 강조색6 41 4" xfId="1280" xr:uid="{00000000-0005-0000-0000-000086110000}"/>
    <cellStyle name="20% - 강조색6 41 5" xfId="1748" xr:uid="{00000000-0005-0000-0000-000087110000}"/>
    <cellStyle name="20% - 강조색6 41 6" xfId="889" xr:uid="{00000000-0005-0000-0000-000088110000}"/>
    <cellStyle name="20% - 강조색6 41 7" xfId="2239" xr:uid="{00000000-0005-0000-0000-000089110000}"/>
    <cellStyle name="20% - 강조색6 41 8" xfId="2660" xr:uid="{00000000-0005-0000-0000-00008A110000}"/>
    <cellStyle name="20% - 강조색6 41 9" xfId="2821" xr:uid="{00000000-0005-0000-0000-00008B110000}"/>
    <cellStyle name="20% - 강조색6 42" xfId="668" xr:uid="{00000000-0005-0000-0000-00008C110000}"/>
    <cellStyle name="20% - 강조색6 42 10" xfId="3258" xr:uid="{00000000-0005-0000-0000-00008D110000}"/>
    <cellStyle name="20% - 강조색6 42 11" xfId="3596" xr:uid="{00000000-0005-0000-0000-00008E110000}"/>
    <cellStyle name="20% - 강조색6 42 12" xfId="3746" xr:uid="{00000000-0005-0000-0000-00008F110000}"/>
    <cellStyle name="20% - 강조색6 42 13" xfId="4207" xr:uid="{00000000-0005-0000-0000-000090110000}"/>
    <cellStyle name="20% - 강조색6 42 14" xfId="4605" xr:uid="{00000000-0005-0000-0000-000091110000}"/>
    <cellStyle name="20% - 강조색6 42 15" xfId="5262" xr:uid="{00000000-0005-0000-0000-000092110000}"/>
    <cellStyle name="20% - 강조색6 42 16" xfId="5730" xr:uid="{00000000-0005-0000-0000-000093110000}"/>
    <cellStyle name="20% - 강조색6 42 17" xfId="5122" xr:uid="{00000000-0005-0000-0000-000094110000}"/>
    <cellStyle name="20% - 강조색6 42 18" xfId="5733" xr:uid="{00000000-0005-0000-0000-000095110000}"/>
    <cellStyle name="20% - 강조색6 42 19" xfId="6400" xr:uid="{00000000-0005-0000-0000-000096110000}"/>
    <cellStyle name="20% - 강조색6 42 2" xfId="1171" xr:uid="{00000000-0005-0000-0000-000097110000}"/>
    <cellStyle name="20% - 강조색6 42 20" xfId="6810" xr:uid="{00000000-0005-0000-0000-000098110000}"/>
    <cellStyle name="20% - 강조색6 42 21" xfId="7248" xr:uid="{00000000-0005-0000-0000-000099110000}"/>
    <cellStyle name="20% - 강조색6 42 22" xfId="4877" xr:uid="{00000000-0005-0000-0000-00009A110000}"/>
    <cellStyle name="20% - 강조색6 42 23" xfId="6264" xr:uid="{00000000-0005-0000-0000-00009B110000}"/>
    <cellStyle name="20% - 강조색6 42 24" xfId="2407" xr:uid="{00000000-0005-0000-0000-00009C110000}"/>
    <cellStyle name="20% - 강조색6 42 25" xfId="3618" xr:uid="{00000000-0005-0000-0000-00009D110000}"/>
    <cellStyle name="20% - 강조색6 42 26" xfId="9313" xr:uid="{00000000-0005-0000-0000-00009E110000}"/>
    <cellStyle name="20% - 강조색6 42 27" xfId="8243" xr:uid="{00000000-0005-0000-0000-00009F110000}"/>
    <cellStyle name="20% - 강조색6 42 28" xfId="2585" xr:uid="{00000000-0005-0000-0000-0000A0110000}"/>
    <cellStyle name="20% - 강조색6 42 29" xfId="10228" xr:uid="{00000000-0005-0000-0000-0000A1110000}"/>
    <cellStyle name="20% - 강조색6 42 3" xfId="1251" xr:uid="{00000000-0005-0000-0000-0000A2110000}"/>
    <cellStyle name="20% - 강조색6 42 30" xfId="10509" xr:uid="{00000000-0005-0000-0000-0000A3110000}"/>
    <cellStyle name="20% - 강조색6 42 31" xfId="10776" xr:uid="{00000000-0005-0000-0000-0000A4110000}"/>
    <cellStyle name="20% - 강조색6 42 32" xfId="11089" xr:uid="{00000000-0005-0000-0000-0000A5110000}"/>
    <cellStyle name="20% - 강조색6 42 4" xfId="1343" xr:uid="{00000000-0005-0000-0000-0000A6110000}"/>
    <cellStyle name="20% - 강조색6 42 5" xfId="1673" xr:uid="{00000000-0005-0000-0000-0000A7110000}"/>
    <cellStyle name="20% - 강조색6 42 6" xfId="2069" xr:uid="{00000000-0005-0000-0000-0000A8110000}"/>
    <cellStyle name="20% - 강조색6 42 7" xfId="1962" xr:uid="{00000000-0005-0000-0000-0000A9110000}"/>
    <cellStyle name="20% - 강조색6 42 8" xfId="2657" xr:uid="{00000000-0005-0000-0000-0000AA110000}"/>
    <cellStyle name="20% - 강조색6 42 9" xfId="2990" xr:uid="{00000000-0005-0000-0000-0000AB110000}"/>
    <cellStyle name="20% - 강조색6 43" xfId="639" xr:uid="{00000000-0005-0000-0000-0000AC110000}"/>
    <cellStyle name="20% - 강조색6 43 10" xfId="3064" xr:uid="{00000000-0005-0000-0000-0000AD110000}"/>
    <cellStyle name="20% - 강조색6 43 11" xfId="3434" xr:uid="{00000000-0005-0000-0000-0000AE110000}"/>
    <cellStyle name="20% - 강조색6 43 12" xfId="1389" xr:uid="{00000000-0005-0000-0000-0000AF110000}"/>
    <cellStyle name="20% - 강조색6 43 13" xfId="4372" xr:uid="{00000000-0005-0000-0000-0000B0110000}"/>
    <cellStyle name="20% - 강조색6 43 14" xfId="3423" xr:uid="{00000000-0005-0000-0000-0000B1110000}"/>
    <cellStyle name="20% - 강조색6 43 15" xfId="5193" xr:uid="{00000000-0005-0000-0000-0000B2110000}"/>
    <cellStyle name="20% - 강조색6 43 16" xfId="5729" xr:uid="{00000000-0005-0000-0000-0000B3110000}"/>
    <cellStyle name="20% - 강조색6 43 17" xfId="5124" xr:uid="{00000000-0005-0000-0000-0000B4110000}"/>
    <cellStyle name="20% - 강조색6 43 18" xfId="861" xr:uid="{00000000-0005-0000-0000-0000B5110000}"/>
    <cellStyle name="20% - 강조색6 43 19" xfId="985" xr:uid="{00000000-0005-0000-0000-0000B6110000}"/>
    <cellStyle name="20% - 강조색6 43 2" xfId="1142" xr:uid="{00000000-0005-0000-0000-0000B7110000}"/>
    <cellStyle name="20% - 강조색6 43 20" xfId="7200" xr:uid="{00000000-0005-0000-0000-0000B8110000}"/>
    <cellStyle name="20% - 강조색6 43 21" xfId="7228" xr:uid="{00000000-0005-0000-0000-0000B9110000}"/>
    <cellStyle name="20% - 강조색6 43 22" xfId="7642" xr:uid="{00000000-0005-0000-0000-0000BA110000}"/>
    <cellStyle name="20% - 강조색6 43 23" xfId="8005" xr:uid="{00000000-0005-0000-0000-0000BB110000}"/>
    <cellStyle name="20% - 강조색6 43 24" xfId="7960" xr:uid="{00000000-0005-0000-0000-0000BC110000}"/>
    <cellStyle name="20% - 강조색6 43 25" xfId="8704" xr:uid="{00000000-0005-0000-0000-0000BD110000}"/>
    <cellStyle name="20% - 강조색6 43 26" xfId="9104" xr:uid="{00000000-0005-0000-0000-0000BE110000}"/>
    <cellStyle name="20% - 강조색6 43 27" xfId="8078" xr:uid="{00000000-0005-0000-0000-0000BF110000}"/>
    <cellStyle name="20% - 강조색6 43 28" xfId="9857" xr:uid="{00000000-0005-0000-0000-0000C0110000}"/>
    <cellStyle name="20% - 강조색6 43 29" xfId="10342" xr:uid="{00000000-0005-0000-0000-0000C1110000}"/>
    <cellStyle name="20% - 강조색6 43 3" xfId="1222" xr:uid="{00000000-0005-0000-0000-0000C2110000}"/>
    <cellStyle name="20% - 강조색6 43 30" xfId="10507" xr:uid="{00000000-0005-0000-0000-0000C3110000}"/>
    <cellStyle name="20% - 강조색6 43 31" xfId="8021" xr:uid="{00000000-0005-0000-0000-0000C4110000}"/>
    <cellStyle name="20% - 강조색6 43 32" xfId="11058" xr:uid="{00000000-0005-0000-0000-0000C5110000}"/>
    <cellStyle name="20% - 강조색6 43 4" xfId="1314" xr:uid="{00000000-0005-0000-0000-0000C6110000}"/>
    <cellStyle name="20% - 강조색6 43 5" xfId="1705" xr:uid="{00000000-0005-0000-0000-0000C7110000}"/>
    <cellStyle name="20% - 강조색6 43 6" xfId="1417" xr:uid="{00000000-0005-0000-0000-0000C8110000}"/>
    <cellStyle name="20% - 강조색6 43 7" xfId="2252" xr:uid="{00000000-0005-0000-0000-0000C9110000}"/>
    <cellStyle name="20% - 강조색6 43 8" xfId="2549" xr:uid="{00000000-0005-0000-0000-0000CA110000}"/>
    <cellStyle name="20% - 강조색6 43 9" xfId="2883" xr:uid="{00000000-0005-0000-0000-0000CB110000}"/>
    <cellStyle name="20% - 강조색6 44" xfId="620" xr:uid="{00000000-0005-0000-0000-0000CC110000}"/>
    <cellStyle name="20% - 강조색6 44 10" xfId="3333" xr:uid="{00000000-0005-0000-0000-0000CD110000}"/>
    <cellStyle name="20% - 강조색6 44 11" xfId="3437" xr:uid="{00000000-0005-0000-0000-0000CE110000}"/>
    <cellStyle name="20% - 강조색6 44 12" xfId="3464" xr:uid="{00000000-0005-0000-0000-0000CF110000}"/>
    <cellStyle name="20% - 강조색6 44 13" xfId="4187" xr:uid="{00000000-0005-0000-0000-0000D0110000}"/>
    <cellStyle name="20% - 강조색6 44 14" xfId="3087" xr:uid="{00000000-0005-0000-0000-0000D1110000}"/>
    <cellStyle name="20% - 강조색6 44 15" xfId="4188" xr:uid="{00000000-0005-0000-0000-0000D2110000}"/>
    <cellStyle name="20% - 강조색6 44 16" xfId="5301" xr:uid="{00000000-0005-0000-0000-0000D3110000}"/>
    <cellStyle name="20% - 강조색6 44 17" xfId="5375" xr:uid="{00000000-0005-0000-0000-0000D4110000}"/>
    <cellStyle name="20% - 강조색6 44 18" xfId="5832" xr:uid="{00000000-0005-0000-0000-0000D5110000}"/>
    <cellStyle name="20% - 강조색6 44 19" xfId="1580" xr:uid="{00000000-0005-0000-0000-0000D6110000}"/>
    <cellStyle name="20% - 강조색6 44 2" xfId="1123" xr:uid="{00000000-0005-0000-0000-0000D7110000}"/>
    <cellStyle name="20% - 강조색6 44 20" xfId="6905" xr:uid="{00000000-0005-0000-0000-0000D8110000}"/>
    <cellStyle name="20% - 강조색6 44 21" xfId="4629" xr:uid="{00000000-0005-0000-0000-0000D9110000}"/>
    <cellStyle name="20% - 강조색6 44 22" xfId="6044" xr:uid="{00000000-0005-0000-0000-0000DA110000}"/>
    <cellStyle name="20% - 강조색6 44 23" xfId="8239" xr:uid="{00000000-0005-0000-0000-0000DB110000}"/>
    <cellStyle name="20% - 강조색6 44 24" xfId="7509" xr:uid="{00000000-0005-0000-0000-0000DC110000}"/>
    <cellStyle name="20% - 강조색6 44 25" xfId="8939" xr:uid="{00000000-0005-0000-0000-0000DD110000}"/>
    <cellStyle name="20% - 강조색6 44 26" xfId="9222" xr:uid="{00000000-0005-0000-0000-0000DE110000}"/>
    <cellStyle name="20% - 강조색6 44 27" xfId="9715" xr:uid="{00000000-0005-0000-0000-0000DF110000}"/>
    <cellStyle name="20% - 강조색6 44 28" xfId="8013" xr:uid="{00000000-0005-0000-0000-0000E0110000}"/>
    <cellStyle name="20% - 강조색6 44 29" xfId="10192" xr:uid="{00000000-0005-0000-0000-0000E1110000}"/>
    <cellStyle name="20% - 강조색6 44 3" xfId="1203" xr:uid="{00000000-0005-0000-0000-0000E2110000}"/>
    <cellStyle name="20% - 강조색6 44 30" xfId="4192" xr:uid="{00000000-0005-0000-0000-0000E3110000}"/>
    <cellStyle name="20% - 강조색6 44 31" xfId="10832" xr:uid="{00000000-0005-0000-0000-0000E4110000}"/>
    <cellStyle name="20% - 강조색6 44 32" xfId="11269" xr:uid="{00000000-0005-0000-0000-0000E5110000}"/>
    <cellStyle name="20% - 강조색6 44 4" xfId="1295" xr:uid="{00000000-0005-0000-0000-0000E6110000}"/>
    <cellStyle name="20% - 강조색6 44 5" xfId="1741" xr:uid="{00000000-0005-0000-0000-0000E7110000}"/>
    <cellStyle name="20% - 강조색6 44 6" xfId="2038" xr:uid="{00000000-0005-0000-0000-0000E8110000}"/>
    <cellStyle name="20% - 강조색6 44 7" xfId="2283" xr:uid="{00000000-0005-0000-0000-0000E9110000}"/>
    <cellStyle name="20% - 강조색6 44 8" xfId="2145" xr:uid="{00000000-0005-0000-0000-0000EA110000}"/>
    <cellStyle name="20% - 강조색6 44 9" xfId="1985" xr:uid="{00000000-0005-0000-0000-0000EB110000}"/>
    <cellStyle name="20% - 강조색6 45" xfId="655" xr:uid="{00000000-0005-0000-0000-0000EC110000}"/>
    <cellStyle name="20% - 강조색6 45 10" xfId="1636" xr:uid="{00000000-0005-0000-0000-0000ED110000}"/>
    <cellStyle name="20% - 강조색6 45 11" xfId="3562" xr:uid="{00000000-0005-0000-0000-0000EE110000}"/>
    <cellStyle name="20% - 강조색6 45 12" xfId="3791" xr:uid="{00000000-0005-0000-0000-0000EF110000}"/>
    <cellStyle name="20% - 강조색6 45 13" xfId="3566" xr:uid="{00000000-0005-0000-0000-0000F0110000}"/>
    <cellStyle name="20% - 강조색6 45 14" xfId="3409" xr:uid="{00000000-0005-0000-0000-0000F1110000}"/>
    <cellStyle name="20% - 강조색6 45 15" xfId="5237" xr:uid="{00000000-0005-0000-0000-0000F2110000}"/>
    <cellStyle name="20% - 강조색6 45 16" xfId="2389" xr:uid="{00000000-0005-0000-0000-0000F3110000}"/>
    <cellStyle name="20% - 강조색6 45 17" xfId="5459" xr:uid="{00000000-0005-0000-0000-0000F4110000}"/>
    <cellStyle name="20% - 강조색6 45 18" xfId="2221" xr:uid="{00000000-0005-0000-0000-0000F5110000}"/>
    <cellStyle name="20% - 강조색6 45 19" xfId="5994" xr:uid="{00000000-0005-0000-0000-0000F6110000}"/>
    <cellStyle name="20% - 강조색6 45 2" xfId="1158" xr:uid="{00000000-0005-0000-0000-0000F7110000}"/>
    <cellStyle name="20% - 강조색6 45 20" xfId="6883" xr:uid="{00000000-0005-0000-0000-0000F8110000}"/>
    <cellStyle name="20% - 강조색6 45 21" xfId="7250" xr:uid="{00000000-0005-0000-0000-0000F9110000}"/>
    <cellStyle name="20% - 강조색6 45 22" xfId="7771" xr:uid="{00000000-0005-0000-0000-0000FA110000}"/>
    <cellStyle name="20% - 강조색6 45 23" xfId="4893" xr:uid="{00000000-0005-0000-0000-0000FB110000}"/>
    <cellStyle name="20% - 강조색6 45 24" xfId="8453" xr:uid="{00000000-0005-0000-0000-0000FC110000}"/>
    <cellStyle name="20% - 강조색6 45 25" xfId="1476" xr:uid="{00000000-0005-0000-0000-0000FD110000}"/>
    <cellStyle name="20% - 강조색6 45 26" xfId="4425" xr:uid="{00000000-0005-0000-0000-0000FE110000}"/>
    <cellStyle name="20% - 강조색6 45 27" xfId="9637" xr:uid="{00000000-0005-0000-0000-0000FF110000}"/>
    <cellStyle name="20% - 강조색6 45 28" xfId="4361" xr:uid="{00000000-0005-0000-0000-000000120000}"/>
    <cellStyle name="20% - 강조색6 45 29" xfId="9180" xr:uid="{00000000-0005-0000-0000-000001120000}"/>
    <cellStyle name="20% - 강조색6 45 3" xfId="1238" xr:uid="{00000000-0005-0000-0000-000002120000}"/>
    <cellStyle name="20% - 강조색6 45 30" xfId="1533" xr:uid="{00000000-0005-0000-0000-000003120000}"/>
    <cellStyle name="20% - 강조색6 45 31" xfId="10780" xr:uid="{00000000-0005-0000-0000-000004120000}"/>
    <cellStyle name="20% - 강조색6 45 32" xfId="7455" xr:uid="{00000000-0005-0000-0000-000005120000}"/>
    <cellStyle name="20% - 강조색6 45 4" xfId="1330" xr:uid="{00000000-0005-0000-0000-000006120000}"/>
    <cellStyle name="20% - 강조색6 45 5" xfId="1700" xr:uid="{00000000-0005-0000-0000-000007120000}"/>
    <cellStyle name="20% - 강조색6 45 6" xfId="704" xr:uid="{00000000-0005-0000-0000-000008120000}"/>
    <cellStyle name="20% - 강조색6 45 7" xfId="2222" xr:uid="{00000000-0005-0000-0000-000009120000}"/>
    <cellStyle name="20% - 강조색6 45 8" xfId="2504" xr:uid="{00000000-0005-0000-0000-00000A120000}"/>
    <cellStyle name="20% - 강조색6 45 9" xfId="2754" xr:uid="{00000000-0005-0000-0000-00000B120000}"/>
    <cellStyle name="20% - 강조색6 46" xfId="613" xr:uid="{00000000-0005-0000-0000-00000C120000}"/>
    <cellStyle name="20% - 강조색6 46 10" xfId="3173" xr:uid="{00000000-0005-0000-0000-00000D120000}"/>
    <cellStyle name="20% - 강조색6 46 11" xfId="1870" xr:uid="{00000000-0005-0000-0000-00000E120000}"/>
    <cellStyle name="20% - 강조색6 46 12" xfId="3994" xr:uid="{00000000-0005-0000-0000-00000F120000}"/>
    <cellStyle name="20% - 강조색6 46 13" xfId="4174" xr:uid="{00000000-0005-0000-0000-000010120000}"/>
    <cellStyle name="20% - 강조색6 46 14" xfId="4299" xr:uid="{00000000-0005-0000-0000-000011120000}"/>
    <cellStyle name="20% - 강조색6 46 15" xfId="5347" xr:uid="{00000000-0005-0000-0000-000012120000}"/>
    <cellStyle name="20% - 강조색6 46 16" xfId="5712" xr:uid="{00000000-0005-0000-0000-000013120000}"/>
    <cellStyle name="20% - 강조색6 46 17" xfId="5043" xr:uid="{00000000-0005-0000-0000-000014120000}"/>
    <cellStyle name="20% - 강조색6 46 18" xfId="5715" xr:uid="{00000000-0005-0000-0000-000015120000}"/>
    <cellStyle name="20% - 강조색6 46 19" xfId="6534" xr:uid="{00000000-0005-0000-0000-000016120000}"/>
    <cellStyle name="20% - 강조색6 46 2" xfId="1116" xr:uid="{00000000-0005-0000-0000-000017120000}"/>
    <cellStyle name="20% - 강조색6 46 20" xfId="7270" xr:uid="{00000000-0005-0000-0000-000018120000}"/>
    <cellStyle name="20% - 강조색6 46 21" xfId="6849" xr:uid="{00000000-0005-0000-0000-000019120000}"/>
    <cellStyle name="20% - 강조색6 46 22" xfId="7581" xr:uid="{00000000-0005-0000-0000-00001A120000}"/>
    <cellStyle name="20% - 강조색6 46 23" xfId="8202" xr:uid="{00000000-0005-0000-0000-00001B120000}"/>
    <cellStyle name="20% - 강조색6 46 24" xfId="8631" xr:uid="{00000000-0005-0000-0000-00001C120000}"/>
    <cellStyle name="20% - 강조색6 46 25" xfId="3231" xr:uid="{00000000-0005-0000-0000-00001D120000}"/>
    <cellStyle name="20% - 강조색6 46 26" xfId="6034" xr:uid="{00000000-0005-0000-0000-00001E120000}"/>
    <cellStyle name="20% - 강조색6 46 27" xfId="8503" xr:uid="{00000000-0005-0000-0000-00001F120000}"/>
    <cellStyle name="20% - 강조색6 46 28" xfId="9298" xr:uid="{00000000-0005-0000-0000-000020120000}"/>
    <cellStyle name="20% - 강조색6 46 29" xfId="10372" xr:uid="{00000000-0005-0000-0000-000021120000}"/>
    <cellStyle name="20% - 강조색6 46 3" xfId="1196" xr:uid="{00000000-0005-0000-0000-000022120000}"/>
    <cellStyle name="20% - 강조색6 46 30" xfId="7987" xr:uid="{00000000-0005-0000-0000-000023120000}"/>
    <cellStyle name="20% - 강조색6 46 31" xfId="10959" xr:uid="{00000000-0005-0000-0000-000024120000}"/>
    <cellStyle name="20% - 강조색6 46 32" xfId="9054" xr:uid="{00000000-0005-0000-0000-000025120000}"/>
    <cellStyle name="20% - 강조색6 46 4" xfId="1288" xr:uid="{00000000-0005-0000-0000-000026120000}"/>
    <cellStyle name="20% - 강조색6 46 5" xfId="1787" xr:uid="{00000000-0005-0000-0000-000027120000}"/>
    <cellStyle name="20% - 강조색6 46 6" xfId="2034" xr:uid="{00000000-0005-0000-0000-000028120000}"/>
    <cellStyle name="20% - 강조색6 46 7" xfId="1634" xr:uid="{00000000-0005-0000-0000-000029120000}"/>
    <cellStyle name="20% - 강조색6 46 8" xfId="2631" xr:uid="{00000000-0005-0000-0000-00002A120000}"/>
    <cellStyle name="20% - 강조색6 46 9" xfId="2982" xr:uid="{00000000-0005-0000-0000-00002B120000}"/>
    <cellStyle name="20% - 강조색6 47" xfId="575" xr:uid="{00000000-0005-0000-0000-00002C120000}"/>
    <cellStyle name="20% - 강조색6 47 10" xfId="4183" xr:uid="{00000000-0005-0000-0000-00002D120000}"/>
    <cellStyle name="20% - 강조색6 47 11" xfId="4585" xr:uid="{00000000-0005-0000-0000-00002E120000}"/>
    <cellStyle name="20% - 강조색6 47 12" xfId="1474" xr:uid="{00000000-0005-0000-0000-00002F120000}"/>
    <cellStyle name="20% - 강조색6 47 13" xfId="5260" xr:uid="{00000000-0005-0000-0000-000030120000}"/>
    <cellStyle name="20% - 강조색6 47 14" xfId="5763" xr:uid="{00000000-0005-0000-0000-000031120000}"/>
    <cellStyle name="20% - 강조색6 47 15" xfId="5862" xr:uid="{00000000-0005-0000-0000-000032120000}"/>
    <cellStyle name="20% - 강조색6 47 16" xfId="3279" xr:uid="{00000000-0005-0000-0000-000033120000}"/>
    <cellStyle name="20% - 강조색6 47 17" xfId="6328" xr:uid="{00000000-0005-0000-0000-000034120000}"/>
    <cellStyle name="20% - 강조색6 47 18" xfId="7091" xr:uid="{00000000-0005-0000-0000-000035120000}"/>
    <cellStyle name="20% - 강조색6 47 19" xfId="5252" xr:uid="{00000000-0005-0000-0000-000036120000}"/>
    <cellStyle name="20% - 강조색6 47 2" xfId="1086" xr:uid="{00000000-0005-0000-0000-000037120000}"/>
    <cellStyle name="20% - 강조색6 47 20" xfId="2386" xr:uid="{00000000-0005-0000-0000-000038120000}"/>
    <cellStyle name="20% - 강조색6 47 21" xfId="8371" xr:uid="{00000000-0005-0000-0000-000039120000}"/>
    <cellStyle name="20% - 강조색6 47 22" xfId="7647" xr:uid="{00000000-0005-0000-0000-00003A120000}"/>
    <cellStyle name="20% - 강조색6 47 23" xfId="8447" xr:uid="{00000000-0005-0000-0000-00003B120000}"/>
    <cellStyle name="20% - 강조색6 47 24" xfId="9617" xr:uid="{00000000-0005-0000-0000-00003C120000}"/>
    <cellStyle name="20% - 강조색6 47 25" xfId="9430" xr:uid="{00000000-0005-0000-0000-00003D120000}"/>
    <cellStyle name="20% - 강조색6 47 26" xfId="6736" xr:uid="{00000000-0005-0000-0000-00003E120000}"/>
    <cellStyle name="20% - 강조색6 47 27" xfId="9564" xr:uid="{00000000-0005-0000-0000-00003F120000}"/>
    <cellStyle name="20% - 강조색6 47 28" xfId="9254" xr:uid="{00000000-0005-0000-0000-000040120000}"/>
    <cellStyle name="20% - 강조색6 47 29" xfId="9051" xr:uid="{00000000-0005-0000-0000-000041120000}"/>
    <cellStyle name="20% - 강조색6 47 3" xfId="2067" xr:uid="{00000000-0005-0000-0000-000042120000}"/>
    <cellStyle name="20% - 강조색6 47 30" xfId="11336" xr:uid="{00000000-0005-0000-0000-000043120000}"/>
    <cellStyle name="20% - 강조색6 47 31" xfId="11390" xr:uid="{00000000-0005-0000-0000-000044120000}"/>
    <cellStyle name="20% - 강조색6 47 32" xfId="11400" xr:uid="{00000000-0005-0000-0000-000045120000}"/>
    <cellStyle name="20% - 강조색6 47 33" xfId="11415" xr:uid="{00000000-0005-0000-0000-000046120000}"/>
    <cellStyle name="20% - 강조색6 47 4" xfId="1555" xr:uid="{00000000-0005-0000-0000-000047120000}"/>
    <cellStyle name="20% - 강조색6 47 5" xfId="2117" xr:uid="{00000000-0005-0000-0000-000048120000}"/>
    <cellStyle name="20% - 강조색6 47 6" xfId="2870" xr:uid="{00000000-0005-0000-0000-000049120000}"/>
    <cellStyle name="20% - 강조색6 47 7" xfId="2849" xr:uid="{00000000-0005-0000-0000-00004A120000}"/>
    <cellStyle name="20% - 강조색6 47 8" xfId="3613" xr:uid="{00000000-0005-0000-0000-00004B120000}"/>
    <cellStyle name="20% - 강조색6 47 9" xfId="4033" xr:uid="{00000000-0005-0000-0000-00004C120000}"/>
    <cellStyle name="20% - 강조색6 48" xfId="1088" xr:uid="{00000000-0005-0000-0000-00004D120000}"/>
    <cellStyle name="20% - 강조색6 48 10" xfId="4178" xr:uid="{00000000-0005-0000-0000-00004E120000}"/>
    <cellStyle name="20% - 강조색6 48 11" xfId="1482" xr:uid="{00000000-0005-0000-0000-00004F120000}"/>
    <cellStyle name="20% - 강조색6 48 12" xfId="842" xr:uid="{00000000-0005-0000-0000-000050120000}"/>
    <cellStyle name="20% - 강조색6 48 13" xfId="5506" xr:uid="{00000000-0005-0000-0000-000051120000}"/>
    <cellStyle name="20% - 강조색6 48 14" xfId="3870" xr:uid="{00000000-0005-0000-0000-000052120000}"/>
    <cellStyle name="20% - 강조색6 48 15" xfId="5776" xr:uid="{00000000-0005-0000-0000-000053120000}"/>
    <cellStyle name="20% - 강조색6 48 16" xfId="1928" xr:uid="{00000000-0005-0000-0000-000054120000}"/>
    <cellStyle name="20% - 강조색6 48 17" xfId="6860" xr:uid="{00000000-0005-0000-0000-000055120000}"/>
    <cellStyle name="20% - 강조색6 48 18" xfId="6619" xr:uid="{00000000-0005-0000-0000-000056120000}"/>
    <cellStyle name="20% - 강조색6 48 19" xfId="6374" xr:uid="{00000000-0005-0000-0000-000057120000}"/>
    <cellStyle name="20% - 강조색6 48 2" xfId="1795" xr:uid="{00000000-0005-0000-0000-000058120000}"/>
    <cellStyle name="20% - 강조색6 48 20" xfId="8244" xr:uid="{00000000-0005-0000-0000-000059120000}"/>
    <cellStyle name="20% - 강조색6 48 21" xfId="8581" xr:uid="{00000000-0005-0000-0000-00005A120000}"/>
    <cellStyle name="20% - 강조색6 48 22" xfId="8719" xr:uid="{00000000-0005-0000-0000-00005B120000}"/>
    <cellStyle name="20% - 강조색6 48 23" xfId="9164" xr:uid="{00000000-0005-0000-0000-00005C120000}"/>
    <cellStyle name="20% - 강조색6 48 24" xfId="9445" xr:uid="{00000000-0005-0000-0000-00005D120000}"/>
    <cellStyle name="20% - 강조색6 48 25" xfId="10012" xr:uid="{00000000-0005-0000-0000-00005E120000}"/>
    <cellStyle name="20% - 강조색6 48 26" xfId="7132" xr:uid="{00000000-0005-0000-0000-00005F120000}"/>
    <cellStyle name="20% - 강조색6 48 27" xfId="6760" xr:uid="{00000000-0005-0000-0000-000060120000}"/>
    <cellStyle name="20% - 강조색6 48 28" xfId="10548" xr:uid="{00000000-0005-0000-0000-000061120000}"/>
    <cellStyle name="20% - 강조색6 48 29" xfId="11156" xr:uid="{00000000-0005-0000-0000-000062120000}"/>
    <cellStyle name="20% - 강조색6 48 3" xfId="2036" xr:uid="{00000000-0005-0000-0000-000063120000}"/>
    <cellStyle name="20% - 강조색6 48 4" xfId="1876" xr:uid="{00000000-0005-0000-0000-000064120000}"/>
    <cellStyle name="20% - 강조색6 48 5" xfId="2532" xr:uid="{00000000-0005-0000-0000-000065120000}"/>
    <cellStyle name="20% - 강조색6 48 6" xfId="962" xr:uid="{00000000-0005-0000-0000-000066120000}"/>
    <cellStyle name="20% - 강조색6 48 7" xfId="3100" xr:uid="{00000000-0005-0000-0000-000067120000}"/>
    <cellStyle name="20% - 강조색6 48 8" xfId="1415" xr:uid="{00000000-0005-0000-0000-000068120000}"/>
    <cellStyle name="20% - 강조색6 48 9" xfId="828" xr:uid="{00000000-0005-0000-0000-000069120000}"/>
    <cellStyle name="20% - 강조색6 49" xfId="1090" xr:uid="{00000000-0005-0000-0000-00006A120000}"/>
    <cellStyle name="20% - 강조색6 49 10" xfId="4338" xr:uid="{00000000-0005-0000-0000-00006B120000}"/>
    <cellStyle name="20% - 강조색6 49 11" xfId="4508" xr:uid="{00000000-0005-0000-0000-00006C120000}"/>
    <cellStyle name="20% - 강조색6 49 12" xfId="4733" xr:uid="{00000000-0005-0000-0000-00006D120000}"/>
    <cellStyle name="20% - 강조색6 49 13" xfId="5716" xr:uid="{00000000-0005-0000-0000-00006E120000}"/>
    <cellStyle name="20% - 강조색6 49 14" xfId="4987" xr:uid="{00000000-0005-0000-0000-00006F120000}"/>
    <cellStyle name="20% - 강조색6 49 15" xfId="5474" xr:uid="{00000000-0005-0000-0000-000070120000}"/>
    <cellStyle name="20% - 강조색6 49 16" xfId="6446" xr:uid="{00000000-0005-0000-0000-000071120000}"/>
    <cellStyle name="20% - 강조색6 49 17" xfId="6273" xr:uid="{00000000-0005-0000-0000-000072120000}"/>
    <cellStyle name="20% - 강조색6 49 18" xfId="7199" xr:uid="{00000000-0005-0000-0000-000073120000}"/>
    <cellStyle name="20% - 강조색6 49 19" xfId="6116" xr:uid="{00000000-0005-0000-0000-000074120000}"/>
    <cellStyle name="20% - 강조색6 49 2" xfId="1799" xr:uid="{00000000-0005-0000-0000-000075120000}"/>
    <cellStyle name="20% - 강조색6 49 20" xfId="7456" xr:uid="{00000000-0005-0000-0000-000076120000}"/>
    <cellStyle name="20% - 강조색6 49 21" xfId="8567" xr:uid="{00000000-0005-0000-0000-000077120000}"/>
    <cellStyle name="20% - 강조색6 49 22" xfId="8944" xr:uid="{00000000-0005-0000-0000-000078120000}"/>
    <cellStyle name="20% - 강조색6 49 23" xfId="9359" xr:uid="{00000000-0005-0000-0000-000079120000}"/>
    <cellStyle name="20% - 강조색6 49 24" xfId="7694" xr:uid="{00000000-0005-0000-0000-00007A120000}"/>
    <cellStyle name="20% - 강조색6 49 25" xfId="7473" xr:uid="{00000000-0005-0000-0000-00007B120000}"/>
    <cellStyle name="20% - 강조색6 49 26" xfId="10107" xr:uid="{00000000-0005-0000-0000-00007C120000}"/>
    <cellStyle name="20% - 강조색6 49 27" xfId="10652" xr:uid="{00000000-0005-0000-0000-00007D120000}"/>
    <cellStyle name="20% - 강조색6 49 28" xfId="8337" xr:uid="{00000000-0005-0000-0000-00007E120000}"/>
    <cellStyle name="20% - 강조색6 49 29" xfId="11237" xr:uid="{00000000-0005-0000-0000-00007F120000}"/>
    <cellStyle name="20% - 강조색6 49 3" xfId="2024" xr:uid="{00000000-0005-0000-0000-000080120000}"/>
    <cellStyle name="20% - 강조색6 49 4" xfId="2319" xr:uid="{00000000-0005-0000-0000-000081120000}"/>
    <cellStyle name="20% - 강조색6 49 5" xfId="2440" xr:uid="{00000000-0005-0000-0000-000082120000}"/>
    <cellStyle name="20% - 강조색6 49 6" xfId="2965" xr:uid="{00000000-0005-0000-0000-000083120000}"/>
    <cellStyle name="20% - 강조색6 49 7" xfId="3122" xr:uid="{00000000-0005-0000-0000-000084120000}"/>
    <cellStyle name="20% - 강조색6 49 8" xfId="3617" xr:uid="{00000000-0005-0000-0000-000085120000}"/>
    <cellStyle name="20% - 강조색6 49 9" xfId="1538" xr:uid="{00000000-0005-0000-0000-000086120000}"/>
    <cellStyle name="20% - 강조색6 5" xfId="114" xr:uid="{00000000-0005-0000-0000-000087120000}"/>
    <cellStyle name="20% - 강조색6 50" xfId="1040" xr:uid="{00000000-0005-0000-0000-000088120000}"/>
    <cellStyle name="20% - 강조색6 50 10" xfId="4279" xr:uid="{00000000-0005-0000-0000-000089120000}"/>
    <cellStyle name="20% - 강조색6 50 11" xfId="4659" xr:uid="{00000000-0005-0000-0000-00008A120000}"/>
    <cellStyle name="20% - 강조색6 50 12" xfId="5455" xr:uid="{00000000-0005-0000-0000-00008B120000}"/>
    <cellStyle name="20% - 강조색6 50 13" xfId="5300" xr:uid="{00000000-0005-0000-0000-00008C120000}"/>
    <cellStyle name="20% - 강조색6 50 14" xfId="5797" xr:uid="{00000000-0005-0000-0000-00008D120000}"/>
    <cellStyle name="20% - 강조색6 50 15" xfId="5884" xr:uid="{00000000-0005-0000-0000-00008E120000}"/>
    <cellStyle name="20% - 강조색6 50 16" xfId="1946" xr:uid="{00000000-0005-0000-0000-00008F120000}"/>
    <cellStyle name="20% - 강조색6 50 17" xfId="7057" xr:uid="{00000000-0005-0000-0000-000090120000}"/>
    <cellStyle name="20% - 강조색6 50 18" xfId="7303" xr:uid="{00000000-0005-0000-0000-000091120000}"/>
    <cellStyle name="20% - 강조색6 50 19" xfId="6310" xr:uid="{00000000-0005-0000-0000-000092120000}"/>
    <cellStyle name="20% - 강조색6 50 2" xfId="1710" xr:uid="{00000000-0005-0000-0000-000093120000}"/>
    <cellStyle name="20% - 강조색6 50 20" xfId="8132" xr:uid="{00000000-0005-0000-0000-000094120000}"/>
    <cellStyle name="20% - 강조색6 50 21" xfId="8376" xr:uid="{00000000-0005-0000-0000-000095120000}"/>
    <cellStyle name="20% - 강조색6 50 22" xfId="8985" xr:uid="{00000000-0005-0000-0000-000096120000}"/>
    <cellStyle name="20% - 강조색6 50 23" xfId="9116" xr:uid="{00000000-0005-0000-0000-000097120000}"/>
    <cellStyle name="20% - 강조색6 50 24" xfId="4563" xr:uid="{00000000-0005-0000-0000-000098120000}"/>
    <cellStyle name="20% - 강조색6 50 25" xfId="4666" xr:uid="{00000000-0005-0000-0000-000099120000}"/>
    <cellStyle name="20% - 강조색6 50 26" xfId="10127" xr:uid="{00000000-0005-0000-0000-00009A120000}"/>
    <cellStyle name="20% - 강조색6 50 27" xfId="10136" xr:uid="{00000000-0005-0000-0000-00009B120000}"/>
    <cellStyle name="20% - 강조색6 50 28" xfId="10864" xr:uid="{00000000-0005-0000-0000-00009C120000}"/>
    <cellStyle name="20% - 강조색6 50 29" xfId="11262" xr:uid="{00000000-0005-0000-0000-00009D120000}"/>
    <cellStyle name="20% - 강조색6 50 3" xfId="1366" xr:uid="{00000000-0005-0000-0000-00009E120000}"/>
    <cellStyle name="20% - 강조색6 50 4" xfId="2265" xr:uid="{00000000-0005-0000-0000-00009F120000}"/>
    <cellStyle name="20% - 강조색6 50 5" xfId="1495" xr:uid="{00000000-0005-0000-0000-0000A0120000}"/>
    <cellStyle name="20% - 강조색6 50 6" xfId="2917" xr:uid="{00000000-0005-0000-0000-0000A1120000}"/>
    <cellStyle name="20% - 강조색6 50 7" xfId="827" xr:uid="{00000000-0005-0000-0000-0000A2120000}"/>
    <cellStyle name="20% - 강조색6 50 8" xfId="860" xr:uid="{00000000-0005-0000-0000-0000A3120000}"/>
    <cellStyle name="20% - 강조색6 50 9" xfId="4006" xr:uid="{00000000-0005-0000-0000-0000A4120000}"/>
    <cellStyle name="20% - 강조색6 51" xfId="1027" xr:uid="{00000000-0005-0000-0000-0000A5120000}"/>
    <cellStyle name="20% - 강조색6 51 10" xfId="4327" xr:uid="{00000000-0005-0000-0000-0000A6120000}"/>
    <cellStyle name="20% - 강조색6 51 11" xfId="4504" xr:uid="{00000000-0005-0000-0000-0000A7120000}"/>
    <cellStyle name="20% - 강조색6 51 12" xfId="5217" xr:uid="{00000000-0005-0000-0000-0000A8120000}"/>
    <cellStyle name="20% - 강조색6 51 13" xfId="1492" xr:uid="{00000000-0005-0000-0000-0000A9120000}"/>
    <cellStyle name="20% - 강조색6 51 14" xfId="5717" xr:uid="{00000000-0005-0000-0000-0000AA120000}"/>
    <cellStyle name="20% - 강조색6 51 15" xfId="4854" xr:uid="{00000000-0005-0000-0000-0000AB120000}"/>
    <cellStyle name="20% - 강조색6 51 16" xfId="6566" xr:uid="{00000000-0005-0000-0000-0000AC120000}"/>
    <cellStyle name="20% - 강조색6 51 17" xfId="7072" xr:uid="{00000000-0005-0000-0000-0000AD120000}"/>
    <cellStyle name="20% - 강조색6 51 18" xfId="4521" xr:uid="{00000000-0005-0000-0000-0000AE120000}"/>
    <cellStyle name="20% - 강조색6 51 19" xfId="7504" xr:uid="{00000000-0005-0000-0000-0000AF120000}"/>
    <cellStyle name="20% - 강조색6 51 2" xfId="1683" xr:uid="{00000000-0005-0000-0000-0000B0120000}"/>
    <cellStyle name="20% - 강조색6 51 20" xfId="2487" xr:uid="{00000000-0005-0000-0000-0000B1120000}"/>
    <cellStyle name="20% - 강조색6 51 21" xfId="8445" xr:uid="{00000000-0005-0000-0000-0000B2120000}"/>
    <cellStyle name="20% - 강조색6 51 22" xfId="6342" xr:uid="{00000000-0005-0000-0000-0000B3120000}"/>
    <cellStyle name="20% - 강조색6 51 23" xfId="7902" xr:uid="{00000000-0005-0000-0000-0000B4120000}"/>
    <cellStyle name="20% - 강조색6 51 24" xfId="953" xr:uid="{00000000-0005-0000-0000-0000B5120000}"/>
    <cellStyle name="20% - 강조색6 51 25" xfId="9237" xr:uid="{00000000-0005-0000-0000-0000B6120000}"/>
    <cellStyle name="20% - 강조색6 51 26" xfId="7074" xr:uid="{00000000-0005-0000-0000-0000B7120000}"/>
    <cellStyle name="20% - 강조색6 51 27" xfId="10564" xr:uid="{00000000-0005-0000-0000-0000B8120000}"/>
    <cellStyle name="20% - 강조색6 51 28" xfId="10740" xr:uid="{00000000-0005-0000-0000-0000B9120000}"/>
    <cellStyle name="20% - 강조색6 51 29" xfId="11184" xr:uid="{00000000-0005-0000-0000-0000BA120000}"/>
    <cellStyle name="20% - 강조색6 51 3" xfId="2031" xr:uid="{00000000-0005-0000-0000-0000BB120000}"/>
    <cellStyle name="20% - 강조색6 51 4" xfId="2301" xr:uid="{00000000-0005-0000-0000-0000BC120000}"/>
    <cellStyle name="20% - 강조색6 51 5" xfId="2613" xr:uid="{00000000-0005-0000-0000-0000BD120000}"/>
    <cellStyle name="20% - 강조색6 51 6" xfId="2773" xr:uid="{00000000-0005-0000-0000-0000BE120000}"/>
    <cellStyle name="20% - 강조색6 51 7" xfId="3288" xr:uid="{00000000-0005-0000-0000-0000BF120000}"/>
    <cellStyle name="20% - 강조색6 51 8" xfId="2742" xr:uid="{00000000-0005-0000-0000-0000C0120000}"/>
    <cellStyle name="20% - 강조색6 51 9" xfId="3733" xr:uid="{00000000-0005-0000-0000-0000C1120000}"/>
    <cellStyle name="20% - 강조색6 52" xfId="1032" xr:uid="{00000000-0005-0000-0000-0000C2120000}"/>
    <cellStyle name="20% - 강조색6 52 10" xfId="4358" xr:uid="{00000000-0005-0000-0000-0000C3120000}"/>
    <cellStyle name="20% - 강조색6 52 11" xfId="4680" xr:uid="{00000000-0005-0000-0000-0000C4120000}"/>
    <cellStyle name="20% - 강조색6 52 12" xfId="5281" xr:uid="{00000000-0005-0000-0000-0000C5120000}"/>
    <cellStyle name="20% - 강조색6 52 13" xfId="5308" xr:uid="{00000000-0005-0000-0000-0000C6120000}"/>
    <cellStyle name="20% - 강조색6 52 14" xfId="3115" xr:uid="{00000000-0005-0000-0000-0000C7120000}"/>
    <cellStyle name="20% - 강조색6 52 15" xfId="5801" xr:uid="{00000000-0005-0000-0000-0000C8120000}"/>
    <cellStyle name="20% - 강조색6 52 16" xfId="6553" xr:uid="{00000000-0005-0000-0000-0000C9120000}"/>
    <cellStyle name="20% - 강조색6 52 17" xfId="6877" xr:uid="{00000000-0005-0000-0000-0000CA120000}"/>
    <cellStyle name="20% - 강조색6 52 18" xfId="4116" xr:uid="{00000000-0005-0000-0000-0000CB120000}"/>
    <cellStyle name="20% - 강조색6 52 19" xfId="7689" xr:uid="{00000000-0005-0000-0000-0000CC120000}"/>
    <cellStyle name="20% - 강조색6 52 2" xfId="1688" xr:uid="{00000000-0005-0000-0000-0000CD120000}"/>
    <cellStyle name="20% - 강조색6 52 20" xfId="8236" xr:uid="{00000000-0005-0000-0000-0000CE120000}"/>
    <cellStyle name="20% - 강조색6 52 21" xfId="2563" xr:uid="{00000000-0005-0000-0000-0000CF120000}"/>
    <cellStyle name="20% - 강조색6 52 22" xfId="3154" xr:uid="{00000000-0005-0000-0000-0000D0120000}"/>
    <cellStyle name="20% - 강조색6 52 23" xfId="8630" xr:uid="{00000000-0005-0000-0000-0000D1120000}"/>
    <cellStyle name="20% - 강조색6 52 24" xfId="9517" xr:uid="{00000000-0005-0000-0000-0000D2120000}"/>
    <cellStyle name="20% - 강조색6 52 25" xfId="4981" xr:uid="{00000000-0005-0000-0000-0000D3120000}"/>
    <cellStyle name="20% - 강조색6 52 26" xfId="10281" xr:uid="{00000000-0005-0000-0000-0000D4120000}"/>
    <cellStyle name="20% - 강조색6 52 27" xfId="9926" xr:uid="{00000000-0005-0000-0000-0000D5120000}"/>
    <cellStyle name="20% - 강조색6 52 28" xfId="9843" xr:uid="{00000000-0005-0000-0000-0000D6120000}"/>
    <cellStyle name="20% - 강조색6 52 29" xfId="11163" xr:uid="{00000000-0005-0000-0000-0000D7120000}"/>
    <cellStyle name="20% - 강조색6 52 3" xfId="2070" xr:uid="{00000000-0005-0000-0000-0000D8120000}"/>
    <cellStyle name="20% - 강조색6 52 4" xfId="2280" xr:uid="{00000000-0005-0000-0000-0000D9120000}"/>
    <cellStyle name="20% - 강조색6 52 5" xfId="2606" xr:uid="{00000000-0005-0000-0000-0000DA120000}"/>
    <cellStyle name="20% - 강조색6 52 6" xfId="2752" xr:uid="{00000000-0005-0000-0000-0000DB120000}"/>
    <cellStyle name="20% - 강조색6 52 7" xfId="3336" xr:uid="{00000000-0005-0000-0000-0000DC120000}"/>
    <cellStyle name="20% - 강조색6 52 8" xfId="3691" xr:uid="{00000000-0005-0000-0000-0000DD120000}"/>
    <cellStyle name="20% - 강조색6 52 9" xfId="3893" xr:uid="{00000000-0005-0000-0000-0000DE120000}"/>
    <cellStyle name="20% - 강조색6 53" xfId="1041" xr:uid="{00000000-0005-0000-0000-0000DF120000}"/>
    <cellStyle name="20% - 강조색6 53 10" xfId="4350" xr:uid="{00000000-0005-0000-0000-0000E0120000}"/>
    <cellStyle name="20% - 강조색6 53 11" xfId="2184" xr:uid="{00000000-0005-0000-0000-0000E1120000}"/>
    <cellStyle name="20% - 강조색6 53 12" xfId="4829" xr:uid="{00000000-0005-0000-0000-0000E2120000}"/>
    <cellStyle name="20% - 강조색6 53 13" xfId="5779" xr:uid="{00000000-0005-0000-0000-0000E3120000}"/>
    <cellStyle name="20% - 강조색6 53 14" xfId="5871" xr:uid="{00000000-0005-0000-0000-0000E4120000}"/>
    <cellStyle name="20% - 강조색6 53 15" xfId="5938" xr:uid="{00000000-0005-0000-0000-0000E5120000}"/>
    <cellStyle name="20% - 강조색6 53 16" xfId="6453" xr:uid="{00000000-0005-0000-0000-0000E6120000}"/>
    <cellStyle name="20% - 강조색6 53 17" xfId="6334" xr:uid="{00000000-0005-0000-0000-0000E7120000}"/>
    <cellStyle name="20% - 강조색6 53 18" xfId="6125" xr:uid="{00000000-0005-0000-0000-0000E8120000}"/>
    <cellStyle name="20% - 강조색6 53 19" xfId="7722" xr:uid="{00000000-0005-0000-0000-0000E9120000}"/>
    <cellStyle name="20% - 강조색6 53 2" xfId="1713" xr:uid="{00000000-0005-0000-0000-0000EA120000}"/>
    <cellStyle name="20% - 강조색6 53 20" xfId="6135" xr:uid="{00000000-0005-0000-0000-0000EB120000}"/>
    <cellStyle name="20% - 강조색6 53 21" xfId="8518" xr:uid="{00000000-0005-0000-0000-0000EC120000}"/>
    <cellStyle name="20% - 강조색6 53 22" xfId="7477" xr:uid="{00000000-0005-0000-0000-0000ED120000}"/>
    <cellStyle name="20% - 강조색6 53 23" xfId="9225" xr:uid="{00000000-0005-0000-0000-0000EE120000}"/>
    <cellStyle name="20% - 강조색6 53 24" xfId="7654" xr:uid="{00000000-0005-0000-0000-0000EF120000}"/>
    <cellStyle name="20% - 강조색6 53 25" xfId="10035" xr:uid="{00000000-0005-0000-0000-0000F0120000}"/>
    <cellStyle name="20% - 강조색6 53 26" xfId="7544" xr:uid="{00000000-0005-0000-0000-0000F1120000}"/>
    <cellStyle name="20% - 강조색6 53 27" xfId="10447" xr:uid="{00000000-0005-0000-0000-0000F2120000}"/>
    <cellStyle name="20% - 강조색6 53 28" xfId="10764" xr:uid="{00000000-0005-0000-0000-0000F3120000}"/>
    <cellStyle name="20% - 강조색6 53 29" xfId="11225" xr:uid="{00000000-0005-0000-0000-0000F4120000}"/>
    <cellStyle name="20% - 강조색6 53 3" xfId="768" xr:uid="{00000000-0005-0000-0000-0000F5120000}"/>
    <cellStyle name="20% - 강조색6 53 4" xfId="924" xr:uid="{00000000-0005-0000-0000-0000F6120000}"/>
    <cellStyle name="20% - 강조색6 53 5" xfId="1491" xr:uid="{00000000-0005-0000-0000-0000F7120000}"/>
    <cellStyle name="20% - 강조색6 53 6" xfId="2514" xr:uid="{00000000-0005-0000-0000-0000F8120000}"/>
    <cellStyle name="20% - 강조색6 53 7" xfId="1640" xr:uid="{00000000-0005-0000-0000-0000F9120000}"/>
    <cellStyle name="20% - 강조색6 53 8" xfId="3630" xr:uid="{00000000-0005-0000-0000-0000FA120000}"/>
    <cellStyle name="20% - 강조색6 53 9" xfId="935" xr:uid="{00000000-0005-0000-0000-0000FB120000}"/>
    <cellStyle name="20% - 강조색6 54" xfId="1627" xr:uid="{00000000-0005-0000-0000-0000FC120000}"/>
    <cellStyle name="20% - 강조색6 54 10" xfId="2478" xr:uid="{00000000-0005-0000-0000-0000FD120000}"/>
    <cellStyle name="20% - 강조색6 54 11" xfId="5599" xr:uid="{00000000-0005-0000-0000-0000FE120000}"/>
    <cellStyle name="20% - 강조색6 54 12" xfId="2672" xr:uid="{00000000-0005-0000-0000-0000FF120000}"/>
    <cellStyle name="20% - 강조색6 54 13" xfId="5313" xr:uid="{00000000-0005-0000-0000-000000130000}"/>
    <cellStyle name="20% - 강조색6 54 14" xfId="2837" xr:uid="{00000000-0005-0000-0000-000001130000}"/>
    <cellStyle name="20% - 강조색6 54 15" xfId="6114" xr:uid="{00000000-0005-0000-0000-000002130000}"/>
    <cellStyle name="20% - 강조색6 54 16" xfId="6776" xr:uid="{00000000-0005-0000-0000-000003130000}"/>
    <cellStyle name="20% - 강조색6 54 17" xfId="6471" xr:uid="{00000000-0005-0000-0000-000004130000}"/>
    <cellStyle name="20% - 강조색6 54 18" xfId="1943" xr:uid="{00000000-0005-0000-0000-000005130000}"/>
    <cellStyle name="20% - 강조색6 54 19" xfId="8228" xr:uid="{00000000-0005-0000-0000-000006130000}"/>
    <cellStyle name="20% - 강조색6 54 2" xfId="2087" xr:uid="{00000000-0005-0000-0000-000007130000}"/>
    <cellStyle name="20% - 강조색6 54 20" xfId="8378" xr:uid="{00000000-0005-0000-0000-000008130000}"/>
    <cellStyle name="20% - 강조색6 54 21" xfId="8700" xr:uid="{00000000-0005-0000-0000-000009130000}"/>
    <cellStyle name="20% - 강조색6 54 22" xfId="9293" xr:uid="{00000000-0005-0000-0000-00000A130000}"/>
    <cellStyle name="20% - 강조색6 54 23" xfId="9673" xr:uid="{00000000-0005-0000-0000-00000B130000}"/>
    <cellStyle name="20% - 강조색6 54 24" xfId="2813" xr:uid="{00000000-0005-0000-0000-00000C130000}"/>
    <cellStyle name="20% - 강조색6 54 25" xfId="10355" xr:uid="{00000000-0005-0000-0000-00000D130000}"/>
    <cellStyle name="20% - 강조색6 54 26" xfId="10176" xr:uid="{00000000-0005-0000-0000-00000E130000}"/>
    <cellStyle name="20% - 강조색6 54 27" xfId="6077" xr:uid="{00000000-0005-0000-0000-00000F130000}"/>
    <cellStyle name="20% - 강조색6 54 28" xfId="11090" xr:uid="{00000000-0005-0000-0000-000010130000}"/>
    <cellStyle name="20% - 강조색6 54 3" xfId="2369" xr:uid="{00000000-0005-0000-0000-000011130000}"/>
    <cellStyle name="20% - 강조색6 54 4" xfId="2688" xr:uid="{00000000-0005-0000-0000-000012130000}"/>
    <cellStyle name="20% - 강조색6 54 5" xfId="2148" xr:uid="{00000000-0005-0000-0000-000013130000}"/>
    <cellStyle name="20% - 강조색6 54 6" xfId="1565" xr:uid="{00000000-0005-0000-0000-000014130000}"/>
    <cellStyle name="20% - 강조색6 54 7" xfId="3556" xr:uid="{00000000-0005-0000-0000-000015130000}"/>
    <cellStyle name="20% - 강조색6 54 8" xfId="3864" xr:uid="{00000000-0005-0000-0000-000016130000}"/>
    <cellStyle name="20% - 강조색6 54 9" xfId="4232" xr:uid="{00000000-0005-0000-0000-000017130000}"/>
    <cellStyle name="20% - 강조색6 55" xfId="2060" xr:uid="{00000000-0005-0000-0000-000018130000}"/>
    <cellStyle name="20% - 강조색6 55 10" xfId="5086" xr:uid="{00000000-0005-0000-0000-000019130000}"/>
    <cellStyle name="20% - 강조색6 55 11" xfId="4978" xr:uid="{00000000-0005-0000-0000-00001A130000}"/>
    <cellStyle name="20% - 강조색6 55 12" xfId="5366" xr:uid="{00000000-0005-0000-0000-00001B130000}"/>
    <cellStyle name="20% - 강조색6 55 13" xfId="5690" xr:uid="{00000000-0005-0000-0000-00001C130000}"/>
    <cellStyle name="20% - 강조색6 55 14" xfId="6370" xr:uid="{00000000-0005-0000-0000-00001D130000}"/>
    <cellStyle name="20% - 강조색6 55 15" xfId="2451" xr:uid="{00000000-0005-0000-0000-00001E130000}"/>
    <cellStyle name="20% - 강조색6 55 16" xfId="6841" xr:uid="{00000000-0005-0000-0000-00001F130000}"/>
    <cellStyle name="20% - 강조색6 55 17" xfId="7759" xr:uid="{00000000-0005-0000-0000-000020130000}"/>
    <cellStyle name="20% - 강조색6 55 18" xfId="8062" xr:uid="{00000000-0005-0000-0000-000021130000}"/>
    <cellStyle name="20% - 강조색6 55 19" xfId="8523" xr:uid="{00000000-0005-0000-0000-000022130000}"/>
    <cellStyle name="20% - 강조색6 55 2" xfId="2379" xr:uid="{00000000-0005-0000-0000-000023130000}"/>
    <cellStyle name="20% - 강조색6 55 20" xfId="8962" xr:uid="{00000000-0005-0000-0000-000024130000}"/>
    <cellStyle name="20% - 강조색6 55 21" xfId="9210" xr:uid="{00000000-0005-0000-0000-000025130000}"/>
    <cellStyle name="20% - 강조색6 55 22" xfId="9436" xr:uid="{00000000-0005-0000-0000-000026130000}"/>
    <cellStyle name="20% - 강조색6 55 23" xfId="9987" xr:uid="{00000000-0005-0000-0000-000027130000}"/>
    <cellStyle name="20% - 강조색6 55 24" xfId="10141" xr:uid="{00000000-0005-0000-0000-000028130000}"/>
    <cellStyle name="20% - 강조색6 55 25" xfId="7975" xr:uid="{00000000-0005-0000-0000-000029130000}"/>
    <cellStyle name="20% - 강조색6 55 26" xfId="7978" xr:uid="{00000000-0005-0000-0000-00002A130000}"/>
    <cellStyle name="20% - 강조색6 55 27" xfId="9477" xr:uid="{00000000-0005-0000-0000-00002B130000}"/>
    <cellStyle name="20% - 강조색6 55 3" xfId="2698" xr:uid="{00000000-0005-0000-0000-00002C130000}"/>
    <cellStyle name="20% - 강조색6 55 4" xfId="3013" xr:uid="{00000000-0005-0000-0000-00002D130000}"/>
    <cellStyle name="20% - 강조색6 55 5" xfId="3240" xr:uid="{00000000-0005-0000-0000-00002E130000}"/>
    <cellStyle name="20% - 강조색6 55 6" xfId="3667" xr:uid="{00000000-0005-0000-0000-00002F130000}"/>
    <cellStyle name="20% - 강조색6 55 7" xfId="1520" xr:uid="{00000000-0005-0000-0000-000030130000}"/>
    <cellStyle name="20% - 강조색6 55 8" xfId="890" xr:uid="{00000000-0005-0000-0000-000031130000}"/>
    <cellStyle name="20% - 강조색6 55 9" xfId="4651" xr:uid="{00000000-0005-0000-0000-000032130000}"/>
    <cellStyle name="20% - 강조색6 56" xfId="2340" xr:uid="{00000000-0005-0000-0000-000033130000}"/>
    <cellStyle name="20% - 강조색6 56 10" xfId="4815" xr:uid="{00000000-0005-0000-0000-000034130000}"/>
    <cellStyle name="20% - 강조색6 56 11" xfId="5751" xr:uid="{00000000-0005-0000-0000-000035130000}"/>
    <cellStyle name="20% - 강조색6 56 12" xfId="5853" xr:uid="{00000000-0005-0000-0000-000036130000}"/>
    <cellStyle name="20% - 강조색6 56 13" xfId="4481" xr:uid="{00000000-0005-0000-0000-000037130000}"/>
    <cellStyle name="20% - 강조색6 56 14" xfId="7050" xr:uid="{00000000-0005-0000-0000-000038130000}"/>
    <cellStyle name="20% - 강조색6 56 15" xfId="4434" xr:uid="{00000000-0005-0000-0000-000039130000}"/>
    <cellStyle name="20% - 강조색6 56 16" xfId="1641" xr:uid="{00000000-0005-0000-0000-00003A130000}"/>
    <cellStyle name="20% - 강조색6 56 17" xfId="8130" xr:uid="{00000000-0005-0000-0000-00003B130000}"/>
    <cellStyle name="20% - 강조색6 56 18" xfId="6850" xr:uid="{00000000-0005-0000-0000-00003C130000}"/>
    <cellStyle name="20% - 강조색6 56 19" xfId="1361" xr:uid="{00000000-0005-0000-0000-00003D130000}"/>
    <cellStyle name="20% - 강조색6 56 2" xfId="2709" xr:uid="{00000000-0005-0000-0000-00003E130000}"/>
    <cellStyle name="20% - 강조색6 56 20" xfId="9109" xr:uid="{00000000-0005-0000-0000-00003F130000}"/>
    <cellStyle name="20% - 강조색6 56 21" xfId="6016" xr:uid="{00000000-0005-0000-0000-000040130000}"/>
    <cellStyle name="20% - 강조색6 56 22" xfId="8306" xr:uid="{00000000-0005-0000-0000-000041130000}"/>
    <cellStyle name="20% - 강조색6 56 23" xfId="8787" xr:uid="{00000000-0005-0000-0000-000042130000}"/>
    <cellStyle name="20% - 강조색6 56 24" xfId="7622" xr:uid="{00000000-0005-0000-0000-000043130000}"/>
    <cellStyle name="20% - 강조색6 56 25" xfId="2843" xr:uid="{00000000-0005-0000-0000-000044130000}"/>
    <cellStyle name="20% - 강조색6 56 26" xfId="10463" xr:uid="{00000000-0005-0000-0000-000045130000}"/>
    <cellStyle name="20% - 강조색6 56 3" xfId="3024" xr:uid="{00000000-0005-0000-0000-000046130000}"/>
    <cellStyle name="20% - 강조색6 56 4" xfId="3357" xr:uid="{00000000-0005-0000-0000-000047130000}"/>
    <cellStyle name="20% - 강조색6 56 5" xfId="3267" xr:uid="{00000000-0005-0000-0000-000048130000}"/>
    <cellStyle name="20% - 강조색6 56 6" xfId="3988" xr:uid="{00000000-0005-0000-0000-000049130000}"/>
    <cellStyle name="20% - 강조색6 56 7" xfId="4362" xr:uid="{00000000-0005-0000-0000-00004A130000}"/>
    <cellStyle name="20% - 강조색6 56 8" xfId="4721" xr:uid="{00000000-0005-0000-0000-00004B130000}"/>
    <cellStyle name="20% - 강조색6 56 9" xfId="5095" xr:uid="{00000000-0005-0000-0000-00004C130000}"/>
    <cellStyle name="20% - 강조색6 57" xfId="2681" xr:uid="{00000000-0005-0000-0000-00004D130000}"/>
    <cellStyle name="20% - 강조색6 57 10" xfId="5257" xr:uid="{00000000-0005-0000-0000-00004E130000}"/>
    <cellStyle name="20% - 강조색6 57 11" xfId="5739" xr:uid="{00000000-0005-0000-0000-00004F130000}"/>
    <cellStyle name="20% - 강조색6 57 12" xfId="3819" xr:uid="{00000000-0005-0000-0000-000050130000}"/>
    <cellStyle name="20% - 강조색6 57 13" xfId="7069" xr:uid="{00000000-0005-0000-0000-000051130000}"/>
    <cellStyle name="20% - 강조색6 57 14" xfId="4610" xr:uid="{00000000-0005-0000-0000-000052130000}"/>
    <cellStyle name="20% - 강조색6 57 15" xfId="881" xr:uid="{00000000-0005-0000-0000-000053130000}"/>
    <cellStyle name="20% - 강조색6 57 16" xfId="8059" xr:uid="{00000000-0005-0000-0000-000054130000}"/>
    <cellStyle name="20% - 강조색6 57 17" xfId="8391" xr:uid="{00000000-0005-0000-0000-000055130000}"/>
    <cellStyle name="20% - 강조색6 57 18" xfId="8879" xr:uid="{00000000-0005-0000-0000-000056130000}"/>
    <cellStyle name="20% - 강조색6 57 19" xfId="7914" xr:uid="{00000000-0005-0000-0000-000057130000}"/>
    <cellStyle name="20% - 강조색6 57 2" xfId="3035" xr:uid="{00000000-0005-0000-0000-000058130000}"/>
    <cellStyle name="20% - 강조색6 57 20" xfId="8681" xr:uid="{00000000-0005-0000-0000-000059130000}"/>
    <cellStyle name="20% - 강조색6 57 21" xfId="8101" xr:uid="{00000000-0005-0000-0000-00005A130000}"/>
    <cellStyle name="20% - 강조색6 57 22" xfId="10284" xr:uid="{00000000-0005-0000-0000-00005B130000}"/>
    <cellStyle name="20% - 강조색6 57 23" xfId="10653" xr:uid="{00000000-0005-0000-0000-00005C130000}"/>
    <cellStyle name="20% - 강조색6 57 24" xfId="10814" xr:uid="{00000000-0005-0000-0000-00005D130000}"/>
    <cellStyle name="20% - 강조색6 57 25" xfId="11067" xr:uid="{00000000-0005-0000-0000-00005E130000}"/>
    <cellStyle name="20% - 강조색6 57 3" xfId="3368" xr:uid="{00000000-0005-0000-0000-00005F130000}"/>
    <cellStyle name="20% - 강조색6 57 4" xfId="3700" xr:uid="{00000000-0005-0000-0000-000060130000}"/>
    <cellStyle name="20% - 강조색6 57 5" xfId="3965" xr:uid="{00000000-0005-0000-0000-000061130000}"/>
    <cellStyle name="20% - 강조색6 57 6" xfId="4281" xr:uid="{00000000-0005-0000-0000-000062130000}"/>
    <cellStyle name="20% - 강조색6 57 7" xfId="1926" xr:uid="{00000000-0005-0000-0000-000063130000}"/>
    <cellStyle name="20% - 강조색6 57 8" xfId="5267" xr:uid="{00000000-0005-0000-0000-000064130000}"/>
    <cellStyle name="20% - 강조색6 57 9" xfId="5009" xr:uid="{00000000-0005-0000-0000-000065130000}"/>
    <cellStyle name="20% - 강조색6 58" xfId="2992" xr:uid="{00000000-0005-0000-0000-000066130000}"/>
    <cellStyle name="20% - 강조색6 58 10" xfId="5439" xr:uid="{00000000-0005-0000-0000-000067130000}"/>
    <cellStyle name="20% - 강조색6 58 11" xfId="6609" xr:uid="{00000000-0005-0000-0000-000068130000}"/>
    <cellStyle name="20% - 강조색6 58 12" xfId="7109" xr:uid="{00000000-0005-0000-0000-000069130000}"/>
    <cellStyle name="20% - 강조색6 58 13" xfId="6959" xr:uid="{00000000-0005-0000-0000-00006A130000}"/>
    <cellStyle name="20% - 강조색6 58 14" xfId="7719" xr:uid="{00000000-0005-0000-0000-00006B130000}"/>
    <cellStyle name="20% - 강조색6 58 15" xfId="8135" xr:uid="{00000000-0005-0000-0000-00006C130000}"/>
    <cellStyle name="20% - 강조색6 58 16" xfId="8424" xr:uid="{00000000-0005-0000-0000-00006D130000}"/>
    <cellStyle name="20% - 강조색6 58 17" xfId="1633" xr:uid="{00000000-0005-0000-0000-00006E130000}"/>
    <cellStyle name="20% - 강조색6 58 18" xfId="9178" xr:uid="{00000000-0005-0000-0000-00006F130000}"/>
    <cellStyle name="20% - 강조색6 58 19" xfId="9465" xr:uid="{00000000-0005-0000-0000-000070130000}"/>
    <cellStyle name="20% - 강조색6 58 2" xfId="3378" xr:uid="{00000000-0005-0000-0000-000071130000}"/>
    <cellStyle name="20% - 강조색6 58 20" xfId="4911" xr:uid="{00000000-0005-0000-0000-000072130000}"/>
    <cellStyle name="20% - 강조색6 58 21" xfId="10320" xr:uid="{00000000-0005-0000-0000-000073130000}"/>
    <cellStyle name="20% - 강조색6 58 22" xfId="10585" xr:uid="{00000000-0005-0000-0000-000074130000}"/>
    <cellStyle name="20% - 강조색6 58 23" xfId="10981" xr:uid="{00000000-0005-0000-0000-000075130000}"/>
    <cellStyle name="20% - 강조색6 58 24" xfId="11169" xr:uid="{00000000-0005-0000-0000-000076130000}"/>
    <cellStyle name="20% - 강조색6 58 3" xfId="3711" xr:uid="{00000000-0005-0000-0000-000077130000}"/>
    <cellStyle name="20% - 강조색6 58 4" xfId="4049" xr:uid="{00000000-0005-0000-0000-000078130000}"/>
    <cellStyle name="20% - 강조색6 58 5" xfId="4268" xr:uid="{00000000-0005-0000-0000-000079130000}"/>
    <cellStyle name="20% - 강조색6 58 6" xfId="4479" xr:uid="{00000000-0005-0000-0000-00007A130000}"/>
    <cellStyle name="20% - 강조색6 58 7" xfId="4082" xr:uid="{00000000-0005-0000-0000-00007B130000}"/>
    <cellStyle name="20% - 강조색6 58 8" xfId="3790" xr:uid="{00000000-0005-0000-0000-00007C130000}"/>
    <cellStyle name="20% - 강조색6 58 9" xfId="5282" xr:uid="{00000000-0005-0000-0000-00007D130000}"/>
    <cellStyle name="20% - 강조색6 59" xfId="2202" xr:uid="{00000000-0005-0000-0000-00007E130000}"/>
    <cellStyle name="20% - 강조색6 59 10" xfId="6159" xr:uid="{00000000-0005-0000-0000-00007F130000}"/>
    <cellStyle name="20% - 강조색6 59 11" xfId="6935" xr:uid="{00000000-0005-0000-0000-000080130000}"/>
    <cellStyle name="20% - 강조색6 59 12" xfId="7020" xr:uid="{00000000-0005-0000-0000-000081130000}"/>
    <cellStyle name="20% - 강조색6 59 13" xfId="7787" xr:uid="{00000000-0005-0000-0000-000082130000}"/>
    <cellStyle name="20% - 강조색6 59 14" xfId="2714" xr:uid="{00000000-0005-0000-0000-000083130000}"/>
    <cellStyle name="20% - 강조색6 59 15" xfId="7937" xr:uid="{00000000-0005-0000-0000-000084130000}"/>
    <cellStyle name="20% - 강조색6 59 16" xfId="8991" xr:uid="{00000000-0005-0000-0000-000085130000}"/>
    <cellStyle name="20% - 강조색6 59 17" xfId="9076" xr:uid="{00000000-0005-0000-0000-000086130000}"/>
    <cellStyle name="20% - 강조색6 59 18" xfId="9540" xr:uid="{00000000-0005-0000-0000-000087130000}"/>
    <cellStyle name="20% - 강조색6 59 19" xfId="8749" xr:uid="{00000000-0005-0000-0000-000088130000}"/>
    <cellStyle name="20% - 강조색6 59 2" xfId="2150" xr:uid="{00000000-0005-0000-0000-000089130000}"/>
    <cellStyle name="20% - 강조색6 59 20" xfId="8346" xr:uid="{00000000-0005-0000-0000-00008A130000}"/>
    <cellStyle name="20% - 강조색6 59 21" xfId="9112" xr:uid="{00000000-0005-0000-0000-00008B130000}"/>
    <cellStyle name="20% - 강조색6 59 22" xfId="8479" xr:uid="{00000000-0005-0000-0000-00008C130000}"/>
    <cellStyle name="20% - 강조색6 59 23" xfId="4676" xr:uid="{00000000-0005-0000-0000-00008D130000}"/>
    <cellStyle name="20% - 강조색6 59 3" xfId="1857" xr:uid="{00000000-0005-0000-0000-00008E130000}"/>
    <cellStyle name="20% - 강조색6 59 4" xfId="4101" xr:uid="{00000000-0005-0000-0000-00008F130000}"/>
    <cellStyle name="20% - 강조색6 59 5" xfId="2093" xr:uid="{00000000-0005-0000-0000-000090130000}"/>
    <cellStyle name="20% - 강조색6 59 6" xfId="2438" xr:uid="{00000000-0005-0000-0000-000091130000}"/>
    <cellStyle name="20% - 강조색6 59 7" xfId="3200" xr:uid="{00000000-0005-0000-0000-000092130000}"/>
    <cellStyle name="20% - 강조색6 59 8" xfId="4916" xr:uid="{00000000-0005-0000-0000-000093130000}"/>
    <cellStyle name="20% - 강조색6 59 9" xfId="4982" xr:uid="{00000000-0005-0000-0000-000094130000}"/>
    <cellStyle name="20% - 강조색6 6" xfId="127" xr:uid="{00000000-0005-0000-0000-000095130000}"/>
    <cellStyle name="20% - 강조색6 60" xfId="3548" xr:uid="{00000000-0005-0000-0000-000096130000}"/>
    <cellStyle name="20% - 강조색6 60 10" xfId="6808" xr:uid="{00000000-0005-0000-0000-000097130000}"/>
    <cellStyle name="20% - 강조색6 60 11" xfId="7148" xr:uid="{00000000-0005-0000-0000-000098130000}"/>
    <cellStyle name="20% - 강조색6 60 12" xfId="7462" xr:uid="{00000000-0005-0000-0000-000099130000}"/>
    <cellStyle name="20% - 강조색6 60 13" xfId="7576" xr:uid="{00000000-0005-0000-0000-00009A130000}"/>
    <cellStyle name="20% - 강조색6 60 14" xfId="8397" xr:uid="{00000000-0005-0000-0000-00009B130000}"/>
    <cellStyle name="20% - 강조색6 60 15" xfId="8995" xr:uid="{00000000-0005-0000-0000-00009C130000}"/>
    <cellStyle name="20% - 강조색6 60 16" xfId="8325" xr:uid="{00000000-0005-0000-0000-00009D130000}"/>
    <cellStyle name="20% - 강조색6 60 17" xfId="3085" xr:uid="{00000000-0005-0000-0000-00009E130000}"/>
    <cellStyle name="20% - 강조색6 60 18" xfId="9781" xr:uid="{00000000-0005-0000-0000-00009F130000}"/>
    <cellStyle name="20% - 강조색6 60 19" xfId="10198" xr:uid="{00000000-0005-0000-0000-0000A0130000}"/>
    <cellStyle name="20% - 강조색6 60 2" xfId="4063" xr:uid="{00000000-0005-0000-0000-0000A1130000}"/>
    <cellStyle name="20% - 강조색6 60 20" xfId="8326" xr:uid="{00000000-0005-0000-0000-0000A2130000}"/>
    <cellStyle name="20% - 강조색6 60 21" xfId="9765" xr:uid="{00000000-0005-0000-0000-0000A3130000}"/>
    <cellStyle name="20% - 강조색6 60 22" xfId="10806" xr:uid="{00000000-0005-0000-0000-0000A4130000}"/>
    <cellStyle name="20% - 강조색6 60 3" xfId="4399" xr:uid="{00000000-0005-0000-0000-0000A5130000}"/>
    <cellStyle name="20% - 강조색6 60 4" xfId="4752" xr:uid="{00000000-0005-0000-0000-0000A6130000}"/>
    <cellStyle name="20% - 강조색6 60 5" xfId="5457" xr:uid="{00000000-0005-0000-0000-0000A7130000}"/>
    <cellStyle name="20% - 강조색6 60 6" xfId="5699" xr:uid="{00000000-0005-0000-0000-0000A8130000}"/>
    <cellStyle name="20% - 강조색6 60 7" xfId="5067" xr:uid="{00000000-0005-0000-0000-0000A9130000}"/>
    <cellStyle name="20% - 강조색6 60 8" xfId="5770" xr:uid="{00000000-0005-0000-0000-0000AA130000}"/>
    <cellStyle name="20% - 강조색6 60 9" xfId="6572" xr:uid="{00000000-0005-0000-0000-0000AB130000}"/>
    <cellStyle name="20% - 강조색6 61" xfId="3854" xr:uid="{00000000-0005-0000-0000-0000AC130000}"/>
    <cellStyle name="20% - 강조색6 61 10" xfId="7362" xr:uid="{00000000-0005-0000-0000-0000AD130000}"/>
    <cellStyle name="20% - 강조색6 61 11" xfId="7627" xr:uid="{00000000-0005-0000-0000-0000AE130000}"/>
    <cellStyle name="20% - 강조색6 61 12" xfId="8252" xr:uid="{00000000-0005-0000-0000-0000AF130000}"/>
    <cellStyle name="20% - 강조색6 61 13" xfId="8433" xr:uid="{00000000-0005-0000-0000-0000B0130000}"/>
    <cellStyle name="20% - 강조색6 61 14" xfId="3958" xr:uid="{00000000-0005-0000-0000-0000B1130000}"/>
    <cellStyle name="20% - 강조색6 61 15" xfId="3466" xr:uid="{00000000-0005-0000-0000-0000B2130000}"/>
    <cellStyle name="20% - 강조색6 61 16" xfId="9537" xr:uid="{00000000-0005-0000-0000-0000B3130000}"/>
    <cellStyle name="20% - 강조색6 61 17" xfId="9963" xr:uid="{00000000-0005-0000-0000-0000B4130000}"/>
    <cellStyle name="20% - 강조색6 61 18" xfId="1577" xr:uid="{00000000-0005-0000-0000-0000B5130000}"/>
    <cellStyle name="20% - 강조색6 61 19" xfId="10143" xr:uid="{00000000-0005-0000-0000-0000B6130000}"/>
    <cellStyle name="20% - 강조색6 61 2" xfId="4409" xr:uid="{00000000-0005-0000-0000-0000B7130000}"/>
    <cellStyle name="20% - 강조색6 61 20" xfId="10914" xr:uid="{00000000-0005-0000-0000-0000B8130000}"/>
    <cellStyle name="20% - 강조색6 61 21" xfId="11227" xr:uid="{00000000-0005-0000-0000-0000B9130000}"/>
    <cellStyle name="20% - 강조색6 61 3" xfId="4762" xr:uid="{00000000-0005-0000-0000-0000BA130000}"/>
    <cellStyle name="20% - 강조색6 61 4" xfId="5656" xr:uid="{00000000-0005-0000-0000-0000BB130000}"/>
    <cellStyle name="20% - 강조색6 61 5" xfId="3820" xr:uid="{00000000-0005-0000-0000-0000BC130000}"/>
    <cellStyle name="20% - 강조색6 61 6" xfId="5813" xr:uid="{00000000-0005-0000-0000-0000BD130000}"/>
    <cellStyle name="20% - 강조색6 61 7" xfId="5894" xr:uid="{00000000-0005-0000-0000-0000BE130000}"/>
    <cellStyle name="20% - 강조색6 61 8" xfId="6397" xr:uid="{00000000-0005-0000-0000-0000BF130000}"/>
    <cellStyle name="20% - 강조색6 61 9" xfId="6842" xr:uid="{00000000-0005-0000-0000-0000C0130000}"/>
    <cellStyle name="20% - 강조색6 62" xfId="4335" xr:uid="{00000000-0005-0000-0000-0000C1130000}"/>
    <cellStyle name="20% - 강조색6 62 10" xfId="7744" xr:uid="{00000000-0005-0000-0000-0000C2130000}"/>
    <cellStyle name="20% - 강조색6 62 11" xfId="4903" xr:uid="{00000000-0005-0000-0000-0000C3130000}"/>
    <cellStyle name="20% - 강조색6 62 12" xfId="8575" xr:uid="{00000000-0005-0000-0000-0000C4130000}"/>
    <cellStyle name="20% - 강조색6 62 13" xfId="8261" xr:uid="{00000000-0005-0000-0000-0000C5130000}"/>
    <cellStyle name="20% - 강조색6 62 14" xfId="919" xr:uid="{00000000-0005-0000-0000-0000C6130000}"/>
    <cellStyle name="20% - 강조색6 62 15" xfId="9595" xr:uid="{00000000-0005-0000-0000-0000C7130000}"/>
    <cellStyle name="20% - 강조색6 62 16" xfId="3764" xr:uid="{00000000-0005-0000-0000-0000C8130000}"/>
    <cellStyle name="20% - 강조색6 62 17" xfId="9156" xr:uid="{00000000-0005-0000-0000-0000C9130000}"/>
    <cellStyle name="20% - 강조색6 62 18" xfId="10442" xr:uid="{00000000-0005-0000-0000-0000CA130000}"/>
    <cellStyle name="20% - 강조색6 62 19" xfId="3391" xr:uid="{00000000-0005-0000-0000-0000CB130000}"/>
    <cellStyle name="20% - 강조색6 62 2" xfId="4776" xr:uid="{00000000-0005-0000-0000-0000CC130000}"/>
    <cellStyle name="20% - 강조색6 62 20" xfId="6073" xr:uid="{00000000-0005-0000-0000-0000CD130000}"/>
    <cellStyle name="20% - 강조색6 62 3" xfId="5747" xr:uid="{00000000-0005-0000-0000-0000CE130000}"/>
    <cellStyle name="20% - 강조색6 62 4" xfId="5850" xr:uid="{00000000-0005-0000-0000-0000CF130000}"/>
    <cellStyle name="20% - 강조색6 62 5" xfId="5925" xr:uid="{00000000-0005-0000-0000-0000D0130000}"/>
    <cellStyle name="20% - 강조색6 62 6" xfId="5975" xr:uid="{00000000-0005-0000-0000-0000D1130000}"/>
    <cellStyle name="20% - 강조색6 62 7" xfId="6634" xr:uid="{00000000-0005-0000-0000-0000D2130000}"/>
    <cellStyle name="20% - 강조색6 62 8" xfId="7211" xr:uid="{00000000-0005-0000-0000-0000D3130000}"/>
    <cellStyle name="20% - 강조색6 62 9" xfId="7233" xr:uid="{00000000-0005-0000-0000-0000D4130000}"/>
    <cellStyle name="20% - 강조색6 63" xfId="4705" xr:uid="{00000000-0005-0000-0000-0000D5130000}"/>
    <cellStyle name="20% - 강조색6 63 10" xfId="8159" xr:uid="{00000000-0005-0000-0000-0000D6130000}"/>
    <cellStyle name="20% - 강조색6 63 11" xfId="6781" xr:uid="{00000000-0005-0000-0000-0000D7130000}"/>
    <cellStyle name="20% - 강조색6 63 12" xfId="8974" xr:uid="{00000000-0005-0000-0000-0000D8130000}"/>
    <cellStyle name="20% - 강조색6 63 13" xfId="8802" xr:uid="{00000000-0005-0000-0000-0000D9130000}"/>
    <cellStyle name="20% - 강조색6 63 14" xfId="7554" xr:uid="{00000000-0005-0000-0000-0000DA130000}"/>
    <cellStyle name="20% - 강조색6 63 15" xfId="9071" xr:uid="{00000000-0005-0000-0000-0000DB130000}"/>
    <cellStyle name="20% - 강조색6 63 16" xfId="10223" xr:uid="{00000000-0005-0000-0000-0000DC130000}"/>
    <cellStyle name="20% - 강조색6 63 17" xfId="10576" xr:uid="{00000000-0005-0000-0000-0000DD130000}"/>
    <cellStyle name="20% - 강조색6 63 18" xfId="9195" xr:uid="{00000000-0005-0000-0000-0000DE130000}"/>
    <cellStyle name="20% - 강조색6 63 19" xfId="6046" xr:uid="{00000000-0005-0000-0000-0000DF130000}"/>
    <cellStyle name="20% - 강조색6 63 2" xfId="5824" xr:uid="{00000000-0005-0000-0000-0000E0130000}"/>
    <cellStyle name="20% - 강조색6 63 3" xfId="5903" xr:uid="{00000000-0005-0000-0000-0000E1130000}"/>
    <cellStyle name="20% - 강조색6 63 4" xfId="5961" xr:uid="{00000000-0005-0000-0000-0000E2130000}"/>
    <cellStyle name="20% - 강조색6 63 5" xfId="5986" xr:uid="{00000000-0005-0000-0000-0000E3130000}"/>
    <cellStyle name="20% - 강조색6 63 6" xfId="6646" xr:uid="{00000000-0005-0000-0000-0000E4130000}"/>
    <cellStyle name="20% - 강조색6 63 7" xfId="7161" xr:uid="{00000000-0005-0000-0000-0000E5130000}"/>
    <cellStyle name="20% - 강조색6 63 8" xfId="2818" xr:uid="{00000000-0005-0000-0000-0000E6130000}"/>
    <cellStyle name="20% - 강조색6 63 9" xfId="7795" xr:uid="{00000000-0005-0000-0000-0000E7130000}"/>
    <cellStyle name="20% - 강조색6 64" xfId="5564" xr:uid="{00000000-0005-0000-0000-0000E8130000}"/>
    <cellStyle name="20% - 강조색6 64 10" xfId="9699" xr:uid="{00000000-0005-0000-0000-0000E9130000}"/>
    <cellStyle name="20% - 강조색6 64 11" xfId="9920" xr:uid="{00000000-0005-0000-0000-0000EA130000}"/>
    <cellStyle name="20% - 강조색6 64 12" xfId="9758" xr:uid="{00000000-0005-0000-0000-0000EB130000}"/>
    <cellStyle name="20% - 강조색6 64 13" xfId="1629" xr:uid="{00000000-0005-0000-0000-0000EC130000}"/>
    <cellStyle name="20% - 강조색6 64 14" xfId="9165" xr:uid="{00000000-0005-0000-0000-0000ED130000}"/>
    <cellStyle name="20% - 강조색6 64 15" xfId="10315" xr:uid="{00000000-0005-0000-0000-0000EE130000}"/>
    <cellStyle name="20% - 강조색6 64 2" xfId="6679" xr:uid="{00000000-0005-0000-0000-0000EF130000}"/>
    <cellStyle name="20% - 강조색6 64 3" xfId="7288" xr:uid="{00000000-0005-0000-0000-0000F0130000}"/>
    <cellStyle name="20% - 강조색6 64 4" xfId="6710" xr:uid="{00000000-0005-0000-0000-0000F1130000}"/>
    <cellStyle name="20% - 강조색6 64 5" xfId="5112" xr:uid="{00000000-0005-0000-0000-0000F2130000}"/>
    <cellStyle name="20% - 강조색6 64 6" xfId="4104" xr:uid="{00000000-0005-0000-0000-0000F3130000}"/>
    <cellStyle name="20% - 강조색6 64 7" xfId="8372" xr:uid="{00000000-0005-0000-0000-0000F4130000}"/>
    <cellStyle name="20% - 강조색6 64 8" xfId="8999" xr:uid="{00000000-0005-0000-0000-0000F5130000}"/>
    <cellStyle name="20% - 강조색6 64 9" xfId="4567" xr:uid="{00000000-0005-0000-0000-0000F6130000}"/>
    <cellStyle name="20% - 강조색6 65" xfId="5749" xr:uid="{00000000-0005-0000-0000-0000F7130000}"/>
    <cellStyle name="20% - 강조색6 65 10" xfId="9672" xr:uid="{00000000-0005-0000-0000-0000F8130000}"/>
    <cellStyle name="20% - 강조색6 65 11" xfId="9871" xr:uid="{00000000-0005-0000-0000-0000F9130000}"/>
    <cellStyle name="20% - 강조색6 65 12" xfId="10155" xr:uid="{00000000-0005-0000-0000-0000FA130000}"/>
    <cellStyle name="20% - 강조색6 65 13" xfId="10520" xr:uid="{00000000-0005-0000-0000-0000FB130000}"/>
    <cellStyle name="20% - 강조색6 65 14" xfId="3136" xr:uid="{00000000-0005-0000-0000-0000FC130000}"/>
    <cellStyle name="20% - 강조색6 65 15" xfId="6083" xr:uid="{00000000-0005-0000-0000-0000FD130000}"/>
    <cellStyle name="20% - 강조색6 65 2" xfId="6687" xr:uid="{00000000-0005-0000-0000-0000FE130000}"/>
    <cellStyle name="20% - 강조색6 65 3" xfId="7310" xr:uid="{00000000-0005-0000-0000-0000FF130000}"/>
    <cellStyle name="20% - 강조색6 65 4" xfId="7067" xr:uid="{00000000-0005-0000-0000-000000140000}"/>
    <cellStyle name="20% - 강조색6 65 5" xfId="7855" xr:uid="{00000000-0005-0000-0000-000001140000}"/>
    <cellStyle name="20% - 강조색6 65 6" xfId="7824" xr:uid="{00000000-0005-0000-0000-000002140000}"/>
    <cellStyle name="20% - 강조색6 65 7" xfId="8462" xr:uid="{00000000-0005-0000-0000-000003140000}"/>
    <cellStyle name="20% - 강조색6 65 8" xfId="831" xr:uid="{00000000-0005-0000-0000-000004140000}"/>
    <cellStyle name="20% - 강조색6 65 9" xfId="6867" xr:uid="{00000000-0005-0000-0000-000005140000}"/>
    <cellStyle name="20% - 강조색6 66" xfId="5852" xr:uid="{00000000-0005-0000-0000-000006140000}"/>
    <cellStyle name="20% - 강조색6 66 10" xfId="4377" xr:uid="{00000000-0005-0000-0000-000007140000}"/>
    <cellStyle name="20% - 강조색6 66 11" xfId="3657" xr:uid="{00000000-0005-0000-0000-000008140000}"/>
    <cellStyle name="20% - 강조색6 66 12" xfId="10147" xr:uid="{00000000-0005-0000-0000-000009140000}"/>
    <cellStyle name="20% - 강조색6 66 13" xfId="10626" xr:uid="{00000000-0005-0000-0000-00000A140000}"/>
    <cellStyle name="20% - 강조색6 66 14" xfId="10965" xr:uid="{00000000-0005-0000-0000-00000B140000}"/>
    <cellStyle name="20% - 강조색6 66 15" xfId="3802" xr:uid="{00000000-0005-0000-0000-00000C140000}"/>
    <cellStyle name="20% - 강조색6 66 2" xfId="6693" xr:uid="{00000000-0005-0000-0000-00000D140000}"/>
    <cellStyle name="20% - 강조색6 66 3" xfId="7319" xr:uid="{00000000-0005-0000-0000-00000E140000}"/>
    <cellStyle name="20% - 강조색6 66 4" xfId="6834" xr:uid="{00000000-0005-0000-0000-00000F140000}"/>
    <cellStyle name="20% - 강조색6 66 5" xfId="7861" xr:uid="{00000000-0005-0000-0000-000010140000}"/>
    <cellStyle name="20% - 강조색6 66 6" xfId="8216" xr:uid="{00000000-0005-0000-0000-000011140000}"/>
    <cellStyle name="20% - 강조색6 66 7" xfId="8422" xr:uid="{00000000-0005-0000-0000-000012140000}"/>
    <cellStyle name="20% - 강조색6 66 8" xfId="4515" xr:uid="{00000000-0005-0000-0000-000013140000}"/>
    <cellStyle name="20% - 강조색6 66 9" xfId="9338" xr:uid="{00000000-0005-0000-0000-000014140000}"/>
    <cellStyle name="20% - 강조색6 67" xfId="5927" xr:uid="{00000000-0005-0000-0000-000015140000}"/>
    <cellStyle name="20% - 강조색6 67 10" xfId="4949" xr:uid="{00000000-0005-0000-0000-000016140000}"/>
    <cellStyle name="20% - 강조색6 67 11" xfId="6181" xr:uid="{00000000-0005-0000-0000-000017140000}"/>
    <cellStyle name="20% - 강조색6 67 12" xfId="10232" xr:uid="{00000000-0005-0000-0000-000018140000}"/>
    <cellStyle name="20% - 강조색6 67 13" xfId="6156" xr:uid="{00000000-0005-0000-0000-000019140000}"/>
    <cellStyle name="20% - 강조색6 67 14" xfId="9250" xr:uid="{00000000-0005-0000-0000-00001A140000}"/>
    <cellStyle name="20% - 강조색6 67 15" xfId="11109" xr:uid="{00000000-0005-0000-0000-00001B140000}"/>
    <cellStyle name="20% - 강조색6 67 2" xfId="6695" xr:uid="{00000000-0005-0000-0000-00001C140000}"/>
    <cellStyle name="20% - 강조색6 67 3" xfId="7328" xr:uid="{00000000-0005-0000-0000-00001D140000}"/>
    <cellStyle name="20% - 강조색6 67 4" xfId="7375" xr:uid="{00000000-0005-0000-0000-00001E140000}"/>
    <cellStyle name="20% - 강조색6 67 5" xfId="7863" xr:uid="{00000000-0005-0000-0000-00001F140000}"/>
    <cellStyle name="20% - 강조색6 67 6" xfId="8036" xr:uid="{00000000-0005-0000-0000-000020140000}"/>
    <cellStyle name="20% - 강조색6 67 7" xfId="8413" xr:uid="{00000000-0005-0000-0000-000021140000}"/>
    <cellStyle name="20% - 강조색6 67 8" xfId="8761" xr:uid="{00000000-0005-0000-0000-000022140000}"/>
    <cellStyle name="20% - 강조색6 67 9" xfId="2899" xr:uid="{00000000-0005-0000-0000-000023140000}"/>
    <cellStyle name="20% - 강조색6 68" xfId="6589" xr:uid="{00000000-0005-0000-0000-000024140000}"/>
    <cellStyle name="20% - 강조색6 68 10" xfId="7953" xr:uid="{00000000-0005-0000-0000-000025140000}"/>
    <cellStyle name="20% - 강조색6 68 11" xfId="9091" xr:uid="{00000000-0005-0000-0000-000026140000}"/>
    <cellStyle name="20% - 강조색6 68 12" xfId="10622" xr:uid="{00000000-0005-0000-0000-000027140000}"/>
    <cellStyle name="20% - 강조색6 68 13" xfId="10955" xr:uid="{00000000-0005-0000-0000-000028140000}"/>
    <cellStyle name="20% - 강조색6 68 14" xfId="8777" xr:uid="{00000000-0005-0000-0000-000029140000}"/>
    <cellStyle name="20% - 강조색6 68 2" xfId="7365" xr:uid="{00000000-0005-0000-0000-00002A140000}"/>
    <cellStyle name="20% - 강조색6 68 3" xfId="7387" xr:uid="{00000000-0005-0000-0000-00002B140000}"/>
    <cellStyle name="20% - 강조색6 68 4" xfId="7876" xr:uid="{00000000-0005-0000-0000-00002C140000}"/>
    <cellStyle name="20% - 강조색6 68 5" xfId="8065" xr:uid="{00000000-0005-0000-0000-00002D140000}"/>
    <cellStyle name="20% - 강조색6 68 6" xfId="8475" xr:uid="{00000000-0005-0000-0000-00002E140000}"/>
    <cellStyle name="20% - 강조색6 68 7" xfId="6943" xr:uid="{00000000-0005-0000-0000-00002F140000}"/>
    <cellStyle name="20% - 강조색6 68 8" xfId="7224" xr:uid="{00000000-0005-0000-0000-000030140000}"/>
    <cellStyle name="20% - 강조색6 68 9" xfId="9689" xr:uid="{00000000-0005-0000-0000-000031140000}"/>
    <cellStyle name="20% - 강조색6 69" xfId="7150" xr:uid="{00000000-0005-0000-0000-000032140000}"/>
    <cellStyle name="20% - 강조색6 69 10" xfId="6913" xr:uid="{00000000-0005-0000-0000-000033140000}"/>
    <cellStyle name="20% - 강조색6 69 11" xfId="6295" xr:uid="{00000000-0005-0000-0000-000034140000}"/>
    <cellStyle name="20% - 강조색6 69 12" xfId="9259" xr:uid="{00000000-0005-0000-0000-000035140000}"/>
    <cellStyle name="20% - 강조색6 69 2" xfId="7885" xr:uid="{00000000-0005-0000-0000-000036140000}"/>
    <cellStyle name="20% - 강조색6 69 3" xfId="8279" xr:uid="{00000000-0005-0000-0000-000037140000}"/>
    <cellStyle name="20% - 강조색6 69 4" xfId="8641" xr:uid="{00000000-0005-0000-0000-000038140000}"/>
    <cellStyle name="20% - 강조색6 69 5" xfId="6129" xr:uid="{00000000-0005-0000-0000-000039140000}"/>
    <cellStyle name="20% - 강조색6 69 6" xfId="9161" xr:uid="{00000000-0005-0000-0000-00003A140000}"/>
    <cellStyle name="20% - 강조색6 69 7" xfId="9614" xr:uid="{00000000-0005-0000-0000-00003B140000}"/>
    <cellStyle name="20% - 강조색6 69 8" xfId="6176" xr:uid="{00000000-0005-0000-0000-00003C140000}"/>
    <cellStyle name="20% - 강조색6 69 9" xfId="10097" xr:uid="{00000000-0005-0000-0000-00003D140000}"/>
    <cellStyle name="20% - 강조색6 7" xfId="140" xr:uid="{00000000-0005-0000-0000-00003E140000}"/>
    <cellStyle name="20% - 강조색6 70" xfId="7171" xr:uid="{00000000-0005-0000-0000-00003F140000}"/>
    <cellStyle name="20% - 강조색6 70 10" xfId="3286" xr:uid="{00000000-0005-0000-0000-000040140000}"/>
    <cellStyle name="20% - 강조색6 70 11" xfId="10867" xr:uid="{00000000-0005-0000-0000-000041140000}"/>
    <cellStyle name="20% - 강조색6 70 12" xfId="11264" xr:uid="{00000000-0005-0000-0000-000042140000}"/>
    <cellStyle name="20% - 강조색6 70 2" xfId="7887" xr:uid="{00000000-0005-0000-0000-000043140000}"/>
    <cellStyle name="20% - 강조색6 70 3" xfId="8281" xr:uid="{00000000-0005-0000-0000-000044140000}"/>
    <cellStyle name="20% - 강조색6 70 4" xfId="8643" xr:uid="{00000000-0005-0000-0000-000045140000}"/>
    <cellStyle name="20% - 강조색6 70 5" xfId="8764" xr:uid="{00000000-0005-0000-0000-000046140000}"/>
    <cellStyle name="20% - 강조색6 70 6" xfId="9090" xr:uid="{00000000-0005-0000-0000-000047140000}"/>
    <cellStyle name="20% - 강조색6 70 7" xfId="8457" xr:uid="{00000000-0005-0000-0000-000048140000}"/>
    <cellStyle name="20% - 강조색6 70 8" xfId="10051" xr:uid="{00000000-0005-0000-0000-000049140000}"/>
    <cellStyle name="20% - 강조색6 70 9" xfId="8527" xr:uid="{00000000-0005-0000-0000-00004A140000}"/>
    <cellStyle name="20% - 강조색6 71" xfId="7575" xr:uid="{00000000-0005-0000-0000-00004B140000}"/>
    <cellStyle name="20% - 강조색6 71 10" xfId="10902" xr:uid="{00000000-0005-0000-0000-00004C140000}"/>
    <cellStyle name="20% - 강조색6 71 11" xfId="11128" xr:uid="{00000000-0005-0000-0000-00004D140000}"/>
    <cellStyle name="20% - 강조색6 71 2" xfId="8295" xr:uid="{00000000-0005-0000-0000-00004E140000}"/>
    <cellStyle name="20% - 강조색6 71 3" xfId="8657" xr:uid="{00000000-0005-0000-0000-00004F140000}"/>
    <cellStyle name="20% - 강조색6 71 4" xfId="9021" xr:uid="{00000000-0005-0000-0000-000050140000}"/>
    <cellStyle name="20% - 강조색6 71 5" xfId="9300" xr:uid="{00000000-0005-0000-0000-000051140000}"/>
    <cellStyle name="20% - 강조색6 71 6" xfId="9439" xr:uid="{00000000-0005-0000-0000-000052140000}"/>
    <cellStyle name="20% - 강조색6 71 7" xfId="8322" xr:uid="{00000000-0005-0000-0000-000053140000}"/>
    <cellStyle name="20% - 강조색6 71 8" xfId="10224" xr:uid="{00000000-0005-0000-0000-000054140000}"/>
    <cellStyle name="20% - 강조색6 71 9" xfId="10567" xr:uid="{00000000-0005-0000-0000-000055140000}"/>
    <cellStyle name="20% - 강조색6 72" xfId="8190" xr:uid="{00000000-0005-0000-0000-000056140000}"/>
    <cellStyle name="20% - 강조색6 72 10" xfId="11174" xr:uid="{00000000-0005-0000-0000-000057140000}"/>
    <cellStyle name="20% - 강조색6 72 2" xfId="8671" xr:uid="{00000000-0005-0000-0000-000058140000}"/>
    <cellStyle name="20% - 강조색6 72 3" xfId="9035" xr:uid="{00000000-0005-0000-0000-000059140000}"/>
    <cellStyle name="20% - 강조색6 72 4" xfId="9394" xr:uid="{00000000-0005-0000-0000-00005A140000}"/>
    <cellStyle name="20% - 강조색6 72 5" xfId="9726" xr:uid="{00000000-0005-0000-0000-00005B140000}"/>
    <cellStyle name="20% - 강조색6 72 6" xfId="9147" xr:uid="{00000000-0005-0000-0000-00005C140000}"/>
    <cellStyle name="20% - 강조색6 72 7" xfId="2393" xr:uid="{00000000-0005-0000-0000-00005D140000}"/>
    <cellStyle name="20% - 강조색6 72 8" xfId="10581" xr:uid="{00000000-0005-0000-0000-00005E140000}"/>
    <cellStyle name="20% - 강조색6 72 9" xfId="10803" xr:uid="{00000000-0005-0000-0000-00005F140000}"/>
    <cellStyle name="20% - 강조색6 73" xfId="8619" xr:uid="{00000000-0005-0000-0000-000060140000}"/>
    <cellStyle name="20% - 강조색6 73 2" xfId="9045" xr:uid="{00000000-0005-0000-0000-000061140000}"/>
    <cellStyle name="20% - 강조색6 73 3" xfId="9404" xr:uid="{00000000-0005-0000-0000-000062140000}"/>
    <cellStyle name="20% - 강조색6 73 4" xfId="9736" xr:uid="{00000000-0005-0000-0000-000063140000}"/>
    <cellStyle name="20% - 강조색6 73 5" xfId="10062" xr:uid="{00000000-0005-0000-0000-000064140000}"/>
    <cellStyle name="20% - 강조색6 73 6" xfId="10327" xr:uid="{00000000-0005-0000-0000-000065140000}"/>
    <cellStyle name="20% - 강조색6 73 7" xfId="10631" xr:uid="{00000000-0005-0000-0000-000066140000}"/>
    <cellStyle name="20% - 강조색6 73 8" xfId="10753" xr:uid="{00000000-0005-0000-0000-000067140000}"/>
    <cellStyle name="20% - 강조색6 73 9" xfId="6577" xr:uid="{00000000-0005-0000-0000-000068140000}"/>
    <cellStyle name="20% - 강조색6 74" xfId="8980" xr:uid="{00000000-0005-0000-0000-000069140000}"/>
    <cellStyle name="20% - 강조색6 74 2" xfId="9412" xr:uid="{00000000-0005-0000-0000-00006A140000}"/>
    <cellStyle name="20% - 강조색6 74 3" xfId="9744" xr:uid="{00000000-0005-0000-0000-00006B140000}"/>
    <cellStyle name="20% - 강조색6 74 4" xfId="10070" xr:uid="{00000000-0005-0000-0000-00006C140000}"/>
    <cellStyle name="20% - 강조색6 74 5" xfId="10383" xr:uid="{00000000-0005-0000-0000-00006D140000}"/>
    <cellStyle name="20% - 강조색6 74 6" xfId="10514" xr:uid="{00000000-0005-0000-0000-00006E140000}"/>
    <cellStyle name="20% - 강조색6 74 7" xfId="10907" xr:uid="{00000000-0005-0000-0000-00006F140000}"/>
    <cellStyle name="20% - 강조색6 74 8" xfId="11244" xr:uid="{00000000-0005-0000-0000-000070140000}"/>
    <cellStyle name="20% - 강조색6 75" xfId="9070" xr:uid="{00000000-0005-0000-0000-000071140000}"/>
    <cellStyle name="20% - 강조색6 75 2" xfId="9750" xr:uid="{00000000-0005-0000-0000-000072140000}"/>
    <cellStyle name="20% - 강조색6 75 3" xfId="10076" xr:uid="{00000000-0005-0000-0000-000073140000}"/>
    <cellStyle name="20% - 강조색6 75 4" xfId="10389" xr:uid="{00000000-0005-0000-0000-000074140000}"/>
    <cellStyle name="20% - 강조색6 75 5" xfId="9278" xr:uid="{00000000-0005-0000-0000-000075140000}"/>
    <cellStyle name="20% - 강조색6 75 6" xfId="10795" xr:uid="{00000000-0005-0000-0000-000076140000}"/>
    <cellStyle name="20% - 강조색6 75 7" xfId="11210" xr:uid="{00000000-0005-0000-0000-000077140000}"/>
    <cellStyle name="20% - 강조색6 76" xfId="9678" xr:uid="{00000000-0005-0000-0000-000078140000}"/>
    <cellStyle name="20% - 강조색6 76 2" xfId="10087" xr:uid="{00000000-0005-0000-0000-000079140000}"/>
    <cellStyle name="20% - 강조색6 76 3" xfId="10401" xr:uid="{00000000-0005-0000-0000-00007A140000}"/>
    <cellStyle name="20% - 강조색6 76 4" xfId="10711" xr:uid="{00000000-0005-0000-0000-00007B140000}"/>
    <cellStyle name="20% - 강조색6 76 5" xfId="10994" xr:uid="{00000000-0005-0000-0000-00007C140000}"/>
    <cellStyle name="20% - 강조색6 76 6" xfId="1878" xr:uid="{00000000-0005-0000-0000-00007D140000}"/>
    <cellStyle name="20% - 강조색6 77" xfId="9596" xr:uid="{00000000-0005-0000-0000-00007E140000}"/>
    <cellStyle name="20% - 강조색6 77 2" xfId="10400" xr:uid="{00000000-0005-0000-0000-00007F140000}"/>
    <cellStyle name="20% - 강조색6 77 3" xfId="10710" xr:uid="{00000000-0005-0000-0000-000080140000}"/>
    <cellStyle name="20% - 강조색6 77 4" xfId="10993" xr:uid="{00000000-0005-0000-0000-000081140000}"/>
    <cellStyle name="20% - 강조색6 77 5" xfId="3747" xr:uid="{00000000-0005-0000-0000-000082140000}"/>
    <cellStyle name="20% - 강조색6 78" xfId="10292" xr:uid="{00000000-0005-0000-0000-000083140000}"/>
    <cellStyle name="20% - 강조색6 78 2" xfId="10727" xr:uid="{00000000-0005-0000-0000-000084140000}"/>
    <cellStyle name="20% - 강조색6 78 3" xfId="11011" xr:uid="{00000000-0005-0000-0000-000085140000}"/>
    <cellStyle name="20% - 강조색6 78 4" xfId="11288" xr:uid="{00000000-0005-0000-0000-000086140000}"/>
    <cellStyle name="20% - 강조색6 79" xfId="9052" xr:uid="{00000000-0005-0000-0000-000087140000}"/>
    <cellStyle name="20% - 강조색6 79 2" xfId="3883" xr:uid="{00000000-0005-0000-0000-000088140000}"/>
    <cellStyle name="20% - 강조색6 79 3" xfId="11102" xr:uid="{00000000-0005-0000-0000-000089140000}"/>
    <cellStyle name="20% - 강조색6 8" xfId="153" xr:uid="{00000000-0005-0000-0000-00008A140000}"/>
    <cellStyle name="20% - 강조색6 80" xfId="10944" xr:uid="{00000000-0005-0000-0000-00008B140000}"/>
    <cellStyle name="20% - 강조색6 80 2" xfId="11306" xr:uid="{00000000-0005-0000-0000-00008C140000}"/>
    <cellStyle name="20% - 강조색6 81" xfId="9610" xr:uid="{00000000-0005-0000-0000-00008D140000}"/>
    <cellStyle name="20% - 강조색6 82" xfId="559" xr:uid="{00000000-0005-0000-0000-00008E140000}"/>
    <cellStyle name="20% - 강조색6 83" xfId="11423" xr:uid="{00000000-0005-0000-0000-00008F140000}"/>
    <cellStyle name="20% - 강조색6 84" xfId="580" xr:uid="{00000000-0005-0000-0000-000090140000}"/>
    <cellStyle name="20% - 강조색6 85" xfId="11354" xr:uid="{00000000-0005-0000-0000-000091140000}"/>
    <cellStyle name="20% - 강조색6 86" xfId="11448" xr:uid="{00000000-0005-0000-0000-000092140000}"/>
    <cellStyle name="20% - 강조색6 9" xfId="166" xr:uid="{00000000-0005-0000-0000-000093140000}"/>
    <cellStyle name="40% - 강조색1" xfId="22" builtinId="31" customBuiltin="1"/>
    <cellStyle name="40% - 강조색1 10" xfId="168" xr:uid="{00000000-0005-0000-0000-000095140000}"/>
    <cellStyle name="40% - 강조색1 11" xfId="181" xr:uid="{00000000-0005-0000-0000-000096140000}"/>
    <cellStyle name="40% - 강조색1 12" xfId="194" xr:uid="{00000000-0005-0000-0000-000097140000}"/>
    <cellStyle name="40% - 강조색1 13" xfId="207" xr:uid="{00000000-0005-0000-0000-000098140000}"/>
    <cellStyle name="40% - 강조색1 14" xfId="220" xr:uid="{00000000-0005-0000-0000-000099140000}"/>
    <cellStyle name="40% - 강조색1 15" xfId="233" xr:uid="{00000000-0005-0000-0000-00009A140000}"/>
    <cellStyle name="40% - 강조색1 16" xfId="246" xr:uid="{00000000-0005-0000-0000-00009B140000}"/>
    <cellStyle name="40% - 강조색1 17" xfId="259" xr:uid="{00000000-0005-0000-0000-00009C140000}"/>
    <cellStyle name="40% - 강조색1 18" xfId="272" xr:uid="{00000000-0005-0000-0000-00009D140000}"/>
    <cellStyle name="40% - 강조색1 19" xfId="285" xr:uid="{00000000-0005-0000-0000-00009E140000}"/>
    <cellStyle name="40% - 강조색1 2" xfId="47" xr:uid="{00000000-0005-0000-0000-00009F140000}"/>
    <cellStyle name="40% - 강조색1 20" xfId="298" xr:uid="{00000000-0005-0000-0000-0000A0140000}"/>
    <cellStyle name="40% - 강조색1 21" xfId="311" xr:uid="{00000000-0005-0000-0000-0000A1140000}"/>
    <cellStyle name="40% - 강조색1 22" xfId="324" xr:uid="{00000000-0005-0000-0000-0000A2140000}"/>
    <cellStyle name="40% - 강조색1 23" xfId="337" xr:uid="{00000000-0005-0000-0000-0000A3140000}"/>
    <cellStyle name="40% - 강조색1 24" xfId="350" xr:uid="{00000000-0005-0000-0000-0000A4140000}"/>
    <cellStyle name="40% - 강조색1 25" xfId="363" xr:uid="{00000000-0005-0000-0000-0000A5140000}"/>
    <cellStyle name="40% - 강조색1 26" xfId="376" xr:uid="{00000000-0005-0000-0000-0000A6140000}"/>
    <cellStyle name="40% - 강조색1 27" xfId="389" xr:uid="{00000000-0005-0000-0000-0000A7140000}"/>
    <cellStyle name="40% - 강조색1 28" xfId="402" xr:uid="{00000000-0005-0000-0000-0000A8140000}"/>
    <cellStyle name="40% - 강조색1 29" xfId="415" xr:uid="{00000000-0005-0000-0000-0000A9140000}"/>
    <cellStyle name="40% - 강조색1 3" xfId="70" xr:uid="{00000000-0005-0000-0000-0000AA140000}"/>
    <cellStyle name="40% - 강조색1 30" xfId="428" xr:uid="{00000000-0005-0000-0000-0000AB140000}"/>
    <cellStyle name="40% - 강조색1 31" xfId="441" xr:uid="{00000000-0005-0000-0000-0000AC140000}"/>
    <cellStyle name="40% - 강조색1 32" xfId="453" xr:uid="{00000000-0005-0000-0000-0000AD140000}"/>
    <cellStyle name="40% - 강조색1 33" xfId="465" xr:uid="{00000000-0005-0000-0000-0000AE140000}"/>
    <cellStyle name="40% - 강조색1 34" xfId="477" xr:uid="{00000000-0005-0000-0000-0000AF140000}"/>
    <cellStyle name="40% - 강조색1 35" xfId="489" xr:uid="{00000000-0005-0000-0000-0000B0140000}"/>
    <cellStyle name="40% - 강조색1 36" xfId="500" xr:uid="{00000000-0005-0000-0000-0000B1140000}"/>
    <cellStyle name="40% - 강조색1 37" xfId="511" xr:uid="{00000000-0005-0000-0000-0000B2140000}"/>
    <cellStyle name="40% - 강조색1 38" xfId="522" xr:uid="{00000000-0005-0000-0000-0000B3140000}"/>
    <cellStyle name="40% - 강조색1 39" xfId="531" xr:uid="{00000000-0005-0000-0000-0000B4140000}"/>
    <cellStyle name="40% - 강조색1 4" xfId="87" xr:uid="{00000000-0005-0000-0000-0000B5140000}"/>
    <cellStyle name="40% - 강조색1 40" xfId="546" xr:uid="{00000000-0005-0000-0000-0000B6140000}"/>
    <cellStyle name="40% - 강조색1 40 10" xfId="896" xr:uid="{00000000-0005-0000-0000-0000B7140000}"/>
    <cellStyle name="40% - 강조색1 40 11" xfId="2417" xr:uid="{00000000-0005-0000-0000-0000B8140000}"/>
    <cellStyle name="40% - 강조색1 40 12" xfId="4005" xr:uid="{00000000-0005-0000-0000-0000B9140000}"/>
    <cellStyle name="40% - 강조색1 40 13" xfId="4255" xr:uid="{00000000-0005-0000-0000-0000BA140000}"/>
    <cellStyle name="40% - 강조색1 40 14" xfId="2232" xr:uid="{00000000-0005-0000-0000-0000BB140000}"/>
    <cellStyle name="40% - 강조색1 40 15" xfId="5150" xr:uid="{00000000-0005-0000-0000-0000BC140000}"/>
    <cellStyle name="40% - 강조색1 40 16" xfId="5463" xr:uid="{00000000-0005-0000-0000-0000BD140000}"/>
    <cellStyle name="40% - 강조색1 40 17" xfId="5760" xr:uid="{00000000-0005-0000-0000-0000BE140000}"/>
    <cellStyle name="40% - 강조색1 40 18" xfId="5860" xr:uid="{00000000-0005-0000-0000-0000BF140000}"/>
    <cellStyle name="40% - 강조색1 40 19" xfId="4079" xr:uid="{00000000-0005-0000-0000-0000C0140000}"/>
    <cellStyle name="40% - 강조색1 40 2" xfId="594" xr:uid="{00000000-0005-0000-0000-0000C1140000}"/>
    <cellStyle name="40% - 강조색1 40 20" xfId="7220" xr:uid="{00000000-0005-0000-0000-0000C2140000}"/>
    <cellStyle name="40% - 강조색1 40 21" xfId="7296" xr:uid="{00000000-0005-0000-0000-0000C3140000}"/>
    <cellStyle name="40% - 강조색1 40 22" xfId="7586" xr:uid="{00000000-0005-0000-0000-0000C4140000}"/>
    <cellStyle name="40% - 강조색1 40 23" xfId="7927" xr:uid="{00000000-0005-0000-0000-0000C5140000}"/>
    <cellStyle name="40% - 강조색1 40 24" xfId="8624" xr:uid="{00000000-0005-0000-0000-0000C6140000}"/>
    <cellStyle name="40% - 강조색1 40 25" xfId="8882" xr:uid="{00000000-0005-0000-0000-0000C7140000}"/>
    <cellStyle name="40% - 강조색1 40 26" xfId="9346" xr:uid="{00000000-0005-0000-0000-0000C8140000}"/>
    <cellStyle name="40% - 강조색1 40 27" xfId="9433" xr:uid="{00000000-0005-0000-0000-0000C9140000}"/>
    <cellStyle name="40% - 강조색1 40 28" xfId="9420" xr:uid="{00000000-0005-0000-0000-0000CA140000}"/>
    <cellStyle name="40% - 강조색1 40 29" xfId="10220" xr:uid="{00000000-0005-0000-0000-0000CB140000}"/>
    <cellStyle name="40% - 강조색1 40 3" xfId="1005" xr:uid="{00000000-0005-0000-0000-0000CC140000}"/>
    <cellStyle name="40% - 강조색1 40 30" xfId="10572" xr:uid="{00000000-0005-0000-0000-0000CD140000}"/>
    <cellStyle name="40% - 강조색1 40 31" xfId="6101" xr:uid="{00000000-0005-0000-0000-0000CE140000}"/>
    <cellStyle name="40% - 강조색1 40 32" xfId="5125" xr:uid="{00000000-0005-0000-0000-0000CF140000}"/>
    <cellStyle name="40% - 강조색1 40 33" xfId="11316" xr:uid="{00000000-0005-0000-0000-0000D0140000}"/>
    <cellStyle name="40% - 강조색1 40 34" xfId="1107" xr:uid="{00000000-0005-0000-0000-0000D1140000}"/>
    <cellStyle name="40% - 강조색1 40 35" xfId="11362" xr:uid="{00000000-0005-0000-0000-0000D2140000}"/>
    <cellStyle name="40% - 강조색1 40 36" xfId="11388" xr:uid="{00000000-0005-0000-0000-0000D3140000}"/>
    <cellStyle name="40% - 강조색1 40 4" xfId="1269" xr:uid="{00000000-0005-0000-0000-0000D4140000}"/>
    <cellStyle name="40% - 강조색1 40 5" xfId="1656" xr:uid="{00000000-0005-0000-0000-0000D5140000}"/>
    <cellStyle name="40% - 강조색1 40 6" xfId="1623" xr:uid="{00000000-0005-0000-0000-0000D6140000}"/>
    <cellStyle name="40% - 강조색1 40 7" xfId="1970" xr:uid="{00000000-0005-0000-0000-0000D7140000}"/>
    <cellStyle name="40% - 강조색1 40 8" xfId="1863" xr:uid="{00000000-0005-0000-0000-0000D8140000}"/>
    <cellStyle name="40% - 강조색1 40 9" xfId="2749" xr:uid="{00000000-0005-0000-0000-0000D9140000}"/>
    <cellStyle name="40% - 강조색1 41" xfId="670" xr:uid="{00000000-0005-0000-0000-0000DA140000}"/>
    <cellStyle name="40% - 강조색1 41 10" xfId="3277" xr:uid="{00000000-0005-0000-0000-0000DB140000}"/>
    <cellStyle name="40% - 강조색1 41 11" xfId="3670" xr:uid="{00000000-0005-0000-0000-0000DC140000}"/>
    <cellStyle name="40% - 강조색1 41 12" xfId="2249" xr:uid="{00000000-0005-0000-0000-0000DD140000}"/>
    <cellStyle name="40% - 강조색1 41 13" xfId="4348" xr:uid="{00000000-0005-0000-0000-0000DE140000}"/>
    <cellStyle name="40% - 강조색1 41 14" xfId="4561" xr:uid="{00000000-0005-0000-0000-0000DF140000}"/>
    <cellStyle name="40% - 강조색1 41 15" xfId="5185" xr:uid="{00000000-0005-0000-0000-0000E0140000}"/>
    <cellStyle name="40% - 강조색1 41 16" xfId="5461" xr:uid="{00000000-0005-0000-0000-0000E1140000}"/>
    <cellStyle name="40% - 강조색1 41 17" xfId="1403" xr:uid="{00000000-0005-0000-0000-0000E2140000}"/>
    <cellStyle name="40% - 강조색1 41 18" xfId="5000" xr:uid="{00000000-0005-0000-0000-0000E3140000}"/>
    <cellStyle name="40% - 강조색1 41 19" xfId="6317" xr:uid="{00000000-0005-0000-0000-0000E4140000}"/>
    <cellStyle name="40% - 강조색1 41 2" xfId="1173" xr:uid="{00000000-0005-0000-0000-0000E5140000}"/>
    <cellStyle name="40% - 강조색1 41 20" xfId="6718" xr:uid="{00000000-0005-0000-0000-0000E6140000}"/>
    <cellStyle name="40% - 강조색1 41 21" xfId="7283" xr:uid="{00000000-0005-0000-0000-0000E7140000}"/>
    <cellStyle name="40% - 강조색1 41 22" xfId="7644" xr:uid="{00000000-0005-0000-0000-0000E8140000}"/>
    <cellStyle name="40% - 강조색1 41 23" xfId="8153" xr:uid="{00000000-0005-0000-0000-0000E9140000}"/>
    <cellStyle name="40% - 강조색1 41 24" xfId="8308" xr:uid="{00000000-0005-0000-0000-0000EA140000}"/>
    <cellStyle name="40% - 강조색1 41 25" xfId="8842" xr:uid="{00000000-0005-0000-0000-0000EB140000}"/>
    <cellStyle name="40% - 강조색1 41 26" xfId="7545" xr:uid="{00000000-0005-0000-0000-0000EC140000}"/>
    <cellStyle name="40% - 강조색1 41 27" xfId="1849" xr:uid="{00000000-0005-0000-0000-0000ED140000}"/>
    <cellStyle name="40% - 강조색1 41 28" xfId="9962" xr:uid="{00000000-0005-0000-0000-0000EE140000}"/>
    <cellStyle name="40% - 강조색1 41 29" xfId="10280" xr:uid="{00000000-0005-0000-0000-0000EF140000}"/>
    <cellStyle name="40% - 강조색1 41 3" xfId="1253" xr:uid="{00000000-0005-0000-0000-0000F0140000}"/>
    <cellStyle name="40% - 강조색1 41 30" xfId="9782" xr:uid="{00000000-0005-0000-0000-0000F1140000}"/>
    <cellStyle name="40% - 강조색1 41 31" xfId="6300" xr:uid="{00000000-0005-0000-0000-0000F2140000}"/>
    <cellStyle name="40% - 강조색1 41 32" xfId="1531" xr:uid="{00000000-0005-0000-0000-0000F3140000}"/>
    <cellStyle name="40% - 강조색1 41 4" xfId="1345" xr:uid="{00000000-0005-0000-0000-0000F4140000}"/>
    <cellStyle name="40% - 강조색1 41 5" xfId="1689" xr:uid="{00000000-0005-0000-0000-0000F5140000}"/>
    <cellStyle name="40% - 강조색1 41 6" xfId="2044" xr:uid="{00000000-0005-0000-0000-0000F6140000}"/>
    <cellStyle name="40% - 강조색1 41 7" xfId="1566" xr:uid="{00000000-0005-0000-0000-0000F7140000}"/>
    <cellStyle name="40% - 강조색1 41 8" xfId="1433" xr:uid="{00000000-0005-0000-0000-0000F8140000}"/>
    <cellStyle name="40% - 강조색1 41 9" xfId="2748" xr:uid="{00000000-0005-0000-0000-0000F9140000}"/>
    <cellStyle name="40% - 강조색1 42" xfId="616" xr:uid="{00000000-0005-0000-0000-0000FA140000}"/>
    <cellStyle name="40% - 강조색1 42 10" xfId="3211" xr:uid="{00000000-0005-0000-0000-0000FB140000}"/>
    <cellStyle name="40% - 강조색1 42 11" xfId="3560" xr:uid="{00000000-0005-0000-0000-0000FC140000}"/>
    <cellStyle name="40% - 강조색1 42 12" xfId="2540" xr:uid="{00000000-0005-0000-0000-0000FD140000}"/>
    <cellStyle name="40% - 강조색1 42 13" xfId="4260" xr:uid="{00000000-0005-0000-0000-0000FE140000}"/>
    <cellStyle name="40% - 강조색1 42 14" xfId="4480" xr:uid="{00000000-0005-0000-0000-0000FF140000}"/>
    <cellStyle name="40% - 강조색1 42 15" xfId="3225" xr:uid="{00000000-0005-0000-0000-000000150000}"/>
    <cellStyle name="40% - 강조색1 42 16" xfId="5480" xr:uid="{00000000-0005-0000-0000-000001150000}"/>
    <cellStyle name="40% - 강조색1 42 17" xfId="2588" xr:uid="{00000000-0005-0000-0000-000002150000}"/>
    <cellStyle name="40% - 강조색1 42 18" xfId="4840" xr:uid="{00000000-0005-0000-0000-000003150000}"/>
    <cellStyle name="40% - 강조색1 42 19" xfId="6199" xr:uid="{00000000-0005-0000-0000-000004150000}"/>
    <cellStyle name="40% - 강조색1 42 2" xfId="1119" xr:uid="{00000000-0005-0000-0000-000005150000}"/>
    <cellStyle name="40% - 강조색1 42 20" xfId="6149" xr:uid="{00000000-0005-0000-0000-000006150000}"/>
    <cellStyle name="40% - 강조색1 42 21" xfId="7198" xr:uid="{00000000-0005-0000-0000-000007150000}"/>
    <cellStyle name="40% - 강조색1 42 22" xfId="6418" xr:uid="{00000000-0005-0000-0000-000008150000}"/>
    <cellStyle name="40% - 강조색1 42 23" xfId="8184" xr:uid="{00000000-0005-0000-0000-000009150000}"/>
    <cellStyle name="40% - 강조색1 42 24" xfId="8404" xr:uid="{00000000-0005-0000-0000-00000A150000}"/>
    <cellStyle name="40% - 강조색1 42 25" xfId="8981" xr:uid="{00000000-0005-0000-0000-00000B150000}"/>
    <cellStyle name="40% - 강조색1 42 26" xfId="9184" xr:uid="{00000000-0005-0000-0000-00000C150000}"/>
    <cellStyle name="40% - 강조색1 42 27" xfId="6392" xr:uid="{00000000-0005-0000-0000-00000D150000}"/>
    <cellStyle name="40% - 강조색1 42 28" xfId="9842" xr:uid="{00000000-0005-0000-0000-00000E150000}"/>
    <cellStyle name="40% - 강조색1 42 29" xfId="8686" xr:uid="{00000000-0005-0000-0000-00000F150000}"/>
    <cellStyle name="40% - 강조색1 42 3" xfId="1199" xr:uid="{00000000-0005-0000-0000-000010150000}"/>
    <cellStyle name="40% - 강조색1 42 30" xfId="10644" xr:uid="{00000000-0005-0000-0000-000011150000}"/>
    <cellStyle name="40% - 강조색1 42 31" xfId="10887" xr:uid="{00000000-0005-0000-0000-000012150000}"/>
    <cellStyle name="40% - 강조색1 42 32" xfId="10917" xr:uid="{00000000-0005-0000-0000-000013150000}"/>
    <cellStyle name="40% - 강조색1 42 4" xfId="1291" xr:uid="{00000000-0005-0000-0000-000014150000}"/>
    <cellStyle name="40% - 강조색1 42 5" xfId="1749" xr:uid="{00000000-0005-0000-0000-000015150000}"/>
    <cellStyle name="40% - 강조색1 42 6" xfId="714" xr:uid="{00000000-0005-0000-0000-000016150000}"/>
    <cellStyle name="40% - 강조색1 42 7" xfId="2338" xr:uid="{00000000-0005-0000-0000-000017150000}"/>
    <cellStyle name="40% - 강조색1 42 8" xfId="2622" xr:uid="{00000000-0005-0000-0000-000018150000}"/>
    <cellStyle name="40% - 강조색1 42 9" xfId="1858" xr:uid="{00000000-0005-0000-0000-000019150000}"/>
    <cellStyle name="40% - 강조색1 43" xfId="624" xr:uid="{00000000-0005-0000-0000-00001A150000}"/>
    <cellStyle name="40% - 강조색1 43 10" xfId="3076" xr:uid="{00000000-0005-0000-0000-00001B150000}"/>
    <cellStyle name="40% - 강조색1 43 11" xfId="3539" xr:uid="{00000000-0005-0000-0000-00001C150000}"/>
    <cellStyle name="40% - 강조색1 43 12" xfId="3987" xr:uid="{00000000-0005-0000-0000-00001D150000}"/>
    <cellStyle name="40% - 강조색1 43 13" xfId="4309" xr:uid="{00000000-0005-0000-0000-00001E150000}"/>
    <cellStyle name="40% - 강조색1 43 14" xfId="4210" xr:uid="{00000000-0005-0000-0000-00001F150000}"/>
    <cellStyle name="40% - 강조색1 43 15" xfId="4730" xr:uid="{00000000-0005-0000-0000-000020150000}"/>
    <cellStyle name="40% - 강조색1 43 16" xfId="3775" xr:uid="{00000000-0005-0000-0000-000021150000}"/>
    <cellStyle name="40% - 강조색1 43 17" xfId="4962" xr:uid="{00000000-0005-0000-0000-000022150000}"/>
    <cellStyle name="40% - 강조색1 43 18" xfId="5249" xr:uid="{00000000-0005-0000-0000-000023150000}"/>
    <cellStyle name="40% - 강조색1 43 19" xfId="6560" xr:uid="{00000000-0005-0000-0000-000024150000}"/>
    <cellStyle name="40% - 강조색1 43 2" xfId="1127" xr:uid="{00000000-0005-0000-0000-000025150000}"/>
    <cellStyle name="40% - 강조색1 43 20" xfId="6819" xr:uid="{00000000-0005-0000-0000-000026150000}"/>
    <cellStyle name="40% - 강조색1 43 21" xfId="6217" xr:uid="{00000000-0005-0000-0000-000027150000}"/>
    <cellStyle name="40% - 강조색1 43 22" xfId="7829" xr:uid="{00000000-0005-0000-0000-000028150000}"/>
    <cellStyle name="40% - 강조색1 43 23" xfId="7662" xr:uid="{00000000-0005-0000-0000-000029150000}"/>
    <cellStyle name="40% - 강조색1 43 24" xfId="6185" xr:uid="{00000000-0005-0000-0000-00002A150000}"/>
    <cellStyle name="40% - 강조색1 43 25" xfId="8893" xr:uid="{00000000-0005-0000-0000-00002B150000}"/>
    <cellStyle name="40% - 강조색1 43 26" xfId="9093" xr:uid="{00000000-0005-0000-0000-00002C150000}"/>
    <cellStyle name="40% - 강조색1 43 27" xfId="8180" xr:uid="{00000000-0005-0000-0000-00002D150000}"/>
    <cellStyle name="40% - 강조색1 43 28" xfId="7443" xr:uid="{00000000-0005-0000-0000-00002E150000}"/>
    <cellStyle name="40% - 강조색1 43 29" xfId="7762" xr:uid="{00000000-0005-0000-0000-00002F150000}"/>
    <cellStyle name="40% - 강조색1 43 3" xfId="1207" xr:uid="{00000000-0005-0000-0000-000030150000}"/>
    <cellStyle name="40% - 강조색1 43 30" xfId="10500" xr:uid="{00000000-0005-0000-0000-000031150000}"/>
    <cellStyle name="40% - 강조색1 43 31" xfId="4846" xr:uid="{00000000-0005-0000-0000-000032150000}"/>
    <cellStyle name="40% - 강조색1 43 32" xfId="9519" xr:uid="{00000000-0005-0000-0000-000033150000}"/>
    <cellStyle name="40% - 강조색1 43 4" xfId="1299" xr:uid="{00000000-0005-0000-0000-000034150000}"/>
    <cellStyle name="40% - 강조색1 43 5" xfId="1721" xr:uid="{00000000-0005-0000-0000-000035150000}"/>
    <cellStyle name="40% - 강조색1 43 6" xfId="1364" xr:uid="{00000000-0005-0000-0000-000036150000}"/>
    <cellStyle name="40% - 강조색1 43 7" xfId="2255" xr:uid="{00000000-0005-0000-0000-000037150000}"/>
    <cellStyle name="40% - 강조색1 43 8" xfId="1439" xr:uid="{00000000-0005-0000-0000-000038150000}"/>
    <cellStyle name="40% - 강조색1 43 9" xfId="1915" xr:uid="{00000000-0005-0000-0000-000039150000}"/>
    <cellStyle name="40% - 강조색1 44" xfId="632" xr:uid="{00000000-0005-0000-0000-00003A150000}"/>
    <cellStyle name="40% - 강조색1 44 10" xfId="2403" xr:uid="{00000000-0005-0000-0000-00003B150000}"/>
    <cellStyle name="40% - 강조색1 44 11" xfId="3653" xr:uid="{00000000-0005-0000-0000-00003C150000}"/>
    <cellStyle name="40% - 강조색1 44 12" xfId="3416" xr:uid="{00000000-0005-0000-0000-00003D150000}"/>
    <cellStyle name="40% - 강조색1 44 13" xfId="4364" xr:uid="{00000000-0005-0000-0000-00003E150000}"/>
    <cellStyle name="40% - 강조색1 44 14" xfId="1586" xr:uid="{00000000-0005-0000-0000-00003F150000}"/>
    <cellStyle name="40% - 강조색1 44 15" xfId="5488" xr:uid="{00000000-0005-0000-0000-000040150000}"/>
    <cellStyle name="40% - 강조색1 44 16" xfId="5674" xr:uid="{00000000-0005-0000-0000-000041150000}"/>
    <cellStyle name="40% - 강조색1 44 17" xfId="5771" xr:uid="{00000000-0005-0000-0000-000042150000}"/>
    <cellStyle name="40% - 강조색1 44 18" xfId="5866" xr:uid="{00000000-0005-0000-0000-000043150000}"/>
    <cellStyle name="40% - 강조색1 44 19" xfId="6031" xr:uid="{00000000-0005-0000-0000-000044150000}"/>
    <cellStyle name="40% - 강조색1 44 2" xfId="1135" xr:uid="{00000000-0005-0000-0000-000045150000}"/>
    <cellStyle name="40% - 강조색1 44 20" xfId="7221" xr:uid="{00000000-0005-0000-0000-000046150000}"/>
    <cellStyle name="40% - 강조색1 44 21" xfId="7134" xr:uid="{00000000-0005-0000-0000-000047150000}"/>
    <cellStyle name="40% - 강조색1 44 22" xfId="7414" xr:uid="{00000000-0005-0000-0000-000048150000}"/>
    <cellStyle name="40% - 강조색1 44 23" xfId="3547" xr:uid="{00000000-0005-0000-0000-000049150000}"/>
    <cellStyle name="40% - 강조색1 44 24" xfId="6801" xr:uid="{00000000-0005-0000-0000-00004A150000}"/>
    <cellStyle name="40% - 강조색1 44 25" xfId="6753" xr:uid="{00000000-0005-0000-0000-00004B150000}"/>
    <cellStyle name="40% - 강조색1 44 26" xfId="2995" xr:uid="{00000000-0005-0000-0000-00004C150000}"/>
    <cellStyle name="40% - 강조색1 44 27" xfId="9513" xr:uid="{00000000-0005-0000-0000-00004D150000}"/>
    <cellStyle name="40% - 강조색1 44 28" xfId="2484" xr:uid="{00000000-0005-0000-0000-00004E150000}"/>
    <cellStyle name="40% - 강조색1 44 29" xfId="10165" xr:uid="{00000000-0005-0000-0000-00004F150000}"/>
    <cellStyle name="40% - 강조색1 44 3" xfId="1215" xr:uid="{00000000-0005-0000-0000-000050150000}"/>
    <cellStyle name="40% - 강조색1 44 30" xfId="10584" xr:uid="{00000000-0005-0000-0000-000051150000}"/>
    <cellStyle name="40% - 강조색1 44 31" xfId="10761" xr:uid="{00000000-0005-0000-0000-000052150000}"/>
    <cellStyle name="40% - 강조색1 44 32" xfId="11036" xr:uid="{00000000-0005-0000-0000-000053150000}"/>
    <cellStyle name="40% - 강조색1 44 4" xfId="1307" xr:uid="{00000000-0005-0000-0000-000054150000}"/>
    <cellStyle name="40% - 강조색1 44 5" xfId="1693" xr:uid="{00000000-0005-0000-0000-000055150000}"/>
    <cellStyle name="40% - 강조색1 44 6" xfId="2007" xr:uid="{00000000-0005-0000-0000-000056150000}"/>
    <cellStyle name="40% - 강조색1 44 7" xfId="762" xr:uid="{00000000-0005-0000-0000-000057150000}"/>
    <cellStyle name="40% - 강조색1 44 8" xfId="2609" xr:uid="{00000000-0005-0000-0000-000058150000}"/>
    <cellStyle name="40% - 강조색1 44 9" xfId="2918" xr:uid="{00000000-0005-0000-0000-000059150000}"/>
    <cellStyle name="40% - 강조색1 45" xfId="661" xr:uid="{00000000-0005-0000-0000-00005A150000}"/>
    <cellStyle name="40% - 강조색1 45 10" xfId="3131" xr:uid="{00000000-0005-0000-0000-00005B150000}"/>
    <cellStyle name="40% - 강조색1 45 11" xfId="3458" xr:uid="{00000000-0005-0000-0000-00005C150000}"/>
    <cellStyle name="40% - 강조색1 45 12" xfId="3976" xr:uid="{00000000-0005-0000-0000-00005D150000}"/>
    <cellStyle name="40% - 강조색1 45 13" xfId="4186" xr:uid="{00000000-0005-0000-0000-00005E150000}"/>
    <cellStyle name="40% - 강조색1 45 14" xfId="3482" xr:uid="{00000000-0005-0000-0000-00005F150000}"/>
    <cellStyle name="40% - 강조색1 45 15" xfId="4868" xr:uid="{00000000-0005-0000-0000-000060150000}"/>
    <cellStyle name="40% - 강조색1 45 16" xfId="4284" xr:uid="{00000000-0005-0000-0000-000061150000}"/>
    <cellStyle name="40% - 강조색1 45 17" xfId="5232" xr:uid="{00000000-0005-0000-0000-000062150000}"/>
    <cellStyle name="40% - 강조색1 45 18" xfId="5647" xr:uid="{00000000-0005-0000-0000-000063150000}"/>
    <cellStyle name="40% - 강조색1 45 19" xfId="6315" xr:uid="{00000000-0005-0000-0000-000064150000}"/>
    <cellStyle name="40% - 강조색1 45 2" xfId="1164" xr:uid="{00000000-0005-0000-0000-000065150000}"/>
    <cellStyle name="40% - 강조색1 45 20" xfId="1409" xr:uid="{00000000-0005-0000-0000-000066150000}"/>
    <cellStyle name="40% - 강조색1 45 21" xfId="7061" xr:uid="{00000000-0005-0000-0000-000067150000}"/>
    <cellStyle name="40% - 강조색1 45 22" xfId="7409" xr:uid="{00000000-0005-0000-0000-000068150000}"/>
    <cellStyle name="40% - 강조색1 45 23" xfId="8067" xr:uid="{00000000-0005-0000-0000-000069150000}"/>
    <cellStyle name="40% - 강조색1 45 24" xfId="6379" xr:uid="{00000000-0005-0000-0000-00006A150000}"/>
    <cellStyle name="40% - 강조색1 45 25" xfId="8969" xr:uid="{00000000-0005-0000-0000-00006B150000}"/>
    <cellStyle name="40% - 강조색1 45 26" xfId="7405" xr:uid="{00000000-0005-0000-0000-00006C150000}"/>
    <cellStyle name="40% - 강조색1 45 27" xfId="9709" xr:uid="{00000000-0005-0000-0000-00006D150000}"/>
    <cellStyle name="40% - 강조색1 45 28" xfId="9562" xr:uid="{00000000-0005-0000-0000-00006E150000}"/>
    <cellStyle name="40% - 강조색1 45 29" xfId="7629" xr:uid="{00000000-0005-0000-0000-00006F150000}"/>
    <cellStyle name="40% - 강조색1 45 3" xfId="1244" xr:uid="{00000000-0005-0000-0000-000070150000}"/>
    <cellStyle name="40% - 강조색1 45 30" xfId="2164" xr:uid="{00000000-0005-0000-0000-000071150000}"/>
    <cellStyle name="40% - 강조색1 45 31" xfId="10769" xr:uid="{00000000-0005-0000-0000-000072150000}"/>
    <cellStyle name="40% - 강조색1 45 32" xfId="11105" xr:uid="{00000000-0005-0000-0000-000073150000}"/>
    <cellStyle name="40% - 강조색1 45 4" xfId="1336" xr:uid="{00000000-0005-0000-0000-000074150000}"/>
    <cellStyle name="40% - 강조색1 45 5" xfId="1703" xr:uid="{00000000-0005-0000-0000-000075150000}"/>
    <cellStyle name="40% - 강조색1 45 6" xfId="703" xr:uid="{00000000-0005-0000-0000-000076150000}"/>
    <cellStyle name="40% - 강조색1 45 7" xfId="757" xr:uid="{00000000-0005-0000-0000-000077150000}"/>
    <cellStyle name="40% - 강조색1 45 8" xfId="1512" xr:uid="{00000000-0005-0000-0000-000078150000}"/>
    <cellStyle name="40% - 강조색1 45 9" xfId="2775" xr:uid="{00000000-0005-0000-0000-000079150000}"/>
    <cellStyle name="40% - 강조색1 46" xfId="623" xr:uid="{00000000-0005-0000-0000-00007A150000}"/>
    <cellStyle name="40% - 강조색1 46 10" xfId="3325" xr:uid="{00000000-0005-0000-0000-00007B150000}"/>
    <cellStyle name="40% - 강조색1 46 11" xfId="3430" xr:uid="{00000000-0005-0000-0000-00007C150000}"/>
    <cellStyle name="40% - 강조색1 46 12" xfId="4040" xr:uid="{00000000-0005-0000-0000-00007D150000}"/>
    <cellStyle name="40% - 강조색1 46 13" xfId="4291" xr:uid="{00000000-0005-0000-0000-00007E150000}"/>
    <cellStyle name="40% - 강조색1 46 14" xfId="4709" xr:uid="{00000000-0005-0000-0000-00007F150000}"/>
    <cellStyle name="40% - 강조색1 46 15" xfId="5561" xr:uid="{00000000-0005-0000-0000-000080150000}"/>
    <cellStyle name="40% - 강조색1 46 16" xfId="5628" xr:uid="{00000000-0005-0000-0000-000081150000}"/>
    <cellStyle name="40% - 강조색1 46 17" xfId="4742" xr:uid="{00000000-0005-0000-0000-000082150000}"/>
    <cellStyle name="40% - 강조색1 46 18" xfId="1957" xr:uid="{00000000-0005-0000-0000-000083150000}"/>
    <cellStyle name="40% - 강조색1 46 19" xfId="6455" xr:uid="{00000000-0005-0000-0000-000084150000}"/>
    <cellStyle name="40% - 강조색1 46 2" xfId="1126" xr:uid="{00000000-0005-0000-0000-000085150000}"/>
    <cellStyle name="40% - 강조색1 46 20" xfId="5322" xr:uid="{00000000-0005-0000-0000-000086150000}"/>
    <cellStyle name="40% - 강조색1 46 21" xfId="7208" xr:uid="{00000000-0005-0000-0000-000087150000}"/>
    <cellStyle name="40% - 강조색1 46 22" xfId="7617" xr:uid="{00000000-0005-0000-0000-000088150000}"/>
    <cellStyle name="40% - 강조색1 46 23" xfId="5032" xr:uid="{00000000-0005-0000-0000-000089150000}"/>
    <cellStyle name="40% - 강조색1 46 24" xfId="6291" xr:uid="{00000000-0005-0000-0000-00008A150000}"/>
    <cellStyle name="40% - 강조색1 46 25" xfId="8867" xr:uid="{00000000-0005-0000-0000-00008B150000}"/>
    <cellStyle name="40% - 강조색1 46 26" xfId="9200" xr:uid="{00000000-0005-0000-0000-00008C150000}"/>
    <cellStyle name="40% - 강조색1 46 27" xfId="9558" xr:uid="{00000000-0005-0000-0000-00008D150000}"/>
    <cellStyle name="40% - 강조색1 46 28" xfId="8854" xr:uid="{00000000-0005-0000-0000-00008E150000}"/>
    <cellStyle name="40% - 강조색1 46 29" xfId="10197" xr:uid="{00000000-0005-0000-0000-00008F150000}"/>
    <cellStyle name="40% - 강조색1 46 3" xfId="1206" xr:uid="{00000000-0005-0000-0000-000090150000}"/>
    <cellStyle name="40% - 강조색1 46 30" xfId="10566" xr:uid="{00000000-0005-0000-0000-000091150000}"/>
    <cellStyle name="40% - 강조색1 46 31" xfId="3816" xr:uid="{00000000-0005-0000-0000-000092150000}"/>
    <cellStyle name="40% - 강조색1 46 32" xfId="9618" xr:uid="{00000000-0005-0000-0000-000093150000}"/>
    <cellStyle name="40% - 강조색1 46 4" xfId="1298" xr:uid="{00000000-0005-0000-0000-000094150000}"/>
    <cellStyle name="40% - 강조색1 46 5" xfId="1762" xr:uid="{00000000-0005-0000-0000-000095150000}"/>
    <cellStyle name="40% - 강조색1 46 6" xfId="811" xr:uid="{00000000-0005-0000-0000-000096150000}"/>
    <cellStyle name="40% - 강조색1 46 7" xfId="743" xr:uid="{00000000-0005-0000-0000-000097150000}"/>
    <cellStyle name="40% - 강조색1 46 8" xfId="2640" xr:uid="{00000000-0005-0000-0000-000098150000}"/>
    <cellStyle name="40% - 강조색1 46 9" xfId="2979" xr:uid="{00000000-0005-0000-0000-000099150000}"/>
    <cellStyle name="40% - 강조색1 47" xfId="563" xr:uid="{00000000-0005-0000-0000-00009A150000}"/>
    <cellStyle name="40% - 강조색1 47 10" xfId="4111" xr:uid="{00000000-0005-0000-0000-00009B150000}"/>
    <cellStyle name="40% - 강조색1 47 11" xfId="3137" xr:uid="{00000000-0005-0000-0000-00009C150000}"/>
    <cellStyle name="40% - 강조색1 47 12" xfId="2740" xr:uid="{00000000-0005-0000-0000-00009D150000}"/>
    <cellStyle name="40% - 강조색1 47 13" xfId="3271" xr:uid="{00000000-0005-0000-0000-00009E150000}"/>
    <cellStyle name="40% - 강조색1 47 14" xfId="5667" xr:uid="{00000000-0005-0000-0000-00009F150000}"/>
    <cellStyle name="40% - 강조색1 47 15" xfId="3387" xr:uid="{00000000-0005-0000-0000-0000A0150000}"/>
    <cellStyle name="40% - 강조색1 47 16" xfId="6378" xr:uid="{00000000-0005-0000-0000-0000A1150000}"/>
    <cellStyle name="40% - 강조색1 47 17" xfId="6884" xr:uid="{00000000-0005-0000-0000-0000A2150000}"/>
    <cellStyle name="40% - 강조색1 47 18" xfId="2116" xr:uid="{00000000-0005-0000-0000-0000A3150000}"/>
    <cellStyle name="40% - 강조색1 47 19" xfId="7649" xr:uid="{00000000-0005-0000-0000-0000A4150000}"/>
    <cellStyle name="40% - 강조색1 47 2" xfId="1053" xr:uid="{00000000-0005-0000-0000-0000A5150000}"/>
    <cellStyle name="40% - 강조색1 47 20" xfId="8143" xr:uid="{00000000-0005-0000-0000-0000A6150000}"/>
    <cellStyle name="40% - 강조색1 47 21" xfId="4190" xr:uid="{00000000-0005-0000-0000-0000A7150000}"/>
    <cellStyle name="40% - 강조색1 47 22" xfId="2760" xr:uid="{00000000-0005-0000-0000-0000A8150000}"/>
    <cellStyle name="40% - 강조색1 47 23" xfId="9080" xr:uid="{00000000-0005-0000-0000-0000A9150000}"/>
    <cellStyle name="40% - 강조색1 47 24" xfId="688" xr:uid="{00000000-0005-0000-0000-0000AA150000}"/>
    <cellStyle name="40% - 강조색1 47 25" xfId="8857" xr:uid="{00000000-0005-0000-0000-0000AB150000}"/>
    <cellStyle name="40% - 강조색1 47 26" xfId="1374" xr:uid="{00000000-0005-0000-0000-0000AC150000}"/>
    <cellStyle name="40% - 강조색1 47 27" xfId="9554" xr:uid="{00000000-0005-0000-0000-0000AD150000}"/>
    <cellStyle name="40% - 강조색1 47 28" xfId="10767" xr:uid="{00000000-0005-0000-0000-0000AE150000}"/>
    <cellStyle name="40% - 강조색1 47 29" xfId="11146" xr:uid="{00000000-0005-0000-0000-0000AF150000}"/>
    <cellStyle name="40% - 강조색1 47 3" xfId="2073" xr:uid="{00000000-0005-0000-0000-0000B0150000}"/>
    <cellStyle name="40% - 강조색1 47 30" xfId="11330" xr:uid="{00000000-0005-0000-0000-0000B1150000}"/>
    <cellStyle name="40% - 강조색1 47 31" xfId="11408" xr:uid="{00000000-0005-0000-0000-0000B2150000}"/>
    <cellStyle name="40% - 강조색1 47 32" xfId="11414" xr:uid="{00000000-0005-0000-0000-0000B3150000}"/>
    <cellStyle name="40% - 강조색1 47 33" xfId="11395" xr:uid="{00000000-0005-0000-0000-0000B4150000}"/>
    <cellStyle name="40% - 강조색1 47 4" xfId="687" xr:uid="{00000000-0005-0000-0000-0000B5150000}"/>
    <cellStyle name="40% - 강조색1 47 5" xfId="2426" xr:uid="{00000000-0005-0000-0000-0000B6150000}"/>
    <cellStyle name="40% - 강조색1 47 6" xfId="893" xr:uid="{00000000-0005-0000-0000-0000B7150000}"/>
    <cellStyle name="40% - 강조색1 47 7" xfId="1463" xr:uid="{00000000-0005-0000-0000-0000B8150000}"/>
    <cellStyle name="40% - 강조색1 47 8" xfId="3083" xr:uid="{00000000-0005-0000-0000-0000B9150000}"/>
    <cellStyle name="40% - 강조색1 47 9" xfId="3877" xr:uid="{00000000-0005-0000-0000-0000BA150000}"/>
    <cellStyle name="40% - 강조색1 48" xfId="1019" xr:uid="{00000000-0005-0000-0000-0000BB150000}"/>
    <cellStyle name="40% - 강조색1 48 10" xfId="4212" xr:uid="{00000000-0005-0000-0000-0000BC150000}"/>
    <cellStyle name="40% - 강조색1 48 11" xfId="2908" xr:uid="{00000000-0005-0000-0000-0000BD150000}"/>
    <cellStyle name="40% - 강조색1 48 12" xfId="2664" xr:uid="{00000000-0005-0000-0000-0000BE150000}"/>
    <cellStyle name="40% - 강조색1 48 13" xfId="5831" xr:uid="{00000000-0005-0000-0000-0000BF150000}"/>
    <cellStyle name="40% - 강조색1 48 14" xfId="5909" xr:uid="{00000000-0005-0000-0000-0000C0150000}"/>
    <cellStyle name="40% - 강조색1 48 15" xfId="5966" xr:uid="{00000000-0005-0000-0000-0000C1150000}"/>
    <cellStyle name="40% - 강조색1 48 16" xfId="6617" xr:uid="{00000000-0005-0000-0000-0000C2150000}"/>
    <cellStyle name="40% - 강조색1 48 17" xfId="6196" xr:uid="{00000000-0005-0000-0000-0000C3150000}"/>
    <cellStyle name="40% - 강조색1 48 18" xfId="7107" xr:uid="{00000000-0005-0000-0000-0000C4150000}"/>
    <cellStyle name="40% - 강조색1 48 19" xfId="5612" xr:uid="{00000000-0005-0000-0000-0000C5150000}"/>
    <cellStyle name="40% - 강조색1 48 2" xfId="1670" xr:uid="{00000000-0005-0000-0000-0000C6150000}"/>
    <cellStyle name="40% - 강조색1 48 20" xfId="4529" xr:uid="{00000000-0005-0000-0000-0000C7150000}"/>
    <cellStyle name="40% - 강조색1 48 21" xfId="8482" xr:uid="{00000000-0005-0000-0000-0000C8150000}"/>
    <cellStyle name="40% - 강조색1 48 22" xfId="3875" xr:uid="{00000000-0005-0000-0000-0000C9150000}"/>
    <cellStyle name="40% - 강조색1 48 23" xfId="9187" xr:uid="{00000000-0005-0000-0000-0000CA150000}"/>
    <cellStyle name="40% - 강조색1 48 24" xfId="2236" xr:uid="{00000000-0005-0000-0000-0000CB150000}"/>
    <cellStyle name="40% - 강조색1 48 25" xfId="9954" xr:uid="{00000000-0005-0000-0000-0000CC150000}"/>
    <cellStyle name="40% - 강조색1 48 26" xfId="10323" xr:uid="{00000000-0005-0000-0000-0000CD150000}"/>
    <cellStyle name="40% - 강조색1 48 27" xfId="10439" xr:uid="{00000000-0005-0000-0000-0000CE150000}"/>
    <cellStyle name="40% - 강조색1 48 28" xfId="10820" xr:uid="{00000000-0005-0000-0000-0000CF150000}"/>
    <cellStyle name="40% - 강조색1 48 29" xfId="11130" xr:uid="{00000000-0005-0000-0000-0000D0150000}"/>
    <cellStyle name="40% - 강조색1 48 3" xfId="822" xr:uid="{00000000-0005-0000-0000-0000D1150000}"/>
    <cellStyle name="40% - 강조색1 48 4" xfId="2324" xr:uid="{00000000-0005-0000-0000-0000D2150000}"/>
    <cellStyle name="40% - 강조색1 48 5" xfId="2666" xr:uid="{00000000-0005-0000-0000-0000D3150000}"/>
    <cellStyle name="40% - 강조색1 48 6" xfId="2978" xr:uid="{00000000-0005-0000-0000-0000D4150000}"/>
    <cellStyle name="40% - 강조색1 48 7" xfId="1576" xr:uid="{00000000-0005-0000-0000-0000D5150000}"/>
    <cellStyle name="40% - 강조색1 48 8" xfId="3592" xr:uid="{00000000-0005-0000-0000-0000D6150000}"/>
    <cellStyle name="40% - 강조색1 48 9" xfId="3189" xr:uid="{00000000-0005-0000-0000-0000D7150000}"/>
    <cellStyle name="40% - 강조색1 49" xfId="1055" xr:uid="{00000000-0005-0000-0000-0000D8150000}"/>
    <cellStyle name="40% - 강조색1 49 10" xfId="4272" xr:uid="{00000000-0005-0000-0000-0000D9150000}"/>
    <cellStyle name="40% - 강조색1 49 11" xfId="3535" xr:uid="{00000000-0005-0000-0000-0000DA150000}"/>
    <cellStyle name="40% - 강조색1 49 12" xfId="5536" xr:uid="{00000000-0005-0000-0000-0000DB150000}"/>
    <cellStyle name="40% - 강조색1 49 13" xfId="5718" xr:uid="{00000000-0005-0000-0000-0000DC150000}"/>
    <cellStyle name="40% - 강조색1 49 14" xfId="5053" xr:uid="{00000000-0005-0000-0000-0000DD150000}"/>
    <cellStyle name="40% - 강조색1 49 15" xfId="5216" xr:uid="{00000000-0005-0000-0000-0000DE150000}"/>
    <cellStyle name="40% - 강조색1 49 16" xfId="6461" xr:uid="{00000000-0005-0000-0000-0000DF150000}"/>
    <cellStyle name="40% - 강조색1 49 17" xfId="3917" xr:uid="{00000000-0005-0000-0000-0000E0150000}"/>
    <cellStyle name="40% - 강조색1 49 18" xfId="7335" xr:uid="{00000000-0005-0000-0000-0000E1150000}"/>
    <cellStyle name="40% - 강조색1 49 19" xfId="1941" xr:uid="{00000000-0005-0000-0000-0000E2150000}"/>
    <cellStyle name="40% - 강조색1 49 2" xfId="1731" xr:uid="{00000000-0005-0000-0000-0000E3150000}"/>
    <cellStyle name="40% - 강조색1 49 20" xfId="7992" xr:uid="{00000000-0005-0000-0000-0000E4150000}"/>
    <cellStyle name="40% - 강조색1 49 21" xfId="8532" xr:uid="{00000000-0005-0000-0000-0000E5150000}"/>
    <cellStyle name="40% - 강조색1 49 22" xfId="8768" xr:uid="{00000000-0005-0000-0000-0000E6150000}"/>
    <cellStyle name="40% - 강조색1 49 23" xfId="9212" xr:uid="{00000000-0005-0000-0000-0000E7150000}"/>
    <cellStyle name="40% - 강조색1 49 24" xfId="9667" xr:uid="{00000000-0005-0000-0000-0000E8150000}"/>
    <cellStyle name="40% - 강조색1 49 25" xfId="9894" xr:uid="{00000000-0005-0000-0000-0000E9150000}"/>
    <cellStyle name="40% - 강조색1 49 26" xfId="9526" xr:uid="{00000000-0005-0000-0000-0000EA150000}"/>
    <cellStyle name="40% - 강조색1 49 27" xfId="7798" xr:uid="{00000000-0005-0000-0000-0000EB150000}"/>
    <cellStyle name="40% - 강조색1 49 28" xfId="10934" xr:uid="{00000000-0005-0000-0000-0000EC150000}"/>
    <cellStyle name="40% - 강조색1 49 29" xfId="11060" xr:uid="{00000000-0005-0000-0000-0000ED150000}"/>
    <cellStyle name="40% - 강조색1 49 3" xfId="2023" xr:uid="{00000000-0005-0000-0000-0000EE150000}"/>
    <cellStyle name="40% - 강조색1 49 4" xfId="2263" xr:uid="{00000000-0005-0000-0000-0000EF150000}"/>
    <cellStyle name="40% - 강조색1 49 5" xfId="769" xr:uid="{00000000-0005-0000-0000-0000F0150000}"/>
    <cellStyle name="40% - 강조색1 49 6" xfId="2897" xr:uid="{00000000-0005-0000-0000-0000F1150000}"/>
    <cellStyle name="40% - 강조색1 49 7" xfId="3199" xr:uid="{00000000-0005-0000-0000-0000F2150000}"/>
    <cellStyle name="40% - 강조색1 49 8" xfId="2728" xr:uid="{00000000-0005-0000-0000-0000F3150000}"/>
    <cellStyle name="40% - 강조색1 49 9" xfId="3773" xr:uid="{00000000-0005-0000-0000-0000F4150000}"/>
    <cellStyle name="40% - 강조색1 5" xfId="103" xr:uid="{00000000-0005-0000-0000-0000F5150000}"/>
    <cellStyle name="40% - 강조색1 50" xfId="1068" xr:uid="{00000000-0005-0000-0000-0000F6150000}"/>
    <cellStyle name="40% - 강조색1 50 10" xfId="4320" xr:uid="{00000000-0005-0000-0000-0000F7150000}"/>
    <cellStyle name="40% - 강조색1 50 11" xfId="4720" xr:uid="{00000000-0005-0000-0000-0000F8150000}"/>
    <cellStyle name="40% - 강조색1 50 12" xfId="5492" xr:uid="{00000000-0005-0000-0000-0000F9150000}"/>
    <cellStyle name="40% - 강조색1 50 13" xfId="4985" xr:uid="{00000000-0005-0000-0000-0000FA150000}"/>
    <cellStyle name="40% - 강조색1 50 14" xfId="4456" xr:uid="{00000000-0005-0000-0000-0000FB150000}"/>
    <cellStyle name="40% - 강조색1 50 15" xfId="5633" xr:uid="{00000000-0005-0000-0000-0000FC150000}"/>
    <cellStyle name="40% - 강조색1 50 16" xfId="4145" xr:uid="{00000000-0005-0000-0000-0000FD150000}"/>
    <cellStyle name="40% - 강조색1 50 17" xfId="3897" xr:uid="{00000000-0005-0000-0000-0000FE150000}"/>
    <cellStyle name="40% - 강조색1 50 18" xfId="2130" xr:uid="{00000000-0005-0000-0000-0000FF150000}"/>
    <cellStyle name="40% - 강조색1 50 19" xfId="7785" xr:uid="{00000000-0005-0000-0000-000000160000}"/>
    <cellStyle name="40% - 강조색1 50 2" xfId="1752" xr:uid="{00000000-0005-0000-0000-000001160000}"/>
    <cellStyle name="40% - 강조색1 50 20" xfId="3150" xr:uid="{00000000-0005-0000-0000-000002160000}"/>
    <cellStyle name="40% - 강조색1 50 21" xfId="8377" xr:uid="{00000000-0005-0000-0000-000003160000}"/>
    <cellStyle name="40% - 강조색1 50 22" xfId="8791" xr:uid="{00000000-0005-0000-0000-000004160000}"/>
    <cellStyle name="40% - 강조색1 50 23" xfId="6169" xr:uid="{00000000-0005-0000-0000-000005160000}"/>
    <cellStyle name="40% - 강조색1 50 24" xfId="1524" xr:uid="{00000000-0005-0000-0000-000006160000}"/>
    <cellStyle name="40% - 강조색1 50 25" xfId="10033" xr:uid="{00000000-0005-0000-0000-000007160000}"/>
    <cellStyle name="40% - 강조색1 50 26" xfId="2168" xr:uid="{00000000-0005-0000-0000-000008160000}"/>
    <cellStyle name="40% - 강조색1 50 27" xfId="10557" xr:uid="{00000000-0005-0000-0000-000009160000}"/>
    <cellStyle name="40% - 강조색1 50 28" xfId="10492" xr:uid="{00000000-0005-0000-0000-00000A160000}"/>
    <cellStyle name="40% - 강조색1 50 29" xfId="11182" xr:uid="{00000000-0005-0000-0000-00000B160000}"/>
    <cellStyle name="40% - 강조색1 50 3" xfId="944" xr:uid="{00000000-0005-0000-0000-00000C160000}"/>
    <cellStyle name="40% - 강조색1 50 4" xfId="2317" xr:uid="{00000000-0005-0000-0000-00000D160000}"/>
    <cellStyle name="40% - 강조색1 50 5" xfId="2641" xr:uid="{00000000-0005-0000-0000-00000E160000}"/>
    <cellStyle name="40% - 강조색1 50 6" xfId="2998" xr:uid="{00000000-0005-0000-0000-00000F160000}"/>
    <cellStyle name="40% - 강조색1 50 7" xfId="969" xr:uid="{00000000-0005-0000-0000-000010160000}"/>
    <cellStyle name="40% - 강조색1 50 8" xfId="3468" xr:uid="{00000000-0005-0000-0000-000011160000}"/>
    <cellStyle name="40% - 강조색1 50 9" xfId="3878" xr:uid="{00000000-0005-0000-0000-000012160000}"/>
    <cellStyle name="40% - 강조색1 51" xfId="1093" xr:uid="{00000000-0005-0000-0000-000013160000}"/>
    <cellStyle name="40% - 강조색1 51 10" xfId="3045" xr:uid="{00000000-0005-0000-0000-000014160000}"/>
    <cellStyle name="40% - 강조색1 51 11" xfId="4420" xr:uid="{00000000-0005-0000-0000-000015160000}"/>
    <cellStyle name="40% - 강조색1 51 12" xfId="5094" xr:uid="{00000000-0005-0000-0000-000016160000}"/>
    <cellStyle name="40% - 강조색1 51 13" xfId="3831" xr:uid="{00000000-0005-0000-0000-000017160000}"/>
    <cellStyle name="40% - 강조색1 51 14" xfId="5411" xr:uid="{00000000-0005-0000-0000-000018160000}"/>
    <cellStyle name="40% - 강조색1 51 15" xfId="3262" xr:uid="{00000000-0005-0000-0000-000019160000}"/>
    <cellStyle name="40% - 강조색1 51 16" xfId="2398" xr:uid="{00000000-0005-0000-0000-00001A160000}"/>
    <cellStyle name="40% - 강조색1 51 17" xfId="7071" xr:uid="{00000000-0005-0000-0000-00001B160000}"/>
    <cellStyle name="40% - 강조색1 51 18" xfId="7059" xr:uid="{00000000-0005-0000-0000-00001C160000}"/>
    <cellStyle name="40% - 강조색1 51 19" xfId="4096" xr:uid="{00000000-0005-0000-0000-00001D160000}"/>
    <cellStyle name="40% - 강조색1 51 2" xfId="1807" xr:uid="{00000000-0005-0000-0000-00001E160000}"/>
    <cellStyle name="40% - 강조색1 51 20" xfId="8237" xr:uid="{00000000-0005-0000-0000-00001F160000}"/>
    <cellStyle name="40% - 강조색1 51 21" xfId="4551" xr:uid="{00000000-0005-0000-0000-000020160000}"/>
    <cellStyle name="40% - 강조색1 51 22" xfId="5002" xr:uid="{00000000-0005-0000-0000-000021160000}"/>
    <cellStyle name="40% - 강조색1 51 23" xfId="6224" xr:uid="{00000000-0005-0000-0000-000022160000}"/>
    <cellStyle name="40% - 강조색1 51 24" xfId="4442" xr:uid="{00000000-0005-0000-0000-000023160000}"/>
    <cellStyle name="40% - 강조색1 51 25" xfId="9613" xr:uid="{00000000-0005-0000-0000-000024160000}"/>
    <cellStyle name="40% - 강조색1 51 26" xfId="3398" xr:uid="{00000000-0005-0000-0000-000025160000}"/>
    <cellStyle name="40% - 강조색1 51 27" xfId="9062" xr:uid="{00000000-0005-0000-0000-000026160000}"/>
    <cellStyle name="40% - 강조색1 51 28" xfId="10145" xr:uid="{00000000-0005-0000-0000-000027160000}"/>
    <cellStyle name="40% - 강조색1 51 29" xfId="6581" xr:uid="{00000000-0005-0000-0000-000028160000}"/>
    <cellStyle name="40% - 강조색1 51 3" xfId="796" xr:uid="{00000000-0005-0000-0000-000029160000}"/>
    <cellStyle name="40% - 강조색1 51 4" xfId="2331" xr:uid="{00000000-0005-0000-0000-00002A160000}"/>
    <cellStyle name="40% - 강조색1 51 5" xfId="2515" xr:uid="{00000000-0005-0000-0000-00002B160000}"/>
    <cellStyle name="40% - 강조색1 51 6" xfId="2878" xr:uid="{00000000-0005-0000-0000-00002C160000}"/>
    <cellStyle name="40% - 강조색1 51 7" xfId="3274" xr:uid="{00000000-0005-0000-0000-00002D160000}"/>
    <cellStyle name="40% - 강조색1 51 8" xfId="936" xr:uid="{00000000-0005-0000-0000-00002E160000}"/>
    <cellStyle name="40% - 강조색1 51 9" xfId="1502" xr:uid="{00000000-0005-0000-0000-00002F160000}"/>
    <cellStyle name="40% - 강조색1 52" xfId="1024" xr:uid="{00000000-0005-0000-0000-000030160000}"/>
    <cellStyle name="40% - 강조색1 52 10" xfId="4127" xr:uid="{00000000-0005-0000-0000-000031160000}"/>
    <cellStyle name="40% - 강조색1 52 11" xfId="3093" xr:uid="{00000000-0005-0000-0000-000032160000}"/>
    <cellStyle name="40% - 강조색1 52 12" xfId="3735" xr:uid="{00000000-0005-0000-0000-000033160000}"/>
    <cellStyle name="40% - 강조색1 52 13" xfId="5761" xr:uid="{00000000-0005-0000-0000-000034160000}"/>
    <cellStyle name="40% - 강조색1 52 14" xfId="5861" xr:uid="{00000000-0005-0000-0000-000035160000}"/>
    <cellStyle name="40% - 강조색1 52 15" xfId="5932" xr:uid="{00000000-0005-0000-0000-000036160000}"/>
    <cellStyle name="40% - 강조색1 52 16" xfId="4105" xr:uid="{00000000-0005-0000-0000-000037160000}"/>
    <cellStyle name="40% - 강조색1 52 17" xfId="4923" xr:uid="{00000000-0005-0000-0000-000038160000}"/>
    <cellStyle name="40% - 강조색1 52 18" xfId="5105" xr:uid="{00000000-0005-0000-0000-000039160000}"/>
    <cellStyle name="40% - 강조색1 52 19" xfId="3044" xr:uid="{00000000-0005-0000-0000-00003A160000}"/>
    <cellStyle name="40% - 강조색1 52 2" xfId="1677" xr:uid="{00000000-0005-0000-0000-00003B160000}"/>
    <cellStyle name="40% - 강조색1 52 20" xfId="2479" xr:uid="{00000000-0005-0000-0000-00003C160000}"/>
    <cellStyle name="40% - 강조색1 52 21" xfId="8543" xr:uid="{00000000-0005-0000-0000-00003D160000}"/>
    <cellStyle name="40% - 강조색1 52 22" xfId="8861" xr:uid="{00000000-0005-0000-0000-00003E160000}"/>
    <cellStyle name="40% - 강조색1 52 23" xfId="9066" xr:uid="{00000000-0005-0000-0000-00003F160000}"/>
    <cellStyle name="40% - 강조색1 52 24" xfId="9573" xr:uid="{00000000-0005-0000-0000-000040160000}"/>
    <cellStyle name="40% - 강조색1 52 25" xfId="9835" xr:uid="{00000000-0005-0000-0000-000041160000}"/>
    <cellStyle name="40% - 강조색1 52 26" xfId="10157" xr:uid="{00000000-0005-0000-0000-000042160000}"/>
    <cellStyle name="40% - 강조색1 52 27" xfId="7426" xr:uid="{00000000-0005-0000-0000-000043160000}"/>
    <cellStyle name="40% - 강조색1 52 28" xfId="10960" xr:uid="{00000000-0005-0000-0000-000044160000}"/>
    <cellStyle name="40% - 강조색1 52 29" xfId="3201" xr:uid="{00000000-0005-0000-0000-000045160000}"/>
    <cellStyle name="40% - 강조색1 52 3" xfId="2037" xr:uid="{00000000-0005-0000-0000-000046160000}"/>
    <cellStyle name="40% - 강조색1 52 4" xfId="2268" xr:uid="{00000000-0005-0000-0000-000047160000}"/>
    <cellStyle name="40% - 강조색1 52 5" xfId="2654" xr:uid="{00000000-0005-0000-0000-000048160000}"/>
    <cellStyle name="40% - 강조색1 52 6" xfId="2967" xr:uid="{00000000-0005-0000-0000-000049160000}"/>
    <cellStyle name="40% - 강조색1 52 7" xfId="3060" xr:uid="{00000000-0005-0000-0000-00004A160000}"/>
    <cellStyle name="40% - 강조색1 52 8" xfId="3561" xr:uid="{00000000-0005-0000-0000-00004B160000}"/>
    <cellStyle name="40% - 강조색1 52 9" xfId="3498" xr:uid="{00000000-0005-0000-0000-00004C160000}"/>
    <cellStyle name="40% - 강조색1 53" xfId="1059" xr:uid="{00000000-0005-0000-0000-00004D160000}"/>
    <cellStyle name="40% - 강조색1 53 10" xfId="1434" xr:uid="{00000000-0005-0000-0000-00004E160000}"/>
    <cellStyle name="40% - 강조색1 53 11" xfId="4559" xr:uid="{00000000-0005-0000-0000-00004F160000}"/>
    <cellStyle name="40% - 강조색1 53 12" xfId="5548" xr:uid="{00000000-0005-0000-0000-000050160000}"/>
    <cellStyle name="40% - 강조색1 53 13" xfId="1881" xr:uid="{00000000-0005-0000-0000-000051160000}"/>
    <cellStyle name="40% - 강조색1 53 14" xfId="4984" xr:uid="{00000000-0005-0000-0000-000052160000}"/>
    <cellStyle name="40% - 강조색1 53 15" xfId="5502" xr:uid="{00000000-0005-0000-0000-000053160000}"/>
    <cellStyle name="40% - 강조색1 53 16" xfId="6602" xr:uid="{00000000-0005-0000-0000-000054160000}"/>
    <cellStyle name="40% - 강조색1 53 17" xfId="6386" xr:uid="{00000000-0005-0000-0000-000055160000}"/>
    <cellStyle name="40% - 강조색1 53 18" xfId="3614" xr:uid="{00000000-0005-0000-0000-000056160000}"/>
    <cellStyle name="40% - 강조색1 53 19" xfId="7651" xr:uid="{00000000-0005-0000-0000-000057160000}"/>
    <cellStyle name="40% - 강조색1 53 2" xfId="1742" xr:uid="{00000000-0005-0000-0000-000058160000}"/>
    <cellStyle name="40% - 강조색1 53 20" xfId="8210" xr:uid="{00000000-0005-0000-0000-000059160000}"/>
    <cellStyle name="40% - 강조색1 53 21" xfId="3169" xr:uid="{00000000-0005-0000-0000-00005A160000}"/>
    <cellStyle name="40% - 강조색1 53 22" xfId="8942" xr:uid="{00000000-0005-0000-0000-00005B160000}"/>
    <cellStyle name="40% - 강조색1 53 23" xfId="6911" xr:uid="{00000000-0005-0000-0000-00005C160000}"/>
    <cellStyle name="40% - 강조색1 53 24" xfId="9708" xr:uid="{00000000-0005-0000-0000-00005D160000}"/>
    <cellStyle name="40% - 강조색1 53 25" xfId="3508" xr:uid="{00000000-0005-0000-0000-00005E160000}"/>
    <cellStyle name="40% - 강조색1 53 26" xfId="10154" xr:uid="{00000000-0005-0000-0000-00005F160000}"/>
    <cellStyle name="40% - 강조색1 53 27" xfId="9944" xr:uid="{00000000-0005-0000-0000-000060160000}"/>
    <cellStyle name="40% - 강조색1 53 28" xfId="6845" xr:uid="{00000000-0005-0000-0000-000061160000}"/>
    <cellStyle name="40% - 강조색1 53 29" xfId="8201" xr:uid="{00000000-0005-0000-0000-000062160000}"/>
    <cellStyle name="40% - 강조색1 53 3" xfId="2014" xr:uid="{00000000-0005-0000-0000-000063160000}"/>
    <cellStyle name="40% - 강조색1 53 4" xfId="783" xr:uid="{00000000-0005-0000-0000-000064160000}"/>
    <cellStyle name="40% - 강조색1 53 5" xfId="2582" xr:uid="{00000000-0005-0000-0000-000065160000}"/>
    <cellStyle name="40% - 강조색1 53 6" xfId="2823" xr:uid="{00000000-0005-0000-0000-000066160000}"/>
    <cellStyle name="40% - 강조색1 53 7" xfId="2767" xr:uid="{00000000-0005-0000-0000-000067160000}"/>
    <cellStyle name="40% - 강조색1 53 8" xfId="3621" xr:uid="{00000000-0005-0000-0000-000068160000}"/>
    <cellStyle name="40% - 강조색1 53 9" xfId="992" xr:uid="{00000000-0005-0000-0000-000069160000}"/>
    <cellStyle name="40% - 강조색1 54" xfId="819" xr:uid="{00000000-0005-0000-0000-00006A160000}"/>
    <cellStyle name="40% - 강조색1 54 10" xfId="2135" xr:uid="{00000000-0005-0000-0000-00006B160000}"/>
    <cellStyle name="40% - 강조색1 54 11" xfId="4928" xr:uid="{00000000-0005-0000-0000-00006C160000}"/>
    <cellStyle name="40% - 강조색1 54 12" xfId="3467" xr:uid="{00000000-0005-0000-0000-00006D160000}"/>
    <cellStyle name="40% - 강조색1 54 13" xfId="5200" xr:uid="{00000000-0005-0000-0000-00006E160000}"/>
    <cellStyle name="40% - 강조색1 54 14" xfId="4149" xr:uid="{00000000-0005-0000-0000-00006F160000}"/>
    <cellStyle name="40% - 강조색1 54 15" xfId="6283" xr:uid="{00000000-0005-0000-0000-000070160000}"/>
    <cellStyle name="40% - 강조색1 54 16" xfId="7090" xr:uid="{00000000-0005-0000-0000-000071160000}"/>
    <cellStyle name="40% - 강조색1 54 17" xfId="5535" xr:uid="{00000000-0005-0000-0000-000072160000}"/>
    <cellStyle name="40% - 강조색1 54 18" xfId="2593" xr:uid="{00000000-0005-0000-0000-000073160000}"/>
    <cellStyle name="40% - 강조색1 54 19" xfId="8240" xr:uid="{00000000-0005-0000-0000-000074160000}"/>
    <cellStyle name="40% - 강조색1 54 2" xfId="984" xr:uid="{00000000-0005-0000-0000-000075160000}"/>
    <cellStyle name="40% - 강조색1 54 20" xfId="6817" xr:uid="{00000000-0005-0000-0000-000076160000}"/>
    <cellStyle name="40% - 강조색1 54 21" xfId="4137" xr:uid="{00000000-0005-0000-0000-000077160000}"/>
    <cellStyle name="40% - 강조색1 54 22" xfId="7652" xr:uid="{00000000-0005-0000-0000-000078160000}"/>
    <cellStyle name="40% - 강조색1 54 23" xfId="9462" xr:uid="{00000000-0005-0000-0000-000079160000}"/>
    <cellStyle name="40% - 강조색1 54 24" xfId="9081" xr:uid="{00000000-0005-0000-0000-00007A160000}"/>
    <cellStyle name="40% - 강조색1 54 25" xfId="10364" xr:uid="{00000000-0005-0000-0000-00007B160000}"/>
    <cellStyle name="40% - 강조색1 54 26" xfId="4419" xr:uid="{00000000-0005-0000-0000-00007C160000}"/>
    <cellStyle name="40% - 강조색1 54 27" xfId="8877" xr:uid="{00000000-0005-0000-0000-00007D160000}"/>
    <cellStyle name="40% - 강조색1 54 28" xfId="11142" xr:uid="{00000000-0005-0000-0000-00007E160000}"/>
    <cellStyle name="40% - 강조색1 54 3" xfId="2199" xr:uid="{00000000-0005-0000-0000-00007F160000}"/>
    <cellStyle name="40% - 강조색1 54 4" xfId="1563" xr:uid="{00000000-0005-0000-0000-000080160000}"/>
    <cellStyle name="40% - 강조색1 54 5" xfId="2266" xr:uid="{00000000-0005-0000-0000-000081160000}"/>
    <cellStyle name="40% - 강조색1 54 6" xfId="982" xr:uid="{00000000-0005-0000-0000-000082160000}"/>
    <cellStyle name="40% - 강조색1 54 7" xfId="3531" xr:uid="{00000000-0005-0000-0000-000083160000}"/>
    <cellStyle name="40% - 강조색1 54 8" xfId="3780" xr:uid="{00000000-0005-0000-0000-000084160000}"/>
    <cellStyle name="40% - 강조색1 54 9" xfId="4384" xr:uid="{00000000-0005-0000-0000-000085160000}"/>
    <cellStyle name="40% - 강조색1 55" xfId="1893" xr:uid="{00000000-0005-0000-0000-000086160000}"/>
    <cellStyle name="40% - 강조색1 55 10" xfId="5306" xr:uid="{00000000-0005-0000-0000-000087160000}"/>
    <cellStyle name="40% - 강조색1 55 11" xfId="4015" xr:uid="{00000000-0005-0000-0000-000088160000}"/>
    <cellStyle name="40% - 강조색1 55 12" xfId="5724" xr:uid="{00000000-0005-0000-0000-000089160000}"/>
    <cellStyle name="40% - 강조색1 55 13" xfId="5803" xr:uid="{00000000-0005-0000-0000-00008A160000}"/>
    <cellStyle name="40% - 강조색1 55 14" xfId="6526" xr:uid="{00000000-0005-0000-0000-00008B160000}"/>
    <cellStyle name="40% - 강조색1 55 15" xfId="7266" xr:uid="{00000000-0005-0000-0000-00008C160000}"/>
    <cellStyle name="40% - 강조색1 55 16" xfId="4653" xr:uid="{00000000-0005-0000-0000-00008D160000}"/>
    <cellStyle name="40% - 강조색1 55 17" xfId="729" xr:uid="{00000000-0005-0000-0000-00008E160000}"/>
    <cellStyle name="40% - 강조색1 55 18" xfId="5198" xr:uid="{00000000-0005-0000-0000-00008F160000}"/>
    <cellStyle name="40% - 강조색1 55 19" xfId="7557" xr:uid="{00000000-0005-0000-0000-000090160000}"/>
    <cellStyle name="40% - 강조색1 55 2" xfId="2370" xr:uid="{00000000-0005-0000-0000-000091160000}"/>
    <cellStyle name="40% - 강조색1 55 20" xfId="6282" xr:uid="{00000000-0005-0000-0000-000092160000}"/>
    <cellStyle name="40% - 강조색1 55 21" xfId="2154" xr:uid="{00000000-0005-0000-0000-000093160000}"/>
    <cellStyle name="40% - 강조색1 55 22" xfId="4519" xr:uid="{00000000-0005-0000-0000-000094160000}"/>
    <cellStyle name="40% - 강조색1 55 23" xfId="1834" xr:uid="{00000000-0005-0000-0000-000095160000}"/>
    <cellStyle name="40% - 강조색1 55 24" xfId="10175" xr:uid="{00000000-0005-0000-0000-000096160000}"/>
    <cellStyle name="40% - 강조색1 55 25" xfId="10573" xr:uid="{00000000-0005-0000-0000-000097160000}"/>
    <cellStyle name="40% - 강조색1 55 26" xfId="10915" xr:uid="{00000000-0005-0000-0000-000098160000}"/>
    <cellStyle name="40% - 강조색1 55 27" xfId="11221" xr:uid="{00000000-0005-0000-0000-000099160000}"/>
    <cellStyle name="40% - 강조색1 55 3" xfId="2689" xr:uid="{00000000-0005-0000-0000-00009A160000}"/>
    <cellStyle name="40% - 강조색1 55 4" xfId="3003" xr:uid="{00000000-0005-0000-0000-00009B160000}"/>
    <cellStyle name="40% - 강조색1 55 5" xfId="3111" xr:uid="{00000000-0005-0000-0000-00009C160000}"/>
    <cellStyle name="40% - 강조색1 55 6" xfId="3628" xr:uid="{00000000-0005-0000-0000-00009D160000}"/>
    <cellStyle name="40% - 강조색1 55 7" xfId="2444" xr:uid="{00000000-0005-0000-0000-00009E160000}"/>
    <cellStyle name="40% - 강조색1 55 8" xfId="4220" xr:uid="{00000000-0005-0000-0000-00009F160000}"/>
    <cellStyle name="40% - 강조색1 55 9" xfId="3054" xr:uid="{00000000-0005-0000-0000-0000A0160000}"/>
    <cellStyle name="40% - 강조색1 56" xfId="839" xr:uid="{00000000-0005-0000-0000-0000A1160000}"/>
    <cellStyle name="40% - 강조색1 56 10" xfId="2730" xr:uid="{00000000-0005-0000-0000-0000A2160000}"/>
    <cellStyle name="40% - 강조색1 56 11" xfId="5755" xr:uid="{00000000-0005-0000-0000-0000A3160000}"/>
    <cellStyle name="40% - 강조색1 56 12" xfId="5855" xr:uid="{00000000-0005-0000-0000-0000A4160000}"/>
    <cellStyle name="40% - 강조색1 56 13" xfId="6503" xr:uid="{00000000-0005-0000-0000-0000A5160000}"/>
    <cellStyle name="40% - 강조색1 56 14" xfId="7118" xr:uid="{00000000-0005-0000-0000-0000A6160000}"/>
    <cellStyle name="40% - 강조색1 56 15" xfId="7179" xr:uid="{00000000-0005-0000-0000-0000A7160000}"/>
    <cellStyle name="40% - 강조색1 56 16" xfId="3256" xr:uid="{00000000-0005-0000-0000-0000A8160000}"/>
    <cellStyle name="40% - 강조색1 56 17" xfId="8203" xr:uid="{00000000-0005-0000-0000-0000A9160000}"/>
    <cellStyle name="40% - 강조색1 56 18" xfId="8334" xr:uid="{00000000-0005-0000-0000-0000AA160000}"/>
    <cellStyle name="40% - 강조색1 56 19" xfId="4891" xr:uid="{00000000-0005-0000-0000-0000AB160000}"/>
    <cellStyle name="40% - 강조색1 56 2" xfId="2572" xr:uid="{00000000-0005-0000-0000-0000AC160000}"/>
    <cellStyle name="40% - 강조색1 56 20" xfId="9286" xr:uid="{00000000-0005-0000-0000-0000AD160000}"/>
    <cellStyle name="40% - 강조색1 56 21" xfId="6042" xr:uid="{00000000-0005-0000-0000-0000AE160000}"/>
    <cellStyle name="40% - 강조색1 56 22" xfId="3345" xr:uid="{00000000-0005-0000-0000-0000AF160000}"/>
    <cellStyle name="40% - 강조색1 56 23" xfId="4547" xr:uid="{00000000-0005-0000-0000-0000B0160000}"/>
    <cellStyle name="40% - 강조색1 56 24" xfId="10639" xr:uid="{00000000-0005-0000-0000-0000B1160000}"/>
    <cellStyle name="40% - 강조색1 56 25" xfId="10811" xr:uid="{00000000-0005-0000-0000-0000B2160000}"/>
    <cellStyle name="40% - 강조색1 56 26" xfId="5389" xr:uid="{00000000-0005-0000-0000-0000B3160000}"/>
    <cellStyle name="40% - 강조색1 56 3" xfId="2948" xr:uid="{00000000-0005-0000-0000-0000B4160000}"/>
    <cellStyle name="40% - 강조색1 56 4" xfId="3251" xr:uid="{00000000-0005-0000-0000-0000B5160000}"/>
    <cellStyle name="40% - 강조색1 56 5" xfId="3659" xr:uid="{00000000-0005-0000-0000-0000B6160000}"/>
    <cellStyle name="40% - 강조색1 56 6" xfId="1511" xr:uid="{00000000-0005-0000-0000-0000B7160000}"/>
    <cellStyle name="40% - 강조색1 56 7" xfId="1872" xr:uid="{00000000-0005-0000-0000-0000B8160000}"/>
    <cellStyle name="40% - 강조색1 56 8" xfId="3836" xr:uid="{00000000-0005-0000-0000-0000B9160000}"/>
    <cellStyle name="40% - 강조색1 56 9" xfId="5128" xr:uid="{00000000-0005-0000-0000-0000BA160000}"/>
    <cellStyle name="40% - 강조색1 57" xfId="2450" xr:uid="{00000000-0005-0000-0000-0000BB160000}"/>
    <cellStyle name="40% - 강조색1 57 10" xfId="5908" xr:uid="{00000000-0005-0000-0000-0000BC160000}"/>
    <cellStyle name="40% - 강조색1 57 11" xfId="5965" xr:uid="{00000000-0005-0000-0000-0000BD160000}"/>
    <cellStyle name="40% - 강조색1 57 12" xfId="6478" xr:uid="{00000000-0005-0000-0000-0000BE160000}"/>
    <cellStyle name="40% - 강조색1 57 13" xfId="5070" xr:uid="{00000000-0005-0000-0000-0000BF160000}"/>
    <cellStyle name="40% - 강조색1 57 14" xfId="6731" xr:uid="{00000000-0005-0000-0000-0000C0160000}"/>
    <cellStyle name="40% - 강조색1 57 15" xfId="7837" xr:uid="{00000000-0005-0000-0000-0000C1160000}"/>
    <cellStyle name="40% - 강조색1 57 16" xfId="8086" xr:uid="{00000000-0005-0000-0000-0000C2160000}"/>
    <cellStyle name="40% - 강조색1 57 17" xfId="8368" xr:uid="{00000000-0005-0000-0000-0000C3160000}"/>
    <cellStyle name="40% - 강조색1 57 18" xfId="6917" xr:uid="{00000000-0005-0000-0000-0000C4160000}"/>
    <cellStyle name="40% - 강조색1 57 19" xfId="7768" xr:uid="{00000000-0005-0000-0000-0000C5160000}"/>
    <cellStyle name="40% - 강조색1 57 2" xfId="3028" xr:uid="{00000000-0005-0000-0000-0000C6160000}"/>
    <cellStyle name="40% - 강조색1 57 20" xfId="9645" xr:uid="{00000000-0005-0000-0000-0000C7160000}"/>
    <cellStyle name="40% - 강조색1 57 21" xfId="6467" xr:uid="{00000000-0005-0000-0000-0000C8160000}"/>
    <cellStyle name="40% - 강조색1 57 22" xfId="6977" xr:uid="{00000000-0005-0000-0000-0000C9160000}"/>
    <cellStyle name="40% - 강조색1 57 23" xfId="2561" xr:uid="{00000000-0005-0000-0000-0000CA160000}"/>
    <cellStyle name="40% - 강조색1 57 24" xfId="10906" xr:uid="{00000000-0005-0000-0000-0000CB160000}"/>
    <cellStyle name="40% - 강조색1 57 25" xfId="11097" xr:uid="{00000000-0005-0000-0000-0000CC160000}"/>
    <cellStyle name="40% - 강조색1 57 3" xfId="3361" xr:uid="{00000000-0005-0000-0000-0000CD160000}"/>
    <cellStyle name="40% - 강조색1 57 4" xfId="3546" xr:uid="{00000000-0005-0000-0000-0000CE160000}"/>
    <cellStyle name="40% - 강조색1 57 5" xfId="4014" xr:uid="{00000000-0005-0000-0000-0000CF160000}"/>
    <cellStyle name="40% - 강조색1 57 6" xfId="4225" xr:uid="{00000000-0005-0000-0000-0000D0160000}"/>
    <cellStyle name="40% - 강조색1 57 7" xfId="4528" xr:uid="{00000000-0005-0000-0000-0000D1160000}"/>
    <cellStyle name="40% - 강조색1 57 8" xfId="3493" xr:uid="{00000000-0005-0000-0000-0000D2160000}"/>
    <cellStyle name="40% - 강조색1 57 9" xfId="5830" xr:uid="{00000000-0005-0000-0000-0000D3160000}"/>
    <cellStyle name="40% - 강조색1 58" xfId="995" xr:uid="{00000000-0005-0000-0000-0000D4160000}"/>
    <cellStyle name="40% - 강조색1 58 10" xfId="5271" xr:uid="{00000000-0005-0000-0000-0000D5160000}"/>
    <cellStyle name="40% - 강조색1 58 11" xfId="6613" xr:uid="{00000000-0005-0000-0000-0000D6160000}"/>
    <cellStyle name="40% - 강조색1 58 12" xfId="3097" xr:uid="{00000000-0005-0000-0000-0000D7160000}"/>
    <cellStyle name="40% - 강조색1 58 13" xfId="7371" xr:uid="{00000000-0005-0000-0000-0000D8160000}"/>
    <cellStyle name="40% - 강조색1 58 14" xfId="7471" xr:uid="{00000000-0005-0000-0000-0000D9160000}"/>
    <cellStyle name="40% - 강조색1 58 15" xfId="6946" xr:uid="{00000000-0005-0000-0000-0000DA160000}"/>
    <cellStyle name="40% - 강조색1 58 16" xfId="8516" xr:uid="{00000000-0005-0000-0000-0000DB160000}"/>
    <cellStyle name="40% - 강조색1 58 17" xfId="6725" xr:uid="{00000000-0005-0000-0000-0000DC160000}"/>
    <cellStyle name="40% - 강조색1 58 18" xfId="5188" xr:uid="{00000000-0005-0000-0000-0000DD160000}"/>
    <cellStyle name="40% - 강조색1 58 19" xfId="9658" xr:uid="{00000000-0005-0000-0000-0000DE160000}"/>
    <cellStyle name="40% - 강조색1 58 2" xfId="3172" xr:uid="{00000000-0005-0000-0000-0000DF160000}"/>
    <cellStyle name="40% - 강조색1 58 20" xfId="3544" xr:uid="{00000000-0005-0000-0000-0000E0160000}"/>
    <cellStyle name="40% - 강조색1 58 21" xfId="10374" xr:uid="{00000000-0005-0000-0000-0000E1160000}"/>
    <cellStyle name="40% - 강조색1 58 22" xfId="10678" xr:uid="{00000000-0005-0000-0000-0000E2160000}"/>
    <cellStyle name="40% - 강조색1 58 23" xfId="10809" xr:uid="{00000000-0005-0000-0000-0000E3160000}"/>
    <cellStyle name="40% - 강조색1 58 24" xfId="7486" xr:uid="{00000000-0005-0000-0000-0000E4160000}"/>
    <cellStyle name="40% - 강조색1 58 3" xfId="3541" xr:uid="{00000000-0005-0000-0000-0000E5160000}"/>
    <cellStyle name="40% - 강조색1 58 4" xfId="3825" xr:uid="{00000000-0005-0000-0000-0000E6160000}"/>
    <cellStyle name="40% - 강조색1 58 5" xfId="765" xr:uid="{00000000-0005-0000-0000-0000E7160000}"/>
    <cellStyle name="40% - 강조색1 58 6" xfId="4584" xr:uid="{00000000-0005-0000-0000-0000E8160000}"/>
    <cellStyle name="40% - 강조색1 58 7" xfId="4259" xr:uid="{00000000-0005-0000-0000-0000E9160000}"/>
    <cellStyle name="40% - 강조색1 58 8" xfId="5423" xr:uid="{00000000-0005-0000-0000-0000EA160000}"/>
    <cellStyle name="40% - 강조색1 58 9" xfId="5134" xr:uid="{00000000-0005-0000-0000-0000EB160000}"/>
    <cellStyle name="40% - 강조색1 59" xfId="929" xr:uid="{00000000-0005-0000-0000-0000EC160000}"/>
    <cellStyle name="40% - 강조색1 59 10" xfId="6055" xr:uid="{00000000-0005-0000-0000-0000ED160000}"/>
    <cellStyle name="40% - 강조색1 59 11" xfId="7163" xr:uid="{00000000-0005-0000-0000-0000EE160000}"/>
    <cellStyle name="40% - 강조색1 59 12" xfId="7352" xr:uid="{00000000-0005-0000-0000-0000EF160000}"/>
    <cellStyle name="40% - 강조색1 59 13" xfId="7684" xr:uid="{00000000-0005-0000-0000-0000F0160000}"/>
    <cellStyle name="40% - 강조색1 59 14" xfId="8140" xr:uid="{00000000-0005-0000-0000-0000F1160000}"/>
    <cellStyle name="40% - 강조색1 59 15" xfId="6450" xr:uid="{00000000-0005-0000-0000-0000F2160000}"/>
    <cellStyle name="40% - 강조색1 59 16" xfId="5073" xr:uid="{00000000-0005-0000-0000-0000F3160000}"/>
    <cellStyle name="40% - 강조색1 59 17" xfId="6944" xr:uid="{00000000-0005-0000-0000-0000F4160000}"/>
    <cellStyle name="40% - 강조색1 59 18" xfId="2498" xr:uid="{00000000-0005-0000-0000-0000F5160000}"/>
    <cellStyle name="40% - 강조색1 59 19" xfId="9923" xr:uid="{00000000-0005-0000-0000-0000F6160000}"/>
    <cellStyle name="40% - 강조색1 59 2" xfId="2800" xr:uid="{00000000-0005-0000-0000-0000F7160000}"/>
    <cellStyle name="40% - 강조색1 59 20" xfId="9510" xr:uid="{00000000-0005-0000-0000-0000F8160000}"/>
    <cellStyle name="40% - 강조색1 59 21" xfId="10675" xr:uid="{00000000-0005-0000-0000-0000F9160000}"/>
    <cellStyle name="40% - 강조색1 59 22" xfId="10777" xr:uid="{00000000-0005-0000-0000-0000FA160000}"/>
    <cellStyle name="40% - 강조색1 59 23" xfId="11242" xr:uid="{00000000-0005-0000-0000-0000FB160000}"/>
    <cellStyle name="40% - 강조색1 59 3" xfId="3803" xr:uid="{00000000-0005-0000-0000-0000FC160000}"/>
    <cellStyle name="40% - 강조색1 59 4" xfId="1612" xr:uid="{00000000-0005-0000-0000-0000FD160000}"/>
    <cellStyle name="40% - 강조색1 59 5" xfId="812" xr:uid="{00000000-0005-0000-0000-0000FE160000}"/>
    <cellStyle name="40% - 강조색1 59 6" xfId="1386" xr:uid="{00000000-0005-0000-0000-0000FF160000}"/>
    <cellStyle name="40% - 강조색1 59 7" xfId="5498" xr:uid="{00000000-0005-0000-0000-000000170000}"/>
    <cellStyle name="40% - 강조색1 59 8" xfId="4899" xr:uid="{00000000-0005-0000-0000-000001170000}"/>
    <cellStyle name="40% - 강조색1 59 9" xfId="5468" xr:uid="{00000000-0005-0000-0000-000002170000}"/>
    <cellStyle name="40% - 강조색1 6" xfId="116" xr:uid="{00000000-0005-0000-0000-000003170000}"/>
    <cellStyle name="40% - 강조색1 60" xfId="3056" xr:uid="{00000000-0005-0000-0000-000004170000}"/>
    <cellStyle name="40% - 강조색1 60 10" xfId="7154" xr:uid="{00000000-0005-0000-0000-000005170000}"/>
    <cellStyle name="40% - 강조색1 60 11" xfId="4496" xr:uid="{00000000-0005-0000-0000-000006170000}"/>
    <cellStyle name="40% - 강조색1 60 12" xfId="3926" xr:uid="{00000000-0005-0000-0000-000007170000}"/>
    <cellStyle name="40% - 강조색1 60 13" xfId="7989" xr:uid="{00000000-0005-0000-0000-000008170000}"/>
    <cellStyle name="40% - 강조색1 60 14" xfId="8033" xr:uid="{00000000-0005-0000-0000-000009170000}"/>
    <cellStyle name="40% - 강조색1 60 15" xfId="2556" xr:uid="{00000000-0005-0000-0000-00000A170000}"/>
    <cellStyle name="40% - 강조색1 60 16" xfId="7492" xr:uid="{00000000-0005-0000-0000-00000B170000}"/>
    <cellStyle name="40% - 강조색1 60 17" xfId="9492" xr:uid="{00000000-0005-0000-0000-00000C170000}"/>
    <cellStyle name="40% - 강조색1 60 18" xfId="2469" xr:uid="{00000000-0005-0000-0000-00000D170000}"/>
    <cellStyle name="40% - 강조색1 60 19" xfId="10298" xr:uid="{00000000-0005-0000-0000-00000E170000}"/>
    <cellStyle name="40% - 강조색1 60 2" xfId="4051" xr:uid="{00000000-0005-0000-0000-00000F170000}"/>
    <cellStyle name="40% - 강조색1 60 20" xfId="6458" xr:uid="{00000000-0005-0000-0000-000010170000}"/>
    <cellStyle name="40% - 강조색1 60 21" xfId="10894" xr:uid="{00000000-0005-0000-0000-000011170000}"/>
    <cellStyle name="40% - 강조색1 60 22" xfId="11278" xr:uid="{00000000-0005-0000-0000-000012170000}"/>
    <cellStyle name="40% - 강조색1 60 3" xfId="877" xr:uid="{00000000-0005-0000-0000-000013170000}"/>
    <cellStyle name="40% - 강조색1 60 4" xfId="4622" xr:uid="{00000000-0005-0000-0000-000014170000}"/>
    <cellStyle name="40% - 강조색1 60 5" xfId="5312" xr:uid="{00000000-0005-0000-0000-000015170000}"/>
    <cellStyle name="40% - 강조색1 60 6" xfId="5696" xr:uid="{00000000-0005-0000-0000-000016170000}"/>
    <cellStyle name="40% - 강조색1 60 7" xfId="5007" xr:uid="{00000000-0005-0000-0000-000017170000}"/>
    <cellStyle name="40% - 강조색1 60 8" xfId="2944" xr:uid="{00000000-0005-0000-0000-000018170000}"/>
    <cellStyle name="40% - 강조색1 60 9" xfId="3119" xr:uid="{00000000-0005-0000-0000-000019170000}"/>
    <cellStyle name="40% - 강조색1 61" xfId="2269" xr:uid="{00000000-0005-0000-0000-00001A170000}"/>
    <cellStyle name="40% - 강조색1 61 10" xfId="4245" xr:uid="{00000000-0005-0000-0000-00001B170000}"/>
    <cellStyle name="40% - 강조색1 61 11" xfId="7804" xr:uid="{00000000-0005-0000-0000-00001C170000}"/>
    <cellStyle name="40% - 강조색1 61 12" xfId="8198" xr:uid="{00000000-0005-0000-0000-00001D170000}"/>
    <cellStyle name="40% - 강조색1 61 13" xfId="8438" xr:uid="{00000000-0005-0000-0000-00001E170000}"/>
    <cellStyle name="40% - 강조색1 61 14" xfId="7032" xr:uid="{00000000-0005-0000-0000-00001F170000}"/>
    <cellStyle name="40% - 강조색1 61 15" xfId="8040" xr:uid="{00000000-0005-0000-0000-000020170000}"/>
    <cellStyle name="40% - 강조색1 61 16" xfId="9628" xr:uid="{00000000-0005-0000-0000-000021170000}"/>
    <cellStyle name="40% - 강조색1 61 17" xfId="9846" xr:uid="{00000000-0005-0000-0000-000022170000}"/>
    <cellStyle name="40% - 강조색1 61 18" xfId="9169" xr:uid="{00000000-0005-0000-0000-000023170000}"/>
    <cellStyle name="40% - 강조색1 61 19" xfId="10693" xr:uid="{00000000-0005-0000-0000-000024170000}"/>
    <cellStyle name="40% - 강조색1 61 2" xfId="3599" xr:uid="{00000000-0005-0000-0000-000025170000}"/>
    <cellStyle name="40% - 강조색1 61 20" xfId="10861" xr:uid="{00000000-0005-0000-0000-000026170000}"/>
    <cellStyle name="40% - 강조색1 61 21" xfId="11088" xr:uid="{00000000-0005-0000-0000-000027170000}"/>
    <cellStyle name="40% - 강조색1 61 3" xfId="4106" xr:uid="{00000000-0005-0000-0000-000028170000}"/>
    <cellStyle name="40% - 강조색1 61 4" xfId="5174" xr:uid="{00000000-0005-0000-0000-000029170000}"/>
    <cellStyle name="40% - 강조색1 61 5" xfId="5697" xr:uid="{00000000-0005-0000-0000-00002A170000}"/>
    <cellStyle name="40% - 강조색1 61 6" xfId="1547" xr:uid="{00000000-0005-0000-0000-00002B170000}"/>
    <cellStyle name="40% - 강조색1 61 7" xfId="5430" xr:uid="{00000000-0005-0000-0000-00002C170000}"/>
    <cellStyle name="40% - 강조색1 61 8" xfId="1648" xr:uid="{00000000-0005-0000-0000-00002D170000}"/>
    <cellStyle name="40% - 강조색1 61 9" xfId="7119" xr:uid="{00000000-0005-0000-0000-00002E170000}"/>
    <cellStyle name="40% - 강조색1 62" xfId="4191" xr:uid="{00000000-0005-0000-0000-00002F170000}"/>
    <cellStyle name="40% - 강조색1 62 10" xfId="7721" xr:uid="{00000000-0005-0000-0000-000030170000}"/>
    <cellStyle name="40% - 강조색1 62 11" xfId="7966" xr:uid="{00000000-0005-0000-0000-000031170000}"/>
    <cellStyle name="40% - 강조색1 62 12" xfId="8638" xr:uid="{00000000-0005-0000-0000-000032170000}"/>
    <cellStyle name="40% - 강조색1 62 13" xfId="8858" xr:uid="{00000000-0005-0000-0000-000033170000}"/>
    <cellStyle name="40% - 강조색1 62 14" xfId="9318" xr:uid="{00000000-0005-0000-0000-000034170000}"/>
    <cellStyle name="40% - 강조색1 62 15" xfId="9711" xr:uid="{00000000-0005-0000-0000-000035170000}"/>
    <cellStyle name="40% - 강조색1 62 16" xfId="8000" xr:uid="{00000000-0005-0000-0000-000036170000}"/>
    <cellStyle name="40% - 강조색1 62 17" xfId="2247" xr:uid="{00000000-0005-0000-0000-000037170000}"/>
    <cellStyle name="40% - 강조색1 62 18" xfId="10676" xr:uid="{00000000-0005-0000-0000-000038170000}"/>
    <cellStyle name="40% - 강조색1 62 19" xfId="6831" xr:uid="{00000000-0005-0000-0000-000039170000}"/>
    <cellStyle name="40% - 강조색1 62 2" xfId="4771" xr:uid="{00000000-0005-0000-0000-00003A170000}"/>
    <cellStyle name="40% - 강조색1 62 20" xfId="11056" xr:uid="{00000000-0005-0000-0000-00003B170000}"/>
    <cellStyle name="40% - 강조색1 62 3" xfId="5722" xr:uid="{00000000-0005-0000-0000-00003C170000}"/>
    <cellStyle name="40% - 강조색1 62 4" xfId="5594" xr:uid="{00000000-0005-0000-0000-00003D170000}"/>
    <cellStyle name="40% - 강조색1 62 5" xfId="4790" xr:uid="{00000000-0005-0000-0000-00003E170000}"/>
    <cellStyle name="40% - 강조색1 62 6" xfId="5431" xr:uid="{00000000-0005-0000-0000-00003F170000}"/>
    <cellStyle name="40% - 강조색1 62 7" xfId="6629" xr:uid="{00000000-0005-0000-0000-000040170000}"/>
    <cellStyle name="40% - 강조색1 62 8" xfId="6939" xr:uid="{00000000-0005-0000-0000-000041170000}"/>
    <cellStyle name="40% - 강조색1 62 9" xfId="7195" xr:uid="{00000000-0005-0000-0000-000042170000}"/>
    <cellStyle name="40% - 강조색1 63" xfId="3401" xr:uid="{00000000-0005-0000-0000-000043170000}"/>
    <cellStyle name="40% - 강조색1 63 10" xfId="4319" xr:uid="{00000000-0005-0000-0000-000044170000}"/>
    <cellStyle name="40% - 강조색1 63 11" xfId="8454" xr:uid="{00000000-0005-0000-0000-000045170000}"/>
    <cellStyle name="40% - 강조색1 63 12" xfId="9011" xr:uid="{00000000-0005-0000-0000-000046170000}"/>
    <cellStyle name="40% - 강조색1 63 13" xfId="9106" xr:uid="{00000000-0005-0000-0000-000047170000}"/>
    <cellStyle name="40% - 강조색1 63 14" xfId="9719" xr:uid="{00000000-0005-0000-0000-000048170000}"/>
    <cellStyle name="40% - 강조색1 63 15" xfId="9809" xr:uid="{00000000-0005-0000-0000-000049170000}"/>
    <cellStyle name="40% - 강조색1 63 16" xfId="7964" xr:uid="{00000000-0005-0000-0000-00004A170000}"/>
    <cellStyle name="40% - 강조색1 63 17" xfId="10094" xr:uid="{00000000-0005-0000-0000-00004B170000}"/>
    <cellStyle name="40% - 강조색1 63 18" xfId="10926" xr:uid="{00000000-0005-0000-0000-00004C170000}"/>
    <cellStyle name="40% - 강조색1 63 19" xfId="11101" xr:uid="{00000000-0005-0000-0000-00004D170000}"/>
    <cellStyle name="40% - 강조색1 63 2" xfId="5268" xr:uid="{00000000-0005-0000-0000-00004E170000}"/>
    <cellStyle name="40% - 강조색1 63 3" xfId="5520" xr:uid="{00000000-0005-0000-0000-00004F170000}"/>
    <cellStyle name="40% - 강조색1 63 4" xfId="2579" xr:uid="{00000000-0005-0000-0000-000050170000}"/>
    <cellStyle name="40% - 강조색1 63 5" xfId="3552" xr:uid="{00000000-0005-0000-0000-000051170000}"/>
    <cellStyle name="40% - 강조색1 63 6" xfId="6085" xr:uid="{00000000-0005-0000-0000-000052170000}"/>
    <cellStyle name="40% - 강조색1 63 7" xfId="6931" xr:uid="{00000000-0005-0000-0000-000053170000}"/>
    <cellStyle name="40% - 강조색1 63 8" xfId="2756" xr:uid="{00000000-0005-0000-0000-000054170000}"/>
    <cellStyle name="40% - 강조색1 63 9" xfId="7465" xr:uid="{00000000-0005-0000-0000-000055170000}"/>
    <cellStyle name="40% - 강조색1 64" xfId="5063" xr:uid="{00000000-0005-0000-0000-000056170000}"/>
    <cellStyle name="40% - 강조색1 64 10" xfId="9467" xr:uid="{00000000-0005-0000-0000-000057170000}"/>
    <cellStyle name="40% - 강조색1 64 11" xfId="4965" xr:uid="{00000000-0005-0000-0000-000058170000}"/>
    <cellStyle name="40% - 강조색1 64 12" xfId="8548" xr:uid="{00000000-0005-0000-0000-000059170000}"/>
    <cellStyle name="40% - 강조색1 64 13" xfId="9820" xr:uid="{00000000-0005-0000-0000-00005A170000}"/>
    <cellStyle name="40% - 강조색1 64 14" xfId="8357" xr:uid="{00000000-0005-0000-0000-00005B170000}"/>
    <cellStyle name="40% - 강조색1 64 15" xfId="2809" xr:uid="{00000000-0005-0000-0000-00005C170000}"/>
    <cellStyle name="40% - 강조색1 64 2" xfId="6656" xr:uid="{00000000-0005-0000-0000-00005D170000}"/>
    <cellStyle name="40% - 강조색1 64 3" xfId="2436" xr:uid="{00000000-0005-0000-0000-00005E170000}"/>
    <cellStyle name="40% - 강조색1 64 4" xfId="4500" xr:uid="{00000000-0005-0000-0000-00005F170000}"/>
    <cellStyle name="40% - 강조색1 64 5" xfId="4909" xr:uid="{00000000-0005-0000-0000-000060170000}"/>
    <cellStyle name="40% - 강조색1 64 6" xfId="8185" xr:uid="{00000000-0005-0000-0000-000061170000}"/>
    <cellStyle name="40% - 강조색1 64 7" xfId="3443" xr:uid="{00000000-0005-0000-0000-000062170000}"/>
    <cellStyle name="40% - 강조색1 64 8" xfId="8906" xr:uid="{00000000-0005-0000-0000-000063170000}"/>
    <cellStyle name="40% - 강조색1 64 9" xfId="9321" xr:uid="{00000000-0005-0000-0000-000064170000}"/>
    <cellStyle name="40% - 강조색1 65" xfId="5412" xr:uid="{00000000-0005-0000-0000-000065170000}"/>
    <cellStyle name="40% - 강조색1 65 10" xfId="9601" xr:uid="{00000000-0005-0000-0000-000066170000}"/>
    <cellStyle name="40% - 강조색1 65 11" xfId="1489" xr:uid="{00000000-0005-0000-0000-000067170000}"/>
    <cellStyle name="40% - 강조색1 65 12" xfId="8366" xr:uid="{00000000-0005-0000-0000-000068170000}"/>
    <cellStyle name="40% - 강조색1 65 13" xfId="10592" xr:uid="{00000000-0005-0000-0000-000069170000}"/>
    <cellStyle name="40% - 강조색1 65 14" xfId="10908" xr:uid="{00000000-0005-0000-0000-00006A170000}"/>
    <cellStyle name="40% - 강조색1 65 15" xfId="11247" xr:uid="{00000000-0005-0000-0000-00006B170000}"/>
    <cellStyle name="40% - 강조색1 65 2" xfId="6669" xr:uid="{00000000-0005-0000-0000-00006C170000}"/>
    <cellStyle name="40% - 강조색1 65 3" xfId="6941" xr:uid="{00000000-0005-0000-0000-00006D170000}"/>
    <cellStyle name="40% - 강조색1 65 4" xfId="3737" xr:uid="{00000000-0005-0000-0000-00006E170000}"/>
    <cellStyle name="40% - 강조색1 65 5" xfId="7417" xr:uid="{00000000-0005-0000-0000-00006F170000}"/>
    <cellStyle name="40% - 강조색1 65 6" xfId="8027" xr:uid="{00000000-0005-0000-0000-000070170000}"/>
    <cellStyle name="40% - 강조색1 65 7" xfId="4073" xr:uid="{00000000-0005-0000-0000-000071170000}"/>
    <cellStyle name="40% - 강조색1 65 8" xfId="8342" xr:uid="{00000000-0005-0000-0000-000072170000}"/>
    <cellStyle name="40% - 강조색1 65 9" xfId="7656" xr:uid="{00000000-0005-0000-0000-000073170000}"/>
    <cellStyle name="40% - 강조색1 66" xfId="4930" xr:uid="{00000000-0005-0000-0000-000074170000}"/>
    <cellStyle name="40% - 강조색1 66 10" xfId="7693" xr:uid="{00000000-0005-0000-0000-000075170000}"/>
    <cellStyle name="40% - 강조색1 66 11" xfId="8156" xr:uid="{00000000-0005-0000-0000-000076170000}"/>
    <cellStyle name="40% - 강조색1 66 12" xfId="9937" xr:uid="{00000000-0005-0000-0000-000077170000}"/>
    <cellStyle name="40% - 강조색1 66 13" xfId="4518" xr:uid="{00000000-0005-0000-0000-000078170000}"/>
    <cellStyle name="40% - 강조색1 66 14" xfId="1871" xr:uid="{00000000-0005-0000-0000-000079170000}"/>
    <cellStyle name="40% - 강조색1 66 15" xfId="7395" xr:uid="{00000000-0005-0000-0000-00007A170000}"/>
    <cellStyle name="40% - 강조색1 66 2" xfId="6651" xr:uid="{00000000-0005-0000-0000-00007B170000}"/>
    <cellStyle name="40% - 강조색1 66 3" xfId="7103" xr:uid="{00000000-0005-0000-0000-00007C170000}"/>
    <cellStyle name="40% - 강조색1 66 4" xfId="2246" xr:uid="{00000000-0005-0000-0000-00007D170000}"/>
    <cellStyle name="40% - 강조색1 66 5" xfId="2142" xr:uid="{00000000-0005-0000-0000-00007E170000}"/>
    <cellStyle name="40% - 강조색1 66 6" xfId="6837" xr:uid="{00000000-0005-0000-0000-00007F170000}"/>
    <cellStyle name="40% - 강조색1 66 7" xfId="1413" xr:uid="{00000000-0005-0000-0000-000080170000}"/>
    <cellStyle name="40% - 강조색1 66 8" xfId="8771" xr:uid="{00000000-0005-0000-0000-000081170000}"/>
    <cellStyle name="40% - 강조색1 66 9" xfId="2152" xr:uid="{00000000-0005-0000-0000-000082170000}"/>
    <cellStyle name="40% - 강조색1 67" xfId="4966" xr:uid="{00000000-0005-0000-0000-000083170000}"/>
    <cellStyle name="40% - 강조색1 67 10" xfId="9448" xr:uid="{00000000-0005-0000-0000-000084170000}"/>
    <cellStyle name="40% - 강조색1 67 11" xfId="2769" xr:uid="{00000000-0005-0000-0000-000085170000}"/>
    <cellStyle name="40% - 강조색1 67 12" xfId="10329" xr:uid="{00000000-0005-0000-0000-000086170000}"/>
    <cellStyle name="40% - 강조색1 67 13" xfId="8845" xr:uid="{00000000-0005-0000-0000-000087170000}"/>
    <cellStyle name="40% - 강조색1 67 14" xfId="6081" xr:uid="{00000000-0005-0000-0000-000088170000}"/>
    <cellStyle name="40% - 강조색1 67 15" xfId="2620" xr:uid="{00000000-0005-0000-0000-000089170000}"/>
    <cellStyle name="40% - 강조색1 67 2" xfId="6653" xr:uid="{00000000-0005-0000-0000-00008A170000}"/>
    <cellStyle name="40% - 강조색1 67 3" xfId="6698" xr:uid="{00000000-0005-0000-0000-00008B170000}"/>
    <cellStyle name="40% - 강조색1 67 4" xfId="7130" xr:uid="{00000000-0005-0000-0000-00008C170000}"/>
    <cellStyle name="40% - 강조색1 67 5" xfId="7483" xr:uid="{00000000-0005-0000-0000-00008D170000}"/>
    <cellStyle name="40% - 강조색1 67 6" xfId="8224" xr:uid="{00000000-0005-0000-0000-00008E170000}"/>
    <cellStyle name="40% - 강조색1 67 7" xfId="8118" xr:uid="{00000000-0005-0000-0000-00008F170000}"/>
    <cellStyle name="40% - 강조색1 67 8" xfId="8869" xr:uid="{00000000-0005-0000-0000-000090170000}"/>
    <cellStyle name="40% - 강조색1 67 9" xfId="7981" xr:uid="{00000000-0005-0000-0000-000091170000}"/>
    <cellStyle name="40% - 강조색1 68" xfId="6090" xr:uid="{00000000-0005-0000-0000-000092170000}"/>
    <cellStyle name="40% - 강조색1 68 10" xfId="8758" xr:uid="{00000000-0005-0000-0000-000093170000}"/>
    <cellStyle name="40% - 강조색1 68 11" xfId="10146" xr:uid="{00000000-0005-0000-0000-000094170000}"/>
    <cellStyle name="40% - 강조색1 68 12" xfId="9805" xr:uid="{00000000-0005-0000-0000-000095170000}"/>
    <cellStyle name="40% - 강조색1 68 13" xfId="7942" xr:uid="{00000000-0005-0000-0000-000096170000}"/>
    <cellStyle name="40% - 강조색1 68 14" xfId="11226" xr:uid="{00000000-0005-0000-0000-000097170000}"/>
    <cellStyle name="40% - 강조색1 68 2" xfId="7338" xr:uid="{00000000-0005-0000-0000-000098170000}"/>
    <cellStyle name="40% - 강조색1 68 3" xfId="7378" xr:uid="{00000000-0005-0000-0000-000099170000}"/>
    <cellStyle name="40% - 강조색1 68 4" xfId="7866" xr:uid="{00000000-0005-0000-0000-00009A170000}"/>
    <cellStyle name="40% - 강조색1 68 5" xfId="8122" xr:uid="{00000000-0005-0000-0000-00009B170000}"/>
    <cellStyle name="40% - 강조색1 68 6" xfId="8476" xr:uid="{00000000-0005-0000-0000-00009C170000}"/>
    <cellStyle name="40% - 강조색1 68 7" xfId="2437" xr:uid="{00000000-0005-0000-0000-00009D170000}"/>
    <cellStyle name="40% - 강조색1 68 8" xfId="4097" xr:uid="{00000000-0005-0000-0000-00009E170000}"/>
    <cellStyle name="40% - 강조색1 68 9" xfId="4571" xr:uid="{00000000-0005-0000-0000-00009F170000}"/>
    <cellStyle name="40% - 강조색1 69" xfId="832" xr:uid="{00000000-0005-0000-0000-0000A0170000}"/>
    <cellStyle name="40% - 강조색1 69 10" xfId="9876" xr:uid="{00000000-0005-0000-0000-0000A1170000}"/>
    <cellStyle name="40% - 강조색1 69 11" xfId="10745" xr:uid="{00000000-0005-0000-0000-0000A2170000}"/>
    <cellStyle name="40% - 강조색1 69 12" xfId="7470" xr:uid="{00000000-0005-0000-0000-0000A3170000}"/>
    <cellStyle name="40% - 강조색1 69 2" xfId="7558" xr:uid="{00000000-0005-0000-0000-0000A4170000}"/>
    <cellStyle name="40% - 강조색1 69 3" xfId="8024" xr:uid="{00000000-0005-0000-0000-0000A5170000}"/>
    <cellStyle name="40% - 강조색1 69 4" xfId="8343" xr:uid="{00000000-0005-0000-0000-0000A6170000}"/>
    <cellStyle name="40% - 강조색1 69 5" xfId="6203" xr:uid="{00000000-0005-0000-0000-0000A7170000}"/>
    <cellStyle name="40% - 강조색1 69 6" xfId="5371" xr:uid="{00000000-0005-0000-0000-0000A8170000}"/>
    <cellStyle name="40% - 강조색1 69 7" xfId="7691" xr:uid="{00000000-0005-0000-0000-0000A9170000}"/>
    <cellStyle name="40% - 강조색1 69 8" xfId="7391" xr:uid="{00000000-0005-0000-0000-0000AA170000}"/>
    <cellStyle name="40% - 강조색1 69 9" xfId="6361" xr:uid="{00000000-0005-0000-0000-0000AB170000}"/>
    <cellStyle name="40% - 강조색1 7" xfId="129" xr:uid="{00000000-0005-0000-0000-0000AC170000}"/>
    <cellStyle name="40% - 강조색1 70" xfId="1920" xr:uid="{00000000-0005-0000-0000-0000AD170000}"/>
    <cellStyle name="40% - 강조색1 70 10" xfId="7410" xr:uid="{00000000-0005-0000-0000-0000AE170000}"/>
    <cellStyle name="40% - 강조색1 70 11" xfId="9168" xr:uid="{00000000-0005-0000-0000-0000AF170000}"/>
    <cellStyle name="40% - 강조색1 70 12" xfId="790" xr:uid="{00000000-0005-0000-0000-0000B0170000}"/>
    <cellStyle name="40% - 강조색1 70 2" xfId="4658" xr:uid="{00000000-0005-0000-0000-0000B1170000}"/>
    <cellStyle name="40% - 강조색1 70 3" xfId="8211" xr:uid="{00000000-0005-0000-0000-0000B2170000}"/>
    <cellStyle name="40% - 강조색1 70 4" xfId="8365" xr:uid="{00000000-0005-0000-0000-0000B3170000}"/>
    <cellStyle name="40% - 강조색1 70 5" xfId="6152" xr:uid="{00000000-0005-0000-0000-0000B4170000}"/>
    <cellStyle name="40% - 강조색1 70 6" xfId="9328" xr:uid="{00000000-0005-0000-0000-0000B5170000}"/>
    <cellStyle name="40% - 강조색1 70 7" xfId="5075" xr:uid="{00000000-0005-0000-0000-0000B6170000}"/>
    <cellStyle name="40% - 강조색1 70 8" xfId="10007" xr:uid="{00000000-0005-0000-0000-0000B7170000}"/>
    <cellStyle name="40% - 강조색1 70 9" xfId="1613" xr:uid="{00000000-0005-0000-0000-0000B8170000}"/>
    <cellStyle name="40% - 강조색1 71" xfId="1602" xr:uid="{00000000-0005-0000-0000-0000B9170000}"/>
    <cellStyle name="40% - 강조색1 71 10" xfId="10945" xr:uid="{00000000-0005-0000-0000-0000BA170000}"/>
    <cellStyle name="40% - 강조색1 71 11" xfId="10135" xr:uid="{00000000-0005-0000-0000-0000BB170000}"/>
    <cellStyle name="40% - 강조색1 71 2" xfId="7900" xr:uid="{00000000-0005-0000-0000-0000BC170000}"/>
    <cellStyle name="40% - 강조색1 71 3" xfId="6373" xr:uid="{00000000-0005-0000-0000-0000BD170000}"/>
    <cellStyle name="40% - 강조색1 71 4" xfId="8830" xr:uid="{00000000-0005-0000-0000-0000BE170000}"/>
    <cellStyle name="40% - 강조색1 71 5" xfId="6747" xr:uid="{00000000-0005-0000-0000-0000BF170000}"/>
    <cellStyle name="40% - 강조색1 71 6" xfId="7746" xr:uid="{00000000-0005-0000-0000-0000C0170000}"/>
    <cellStyle name="40% - 강조색1 71 7" xfId="3515" xr:uid="{00000000-0005-0000-0000-0000C1170000}"/>
    <cellStyle name="40% - 강조색1 71 8" xfId="9520" xr:uid="{00000000-0005-0000-0000-0000C2170000}"/>
    <cellStyle name="40% - 강조색1 71 9" xfId="7601" xr:uid="{00000000-0005-0000-0000-0000C3170000}"/>
    <cellStyle name="40% - 강조색1 72" xfId="3410" xr:uid="{00000000-0005-0000-0000-0000C4170000}"/>
    <cellStyle name="40% - 강조색1 72 10" xfId="11072" xr:uid="{00000000-0005-0000-0000-0000C5170000}"/>
    <cellStyle name="40% - 강조색1 72 2" xfId="887" xr:uid="{00000000-0005-0000-0000-0000C6170000}"/>
    <cellStyle name="40% - 강조색1 72 3" xfId="6764" xr:uid="{00000000-0005-0000-0000-0000C7170000}"/>
    <cellStyle name="40% - 강조색1 72 4" xfId="8076" xr:uid="{00000000-0005-0000-0000-0000C8170000}"/>
    <cellStyle name="40% - 강조색1 72 5" xfId="7474" xr:uid="{00000000-0005-0000-0000-0000C9170000}"/>
    <cellStyle name="40% - 강조색1 72 6" xfId="3414" xr:uid="{00000000-0005-0000-0000-0000CA170000}"/>
    <cellStyle name="40% - 강조색1 72 7" xfId="6242" xr:uid="{00000000-0005-0000-0000-0000CB170000}"/>
    <cellStyle name="40% - 강조색1 72 8" xfId="906" xr:uid="{00000000-0005-0000-0000-0000CC170000}"/>
    <cellStyle name="40% - 강조색1 72 9" xfId="10793" xr:uid="{00000000-0005-0000-0000-0000CD170000}"/>
    <cellStyle name="40% - 강조색1 73" xfId="8464" xr:uid="{00000000-0005-0000-0000-0000CE170000}"/>
    <cellStyle name="40% - 강조색1 73 2" xfId="9041" xr:uid="{00000000-0005-0000-0000-0000CF170000}"/>
    <cellStyle name="40% - 강조색1 73 3" xfId="9400" xr:uid="{00000000-0005-0000-0000-0000D0170000}"/>
    <cellStyle name="40% - 강조색1 73 4" xfId="9732" xr:uid="{00000000-0005-0000-0000-0000D1170000}"/>
    <cellStyle name="40% - 강조색1 73 5" xfId="7114" xr:uid="{00000000-0005-0000-0000-0000D2170000}"/>
    <cellStyle name="40% - 강조색1 73 6" xfId="6010" xr:uid="{00000000-0005-0000-0000-0000D3170000}"/>
    <cellStyle name="40% - 강조색1 73 7" xfId="10696" xr:uid="{00000000-0005-0000-0000-0000D4170000}"/>
    <cellStyle name="40% - 강조색1 73 8" xfId="6953" xr:uid="{00000000-0005-0000-0000-0000D5170000}"/>
    <cellStyle name="40% - 강조색1 73 9" xfId="11100" xr:uid="{00000000-0005-0000-0000-0000D6170000}"/>
    <cellStyle name="40% - 강조색1 74" xfId="7749" xr:uid="{00000000-0005-0000-0000-0000D7170000}"/>
    <cellStyle name="40% - 강조색1 74 2" xfId="9347" xr:uid="{00000000-0005-0000-0000-0000D8170000}"/>
    <cellStyle name="40% - 강조색1 74 3" xfId="9688" xr:uid="{00000000-0005-0000-0000-0000D9170000}"/>
    <cellStyle name="40% - 강조색1 74 4" xfId="5993" xr:uid="{00000000-0005-0000-0000-0000DA170000}"/>
    <cellStyle name="40% - 강조색1 74 5" xfId="8692" xr:uid="{00000000-0005-0000-0000-0000DB170000}"/>
    <cellStyle name="40% - 강조색1 74 6" xfId="10663" xr:uid="{00000000-0005-0000-0000-0000DC170000}"/>
    <cellStyle name="40% - 강조색1 74 7" xfId="9456" xr:uid="{00000000-0005-0000-0000-0000DD170000}"/>
    <cellStyle name="40% - 강조색1 74 8" xfId="3478" xr:uid="{00000000-0005-0000-0000-0000DE170000}"/>
    <cellStyle name="40% - 강조색1 75" xfId="9242" xr:uid="{00000000-0005-0000-0000-0000DF170000}"/>
    <cellStyle name="40% - 강조색1 75 2" xfId="9751" xr:uid="{00000000-0005-0000-0000-0000E0170000}"/>
    <cellStyle name="40% - 강조색1 75 3" xfId="10077" xr:uid="{00000000-0005-0000-0000-0000E1170000}"/>
    <cellStyle name="40% - 강조색1 75 4" xfId="10390" xr:uid="{00000000-0005-0000-0000-0000E2170000}"/>
    <cellStyle name="40% - 강조색1 75 5" xfId="10699" xr:uid="{00000000-0005-0000-0000-0000E3170000}"/>
    <cellStyle name="40% - 강조색1 75 6" xfId="1578" xr:uid="{00000000-0005-0000-0000-0000E4170000}"/>
    <cellStyle name="40% - 강조색1 75 7" xfId="7537" xr:uid="{00000000-0005-0000-0000-0000E5170000}"/>
    <cellStyle name="40% - 강조색1 76" xfId="2431" xr:uid="{00000000-0005-0000-0000-0000E6170000}"/>
    <cellStyle name="40% - 강조색1 76 2" xfId="9959" xr:uid="{00000000-0005-0000-0000-0000E7170000}"/>
    <cellStyle name="40% - 강조색1 76 3" xfId="10246" xr:uid="{00000000-0005-0000-0000-0000E8170000}"/>
    <cellStyle name="40% - 강조색1 76 4" xfId="8767" xr:uid="{00000000-0005-0000-0000-0000E9170000}"/>
    <cellStyle name="40% - 강조색1 76 5" xfId="9841" xr:uid="{00000000-0005-0000-0000-0000EA170000}"/>
    <cellStyle name="40% - 강조색1 76 6" xfId="11259" xr:uid="{00000000-0005-0000-0000-0000EB170000}"/>
    <cellStyle name="40% - 강조색1 77" xfId="9863" xr:uid="{00000000-0005-0000-0000-0000EC170000}"/>
    <cellStyle name="40% - 강조색1 77 2" xfId="10407" xr:uid="{00000000-0005-0000-0000-0000ED170000}"/>
    <cellStyle name="40% - 강조색1 77 3" xfId="10718" xr:uid="{00000000-0005-0000-0000-0000EE170000}"/>
    <cellStyle name="40% - 강조색1 77 4" xfId="11002" xr:uid="{00000000-0005-0000-0000-0000EF170000}"/>
    <cellStyle name="40% - 강조색1 77 5" xfId="3778" xr:uid="{00000000-0005-0000-0000-0000F0170000}"/>
    <cellStyle name="40% - 강조색1 78" xfId="10204" xr:uid="{00000000-0005-0000-0000-0000F1170000}"/>
    <cellStyle name="40% - 강조색1 78 2" xfId="10725" xr:uid="{00000000-0005-0000-0000-0000F2170000}"/>
    <cellStyle name="40% - 강조색1 78 3" xfId="11009" xr:uid="{00000000-0005-0000-0000-0000F3170000}"/>
    <cellStyle name="40% - 강조색1 78 4" xfId="11286" xr:uid="{00000000-0005-0000-0000-0000F4170000}"/>
    <cellStyle name="40% - 강조색1 79" xfId="6701" xr:uid="{00000000-0005-0000-0000-0000F5170000}"/>
    <cellStyle name="40% - 강조색1 79 2" xfId="10791" xr:uid="{00000000-0005-0000-0000-0000F6170000}"/>
    <cellStyle name="40% - 강조색1 79 3" xfId="11066" xr:uid="{00000000-0005-0000-0000-0000F7170000}"/>
    <cellStyle name="40% - 강조색1 8" xfId="142" xr:uid="{00000000-0005-0000-0000-0000F8170000}"/>
    <cellStyle name="40% - 강조색1 80" xfId="10851" xr:uid="{00000000-0005-0000-0000-0000F9170000}"/>
    <cellStyle name="40% - 강조색1 80 2" xfId="11304" xr:uid="{00000000-0005-0000-0000-0000FA170000}"/>
    <cellStyle name="40% - 강조색1 81" xfId="6143" xr:uid="{00000000-0005-0000-0000-0000FB170000}"/>
    <cellStyle name="40% - 강조색1 82" xfId="587" xr:uid="{00000000-0005-0000-0000-0000FC170000}"/>
    <cellStyle name="40% - 강조색1 83" xfId="11412" xr:uid="{00000000-0005-0000-0000-0000FD170000}"/>
    <cellStyle name="40% - 강조색1 84" xfId="11364" xr:uid="{00000000-0005-0000-0000-0000FE170000}"/>
    <cellStyle name="40% - 강조색1 85" xfId="11372" xr:uid="{00000000-0005-0000-0000-0000FF170000}"/>
    <cellStyle name="40% - 강조색1 86" xfId="11439" xr:uid="{00000000-0005-0000-0000-000000180000}"/>
    <cellStyle name="40% - 강조색1 9" xfId="155" xr:uid="{00000000-0005-0000-0000-000001180000}"/>
    <cellStyle name="40% - 강조색2" xfId="26" builtinId="35" customBuiltin="1"/>
    <cellStyle name="40% - 강조색2 10" xfId="64" xr:uid="{00000000-0005-0000-0000-000003180000}"/>
    <cellStyle name="40% - 강조색2 11" xfId="67" xr:uid="{00000000-0005-0000-0000-000004180000}"/>
    <cellStyle name="40% - 강조색2 12" xfId="92" xr:uid="{00000000-0005-0000-0000-000005180000}"/>
    <cellStyle name="40% - 강조색2 13" xfId="93" xr:uid="{00000000-0005-0000-0000-000006180000}"/>
    <cellStyle name="40% - 강조색2 14" xfId="106" xr:uid="{00000000-0005-0000-0000-000007180000}"/>
    <cellStyle name="40% - 강조색2 15" xfId="119" xr:uid="{00000000-0005-0000-0000-000008180000}"/>
    <cellStyle name="40% - 강조색2 16" xfId="132" xr:uid="{00000000-0005-0000-0000-000009180000}"/>
    <cellStyle name="40% - 강조색2 17" xfId="145" xr:uid="{00000000-0005-0000-0000-00000A180000}"/>
    <cellStyle name="40% - 강조색2 18" xfId="158" xr:uid="{00000000-0005-0000-0000-00000B180000}"/>
    <cellStyle name="40% - 강조색2 19" xfId="171" xr:uid="{00000000-0005-0000-0000-00000C180000}"/>
    <cellStyle name="40% - 강조색2 2" xfId="49" xr:uid="{00000000-0005-0000-0000-00000D180000}"/>
    <cellStyle name="40% - 강조색2 20" xfId="184" xr:uid="{00000000-0005-0000-0000-00000E180000}"/>
    <cellStyle name="40% - 강조색2 21" xfId="197" xr:uid="{00000000-0005-0000-0000-00000F180000}"/>
    <cellStyle name="40% - 강조색2 22" xfId="210" xr:uid="{00000000-0005-0000-0000-000010180000}"/>
    <cellStyle name="40% - 강조색2 23" xfId="223" xr:uid="{00000000-0005-0000-0000-000011180000}"/>
    <cellStyle name="40% - 강조색2 24" xfId="236" xr:uid="{00000000-0005-0000-0000-000012180000}"/>
    <cellStyle name="40% - 강조색2 25" xfId="249" xr:uid="{00000000-0005-0000-0000-000013180000}"/>
    <cellStyle name="40% - 강조색2 26" xfId="262" xr:uid="{00000000-0005-0000-0000-000014180000}"/>
    <cellStyle name="40% - 강조색2 27" xfId="275" xr:uid="{00000000-0005-0000-0000-000015180000}"/>
    <cellStyle name="40% - 강조색2 28" xfId="288" xr:uid="{00000000-0005-0000-0000-000016180000}"/>
    <cellStyle name="40% - 강조색2 29" xfId="301" xr:uid="{00000000-0005-0000-0000-000017180000}"/>
    <cellStyle name="40% - 강조색2 3" xfId="74" xr:uid="{00000000-0005-0000-0000-000018180000}"/>
    <cellStyle name="40% - 강조색2 30" xfId="314" xr:uid="{00000000-0005-0000-0000-000019180000}"/>
    <cellStyle name="40% - 강조색2 31" xfId="327" xr:uid="{00000000-0005-0000-0000-00001A180000}"/>
    <cellStyle name="40% - 강조색2 32" xfId="340" xr:uid="{00000000-0005-0000-0000-00001B180000}"/>
    <cellStyle name="40% - 강조색2 33" xfId="353" xr:uid="{00000000-0005-0000-0000-00001C180000}"/>
    <cellStyle name="40% - 강조색2 34" xfId="366" xr:uid="{00000000-0005-0000-0000-00001D180000}"/>
    <cellStyle name="40% - 강조색2 35" xfId="379" xr:uid="{00000000-0005-0000-0000-00001E180000}"/>
    <cellStyle name="40% - 강조색2 36" xfId="392" xr:uid="{00000000-0005-0000-0000-00001F180000}"/>
    <cellStyle name="40% - 강조색2 37" xfId="405" xr:uid="{00000000-0005-0000-0000-000020180000}"/>
    <cellStyle name="40% - 강조색2 38" xfId="418" xr:uid="{00000000-0005-0000-0000-000021180000}"/>
    <cellStyle name="40% - 강조색2 39" xfId="431" xr:uid="{00000000-0005-0000-0000-000022180000}"/>
    <cellStyle name="40% - 강조색2 4" xfId="72" xr:uid="{00000000-0005-0000-0000-000023180000}"/>
    <cellStyle name="40% - 강조색2 40" xfId="548" xr:uid="{00000000-0005-0000-0000-000024180000}"/>
    <cellStyle name="40% - 강조색2 40 10" xfId="3193" xr:uid="{00000000-0005-0000-0000-000025180000}"/>
    <cellStyle name="40% - 강조색2 40 11" xfId="3605" xr:uid="{00000000-0005-0000-0000-000026180000}"/>
    <cellStyle name="40% - 강조색2 40 12" xfId="3919" xr:uid="{00000000-0005-0000-0000-000027180000}"/>
    <cellStyle name="40% - 강조색2 40 13" xfId="4239" xr:uid="{00000000-0005-0000-0000-000028180000}"/>
    <cellStyle name="40% - 강조색2 40 14" xfId="858" xr:uid="{00000000-0005-0000-0000-000029180000}"/>
    <cellStyle name="40% - 강조색2 40 15" xfId="797" xr:uid="{00000000-0005-0000-0000-00002A180000}"/>
    <cellStyle name="40% - 강조색2 40 16" xfId="5572" xr:uid="{00000000-0005-0000-0000-00002B180000}"/>
    <cellStyle name="40% - 강조색2 40 17" xfId="2424" xr:uid="{00000000-0005-0000-0000-00002C180000}"/>
    <cellStyle name="40% - 강조색2 40 18" xfId="4468" xr:uid="{00000000-0005-0000-0000-00002D180000}"/>
    <cellStyle name="40% - 강조색2 40 19" xfId="6165" xr:uid="{00000000-0005-0000-0000-00002E180000}"/>
    <cellStyle name="40% - 강조색2 40 2" xfId="596" xr:uid="{00000000-0005-0000-0000-00002F180000}"/>
    <cellStyle name="40% - 강조색2 40 20" xfId="6763" xr:uid="{00000000-0005-0000-0000-000030180000}"/>
    <cellStyle name="40% - 강조색2 40 21" xfId="6290" xr:uid="{00000000-0005-0000-0000-000031180000}"/>
    <cellStyle name="40% - 강조색2 40 22" xfId="7534" xr:uid="{00000000-0005-0000-0000-000032180000}"/>
    <cellStyle name="40% - 강조색2 40 23" xfId="6559" xr:uid="{00000000-0005-0000-0000-000033180000}"/>
    <cellStyle name="40% - 강조색2 40 24" xfId="8595" xr:uid="{00000000-0005-0000-0000-000034180000}"/>
    <cellStyle name="40% - 강조색2 40 25" xfId="8731" xr:uid="{00000000-0005-0000-0000-000035180000}"/>
    <cellStyle name="40% - 강조색2 40 26" xfId="9340" xr:uid="{00000000-0005-0000-0000-000036180000}"/>
    <cellStyle name="40% - 강조색2 40 27" xfId="9611" xr:uid="{00000000-0005-0000-0000-000037180000}"/>
    <cellStyle name="40% - 강조색2 40 28" xfId="6054" xr:uid="{00000000-0005-0000-0000-000038180000}"/>
    <cellStyle name="40% - 강조색2 40 29" xfId="10307" xr:uid="{00000000-0005-0000-0000-000039180000}"/>
    <cellStyle name="40% - 강조색2 40 3" xfId="1007" xr:uid="{00000000-0005-0000-0000-00003A180000}"/>
    <cellStyle name="40% - 강조색2 40 30" xfId="10476" xr:uid="{00000000-0005-0000-0000-00003B180000}"/>
    <cellStyle name="40% - 강조색2 40 31" xfId="8390" xr:uid="{00000000-0005-0000-0000-00003C180000}"/>
    <cellStyle name="40% - 강조색2 40 32" xfId="11068" xr:uid="{00000000-0005-0000-0000-00003D180000}"/>
    <cellStyle name="40% - 강조색2 40 33" xfId="11318" xr:uid="{00000000-0005-0000-0000-00003E180000}"/>
    <cellStyle name="40% - 강조색2 40 34" xfId="584" xr:uid="{00000000-0005-0000-0000-00003F180000}"/>
    <cellStyle name="40% - 강조색2 40 35" xfId="11425" xr:uid="{00000000-0005-0000-0000-000040180000}"/>
    <cellStyle name="40% - 강조색2 40 36" xfId="11353" xr:uid="{00000000-0005-0000-0000-000041180000}"/>
    <cellStyle name="40% - 강조색2 40 4" xfId="1271" xr:uid="{00000000-0005-0000-0000-000042180000}"/>
    <cellStyle name="40% - 강조색2 40 5" xfId="1658" xr:uid="{00000000-0005-0000-0000-000043180000}"/>
    <cellStyle name="40% - 강조색2 40 6" xfId="1642" xr:uid="{00000000-0005-0000-0000-000044180000}"/>
    <cellStyle name="40% - 강조색2 40 7" xfId="2228" xr:uid="{00000000-0005-0000-0000-000045180000}"/>
    <cellStyle name="40% - 강조색2 40 8" xfId="2491" xr:uid="{00000000-0005-0000-0000-000046180000}"/>
    <cellStyle name="40% - 강조색2 40 9" xfId="2949" xr:uid="{00000000-0005-0000-0000-000047180000}"/>
    <cellStyle name="40% - 강조색2 41" xfId="662" xr:uid="{00000000-0005-0000-0000-000048180000}"/>
    <cellStyle name="40% - 강조색2 41 10" xfId="3303" xr:uid="{00000000-0005-0000-0000-000049180000}"/>
    <cellStyle name="40% - 강조색2 41 11" xfId="2476" xr:uid="{00000000-0005-0000-0000-00004A180000}"/>
    <cellStyle name="40% - 강조색2 41 12" xfId="3425" xr:uid="{00000000-0005-0000-0000-00004B180000}"/>
    <cellStyle name="40% - 강조색2 41 13" xfId="4182" xr:uid="{00000000-0005-0000-0000-00004C180000}"/>
    <cellStyle name="40% - 강조색2 41 14" xfId="2384" xr:uid="{00000000-0005-0000-0000-00004D180000}"/>
    <cellStyle name="40% - 강조색2 41 15" xfId="2984" xr:uid="{00000000-0005-0000-0000-00004E180000}"/>
    <cellStyle name="40% - 강조색2 41 16" xfId="5684" xr:uid="{00000000-0005-0000-0000-00004F180000}"/>
    <cellStyle name="40% - 강조색2 41 17" xfId="5808" xr:uid="{00000000-0005-0000-0000-000050180000}"/>
    <cellStyle name="40% - 강조색2 41 18" xfId="5891" xr:uid="{00000000-0005-0000-0000-000051180000}"/>
    <cellStyle name="40% - 강조색2 41 19" xfId="6384" xr:uid="{00000000-0005-0000-0000-000052180000}"/>
    <cellStyle name="40% - 강조색2 41 2" xfId="1165" xr:uid="{00000000-0005-0000-0000-000053180000}"/>
    <cellStyle name="40% - 강조색2 41 20" xfId="7256" xr:uid="{00000000-0005-0000-0000-000054180000}"/>
    <cellStyle name="40% - 강조색2 41 21" xfId="6876" xr:uid="{00000000-0005-0000-0000-000055180000}"/>
    <cellStyle name="40% - 강조색2 41 22" xfId="7792" xr:uid="{00000000-0005-0000-0000-000056180000}"/>
    <cellStyle name="40% - 강조색2 41 23" xfId="8068" xr:uid="{00000000-0005-0000-0000-000057180000}"/>
    <cellStyle name="40% - 강조색2 41 24" xfId="8592" xr:uid="{00000000-0005-0000-0000-000058180000}"/>
    <cellStyle name="40% - 강조색2 41 25" xfId="4580" xr:uid="{00000000-0005-0000-0000-000059180000}"/>
    <cellStyle name="40% - 강조색2 41 26" xfId="7671" xr:uid="{00000000-0005-0000-0000-00005A180000}"/>
    <cellStyle name="40% - 강조색2 41 27" xfId="6179" xr:uid="{00000000-0005-0000-0000-00005B180000}"/>
    <cellStyle name="40% - 강조색2 41 28" xfId="9927" xr:uid="{00000000-0005-0000-0000-00005C180000}"/>
    <cellStyle name="40% - 강조색2 41 29" xfId="10359" xr:uid="{00000000-0005-0000-0000-00005D180000}"/>
    <cellStyle name="40% - 강조색2 41 3" xfId="1245" xr:uid="{00000000-0005-0000-0000-00005E180000}"/>
    <cellStyle name="40% - 강조색2 41 30" xfId="10558" xr:uid="{00000000-0005-0000-0000-00005F180000}"/>
    <cellStyle name="40% - 강조색2 41 31" xfId="10103" xr:uid="{00000000-0005-0000-0000-000060180000}"/>
    <cellStyle name="40% - 강조색2 41 32" xfId="10822" xr:uid="{00000000-0005-0000-0000-000061180000}"/>
    <cellStyle name="40% - 강조색2 41 4" xfId="1337" xr:uid="{00000000-0005-0000-0000-000062180000}"/>
    <cellStyle name="40% - 강조색2 41 5" xfId="1788" xr:uid="{00000000-0005-0000-0000-000063180000}"/>
    <cellStyle name="40% - 강조색2 41 6" xfId="2011" xr:uid="{00000000-0005-0000-0000-000064180000}"/>
    <cellStyle name="40% - 강조색2 41 7" xfId="1951" xr:uid="{00000000-0005-0000-0000-000065180000}"/>
    <cellStyle name="40% - 강조색2 41 8" xfId="2600" xr:uid="{00000000-0005-0000-0000-000066180000}"/>
    <cellStyle name="40% - 강조색2 41 9" xfId="2959" xr:uid="{00000000-0005-0000-0000-000067180000}"/>
    <cellStyle name="40% - 강조색2 42" xfId="674" xr:uid="{00000000-0005-0000-0000-000068180000}"/>
    <cellStyle name="40% - 강조색2 42 10" xfId="3272" xr:uid="{00000000-0005-0000-0000-000069180000}"/>
    <cellStyle name="40% - 강조색2 42 11" xfId="3587" xr:uid="{00000000-0005-0000-0000-00006A180000}"/>
    <cellStyle name="40% - 강조색2 42 12" xfId="4002" xr:uid="{00000000-0005-0000-0000-00006B180000}"/>
    <cellStyle name="40% - 강조색2 42 13" xfId="3268" xr:uid="{00000000-0005-0000-0000-00006C180000}"/>
    <cellStyle name="40% - 강조색2 42 14" xfId="4714" xr:uid="{00000000-0005-0000-0000-00006D180000}"/>
    <cellStyle name="40% - 강조색2 42 15" xfId="5379" xr:uid="{00000000-0005-0000-0000-00006E180000}"/>
    <cellStyle name="40% - 강조색2 42 16" xfId="5416" xr:uid="{00000000-0005-0000-0000-00006F180000}"/>
    <cellStyle name="40% - 강조색2 42 17" xfId="1997" xr:uid="{00000000-0005-0000-0000-000070180000}"/>
    <cellStyle name="40% - 강조색2 42 18" xfId="5285" xr:uid="{00000000-0005-0000-0000-000071180000}"/>
    <cellStyle name="40% - 강조색2 42 19" xfId="4789" xr:uid="{00000000-0005-0000-0000-000072180000}"/>
    <cellStyle name="40% - 강조색2 42 2" xfId="1177" xr:uid="{00000000-0005-0000-0000-000073180000}"/>
    <cellStyle name="40% - 강조색2 42 20" xfId="2805" xr:uid="{00000000-0005-0000-0000-000074180000}"/>
    <cellStyle name="40% - 강조색2 42 21" xfId="7175" xr:uid="{00000000-0005-0000-0000-000075180000}"/>
    <cellStyle name="40% - 강조색2 42 22" xfId="6738" xr:uid="{00000000-0005-0000-0000-000076180000}"/>
    <cellStyle name="40% - 강조색2 42 23" xfId="8133" xr:uid="{00000000-0005-0000-0000-000077180000}"/>
    <cellStyle name="40% - 강조색2 42 24" xfId="8607" xr:uid="{00000000-0005-0000-0000-000078180000}"/>
    <cellStyle name="40% - 강조색2 42 25" xfId="4887" xr:uid="{00000000-0005-0000-0000-000079180000}"/>
    <cellStyle name="40% - 강조색2 42 26" xfId="9108" xr:uid="{00000000-0005-0000-0000-00007A180000}"/>
    <cellStyle name="40% - 강조색2 42 27" xfId="7510" xr:uid="{00000000-0005-0000-0000-00007B180000}"/>
    <cellStyle name="40% - 강조색2 42 28" xfId="9815" xr:uid="{00000000-0005-0000-0000-00007C180000}"/>
    <cellStyle name="40% - 강조색2 42 29" xfId="6536" xr:uid="{00000000-0005-0000-0000-00007D180000}"/>
    <cellStyle name="40% - 강조색2 42 3" xfId="1257" xr:uid="{00000000-0005-0000-0000-00007E180000}"/>
    <cellStyle name="40% - 강조색2 42 30" xfId="7814" xr:uid="{00000000-0005-0000-0000-00007F180000}"/>
    <cellStyle name="40% - 강조색2 42 31" xfId="2189" xr:uid="{00000000-0005-0000-0000-000080180000}"/>
    <cellStyle name="40% - 강조색2 42 32" xfId="7447" xr:uid="{00000000-0005-0000-0000-000081180000}"/>
    <cellStyle name="40% - 강조색2 42 4" xfId="1349" xr:uid="{00000000-0005-0000-0000-000082180000}"/>
    <cellStyle name="40% - 강조색2 42 5" xfId="1792" xr:uid="{00000000-0005-0000-0000-000083180000}"/>
    <cellStyle name="40% - 강조색2 42 6" xfId="2041" xr:uid="{00000000-0005-0000-0000-000084180000}"/>
    <cellStyle name="40% - 강조색2 42 7" xfId="2219" xr:uid="{00000000-0005-0000-0000-000085180000}"/>
    <cellStyle name="40% - 강조색2 42 8" xfId="2454" xr:uid="{00000000-0005-0000-0000-000086180000}"/>
    <cellStyle name="40% - 강조색2 42 9" xfId="2975" xr:uid="{00000000-0005-0000-0000-000087180000}"/>
    <cellStyle name="40% - 강조색2 43" xfId="658" xr:uid="{00000000-0005-0000-0000-000088180000}"/>
    <cellStyle name="40% - 강조색2 43 10" xfId="3049" xr:uid="{00000000-0005-0000-0000-000089180000}"/>
    <cellStyle name="40% - 강조색2 43 11" xfId="3424" xr:uid="{00000000-0005-0000-0000-00008A180000}"/>
    <cellStyle name="40% - 강조색2 43 12" xfId="2170" xr:uid="{00000000-0005-0000-0000-00008B180000}"/>
    <cellStyle name="40% - 강조색2 43 13" xfId="4161" xr:uid="{00000000-0005-0000-0000-00008C180000}"/>
    <cellStyle name="40% - 강조색2 43 14" xfId="4270" xr:uid="{00000000-0005-0000-0000-00008D180000}"/>
    <cellStyle name="40% - 강조색2 43 15" xfId="5058" xr:uid="{00000000-0005-0000-0000-00008E180000}"/>
    <cellStyle name="40% - 강조색2 43 16" xfId="4832" xr:uid="{00000000-0005-0000-0000-00008F180000}"/>
    <cellStyle name="40% - 강조색2 43 17" xfId="1980" xr:uid="{00000000-0005-0000-0000-000090180000}"/>
    <cellStyle name="40% - 강조색2 43 18" xfId="5076" xr:uid="{00000000-0005-0000-0000-000091180000}"/>
    <cellStyle name="40% - 강조색2 43 19" xfId="6611" xr:uid="{00000000-0005-0000-0000-000092180000}"/>
    <cellStyle name="40% - 강조색2 43 2" xfId="1161" xr:uid="{00000000-0005-0000-0000-000093180000}"/>
    <cellStyle name="40% - 강조색2 43 20" xfId="2209" xr:uid="{00000000-0005-0000-0000-000094180000}"/>
    <cellStyle name="40% - 강조색2 43 21" xfId="6739" xr:uid="{00000000-0005-0000-0000-000095180000}"/>
    <cellStyle name="40% - 강조색2 43 22" xfId="7585" xr:uid="{00000000-0005-0000-0000-000096180000}"/>
    <cellStyle name="40% - 강조색2 43 23" xfId="8238" xr:uid="{00000000-0005-0000-0000-000097180000}"/>
    <cellStyle name="40% - 강조색2 43 24" xfId="8590" xr:uid="{00000000-0005-0000-0000-000098180000}"/>
    <cellStyle name="40% - 강조색2 43 25" xfId="7831" xr:uid="{00000000-0005-0000-0000-000099180000}"/>
    <cellStyle name="40% - 강조색2 43 26" xfId="977" xr:uid="{00000000-0005-0000-0000-00009A180000}"/>
    <cellStyle name="40% - 강조색2 43 27" xfId="4522" xr:uid="{00000000-0005-0000-0000-00009B180000}"/>
    <cellStyle name="40% - 강조색2 43 28" xfId="10000" xr:uid="{00000000-0005-0000-0000-00009C180000}"/>
    <cellStyle name="40% - 강조색2 43 29" xfId="10303" xr:uid="{00000000-0005-0000-0000-00009D180000}"/>
    <cellStyle name="40% - 강조색2 43 3" xfId="1241" xr:uid="{00000000-0005-0000-0000-00009E180000}"/>
    <cellStyle name="40% - 강조색2 43 30" xfId="6153" xr:uid="{00000000-0005-0000-0000-00009F180000}"/>
    <cellStyle name="40% - 강조색2 43 31" xfId="8824" xr:uid="{00000000-0005-0000-0000-0000A0180000}"/>
    <cellStyle name="40% - 강조색2 43 32" xfId="11194" xr:uid="{00000000-0005-0000-0000-0000A1180000}"/>
    <cellStyle name="40% - 강조색2 43 4" xfId="1333" xr:uid="{00000000-0005-0000-0000-0000A2180000}"/>
    <cellStyle name="40% - 강조색2 43 5" xfId="1796" xr:uid="{00000000-0005-0000-0000-0000A3180000}"/>
    <cellStyle name="40% - 강조색2 43 6" xfId="2012" xr:uid="{00000000-0005-0000-0000-0000A4180000}"/>
    <cellStyle name="40% - 강조색2 43 7" xfId="1936" xr:uid="{00000000-0005-0000-0000-0000A5180000}"/>
    <cellStyle name="40% - 강조색2 43 8" xfId="2547" xr:uid="{00000000-0005-0000-0000-0000A6180000}"/>
    <cellStyle name="40% - 강조색2 43 9" xfId="2731" xr:uid="{00000000-0005-0000-0000-0000A7180000}"/>
    <cellStyle name="40% - 강조색2 44" xfId="679" xr:uid="{00000000-0005-0000-0000-0000A8180000}"/>
    <cellStyle name="40% - 강조색2 44 10" xfId="3059" xr:uid="{00000000-0005-0000-0000-0000A9180000}"/>
    <cellStyle name="40% - 강조색2 44 11" xfId="1573" xr:uid="{00000000-0005-0000-0000-0000AA180000}"/>
    <cellStyle name="40% - 강조색2 44 12" xfId="3973" xr:uid="{00000000-0005-0000-0000-0000AB180000}"/>
    <cellStyle name="40% - 강조색2 44 13" xfId="4321" xr:uid="{00000000-0005-0000-0000-0000AC180000}"/>
    <cellStyle name="40% - 강조색2 44 14" xfId="4736" xr:uid="{00000000-0005-0000-0000-0000AD180000}"/>
    <cellStyle name="40% - 강조색2 44 15" xfId="5184" xr:uid="{00000000-0005-0000-0000-0000AE180000}"/>
    <cellStyle name="40% - 강조색2 44 16" xfId="4996" xr:uid="{00000000-0005-0000-0000-0000AF180000}"/>
    <cellStyle name="40% - 강조색2 44 17" xfId="4979" xr:uid="{00000000-0005-0000-0000-0000B0180000}"/>
    <cellStyle name="40% - 강조색2 44 18" xfId="898" xr:uid="{00000000-0005-0000-0000-0000B1180000}"/>
    <cellStyle name="40% - 강조색2 44 19" xfId="6530" xr:uid="{00000000-0005-0000-0000-0000B2180000}"/>
    <cellStyle name="40% - 강조색2 44 2" xfId="1182" xr:uid="{00000000-0005-0000-0000-0000B3180000}"/>
    <cellStyle name="40% - 강조색2 44 20" xfId="6979" xr:uid="{00000000-0005-0000-0000-0000B4180000}"/>
    <cellStyle name="40% - 강조색2 44 21" xfId="6318" xr:uid="{00000000-0005-0000-0000-0000B5180000}"/>
    <cellStyle name="40% - 강조색2 44 22" xfId="5024" xr:uid="{00000000-0005-0000-0000-0000B6180000}"/>
    <cellStyle name="40% - 강조색2 44 23" xfId="7928" xr:uid="{00000000-0005-0000-0000-0000B7180000}"/>
    <cellStyle name="40% - 강조색2 44 24" xfId="8591" xr:uid="{00000000-0005-0000-0000-0000B8180000}"/>
    <cellStyle name="40% - 강조색2 44 25" xfId="8838" xr:uid="{00000000-0005-0000-0000-0000B9180000}"/>
    <cellStyle name="40% - 강조색2 44 26" xfId="9329" xr:uid="{00000000-0005-0000-0000-0000BA180000}"/>
    <cellStyle name="40% - 강조색2 44 27" xfId="9641" xr:uid="{00000000-0005-0000-0000-0000BB180000}"/>
    <cellStyle name="40% - 강조색2 44 28" xfId="5210" xr:uid="{00000000-0005-0000-0000-0000BC180000}"/>
    <cellStyle name="40% - 강조색2 44 29" xfId="3446" xr:uid="{00000000-0005-0000-0000-0000BD180000}"/>
    <cellStyle name="40% - 강조색2 44 3" xfId="1262" xr:uid="{00000000-0005-0000-0000-0000BE180000}"/>
    <cellStyle name="40% - 강조색2 44 30" xfId="10568" xr:uid="{00000000-0005-0000-0000-0000BF180000}"/>
    <cellStyle name="40% - 강조색2 44 31" xfId="10202" xr:uid="{00000000-0005-0000-0000-0000C0180000}"/>
    <cellStyle name="40% - 강조색2 44 32" xfId="11220" xr:uid="{00000000-0005-0000-0000-0000C1180000}"/>
    <cellStyle name="40% - 강조색2 44 4" xfId="1354" xr:uid="{00000000-0005-0000-0000-0000C2180000}"/>
    <cellStyle name="40% - 강조색2 44 5" xfId="1800" xr:uid="{00000000-0005-0000-0000-0000C3180000}"/>
    <cellStyle name="40% - 강조색2 44 6" xfId="2054" xr:uid="{00000000-0005-0000-0000-0000C4180000}"/>
    <cellStyle name="40% - 강조색2 44 7" xfId="2339" xr:uid="{00000000-0005-0000-0000-0000C5180000}"/>
    <cellStyle name="40% - 강조색2 44 8" xfId="872" xr:uid="{00000000-0005-0000-0000-0000C6180000}"/>
    <cellStyle name="40% - 강조색2 44 9" xfId="2913" xr:uid="{00000000-0005-0000-0000-0000C7180000}"/>
    <cellStyle name="40% - 강조색2 45" xfId="680" xr:uid="{00000000-0005-0000-0000-0000C8180000}"/>
    <cellStyle name="40% - 강조색2 45 10" xfId="2798" xr:uid="{00000000-0005-0000-0000-0000C9180000}"/>
    <cellStyle name="40% - 강조색2 45 11" xfId="3534" xr:uid="{00000000-0005-0000-0000-0000CA180000}"/>
    <cellStyle name="40% - 강조색2 45 12" xfId="1477" xr:uid="{00000000-0005-0000-0000-0000CB180000}"/>
    <cellStyle name="40% - 강조색2 45 13" xfId="2905" xr:uid="{00000000-0005-0000-0000-0000CC180000}"/>
    <cellStyle name="40% - 강조색2 45 14" xfId="1859" xr:uid="{00000000-0005-0000-0000-0000CD180000}"/>
    <cellStyle name="40% - 강조색2 45 15" xfId="5324" xr:uid="{00000000-0005-0000-0000-0000CE180000}"/>
    <cellStyle name="40% - 강조색2 45 16" xfId="4543" xr:uid="{00000000-0005-0000-0000-0000CF180000}"/>
    <cellStyle name="40% - 강조색2 45 17" xfId="5839" xr:uid="{00000000-0005-0000-0000-0000D0180000}"/>
    <cellStyle name="40% - 강조색2 45 18" xfId="5915" xr:uid="{00000000-0005-0000-0000-0000D1180000}"/>
    <cellStyle name="40% - 강조색2 45 19" xfId="6363" xr:uid="{00000000-0005-0000-0000-0000D2180000}"/>
    <cellStyle name="40% - 강조색2 45 2" xfId="1183" xr:uid="{00000000-0005-0000-0000-0000D3180000}"/>
    <cellStyle name="40% - 강조색2 45 20" xfId="7265" xr:uid="{00000000-0005-0000-0000-0000D4180000}"/>
    <cellStyle name="40% - 강조색2 45 21" xfId="7314" xr:uid="{00000000-0005-0000-0000-0000D5180000}"/>
    <cellStyle name="40% - 강조색2 45 22" xfId="7840" xr:uid="{00000000-0005-0000-0000-0000D6180000}"/>
    <cellStyle name="40% - 강조색2 45 23" xfId="8054" xr:uid="{00000000-0005-0000-0000-0000D7180000}"/>
    <cellStyle name="40% - 강조색2 45 24" xfId="8612" xr:uid="{00000000-0005-0000-0000-0000D8180000}"/>
    <cellStyle name="40% - 강조색2 45 25" xfId="6924" xr:uid="{00000000-0005-0000-0000-0000D9180000}"/>
    <cellStyle name="40% - 강조색2 45 26" xfId="9282" xr:uid="{00000000-0005-0000-0000-0000DA180000}"/>
    <cellStyle name="40% - 강조색2 45 27" xfId="9550" xr:uid="{00000000-0005-0000-0000-0000DB180000}"/>
    <cellStyle name="40% - 강조색2 45 28" xfId="7737" xr:uid="{00000000-0005-0000-0000-0000DC180000}"/>
    <cellStyle name="40% - 강조색2 45 29" xfId="3273" xr:uid="{00000000-0005-0000-0000-0000DD180000}"/>
    <cellStyle name="40% - 강조색2 45 3" xfId="1263" xr:uid="{00000000-0005-0000-0000-0000DE180000}"/>
    <cellStyle name="40% - 강조색2 45 30" xfId="8965" xr:uid="{00000000-0005-0000-0000-0000DF180000}"/>
    <cellStyle name="40% - 강조색2 45 31" xfId="2807" xr:uid="{00000000-0005-0000-0000-0000E0180000}"/>
    <cellStyle name="40% - 강조색2 45 32" xfId="3575" xr:uid="{00000000-0005-0000-0000-0000E1180000}"/>
    <cellStyle name="40% - 강조색2 45 4" xfId="1355" xr:uid="{00000000-0005-0000-0000-0000E2180000}"/>
    <cellStyle name="40% - 강조색2 45 5" xfId="1803" xr:uid="{00000000-0005-0000-0000-0000E3180000}"/>
    <cellStyle name="40% - 강조색2 45 6" xfId="821" xr:uid="{00000000-0005-0000-0000-0000E4180000}"/>
    <cellStyle name="40% - 강조색2 45 7" xfId="710" xr:uid="{00000000-0005-0000-0000-0000E5180000}"/>
    <cellStyle name="40% - 강조색2 45 8" xfId="2598" xr:uid="{00000000-0005-0000-0000-0000E6180000}"/>
    <cellStyle name="40% - 강조색2 45 9" xfId="2173" xr:uid="{00000000-0005-0000-0000-0000E7180000}"/>
    <cellStyle name="40% - 강조색2 46" xfId="681" xr:uid="{00000000-0005-0000-0000-0000E8180000}"/>
    <cellStyle name="40% - 강조색2 46 10" xfId="2500" xr:uid="{00000000-0005-0000-0000-0000E9180000}"/>
    <cellStyle name="40% - 강조색2 46 11" xfId="1515" xr:uid="{00000000-0005-0000-0000-0000EA180000}"/>
    <cellStyle name="40% - 강조색2 46 12" xfId="3538" xr:uid="{00000000-0005-0000-0000-0000EB180000}"/>
    <cellStyle name="40% - 강조색2 46 13" xfId="4285" xr:uid="{00000000-0005-0000-0000-0000EC180000}"/>
    <cellStyle name="40% - 강조색2 46 14" xfId="2160" xr:uid="{00000000-0005-0000-0000-0000ED180000}"/>
    <cellStyle name="40% - 강조색2 46 15" xfId="2385" xr:uid="{00000000-0005-0000-0000-0000EE180000}"/>
    <cellStyle name="40% - 강조색2 46 16" xfId="5604" xr:uid="{00000000-0005-0000-0000-0000EF180000}"/>
    <cellStyle name="40% - 강조색2 46 17" xfId="5453" xr:uid="{00000000-0005-0000-0000-0000F0180000}"/>
    <cellStyle name="40% - 강조색2 46 18" xfId="5055" xr:uid="{00000000-0005-0000-0000-0000F1180000}"/>
    <cellStyle name="40% - 강조색2 46 19" xfId="6163" xr:uid="{00000000-0005-0000-0000-0000F2180000}"/>
    <cellStyle name="40% - 강조색2 46 2" xfId="1184" xr:uid="{00000000-0005-0000-0000-0000F3180000}"/>
    <cellStyle name="40% - 강조색2 46 20" xfId="7081" xr:uid="{00000000-0005-0000-0000-0000F4180000}"/>
    <cellStyle name="40% - 강조색2 46 21" xfId="6699" xr:uid="{00000000-0005-0000-0000-0000F5180000}"/>
    <cellStyle name="40% - 강조색2 46 22" xfId="6063" xr:uid="{00000000-0005-0000-0000-0000F6180000}"/>
    <cellStyle name="40% - 강조색2 46 23" xfId="7985" xr:uid="{00000000-0005-0000-0000-0000F7180000}"/>
    <cellStyle name="40% - 강조색2 46 24" xfId="4445" xr:uid="{00000000-0005-0000-0000-0000F8180000}"/>
    <cellStyle name="40% - 강조색2 46 25" xfId="8937" xr:uid="{00000000-0005-0000-0000-0000F9180000}"/>
    <cellStyle name="40% - 강조색2 46 26" xfId="8736" xr:uid="{00000000-0005-0000-0000-0000FA180000}"/>
    <cellStyle name="40% - 강조색2 46 27" xfId="9428" xr:uid="{00000000-0005-0000-0000-0000FB180000}"/>
    <cellStyle name="40% - 강조색2 46 28" xfId="9929" xr:uid="{00000000-0005-0000-0000-0000FC180000}"/>
    <cellStyle name="40% - 강조색2 46 29" xfId="5190" xr:uid="{00000000-0005-0000-0000-0000FD180000}"/>
    <cellStyle name="40% - 강조색2 46 3" xfId="1264" xr:uid="{00000000-0005-0000-0000-0000FE180000}"/>
    <cellStyle name="40% - 강조색2 46 30" xfId="10537" xr:uid="{00000000-0005-0000-0000-0000FF180000}"/>
    <cellStyle name="40% - 강조색2 46 31" xfId="9271" xr:uid="{00000000-0005-0000-0000-000000190000}"/>
    <cellStyle name="40% - 강조색2 46 32" xfId="11147" xr:uid="{00000000-0005-0000-0000-000001190000}"/>
    <cellStyle name="40% - 강조색2 46 4" xfId="1356" xr:uid="{00000000-0005-0000-0000-000002190000}"/>
    <cellStyle name="40% - 강조색2 46 5" xfId="1806" xr:uid="{00000000-0005-0000-0000-000003190000}"/>
    <cellStyle name="40% - 강조색2 46 6" xfId="739" xr:uid="{00000000-0005-0000-0000-000004190000}"/>
    <cellStyle name="40% - 강조색2 46 7" xfId="2334" xr:uid="{00000000-0005-0000-0000-000005190000}"/>
    <cellStyle name="40% - 강조색2 46 8" xfId="2201" xr:uid="{00000000-0005-0000-0000-000006190000}"/>
    <cellStyle name="40% - 강조색2 46 9" xfId="2931" xr:uid="{00000000-0005-0000-0000-000007190000}"/>
    <cellStyle name="40% - 강조색2 47" xfId="589" xr:uid="{00000000-0005-0000-0000-000008190000}"/>
    <cellStyle name="40% - 강조색2 47 10" xfId="4351" xr:uid="{00000000-0005-0000-0000-000009190000}"/>
    <cellStyle name="40% - 강조색2 47 11" xfId="4724" xr:uid="{00000000-0005-0000-0000-00000A190000}"/>
    <cellStyle name="40% - 강조색2 47 12" xfId="5017" xr:uid="{00000000-0005-0000-0000-00000B190000}"/>
    <cellStyle name="40% - 강조색2 47 13" xfId="3235" xr:uid="{00000000-0005-0000-0000-00000C190000}"/>
    <cellStyle name="40% - 강조색2 47 14" xfId="5785" xr:uid="{00000000-0005-0000-0000-00000D190000}"/>
    <cellStyle name="40% - 강조색2 47 15" xfId="5875" xr:uid="{00000000-0005-0000-0000-00000E190000}"/>
    <cellStyle name="40% - 강조색2 47 16" xfId="6598" xr:uid="{00000000-0005-0000-0000-00000F190000}"/>
    <cellStyle name="40% - 강조색2 47 17" xfId="6809" xr:uid="{00000000-0005-0000-0000-000010190000}"/>
    <cellStyle name="40% - 강조색2 47 18" xfId="803" xr:uid="{00000000-0005-0000-0000-000011190000}"/>
    <cellStyle name="40% - 강조색2 47 19" xfId="6838" xr:uid="{00000000-0005-0000-0000-000012190000}"/>
    <cellStyle name="40% - 강조색2 47 2" xfId="1094" xr:uid="{00000000-0005-0000-0000-000013190000}"/>
    <cellStyle name="40% - 강조색2 47 20" xfId="8061" xr:uid="{00000000-0005-0000-0000-000014190000}"/>
    <cellStyle name="40% - 강조색2 47 21" xfId="4017" xr:uid="{00000000-0005-0000-0000-000015190000}"/>
    <cellStyle name="40% - 강조색2 47 22" xfId="8910" xr:uid="{00000000-0005-0000-0000-000016190000}"/>
    <cellStyle name="40% - 강조색2 47 23" xfId="9277" xr:uid="{00000000-0005-0000-0000-000017190000}"/>
    <cellStyle name="40% - 강조색2 47 24" xfId="9584" xr:uid="{00000000-0005-0000-0000-000018190000}"/>
    <cellStyle name="40% - 강조색2 47 25" xfId="9925" xr:uid="{00000000-0005-0000-0000-000019190000}"/>
    <cellStyle name="40% - 강조색2 47 26" xfId="4637" xr:uid="{00000000-0005-0000-0000-00001A190000}"/>
    <cellStyle name="40% - 강조색2 47 27" xfId="10555" xr:uid="{00000000-0005-0000-0000-00001B190000}"/>
    <cellStyle name="40% - 강조색2 47 28" xfId="8075" xr:uid="{00000000-0005-0000-0000-00001C190000}"/>
    <cellStyle name="40% - 강조색2 47 29" xfId="11186" xr:uid="{00000000-0005-0000-0000-00001D190000}"/>
    <cellStyle name="40% - 강조색2 47 3" xfId="1552" xr:uid="{00000000-0005-0000-0000-00001E190000}"/>
    <cellStyle name="40% - 강조색2 47 30" xfId="11338" xr:uid="{00000000-0005-0000-0000-00001F190000}"/>
    <cellStyle name="40% - 강조색2 47 31" xfId="11433" xr:uid="{00000000-0005-0000-0000-000020190000}"/>
    <cellStyle name="40% - 강조색2 47 32" xfId="11420" xr:uid="{00000000-0005-0000-0000-000021190000}"/>
    <cellStyle name="40% - 강조색2 47 33" xfId="11341" xr:uid="{00000000-0005-0000-0000-000022190000}"/>
    <cellStyle name="40% - 강조색2 47 4" xfId="2286" xr:uid="{00000000-0005-0000-0000-000023190000}"/>
    <cellStyle name="40% - 강조색2 47 5" xfId="2591" xr:uid="{00000000-0005-0000-0000-000024190000}"/>
    <cellStyle name="40% - 강조색2 47 6" xfId="2836" xr:uid="{00000000-0005-0000-0000-000025190000}"/>
    <cellStyle name="40% - 강조색2 47 7" xfId="3212" xr:uid="{00000000-0005-0000-0000-000026190000}"/>
    <cellStyle name="40% - 강조색2 47 8" xfId="897" xr:uid="{00000000-0005-0000-0000-000027190000}"/>
    <cellStyle name="40% - 강조색2 47 9" xfId="3912" xr:uid="{00000000-0005-0000-0000-000028190000}"/>
    <cellStyle name="40% - 강조색2 48" xfId="1097" xr:uid="{00000000-0005-0000-0000-000029190000}"/>
    <cellStyle name="40% - 강조색2 48 10" xfId="4264" xr:uid="{00000000-0005-0000-0000-00002A190000}"/>
    <cellStyle name="40% - 강조색2 48 11" xfId="4625" xr:uid="{00000000-0005-0000-0000-00002B190000}"/>
    <cellStyle name="40% - 강조색2 48 12" xfId="5645" xr:uid="{00000000-0005-0000-0000-00002C190000}"/>
    <cellStyle name="40% - 강조색2 48 13" xfId="5708" xr:uid="{00000000-0005-0000-0000-00002D190000}"/>
    <cellStyle name="40% - 강조색2 48 14" xfId="5149" xr:uid="{00000000-0005-0000-0000-00002E190000}"/>
    <cellStyle name="40% - 강조색2 48 15" xfId="5020" xr:uid="{00000000-0005-0000-0000-00002F190000}"/>
    <cellStyle name="40% - 강조색2 48 16" xfId="6496" xr:uid="{00000000-0005-0000-0000-000030190000}"/>
    <cellStyle name="40% - 강조색2 48 17" xfId="6948" xr:uid="{00000000-0005-0000-0000-000031190000}"/>
    <cellStyle name="40% - 강조색2 48 18" xfId="4000" xr:uid="{00000000-0005-0000-0000-000032190000}"/>
    <cellStyle name="40% - 강조색2 48 19" xfId="7698" xr:uid="{00000000-0005-0000-0000-000033190000}"/>
    <cellStyle name="40% - 강조색2 48 2" xfId="1810" xr:uid="{00000000-0005-0000-0000-000034190000}"/>
    <cellStyle name="40% - 강조색2 48 20" xfId="6133" xr:uid="{00000000-0005-0000-0000-000035190000}"/>
    <cellStyle name="40% - 강조색2 48 21" xfId="2471" xr:uid="{00000000-0005-0000-0000-000036190000}"/>
    <cellStyle name="40% - 강조색2 48 22" xfId="3750" xr:uid="{00000000-0005-0000-0000-000037190000}"/>
    <cellStyle name="40% - 강조색2 48 23" xfId="9216" xr:uid="{00000000-0005-0000-0000-000038190000}"/>
    <cellStyle name="40% - 강조색2 48 24" xfId="3807" xr:uid="{00000000-0005-0000-0000-000039190000}"/>
    <cellStyle name="40% - 강조색2 48 25" xfId="9866" xr:uid="{00000000-0005-0000-0000-00003A190000}"/>
    <cellStyle name="40% - 강조색2 48 26" xfId="10346" xr:uid="{00000000-0005-0000-0000-00003B190000}"/>
    <cellStyle name="40% - 강조색2 48 27" xfId="10596" xr:uid="{00000000-0005-0000-0000-00003C190000}"/>
    <cellStyle name="40% - 강조색2 48 28" xfId="10834" xr:uid="{00000000-0005-0000-0000-00003D190000}"/>
    <cellStyle name="40% - 강조색2 48 29" xfId="4976" xr:uid="{00000000-0005-0000-0000-00003E190000}"/>
    <cellStyle name="40% - 강조색2 48 3" xfId="892" xr:uid="{00000000-0005-0000-0000-00003F190000}"/>
    <cellStyle name="40% - 강조색2 48 4" xfId="2291" xr:uid="{00000000-0005-0000-0000-000040190000}"/>
    <cellStyle name="40% - 강조색2 48 5" xfId="2527" xr:uid="{00000000-0005-0000-0000-000041190000}"/>
    <cellStyle name="40% - 강조색2 48 6" xfId="2911" xr:uid="{00000000-0005-0000-0000-000042190000}"/>
    <cellStyle name="40% - 강조색2 48 7" xfId="3120" xr:uid="{00000000-0005-0000-0000-000043190000}"/>
    <cellStyle name="40% - 강조색2 48 8" xfId="2159" xr:uid="{00000000-0005-0000-0000-000044190000}"/>
    <cellStyle name="40% - 강조색2 48 9" xfId="3975" xr:uid="{00000000-0005-0000-0000-000045190000}"/>
    <cellStyle name="40% - 강조색2 49" xfId="1100" xr:uid="{00000000-0005-0000-0000-000046190000}"/>
    <cellStyle name="40% - 강조색2 49 10" xfId="3881" xr:uid="{00000000-0005-0000-0000-000047190000}"/>
    <cellStyle name="40% - 강조색2 49 11" xfId="4534" xr:uid="{00000000-0005-0000-0000-000048190000}"/>
    <cellStyle name="40% - 강조색2 49 12" xfId="5239" xr:uid="{00000000-0005-0000-0000-000049190000}"/>
    <cellStyle name="40% - 강조색2 49 13" xfId="3598" xr:uid="{00000000-0005-0000-0000-00004A190000}"/>
    <cellStyle name="40% - 강조색2 49 14" xfId="2238" xr:uid="{00000000-0005-0000-0000-00004B190000}"/>
    <cellStyle name="40% - 강조색2 49 15" xfId="5558" xr:uid="{00000000-0005-0000-0000-00004C190000}"/>
    <cellStyle name="40% - 강조색2 49 16" xfId="6567" xr:uid="{00000000-0005-0000-0000-00004D190000}"/>
    <cellStyle name="40% - 강조색2 49 17" xfId="6557" xr:uid="{00000000-0005-0000-0000-00004E190000}"/>
    <cellStyle name="40% - 강조색2 49 18" xfId="7350" xr:uid="{00000000-0005-0000-0000-00004F190000}"/>
    <cellStyle name="40% - 강조색2 49 19" xfId="7704" xr:uid="{00000000-0005-0000-0000-000050190000}"/>
    <cellStyle name="40% - 강조색2 49 2" xfId="1813" xr:uid="{00000000-0005-0000-0000-000051190000}"/>
    <cellStyle name="40% - 강조색2 49 20" xfId="7494" xr:uid="{00000000-0005-0000-0000-000052190000}"/>
    <cellStyle name="40% - 강조색2 49 21" xfId="8444" xr:uid="{00000000-0005-0000-0000-000053190000}"/>
    <cellStyle name="40% - 강조색2 49 22" xfId="8415" xr:uid="{00000000-0005-0000-0000-000054190000}"/>
    <cellStyle name="40% - 강조색2 49 23" xfId="6148" xr:uid="{00000000-0005-0000-0000-000055190000}"/>
    <cellStyle name="40% - 강조색2 49 24" xfId="8805" xr:uid="{00000000-0005-0000-0000-000056190000}"/>
    <cellStyle name="40% - 강조색2 49 25" xfId="10031" xr:uid="{00000000-0005-0000-0000-000057190000}"/>
    <cellStyle name="40% - 강조색2 49 26" xfId="8682" xr:uid="{00000000-0005-0000-0000-000058190000}"/>
    <cellStyle name="40% - 강조색2 49 27" xfId="10423" xr:uid="{00000000-0005-0000-0000-000059190000}"/>
    <cellStyle name="40% - 강조색2 49 28" xfId="9490" xr:uid="{00000000-0005-0000-0000-00005A190000}"/>
    <cellStyle name="40% - 강조색2 49 29" xfId="11086" xr:uid="{00000000-0005-0000-0000-00005B190000}"/>
    <cellStyle name="40% - 강조색2 49 3" xfId="1599" xr:uid="{00000000-0005-0000-0000-00005C190000}"/>
    <cellStyle name="40% - 강조색2 49 4" xfId="2348" xr:uid="{00000000-0005-0000-0000-00005D190000}"/>
    <cellStyle name="40% - 강조색2 49 5" xfId="2583" xr:uid="{00000000-0005-0000-0000-00005E190000}"/>
    <cellStyle name="40% - 강조색2 49 6" xfId="2445" xr:uid="{00000000-0005-0000-0000-00005F190000}"/>
    <cellStyle name="40% - 강조색2 49 7" xfId="1838" xr:uid="{00000000-0005-0000-0000-000060190000}"/>
    <cellStyle name="40% - 강조색2 49 8" xfId="991" xr:uid="{00000000-0005-0000-0000-000061190000}"/>
    <cellStyle name="40% - 강조색2 49 9" xfId="922" xr:uid="{00000000-0005-0000-0000-000062190000}"/>
    <cellStyle name="40% - 강조색2 5" xfId="79" xr:uid="{00000000-0005-0000-0000-000063190000}"/>
    <cellStyle name="40% - 강조색2 50" xfId="1021" xr:uid="{00000000-0005-0000-0000-000064190000}"/>
    <cellStyle name="40% - 강조색2 50 10" xfId="4209" xr:uid="{00000000-0005-0000-0000-000065190000}"/>
    <cellStyle name="40% - 강조색2 50 11" xfId="4443" xr:uid="{00000000-0005-0000-0000-000066190000}"/>
    <cellStyle name="40% - 강조색2 50 12" xfId="5546" xr:uid="{00000000-0005-0000-0000-000067190000}"/>
    <cellStyle name="40% - 강조색2 50 13" xfId="5676" xr:uid="{00000000-0005-0000-0000-000068190000}"/>
    <cellStyle name="40% - 강조색2 50 14" xfId="1372" xr:uid="{00000000-0005-0000-0000-000069190000}"/>
    <cellStyle name="40% - 강조색2 50 15" xfId="5388" xr:uid="{00000000-0005-0000-0000-00006A190000}"/>
    <cellStyle name="40% - 강조색2 50 16" xfId="6045" xr:uid="{00000000-0005-0000-0000-00006B190000}"/>
    <cellStyle name="40% - 강조색2 50 17" xfId="7024" xr:uid="{00000000-0005-0000-0000-00006C190000}"/>
    <cellStyle name="40% - 강조색2 50 18" xfId="7034" xr:uid="{00000000-0005-0000-0000-00006D190000}"/>
    <cellStyle name="40% - 강조색2 50 19" xfId="7666" xr:uid="{00000000-0005-0000-0000-00006E190000}"/>
    <cellStyle name="40% - 강조색2 50 2" xfId="1674" xr:uid="{00000000-0005-0000-0000-00006F190000}"/>
    <cellStyle name="40% - 강조색2 50 20" xfId="7905" xr:uid="{00000000-0005-0000-0000-000070190000}"/>
    <cellStyle name="40% - 강조색2 50 21" xfId="8508" xr:uid="{00000000-0005-0000-0000-000071190000}"/>
    <cellStyle name="40% - 강조색2 50 22" xfId="8964" xr:uid="{00000000-0005-0000-0000-000072190000}"/>
    <cellStyle name="40% - 강조색2 50 23" xfId="7592" xr:uid="{00000000-0005-0000-0000-000073190000}"/>
    <cellStyle name="40% - 강조색2 50 24" xfId="8045" xr:uid="{00000000-0005-0000-0000-000074190000}"/>
    <cellStyle name="40% - 강조색2 50 25" xfId="1527" xr:uid="{00000000-0005-0000-0000-000075190000}"/>
    <cellStyle name="40% - 강조색2 50 26" xfId="6868" xr:uid="{00000000-0005-0000-0000-000076190000}"/>
    <cellStyle name="40% - 강조색2 50 27" xfId="10605" xr:uid="{00000000-0005-0000-0000-000077190000}"/>
    <cellStyle name="40% - 강조색2 50 28" xfId="8948" xr:uid="{00000000-0005-0000-0000-000078190000}"/>
    <cellStyle name="40% - 강조색2 50 29" xfId="11223" xr:uid="{00000000-0005-0000-0000-000079190000}"/>
    <cellStyle name="40% - 강조색2 50 3" xfId="2043" xr:uid="{00000000-0005-0000-0000-00007A190000}"/>
    <cellStyle name="40% - 강조색2 50 4" xfId="2322" xr:uid="{00000000-0005-0000-0000-00007B190000}"/>
    <cellStyle name="40% - 강조색2 50 5" xfId="2682" xr:uid="{00000000-0005-0000-0000-00007C190000}"/>
    <cellStyle name="40% - 강조색2 50 6" xfId="2829" xr:uid="{00000000-0005-0000-0000-00007D190000}"/>
    <cellStyle name="40% - 강조색2 50 7" xfId="3330" xr:uid="{00000000-0005-0000-0000-00007E190000}"/>
    <cellStyle name="40% - 강조색2 50 8" xfId="1875" xr:uid="{00000000-0005-0000-0000-00007F190000}"/>
    <cellStyle name="40% - 강조색2 50 9" xfId="2732" xr:uid="{00000000-0005-0000-0000-000080190000}"/>
    <cellStyle name="40% - 강조색2 51" xfId="1102" xr:uid="{00000000-0005-0000-0000-000081190000}"/>
    <cellStyle name="40% - 강조색2 51 10" xfId="2902" xr:uid="{00000000-0005-0000-0000-000082190000}"/>
    <cellStyle name="40% - 강조색2 51 11" xfId="4711" xr:uid="{00000000-0005-0000-0000-000083190000}"/>
    <cellStyle name="40% - 강조색2 51 12" xfId="5573" xr:uid="{00000000-0005-0000-0000-000084190000}"/>
    <cellStyle name="40% - 강조색2 51 13" xfId="5635" xr:uid="{00000000-0005-0000-0000-000085190000}"/>
    <cellStyle name="40% - 강조색2 51 14" xfId="1475" xr:uid="{00000000-0005-0000-0000-000086190000}"/>
    <cellStyle name="40% - 강조색2 51 15" xfId="4461" xr:uid="{00000000-0005-0000-0000-000087190000}"/>
    <cellStyle name="40% - 강조색2 51 16" xfId="4263" xr:uid="{00000000-0005-0000-0000-000088190000}"/>
    <cellStyle name="40% - 강조색2 51 17" xfId="6858" xr:uid="{00000000-0005-0000-0000-000089190000}"/>
    <cellStyle name="40% - 강조색2 51 18" xfId="6875" xr:uid="{00000000-0005-0000-0000-00008A190000}"/>
    <cellStyle name="40% - 강조색2 51 19" xfId="7816" xr:uid="{00000000-0005-0000-0000-00008B190000}"/>
    <cellStyle name="40% - 강조색2 51 2" xfId="1815" xr:uid="{00000000-0005-0000-0000-00008C190000}"/>
    <cellStyle name="40% - 강조색2 51 20" xfId="8157" xr:uid="{00000000-0005-0000-0000-00008D190000}"/>
    <cellStyle name="40% - 강조색2 51 21" xfId="4901" xr:uid="{00000000-0005-0000-0000-00008E190000}"/>
    <cellStyle name="40% - 강조색2 51 22" xfId="8066" xr:uid="{00000000-0005-0000-0000-00008F190000}"/>
    <cellStyle name="40% - 강조색2 51 23" xfId="2413" xr:uid="{00000000-0005-0000-0000-000090190000}"/>
    <cellStyle name="40% - 강조색2 51 24" xfId="4867" xr:uid="{00000000-0005-0000-0000-000091190000}"/>
    <cellStyle name="40% - 강조색2 51 25" xfId="9845" xr:uid="{00000000-0005-0000-0000-000092190000}"/>
    <cellStyle name="40% - 강조색2 51 26" xfId="10138" xr:uid="{00000000-0005-0000-0000-000093190000}"/>
    <cellStyle name="40% - 강조색2 51 27" xfId="4999" xr:uid="{00000000-0005-0000-0000-000094190000}"/>
    <cellStyle name="40% - 강조색2 51 28" xfId="10789" xr:uid="{00000000-0005-0000-0000-000095190000}"/>
    <cellStyle name="40% - 강조색2 51 29" xfId="11081" xr:uid="{00000000-0005-0000-0000-000096190000}"/>
    <cellStyle name="40% - 강조색2 51 3" xfId="1501" xr:uid="{00000000-0005-0000-0000-000097190000}"/>
    <cellStyle name="40% - 강조색2 51 4" xfId="2285" xr:uid="{00000000-0005-0000-0000-000098190000}"/>
    <cellStyle name="40% - 강조색2 51 5" xfId="1631" xr:uid="{00000000-0005-0000-0000-000099190000}"/>
    <cellStyle name="40% - 강조색2 51 6" xfId="2726" xr:uid="{00000000-0005-0000-0000-00009A190000}"/>
    <cellStyle name="40% - 강조색2 51 7" xfId="1459" xr:uid="{00000000-0005-0000-0000-00009B190000}"/>
    <cellStyle name="40% - 강조색2 51 8" xfId="3693" xr:uid="{00000000-0005-0000-0000-00009C190000}"/>
    <cellStyle name="40% - 강조색2 51 9" xfId="3465" xr:uid="{00000000-0005-0000-0000-00009D190000}"/>
    <cellStyle name="40% - 강조색2 52" xfId="1185" xr:uid="{00000000-0005-0000-0000-00009E190000}"/>
    <cellStyle name="40% - 강조색2 52 10" xfId="3488" xr:uid="{00000000-0005-0000-0000-00009F190000}"/>
    <cellStyle name="40% - 강조색2 52 11" xfId="3564" xr:uid="{00000000-0005-0000-0000-0000A0190000}"/>
    <cellStyle name="40% - 강조색2 52 12" xfId="3394" xr:uid="{00000000-0005-0000-0000-0000A1190000}"/>
    <cellStyle name="40% - 강조색2 52 13" xfId="5790" xr:uid="{00000000-0005-0000-0000-0000A2190000}"/>
    <cellStyle name="40% - 강조색2 52 14" xfId="5880" xr:uid="{00000000-0005-0000-0000-0000A3190000}"/>
    <cellStyle name="40% - 강조색2 52 15" xfId="5943" xr:uid="{00000000-0005-0000-0000-0000A4190000}"/>
    <cellStyle name="40% - 강조색2 52 16" xfId="2425" xr:uid="{00000000-0005-0000-0000-0000A5190000}"/>
    <cellStyle name="40% - 강조색2 52 17" xfId="6812" xr:uid="{00000000-0005-0000-0000-0000A6190000}"/>
    <cellStyle name="40% - 강조색2 52 18" xfId="6268" xr:uid="{00000000-0005-0000-0000-0000A7190000}"/>
    <cellStyle name="40% - 강조색2 52 19" xfId="7423" xr:uid="{00000000-0005-0000-0000-0000A8190000}"/>
    <cellStyle name="40% - 강조색2 52 2" xfId="1818" xr:uid="{00000000-0005-0000-0000-0000A9190000}"/>
    <cellStyle name="40% - 강조색2 52 20" xfId="6420" xr:uid="{00000000-0005-0000-0000-0000AA190000}"/>
    <cellStyle name="40% - 강조색2 52 21" xfId="8131" xr:uid="{00000000-0005-0000-0000-0000AB190000}"/>
    <cellStyle name="40% - 강조색2 52 22" xfId="809" xr:uid="{00000000-0005-0000-0000-0000AC190000}"/>
    <cellStyle name="40% - 강조색2 52 23" xfId="9345" xr:uid="{00000000-0005-0000-0000-0000AD190000}"/>
    <cellStyle name="40% - 강조색2 52 24" xfId="9117" xr:uid="{00000000-0005-0000-0000-0000AE190000}"/>
    <cellStyle name="40% - 강조색2 52 25" xfId="1393" xr:uid="{00000000-0005-0000-0000-0000AF190000}"/>
    <cellStyle name="40% - 강조색2 52 26" xfId="10301" xr:uid="{00000000-0005-0000-0000-0000B0190000}"/>
    <cellStyle name="40% - 강조색2 52 27" xfId="9473" xr:uid="{00000000-0005-0000-0000-0000B1190000}"/>
    <cellStyle name="40% - 강조색2 52 28" xfId="9244" xr:uid="{00000000-0005-0000-0000-0000B2190000}"/>
    <cellStyle name="40% - 강조색2 52 29" xfId="11145" xr:uid="{00000000-0005-0000-0000-0000B3190000}"/>
    <cellStyle name="40% - 강조색2 52 3" xfId="2078" xr:uid="{00000000-0005-0000-0000-0000B4190000}"/>
    <cellStyle name="40% - 강조색2 52 4" xfId="1879" xr:uid="{00000000-0005-0000-0000-0000B5190000}"/>
    <cellStyle name="40% - 강조색2 52 5" xfId="2521" xr:uid="{00000000-0005-0000-0000-0000B6190000}"/>
    <cellStyle name="40% - 강조색2 52 6" xfId="1609" xr:uid="{00000000-0005-0000-0000-0000B7190000}"/>
    <cellStyle name="40% - 강조색2 52 7" xfId="1387" xr:uid="{00000000-0005-0000-0000-0000B8190000}"/>
    <cellStyle name="40% - 강조색2 52 8" xfId="3673" xr:uid="{00000000-0005-0000-0000-0000B9190000}"/>
    <cellStyle name="40% - 강조색2 52 9" xfId="1572" xr:uid="{00000000-0005-0000-0000-0000BA190000}"/>
    <cellStyle name="40% - 강조색2 53" xfId="1265" xr:uid="{00000000-0005-0000-0000-0000BB190000}"/>
    <cellStyle name="40% - 강조색2 53 10" xfId="989" xr:uid="{00000000-0005-0000-0000-0000BC190000}"/>
    <cellStyle name="40% - 강조색2 53 11" xfId="2119" xr:uid="{00000000-0005-0000-0000-0000BD190000}"/>
    <cellStyle name="40% - 강조색2 53 12" xfId="4944" xr:uid="{00000000-0005-0000-0000-0000BE190000}"/>
    <cellStyle name="40% - 강조색2 53 13" xfId="5619" xr:uid="{00000000-0005-0000-0000-0000BF190000}"/>
    <cellStyle name="40% - 강조색2 53 14" xfId="1828" xr:uid="{00000000-0005-0000-0000-0000C0190000}"/>
    <cellStyle name="40% - 강조색2 53 15" xfId="5781" xr:uid="{00000000-0005-0000-0000-0000C1190000}"/>
    <cellStyle name="40% - 강조색2 53 16" xfId="6447" xr:uid="{00000000-0005-0000-0000-0000C2190000}"/>
    <cellStyle name="40% - 강조색2 53 17" xfId="3237" xr:uid="{00000000-0005-0000-0000-0000C3190000}"/>
    <cellStyle name="40% - 강조색2 53 18" xfId="7370" xr:uid="{00000000-0005-0000-0000-0000C4190000}"/>
    <cellStyle name="40% - 강조색2 53 19" xfId="4936" xr:uid="{00000000-0005-0000-0000-0000C5190000}"/>
    <cellStyle name="40% - 강조색2 53 2" xfId="1819" xr:uid="{00000000-0005-0000-0000-0000C6190000}"/>
    <cellStyle name="40% - 강조색2 53 20" xfId="8096" xr:uid="{00000000-0005-0000-0000-0000C7190000}"/>
    <cellStyle name="40% - 강조색2 53 21" xfId="5167" xr:uid="{00000000-0005-0000-0000-0000C8190000}"/>
    <cellStyle name="40% - 강조색2 53 22" xfId="6048" xr:uid="{00000000-0005-0000-0000-0000C9190000}"/>
    <cellStyle name="40% - 강조색2 53 23" xfId="9063" xr:uid="{00000000-0005-0000-0000-0000CA190000}"/>
    <cellStyle name="40% - 강조색2 53 24" xfId="9649" xr:uid="{00000000-0005-0000-0000-0000CB190000}"/>
    <cellStyle name="40% - 강조색2 53 25" xfId="9986" xr:uid="{00000000-0005-0000-0000-0000CC190000}"/>
    <cellStyle name="40% - 강조색2 53 26" xfId="6272" xr:uid="{00000000-0005-0000-0000-0000CD190000}"/>
    <cellStyle name="40% - 강조색2 53 27" xfId="8605" xr:uid="{00000000-0005-0000-0000-0000CE190000}"/>
    <cellStyle name="40% - 강조색2 53 28" xfId="10785" xr:uid="{00000000-0005-0000-0000-0000CF190000}"/>
    <cellStyle name="40% - 강조색2 53 29" xfId="9123" xr:uid="{00000000-0005-0000-0000-0000D0190000}"/>
    <cellStyle name="40% - 강조색2 53 3" xfId="2079" xr:uid="{00000000-0005-0000-0000-0000D1190000}"/>
    <cellStyle name="40% - 강조색2 53 4" xfId="2187" xr:uid="{00000000-0005-0000-0000-0000D2190000}"/>
    <cellStyle name="40% - 강조색2 53 5" xfId="2480" xr:uid="{00000000-0005-0000-0000-0000D3190000}"/>
    <cellStyle name="40% - 강조색2 53 6" xfId="2179" xr:uid="{00000000-0005-0000-0000-0000D4190000}"/>
    <cellStyle name="40% - 강조색2 53 7" xfId="1591" xr:uid="{00000000-0005-0000-0000-0000D5190000}"/>
    <cellStyle name="40% - 강조색2 53 8" xfId="3663" xr:uid="{00000000-0005-0000-0000-0000D6190000}"/>
    <cellStyle name="40% - 강조색2 53 9" xfId="3798" xr:uid="{00000000-0005-0000-0000-0000D7190000}"/>
    <cellStyle name="40% - 강조색2 54" xfId="1517" xr:uid="{00000000-0005-0000-0000-0000D8190000}"/>
    <cellStyle name="40% - 강조색2 54 10" xfId="4627" xr:uid="{00000000-0005-0000-0000-0000D9190000}"/>
    <cellStyle name="40% - 강조색2 54 11" xfId="5481" xr:uid="{00000000-0005-0000-0000-0000DA190000}"/>
    <cellStyle name="40% - 강조색2 54 12" xfId="2194" xr:uid="{00000000-0005-0000-0000-0000DB190000}"/>
    <cellStyle name="40% - 강조색2 54 13" xfId="5064" xr:uid="{00000000-0005-0000-0000-0000DC190000}"/>
    <cellStyle name="40% - 강조색2 54 14" xfId="4812" xr:uid="{00000000-0005-0000-0000-0000DD190000}"/>
    <cellStyle name="40% - 강조색2 54 15" xfId="6368" xr:uid="{00000000-0005-0000-0000-0000DE190000}"/>
    <cellStyle name="40% - 강조색2 54 16" xfId="7144" xr:uid="{00000000-0005-0000-0000-0000DF190000}"/>
    <cellStyle name="40% - 강조색2 54 17" xfId="6914" xr:uid="{00000000-0005-0000-0000-0000E0190000}"/>
    <cellStyle name="40% - 강조색2 54 18" xfId="7838" xr:uid="{00000000-0005-0000-0000-0000E1190000}"/>
    <cellStyle name="40% - 강조색2 54 19" xfId="8246" xr:uid="{00000000-0005-0000-0000-0000E2190000}"/>
    <cellStyle name="40% - 강조색2 54 2" xfId="2083" xr:uid="{00000000-0005-0000-0000-0000E3190000}"/>
    <cellStyle name="40% - 강조색2 54 20" xfId="6847" xr:uid="{00000000-0005-0000-0000-0000E4190000}"/>
    <cellStyle name="40% - 강조색2 54 21" xfId="6049" xr:uid="{00000000-0005-0000-0000-0000E5190000}"/>
    <cellStyle name="40% - 강조색2 54 22" xfId="9133" xr:uid="{00000000-0005-0000-0000-0000E6190000}"/>
    <cellStyle name="40% - 강조색2 54 23" xfId="9647" xr:uid="{00000000-0005-0000-0000-0000E7190000}"/>
    <cellStyle name="40% - 강조색2 54 24" xfId="9892" xr:uid="{00000000-0005-0000-0000-0000E8190000}"/>
    <cellStyle name="40% - 강조색2 54 25" xfId="10098" xr:uid="{00000000-0005-0000-0000-0000E9190000}"/>
    <cellStyle name="40% - 강조색2 54 26" xfId="4797" xr:uid="{00000000-0005-0000-0000-0000EA190000}"/>
    <cellStyle name="40% - 강조색2 54 27" xfId="2210" xr:uid="{00000000-0005-0000-0000-0000EB190000}"/>
    <cellStyle name="40% - 강조색2 54 28" xfId="11140" xr:uid="{00000000-0005-0000-0000-0000EC190000}"/>
    <cellStyle name="40% - 강조색2 54 3" xfId="2365" xr:uid="{00000000-0005-0000-0000-0000ED190000}"/>
    <cellStyle name="40% - 강조색2 54 4" xfId="2496" xr:uid="{00000000-0005-0000-0000-0000EE190000}"/>
    <cellStyle name="40% - 강조색2 54 5" xfId="2550" xr:uid="{00000000-0005-0000-0000-0000EF190000}"/>
    <cellStyle name="40% - 강조색2 54 6" xfId="3307" xr:uid="{00000000-0005-0000-0000-0000F0190000}"/>
    <cellStyle name="40% - 강조색2 54 7" xfId="3071" xr:uid="{00000000-0005-0000-0000-0000F1190000}"/>
    <cellStyle name="40% - 강조색2 54 8" xfId="3886" xr:uid="{00000000-0005-0000-0000-0000F2190000}"/>
    <cellStyle name="40% - 강조색2 54 9" xfId="754" xr:uid="{00000000-0005-0000-0000-0000F3190000}"/>
    <cellStyle name="40% - 강조색2 55" xfId="2062" xr:uid="{00000000-0005-0000-0000-0000F4190000}"/>
    <cellStyle name="40% - 강조색2 55 10" xfId="5449" xr:uid="{00000000-0005-0000-0000-0000F5190000}"/>
    <cellStyle name="40% - 강조색2 55 11" xfId="750" xr:uid="{00000000-0005-0000-0000-0000F6190000}"/>
    <cellStyle name="40% - 강조색2 55 12" xfId="4784" xr:uid="{00000000-0005-0000-0000-0000F7190000}"/>
    <cellStyle name="40% - 강조색2 55 13" xfId="5540" xr:uid="{00000000-0005-0000-0000-0000F8190000}"/>
    <cellStyle name="40% - 강조색2 55 14" xfId="6411" xr:uid="{00000000-0005-0000-0000-0000F9190000}"/>
    <cellStyle name="40% - 강조색2 55 15" xfId="6501" xr:uid="{00000000-0005-0000-0000-0000FA190000}"/>
    <cellStyle name="40% - 강조색2 55 16" xfId="6889" xr:uid="{00000000-0005-0000-0000-0000FB190000}"/>
    <cellStyle name="40% - 강조색2 55 17" xfId="7503" xr:uid="{00000000-0005-0000-0000-0000FC190000}"/>
    <cellStyle name="40% - 강조색2 55 18" xfId="7982" xr:uid="{00000000-0005-0000-0000-0000FD190000}"/>
    <cellStyle name="40% - 강조색2 55 19" xfId="8623" xr:uid="{00000000-0005-0000-0000-0000FE190000}"/>
    <cellStyle name="40% - 강조색2 55 2" xfId="2380" xr:uid="{00000000-0005-0000-0000-0000FF190000}"/>
    <cellStyle name="40% - 강조색2 55 20" xfId="8837" xr:uid="{00000000-0005-0000-0000-0000001A0000}"/>
    <cellStyle name="40% - 강조색2 55 21" xfId="8436" xr:uid="{00000000-0005-0000-0000-0000011A0000}"/>
    <cellStyle name="40% - 강조색2 55 22" xfId="725" xr:uid="{00000000-0005-0000-0000-0000021A0000}"/>
    <cellStyle name="40% - 강조색2 55 23" xfId="10014" xr:uid="{00000000-0005-0000-0000-0000031A0000}"/>
    <cellStyle name="40% - 강조색2 55 24" xfId="6271" xr:uid="{00000000-0005-0000-0000-0000041A0000}"/>
    <cellStyle name="40% - 강조색2 55 25" xfId="10545" xr:uid="{00000000-0005-0000-0000-0000051A0000}"/>
    <cellStyle name="40% - 강조색2 55 26" xfId="6475" xr:uid="{00000000-0005-0000-0000-0000061A0000}"/>
    <cellStyle name="40% - 강조색2 55 27" xfId="10452" xr:uid="{00000000-0005-0000-0000-0000071A0000}"/>
    <cellStyle name="40% - 강조색2 55 3" xfId="2699" xr:uid="{00000000-0005-0000-0000-0000081A0000}"/>
    <cellStyle name="40% - 강조색2 55 4" xfId="3014" xr:uid="{00000000-0005-0000-0000-0000091A0000}"/>
    <cellStyle name="40% - 강조색2 55 5" xfId="3341" xr:uid="{00000000-0005-0000-0000-00000A1A0000}"/>
    <cellStyle name="40% - 강조색2 55 6" xfId="3685" xr:uid="{00000000-0005-0000-0000-00000B1A0000}"/>
    <cellStyle name="40% - 강조색2 55 7" xfId="3801" xr:uid="{00000000-0005-0000-0000-00000C1A0000}"/>
    <cellStyle name="40% - 강조색2 55 8" xfId="4367" xr:uid="{00000000-0005-0000-0000-00000D1A0000}"/>
    <cellStyle name="40% - 강조색2 55 9" xfId="4512" xr:uid="{00000000-0005-0000-0000-00000E1A0000}"/>
    <cellStyle name="40% - 강조색2 56" xfId="2344" xr:uid="{00000000-0005-0000-0000-00000F1A0000}"/>
    <cellStyle name="40% - 강조색2 56 10" xfId="5299" xr:uid="{00000000-0005-0000-0000-0000101A0000}"/>
    <cellStyle name="40% - 강조색2 56 11" xfId="5028" xr:uid="{00000000-0005-0000-0000-0000111A0000}"/>
    <cellStyle name="40% - 강조색2 56 12" xfId="5229" xr:uid="{00000000-0005-0000-0000-0000121A0000}"/>
    <cellStyle name="40% - 강조색2 56 13" xfId="6398" xr:uid="{00000000-0005-0000-0000-0000131A0000}"/>
    <cellStyle name="40% - 강조색2 56 14" xfId="2185" xr:uid="{00000000-0005-0000-0000-0000141A0000}"/>
    <cellStyle name="40% - 강조색2 56 15" xfId="7093" xr:uid="{00000000-0005-0000-0000-0000151A0000}"/>
    <cellStyle name="40% - 강조색2 56 16" xfId="7606" xr:uid="{00000000-0005-0000-0000-0000161A0000}"/>
    <cellStyle name="40% - 강조색2 56 17" xfId="2090" xr:uid="{00000000-0005-0000-0000-0000171A0000}"/>
    <cellStyle name="40% - 강조색2 56 18" xfId="8600" xr:uid="{00000000-0005-0000-0000-0000181A0000}"/>
    <cellStyle name="40% - 강조색2 56 19" xfId="8871" xr:uid="{00000000-0005-0000-0000-0000191A0000}"/>
    <cellStyle name="40% - 강조색2 56 2" xfId="2710" xr:uid="{00000000-0005-0000-0000-00001A1A0000}"/>
    <cellStyle name="40% - 강조색2 56 20" xfId="4465" xr:uid="{00000000-0005-0000-0000-00001B1A0000}"/>
    <cellStyle name="40% - 강조색2 56 21" xfId="9505" xr:uid="{00000000-0005-0000-0000-00001C1A0000}"/>
    <cellStyle name="40% - 강조색2 56 22" xfId="9998" xr:uid="{00000000-0005-0000-0000-00001D1A0000}"/>
    <cellStyle name="40% - 강조색2 56 23" xfId="10354" xr:uid="{00000000-0005-0000-0000-00001E1A0000}"/>
    <cellStyle name="40% - 강조색2 56 24" xfId="10425" xr:uid="{00000000-0005-0000-0000-00001F1A0000}"/>
    <cellStyle name="40% - 강조색2 56 25" xfId="10734" xr:uid="{00000000-0005-0000-0000-0000201A0000}"/>
    <cellStyle name="40% - 강조색2 56 26" xfId="11252" xr:uid="{00000000-0005-0000-0000-0000211A0000}"/>
    <cellStyle name="40% - 강조색2 56 3" xfId="3025" xr:uid="{00000000-0005-0000-0000-0000221A0000}"/>
    <cellStyle name="40% - 강조색2 56 4" xfId="3358" xr:uid="{00000000-0005-0000-0000-0000231A0000}"/>
    <cellStyle name="40% - 강조색2 56 5" xfId="3626" xr:uid="{00000000-0005-0000-0000-0000241A0000}"/>
    <cellStyle name="40% - 강조색2 56 6" xfId="3905" xr:uid="{00000000-0005-0000-0000-0000251A0000}"/>
    <cellStyle name="40% - 강조색2 56 7" xfId="4254" xr:uid="{00000000-0005-0000-0000-0000261A0000}"/>
    <cellStyle name="40% - 강조색2 56 8" xfId="4438" xr:uid="{00000000-0005-0000-0000-0000271A0000}"/>
    <cellStyle name="40% - 강조색2 56 9" xfId="2762" xr:uid="{00000000-0005-0000-0000-0000281A0000}"/>
    <cellStyle name="40% - 강조색2 57" xfId="801" xr:uid="{00000000-0005-0000-0000-0000291A0000}"/>
    <cellStyle name="40% - 강조색2 57 10" xfId="4859" xr:uid="{00000000-0005-0000-0000-00002A1A0000}"/>
    <cellStyle name="40% - 강조색2 57 11" xfId="5101" xr:uid="{00000000-0005-0000-0000-00002B1A0000}"/>
    <cellStyle name="40% - 강조색2 57 12" xfId="4558" xr:uid="{00000000-0005-0000-0000-00002C1A0000}"/>
    <cellStyle name="40% - 강조색2 57 13" xfId="6769" xr:uid="{00000000-0005-0000-0000-00002D1A0000}"/>
    <cellStyle name="40% - 강조색2 57 14" xfId="7268" xr:uid="{00000000-0005-0000-0000-00002E1A0000}"/>
    <cellStyle name="40% - 강조색2 57 15" xfId="7772" xr:uid="{00000000-0005-0000-0000-00002F1A0000}"/>
    <cellStyle name="40% - 강조색2 57 16" xfId="6226" xr:uid="{00000000-0005-0000-0000-0000301A0000}"/>
    <cellStyle name="40% - 강조색2 57 17" xfId="8448" xr:uid="{00000000-0005-0000-0000-0000311A0000}"/>
    <cellStyle name="40% - 강조색2 57 18" xfId="4460" xr:uid="{00000000-0005-0000-0000-0000321A0000}"/>
    <cellStyle name="40% - 강조색2 57 19" xfId="9253" xr:uid="{00000000-0005-0000-0000-0000331A0000}"/>
    <cellStyle name="40% - 강조색2 57 2" xfId="1536" xr:uid="{00000000-0005-0000-0000-0000341A0000}"/>
    <cellStyle name="40% - 강조색2 57 20" xfId="9472" xr:uid="{00000000-0005-0000-0000-0000351A0000}"/>
    <cellStyle name="40% - 강조색2 57 21" xfId="9910" xr:uid="{00000000-0005-0000-0000-0000361A0000}"/>
    <cellStyle name="40% - 강조색2 57 22" xfId="10099" xr:uid="{00000000-0005-0000-0000-0000371A0000}"/>
    <cellStyle name="40% - 강조색2 57 23" xfId="10205" xr:uid="{00000000-0005-0000-0000-0000381A0000}"/>
    <cellStyle name="40% - 강조색2 57 24" xfId="10840" xr:uid="{00000000-0005-0000-0000-0000391A0000}"/>
    <cellStyle name="40% - 강조색2 57 25" xfId="11041" xr:uid="{00000000-0005-0000-0000-00003A1A0000}"/>
    <cellStyle name="40% - 강조색2 57 3" xfId="3144" xr:uid="{00000000-0005-0000-0000-00003B1A0000}"/>
    <cellStyle name="40% - 강조색2 57 4" xfId="3637" xr:uid="{00000000-0005-0000-0000-00003C1A0000}"/>
    <cellStyle name="40% - 강조색2 57 5" xfId="3884" xr:uid="{00000000-0005-0000-0000-00003D1A0000}"/>
    <cellStyle name="40% - 강조색2 57 6" xfId="4344" xr:uid="{00000000-0005-0000-0000-00003E1A0000}"/>
    <cellStyle name="40% - 강조색2 57 7" xfId="3681" xr:uid="{00000000-0005-0000-0000-00003F1A0000}"/>
    <cellStyle name="40% - 강조색2 57 8" xfId="707" xr:uid="{00000000-0005-0000-0000-0000401A0000}"/>
    <cellStyle name="40% - 강조색2 57 9" xfId="5440" xr:uid="{00000000-0005-0000-0000-0000411A0000}"/>
    <cellStyle name="40% - 강조색2 58" xfId="2991" xr:uid="{00000000-0005-0000-0000-0000421A0000}"/>
    <cellStyle name="40% - 강조색2 58 10" xfId="5533" xr:uid="{00000000-0005-0000-0000-0000431A0000}"/>
    <cellStyle name="40% - 강조색2 58 11" xfId="6155" xr:uid="{00000000-0005-0000-0000-0000441A0000}"/>
    <cellStyle name="40% - 강조색2 58 12" xfId="7204" xr:uid="{00000000-0005-0000-0000-0000451A0000}"/>
    <cellStyle name="40% - 강조색2 58 13" xfId="7094" xr:uid="{00000000-0005-0000-0000-0000461A0000}"/>
    <cellStyle name="40% - 강조색2 58 14" xfId="6881" xr:uid="{00000000-0005-0000-0000-0000471A0000}"/>
    <cellStyle name="40% - 강조색2 58 15" xfId="8269" xr:uid="{00000000-0005-0000-0000-0000481A0000}"/>
    <cellStyle name="40% - 강조색2 58 16" xfId="1467" xr:uid="{00000000-0005-0000-0000-0000491A0000}"/>
    <cellStyle name="40% - 강조색2 58 17" xfId="8720" xr:uid="{00000000-0005-0000-0000-00004A1A0000}"/>
    <cellStyle name="40% - 강조색2 58 18" xfId="7203" xr:uid="{00000000-0005-0000-0000-00004B1A0000}"/>
    <cellStyle name="40% - 강조색2 58 19" xfId="8695" xr:uid="{00000000-0005-0000-0000-00004C1A0000}"/>
    <cellStyle name="40% - 강조색2 58 2" xfId="3377" xr:uid="{00000000-0005-0000-0000-00004D1A0000}"/>
    <cellStyle name="40% - 강조색2 58 20" xfId="3891" xr:uid="{00000000-0005-0000-0000-00004E1A0000}"/>
    <cellStyle name="40% - 강조색2 58 21" xfId="8502" xr:uid="{00000000-0005-0000-0000-00004F1A0000}"/>
    <cellStyle name="40% - 강조색2 58 22" xfId="8461" xr:uid="{00000000-0005-0000-0000-0000501A0000}"/>
    <cellStyle name="40% - 강조색2 58 23" xfId="10756" xr:uid="{00000000-0005-0000-0000-0000511A0000}"/>
    <cellStyle name="40% - 강조색2 58 24" xfId="11196" xr:uid="{00000000-0005-0000-0000-0000521A0000}"/>
    <cellStyle name="40% - 강조색2 58 3" xfId="3710" xr:uid="{00000000-0005-0000-0000-0000531A0000}"/>
    <cellStyle name="40% - 강조색2 58 4" xfId="4048" xr:uid="{00000000-0005-0000-0000-0000541A0000}"/>
    <cellStyle name="40% - 강조색2 58 5" xfId="4289" xr:uid="{00000000-0005-0000-0000-0000551A0000}"/>
    <cellStyle name="40% - 강조색2 58 6" xfId="4497" xr:uid="{00000000-0005-0000-0000-0000561A0000}"/>
    <cellStyle name="40% - 강조색2 58 7" xfId="5014" xr:uid="{00000000-0005-0000-0000-0000571A0000}"/>
    <cellStyle name="40% - 강조색2 58 8" xfId="5654" xr:uid="{00000000-0005-0000-0000-0000581A0000}"/>
    <cellStyle name="40% - 강조색2 58 9" xfId="5510" xr:uid="{00000000-0005-0000-0000-0000591A0000}"/>
    <cellStyle name="40% - 강조색2 59" xfId="3349" xr:uid="{00000000-0005-0000-0000-00005A1A0000}"/>
    <cellStyle name="40% - 강조색2 59 10" xfId="6537" xr:uid="{00000000-0005-0000-0000-00005B1A0000}"/>
    <cellStyle name="40% - 강조색2 59 11" xfId="4940" xr:uid="{00000000-0005-0000-0000-00005C1A0000}"/>
    <cellStyle name="40% - 강조색2 59 12" xfId="2004" xr:uid="{00000000-0005-0000-0000-00005D1A0000}"/>
    <cellStyle name="40% - 강조색2 59 13" xfId="6505" xr:uid="{00000000-0005-0000-0000-00005E1A0000}"/>
    <cellStyle name="40% - 강조색2 59 14" xfId="7056" xr:uid="{00000000-0005-0000-0000-00005F1A0000}"/>
    <cellStyle name="40% - 강조색2 59 15" xfId="8384" xr:uid="{00000000-0005-0000-0000-0000601A0000}"/>
    <cellStyle name="40% - 강조색2 59 16" xfId="6177" xr:uid="{00000000-0005-0000-0000-0000611A0000}"/>
    <cellStyle name="40% - 강조색2 59 17" xfId="8748" xr:uid="{00000000-0005-0000-0000-0000621A0000}"/>
    <cellStyle name="40% - 강조색2 59 18" xfId="8701" xr:uid="{00000000-0005-0000-0000-0000631A0000}"/>
    <cellStyle name="40% - 강조색2 59 19" xfId="10016" xr:uid="{00000000-0005-0000-0000-0000641A0000}"/>
    <cellStyle name="40% - 강조색2 59 2" xfId="3720" xr:uid="{00000000-0005-0000-0000-0000651A0000}"/>
    <cellStyle name="40% - 강조색2 59 20" xfId="8878" xr:uid="{00000000-0005-0000-0000-0000661A0000}"/>
    <cellStyle name="40% - 강조색2 59 21" xfId="6193" xr:uid="{00000000-0005-0000-0000-0000671A0000}"/>
    <cellStyle name="40% - 강조색2 59 22" xfId="10876" xr:uid="{00000000-0005-0000-0000-0000681A0000}"/>
    <cellStyle name="40% - 강조색2 59 23" xfId="11215" xr:uid="{00000000-0005-0000-0000-0000691A0000}"/>
    <cellStyle name="40% - 강조색2 59 3" xfId="4059" xr:uid="{00000000-0005-0000-0000-00006A1A0000}"/>
    <cellStyle name="40% - 강조색2 59 4" xfId="4395" xr:uid="{00000000-0005-0000-0000-00006B1A0000}"/>
    <cellStyle name="40% - 강조색2 59 5" xfId="4740" xr:uid="{00000000-0005-0000-0000-00006C1A0000}"/>
    <cellStyle name="40% - 강조색2 59 6" xfId="5082" xr:uid="{00000000-0005-0000-0000-00006D1A0000}"/>
    <cellStyle name="40% - 강조색2 59 7" xfId="5156" xr:uid="{00000000-0005-0000-0000-00006E1A0000}"/>
    <cellStyle name="40% - 강조색2 59 8" xfId="2111" xr:uid="{00000000-0005-0000-0000-00006F1A0000}"/>
    <cellStyle name="40% - 강조색2 59 9" xfId="4819" xr:uid="{00000000-0005-0000-0000-0000701A0000}"/>
    <cellStyle name="40% - 강조색2 6" xfId="75" xr:uid="{00000000-0005-0000-0000-0000711A0000}"/>
    <cellStyle name="40% - 강조색2 60" xfId="3690" xr:uid="{00000000-0005-0000-0000-0000721A0000}"/>
    <cellStyle name="40% - 강조색2 60 10" xfId="6908" xr:uid="{00000000-0005-0000-0000-0000731A0000}"/>
    <cellStyle name="40% - 강조색2 60 11" xfId="7048" xr:uid="{00000000-0005-0000-0000-0000741A0000}"/>
    <cellStyle name="40% - 강조색2 60 12" xfId="6241" xr:uid="{00000000-0005-0000-0000-0000751A0000}"/>
    <cellStyle name="40% - 강조색2 60 13" xfId="8113" xr:uid="{00000000-0005-0000-0000-0000761A0000}"/>
    <cellStyle name="40% - 강조색2 60 14" xfId="7577" xr:uid="{00000000-0005-0000-0000-0000771A0000}"/>
    <cellStyle name="40% - 강조색2 60 15" xfId="8781" xr:uid="{00000000-0005-0000-0000-0000781A0000}"/>
    <cellStyle name="40% - 강조색2 60 16" xfId="9377" xr:uid="{00000000-0005-0000-0000-0000791A0000}"/>
    <cellStyle name="40% - 강조색2 60 17" xfId="6040" xr:uid="{00000000-0005-0000-0000-00007A1A0000}"/>
    <cellStyle name="40% - 강조색2 60 18" xfId="7521" xr:uid="{00000000-0005-0000-0000-00007B1A0000}"/>
    <cellStyle name="40% - 강조색2 60 19" xfId="10319" xr:uid="{00000000-0005-0000-0000-00007C1A0000}"/>
    <cellStyle name="40% - 강조색2 60 2" xfId="4069" xr:uid="{00000000-0005-0000-0000-00007D1A0000}"/>
    <cellStyle name="40% - 강조색2 60 20" xfId="8332" xr:uid="{00000000-0005-0000-0000-00007E1A0000}"/>
    <cellStyle name="40% - 강조색2 60 21" xfId="10975" xr:uid="{00000000-0005-0000-0000-00007F1A0000}"/>
    <cellStyle name="40% - 강조색2 60 22" xfId="11123" xr:uid="{00000000-0005-0000-0000-0000801A0000}"/>
    <cellStyle name="40% - 강조색2 60 3" xfId="4405" xr:uid="{00000000-0005-0000-0000-0000811A0000}"/>
    <cellStyle name="40% - 강조색2 60 4" xfId="4758" xr:uid="{00000000-0005-0000-0000-0000821A0000}"/>
    <cellStyle name="40% - 강조색2 60 5" xfId="5344" xr:uid="{00000000-0005-0000-0000-0000831A0000}"/>
    <cellStyle name="40% - 강조색2 60 6" xfId="4959" xr:uid="{00000000-0005-0000-0000-0000841A0000}"/>
    <cellStyle name="40% - 강조색2 60 7" xfId="3063" xr:uid="{00000000-0005-0000-0000-0000851A0000}"/>
    <cellStyle name="40% - 강조색2 60 8" xfId="1874" xr:uid="{00000000-0005-0000-0000-0000861A0000}"/>
    <cellStyle name="40% - 강조색2 60 9" xfId="6463" xr:uid="{00000000-0005-0000-0000-0000871A0000}"/>
    <cellStyle name="40% - 강조색2 61" xfId="4027" xr:uid="{00000000-0005-0000-0000-0000881A0000}"/>
    <cellStyle name="40% - 강조색2 61 10" xfId="756" xr:uid="{00000000-0005-0000-0000-0000891A0000}"/>
    <cellStyle name="40% - 강조색2 61 11" xfId="4333" xr:uid="{00000000-0005-0000-0000-00008A1A0000}"/>
    <cellStyle name="40% - 강조색2 61 12" xfId="8245" xr:uid="{00000000-0005-0000-0000-00008B1A0000}"/>
    <cellStyle name="40% - 강조색2 61 13" xfId="8121" xr:uid="{00000000-0005-0000-0000-00008C1A0000}"/>
    <cellStyle name="40% - 강조색2 61 14" xfId="1991" xr:uid="{00000000-0005-0000-0000-00008D1A0000}"/>
    <cellStyle name="40% - 강조색2 61 15" xfId="4119" xr:uid="{00000000-0005-0000-0000-00008E1A0000}"/>
    <cellStyle name="40% - 강조색2 61 16" xfId="9514" xr:uid="{00000000-0005-0000-0000-00008F1A0000}"/>
    <cellStyle name="40% - 강조색2 61 17" xfId="9870" xr:uid="{00000000-0005-0000-0000-0000901A0000}"/>
    <cellStyle name="40% - 강조색2 61 18" xfId="6746" xr:uid="{00000000-0005-0000-0000-0000911A0000}"/>
    <cellStyle name="40% - 강조색2 61 19" xfId="10583" xr:uid="{00000000-0005-0000-0000-0000921A0000}"/>
    <cellStyle name="40% - 강조색2 61 2" xfId="4414" xr:uid="{00000000-0005-0000-0000-0000931A0000}"/>
    <cellStyle name="40% - 강조색2 61 20" xfId="10518" xr:uid="{00000000-0005-0000-0000-0000941A0000}"/>
    <cellStyle name="40% - 강조색2 61 21" xfId="9142" xr:uid="{00000000-0005-0000-0000-0000951A0000}"/>
    <cellStyle name="40% - 강조색2 61 3" xfId="4768" xr:uid="{00000000-0005-0000-0000-0000961A0000}"/>
    <cellStyle name="40% - 강조색2 61 4" xfId="5694" xr:uid="{00000000-0005-0000-0000-0000971A0000}"/>
    <cellStyle name="40% - 강조색2 61 5" xfId="5695" xr:uid="{00000000-0005-0000-0000-0000981A0000}"/>
    <cellStyle name="40% - 강조색2 61 6" xfId="5061" xr:uid="{00000000-0005-0000-0000-0000991A0000}"/>
    <cellStyle name="40% - 강조색2 61 7" xfId="4917" xr:uid="{00000000-0005-0000-0000-00009A1A0000}"/>
    <cellStyle name="40% - 강조색2 61 8" xfId="6626" xr:uid="{00000000-0005-0000-0000-00009B1A0000}"/>
    <cellStyle name="40% - 강조색2 61 9" xfId="7064" xr:uid="{00000000-0005-0000-0000-00009C1A0000}"/>
    <cellStyle name="40% - 강조색2 62" xfId="4386" xr:uid="{00000000-0005-0000-0000-00009D1A0000}"/>
    <cellStyle name="40% - 강조색2 62 10" xfId="3297" xr:uid="{00000000-0005-0000-0000-00009E1A0000}"/>
    <cellStyle name="40% - 강조색2 62 11" xfId="3380" xr:uid="{00000000-0005-0000-0000-00009F1A0000}"/>
    <cellStyle name="40% - 강조색2 62 12" xfId="8403" xr:uid="{00000000-0005-0000-0000-0000A01A0000}"/>
    <cellStyle name="40% - 강조색2 62 13" xfId="4919" xr:uid="{00000000-0005-0000-0000-0000A11A0000}"/>
    <cellStyle name="40% - 강조색2 62 14" xfId="9294" xr:uid="{00000000-0005-0000-0000-0000A21A0000}"/>
    <cellStyle name="40% - 강조색2 62 15" xfId="9690" xr:uid="{00000000-0005-0000-0000-0000A31A0000}"/>
    <cellStyle name="40% - 강조색2 62 16" xfId="8081" xr:uid="{00000000-0005-0000-0000-0000A41A0000}"/>
    <cellStyle name="40% - 강조색2 62 17" xfId="6950" xr:uid="{00000000-0005-0000-0000-0000A51A0000}"/>
    <cellStyle name="40% - 강조색2 62 18" xfId="10524" xr:uid="{00000000-0005-0000-0000-0000A61A0000}"/>
    <cellStyle name="40% - 강조색2 62 19" xfId="10952" xr:uid="{00000000-0005-0000-0000-0000A71A0000}"/>
    <cellStyle name="40% - 강조색2 62 2" xfId="4778" xr:uid="{00000000-0005-0000-0000-0000A81A0000}"/>
    <cellStyle name="40% - 강조색2 62 20" xfId="10227" xr:uid="{00000000-0005-0000-0000-0000A91A0000}"/>
    <cellStyle name="40% - 강조색2 62 3" xfId="5757" xr:uid="{00000000-0005-0000-0000-0000AA1A0000}"/>
    <cellStyle name="40% - 강조색2 62 4" xfId="5857" xr:uid="{00000000-0005-0000-0000-0000AB1A0000}"/>
    <cellStyle name="40% - 강조색2 62 5" xfId="5929" xr:uid="{00000000-0005-0000-0000-0000AC1A0000}"/>
    <cellStyle name="40% - 강조색2 62 6" xfId="5977" xr:uid="{00000000-0005-0000-0000-0000AD1A0000}"/>
    <cellStyle name="40% - 강조색2 62 7" xfId="6636" xr:uid="{00000000-0005-0000-0000-0000AE1A0000}"/>
    <cellStyle name="40% - 강조색2 62 8" xfId="7006" xr:uid="{00000000-0005-0000-0000-0000AF1A0000}"/>
    <cellStyle name="40% - 강조색2 62 9" xfId="6737" xr:uid="{00000000-0005-0000-0000-0000B01A0000}"/>
    <cellStyle name="40% - 강조색2 63" xfId="4737" xr:uid="{00000000-0005-0000-0000-0000B11A0000}"/>
    <cellStyle name="40% - 강조색2 63 10" xfId="1918" xr:uid="{00000000-0005-0000-0000-0000B21A0000}"/>
    <cellStyle name="40% - 강조색2 63 11" xfId="2467" xr:uid="{00000000-0005-0000-0000-0000B31A0000}"/>
    <cellStyle name="40% - 강조색2 63 12" xfId="4879" xr:uid="{00000000-0005-0000-0000-0000B41A0000}"/>
    <cellStyle name="40% - 강조색2 63 13" xfId="9174" xr:uid="{00000000-0005-0000-0000-0000B51A0000}"/>
    <cellStyle name="40% - 강조색2 63 14" xfId="9685" xr:uid="{00000000-0005-0000-0000-0000B61A0000}"/>
    <cellStyle name="40% - 강조색2 63 15" xfId="10018" xr:uid="{00000000-0005-0000-0000-0000B71A0000}"/>
    <cellStyle name="40% - 강조색2 63 16" xfId="5989" xr:uid="{00000000-0005-0000-0000-0000B81A0000}"/>
    <cellStyle name="40% - 강조색2 63 17" xfId="10607" xr:uid="{00000000-0005-0000-0000-0000B91A0000}"/>
    <cellStyle name="40% - 강조색2 63 18" xfId="10475" xr:uid="{00000000-0005-0000-0000-0000BA1A0000}"/>
    <cellStyle name="40% - 강조색2 63 19" xfId="8517" xr:uid="{00000000-0005-0000-0000-0000BB1A0000}"/>
    <cellStyle name="40% - 강조색2 63 2" xfId="5828" xr:uid="{00000000-0005-0000-0000-0000BC1A0000}"/>
    <cellStyle name="40% - 강조색2 63 3" xfId="5906" xr:uid="{00000000-0005-0000-0000-0000BD1A0000}"/>
    <cellStyle name="40% - 강조색2 63 4" xfId="5964" xr:uid="{00000000-0005-0000-0000-0000BE1A0000}"/>
    <cellStyle name="40% - 강조색2 63 5" xfId="5988" xr:uid="{00000000-0005-0000-0000-0000BF1A0000}"/>
    <cellStyle name="40% - 강조색2 63 6" xfId="6648" xr:uid="{00000000-0005-0000-0000-0000C01A0000}"/>
    <cellStyle name="40% - 강조색2 63 7" xfId="7031" xr:uid="{00000000-0005-0000-0000-0000C11A0000}"/>
    <cellStyle name="40% - 강조색2 63 8" xfId="7340" xr:uid="{00000000-0005-0000-0000-0000C21A0000}"/>
    <cellStyle name="40% - 강조색2 63 9" xfId="7392" xr:uid="{00000000-0005-0000-0000-0000C31A0000}"/>
    <cellStyle name="40% - 강조색2 64" xfId="5549" xr:uid="{00000000-0005-0000-0000-0000C41A0000}"/>
    <cellStyle name="40% - 강조색2 64 10" xfId="9531" xr:uid="{00000000-0005-0000-0000-0000C51A0000}"/>
    <cellStyle name="40% - 강조색2 64 11" xfId="9914" xr:uid="{00000000-0005-0000-0000-0000C61A0000}"/>
    <cellStyle name="40% - 강조색2 64 12" xfId="6856" xr:uid="{00000000-0005-0000-0000-0000C71A0000}"/>
    <cellStyle name="40% - 강조색2 64 13" xfId="7661" xr:uid="{00000000-0005-0000-0000-0000C81A0000}"/>
    <cellStyle name="40% - 강조색2 64 14" xfId="10757" xr:uid="{00000000-0005-0000-0000-0000C91A0000}"/>
    <cellStyle name="40% - 강조색2 64 15" xfId="11209" xr:uid="{00000000-0005-0000-0000-0000CA1A0000}"/>
    <cellStyle name="40% - 강조색2 64 2" xfId="6678" xr:uid="{00000000-0005-0000-0000-0000CB1A0000}"/>
    <cellStyle name="40% - 강조색2 64 3" xfId="7286" xr:uid="{00000000-0005-0000-0000-0000CC1A0000}"/>
    <cellStyle name="40% - 강조색2 64 4" xfId="7293" xr:uid="{00000000-0005-0000-0000-0000CD1A0000}"/>
    <cellStyle name="40% - 강조색2 64 5" xfId="7559" xr:uid="{00000000-0005-0000-0000-0000CE1A0000}"/>
    <cellStyle name="40% - 강조색2 64 6" xfId="8183" xr:uid="{00000000-0005-0000-0000-0000CF1A0000}"/>
    <cellStyle name="40% - 강조색2 64 7" xfId="8549" xr:uid="{00000000-0005-0000-0000-0000D01A0000}"/>
    <cellStyle name="40% - 강조색2 64 8" xfId="7774" xr:uid="{00000000-0005-0000-0000-0000D11A0000}"/>
    <cellStyle name="40% - 강조색2 64 9" xfId="9120" xr:uid="{00000000-0005-0000-0000-0000D21A0000}"/>
    <cellStyle name="40% - 강조색2 65" xfId="5756" xr:uid="{00000000-0005-0000-0000-0000D31A0000}"/>
    <cellStyle name="40% - 강조색2 65 10" xfId="8699" xr:uid="{00000000-0005-0000-0000-0000D41A0000}"/>
    <cellStyle name="40% - 강조색2 65 11" xfId="9912" xr:uid="{00000000-0005-0000-0000-0000D51A0000}"/>
    <cellStyle name="40% - 강조색2 65 12" xfId="9451" xr:uid="{00000000-0005-0000-0000-0000D61A0000}"/>
    <cellStyle name="40% - 강조색2 65 13" xfId="10100" xr:uid="{00000000-0005-0000-0000-0000D71A0000}"/>
    <cellStyle name="40% - 강조색2 65 14" xfId="6528" xr:uid="{00000000-0005-0000-0000-0000D81A0000}"/>
    <cellStyle name="40% - 강조색2 65 15" xfId="7923" xr:uid="{00000000-0005-0000-0000-0000D91A0000}"/>
    <cellStyle name="40% - 강조색2 65 2" xfId="6688" xr:uid="{00000000-0005-0000-0000-0000DA1A0000}"/>
    <cellStyle name="40% - 강조색2 65 3" xfId="7311" xr:uid="{00000000-0005-0000-0000-0000DB1A0000}"/>
    <cellStyle name="40% - 강조색2 65 4" xfId="6098" xr:uid="{00000000-0005-0000-0000-0000DC1A0000}"/>
    <cellStyle name="40% - 강조색2 65 5" xfId="7856" xr:uid="{00000000-0005-0000-0000-0000DD1A0000}"/>
    <cellStyle name="40% - 강조색2 65 6" xfId="7998" xr:uid="{00000000-0005-0000-0000-0000DE1A0000}"/>
    <cellStyle name="40% - 강조색2 65 7" xfId="8446" xr:uid="{00000000-0005-0000-0000-0000DF1A0000}"/>
    <cellStyle name="40% - 강조색2 65 8" xfId="8155" xr:uid="{00000000-0005-0000-0000-0000E01A0000}"/>
    <cellStyle name="40% - 강조색2 65 9" xfId="9140" xr:uid="{00000000-0005-0000-0000-0000E11A0000}"/>
    <cellStyle name="40% - 강조색2 66" xfId="5856" xr:uid="{00000000-0005-0000-0000-0000E21A0000}"/>
    <cellStyle name="40% - 강조색2 66 10" xfId="9489" xr:uid="{00000000-0005-0000-0000-0000E31A0000}"/>
    <cellStyle name="40% - 강조색2 66 11" xfId="5307" xr:uid="{00000000-0005-0000-0000-0000E41A0000}"/>
    <cellStyle name="40% - 강조색2 66 12" xfId="3053" xr:uid="{00000000-0005-0000-0000-0000E51A0000}"/>
    <cellStyle name="40% - 강조색2 66 13" xfId="6191" xr:uid="{00000000-0005-0000-0000-0000E61A0000}"/>
    <cellStyle name="40% - 강조색2 66 14" xfId="9476" xr:uid="{00000000-0005-0000-0000-0000E71A0000}"/>
    <cellStyle name="40% - 강조색2 66 15" xfId="1399" xr:uid="{00000000-0005-0000-0000-0000E81A0000}"/>
    <cellStyle name="40% - 강조색2 66 2" xfId="6694" xr:uid="{00000000-0005-0000-0000-0000E91A0000}"/>
    <cellStyle name="40% - 강조색2 66 3" xfId="7320" xr:uid="{00000000-0005-0000-0000-0000EA1A0000}"/>
    <cellStyle name="40% - 강조색2 66 4" xfId="6836" xr:uid="{00000000-0005-0000-0000-0000EB1A0000}"/>
    <cellStyle name="40% - 강조색2 66 5" xfId="7862" xr:uid="{00000000-0005-0000-0000-0000EC1A0000}"/>
    <cellStyle name="40% - 강조색2 66 6" xfId="6404" xr:uid="{00000000-0005-0000-0000-0000ED1A0000}"/>
    <cellStyle name="40% - 강조색2 66 7" xfId="7949" xr:uid="{00000000-0005-0000-0000-0000EE1A0000}"/>
    <cellStyle name="40% - 강조색2 66 8" xfId="4578" xr:uid="{00000000-0005-0000-0000-0000EF1A0000}"/>
    <cellStyle name="40% - 강조색2 66 9" xfId="3725" xr:uid="{00000000-0005-0000-0000-0000F01A0000}"/>
    <cellStyle name="40% - 강조색2 67" xfId="5928" xr:uid="{00000000-0005-0000-0000-0000F11A0000}"/>
    <cellStyle name="40% - 강조색2 67 10" xfId="9718" xr:uid="{00000000-0005-0000-0000-0000F21A0000}"/>
    <cellStyle name="40% - 강조색2 67 11" xfId="9904" xr:uid="{00000000-0005-0000-0000-0000F31A0000}"/>
    <cellStyle name="40% - 강조색2 67 12" xfId="10174" xr:uid="{00000000-0005-0000-0000-0000F41A0000}"/>
    <cellStyle name="40% - 강조색2 67 13" xfId="10450" xr:uid="{00000000-0005-0000-0000-0000F51A0000}"/>
    <cellStyle name="40% - 강조색2 67 14" xfId="10751" xr:uid="{00000000-0005-0000-0000-0000F61A0000}"/>
    <cellStyle name="40% - 강조색2 67 15" xfId="6762" xr:uid="{00000000-0005-0000-0000-0000F71A0000}"/>
    <cellStyle name="40% - 강조색2 67 2" xfId="6696" xr:uid="{00000000-0005-0000-0000-0000F81A0000}"/>
    <cellStyle name="40% - 강조색2 67 3" xfId="7329" xr:uid="{00000000-0005-0000-0000-0000F91A0000}"/>
    <cellStyle name="40% - 강조색2 67 4" xfId="7376" xr:uid="{00000000-0005-0000-0000-0000FA1A0000}"/>
    <cellStyle name="40% - 강조색2 67 5" xfId="7864" xr:uid="{00000000-0005-0000-0000-0000FB1A0000}"/>
    <cellStyle name="40% - 강조색2 67 6" xfId="7984" xr:uid="{00000000-0005-0000-0000-0000FC1A0000}"/>
    <cellStyle name="40% - 강조색2 67 7" xfId="1845" xr:uid="{00000000-0005-0000-0000-0000FD1A0000}"/>
    <cellStyle name="40% - 강조색2 67 8" xfId="3857" xr:uid="{00000000-0005-0000-0000-0000FE1A0000}"/>
    <cellStyle name="40% - 강조색2 67 9" xfId="3112" xr:uid="{00000000-0005-0000-0000-0000FF1A0000}"/>
    <cellStyle name="40% - 강조색2 68" xfId="6591" xr:uid="{00000000-0005-0000-0000-0000001B0000}"/>
    <cellStyle name="40% - 강조색2 68 10" xfId="8611" xr:uid="{00000000-0005-0000-0000-0000011B0000}"/>
    <cellStyle name="40% - 강조색2 68 11" xfId="2211" xr:uid="{00000000-0005-0000-0000-0000021B0000}"/>
    <cellStyle name="40% - 강조색2 68 12" xfId="4922" xr:uid="{00000000-0005-0000-0000-0000031B0000}"/>
    <cellStyle name="40% - 강조색2 68 13" xfId="10980" xr:uid="{00000000-0005-0000-0000-0000041B0000}"/>
    <cellStyle name="40% - 강조색2 68 14" xfId="11153" xr:uid="{00000000-0005-0000-0000-0000051B0000}"/>
    <cellStyle name="40% - 강조색2 68 2" xfId="7366" xr:uid="{00000000-0005-0000-0000-0000061B0000}"/>
    <cellStyle name="40% - 강조색2 68 3" xfId="7388" xr:uid="{00000000-0005-0000-0000-0000071B0000}"/>
    <cellStyle name="40% - 강조색2 68 4" xfId="7877" xr:uid="{00000000-0005-0000-0000-0000081B0000}"/>
    <cellStyle name="40% - 강조색2 68 5" xfId="771" xr:uid="{00000000-0005-0000-0000-0000091B0000}"/>
    <cellStyle name="40% - 강조색2 68 6" xfId="8531" xr:uid="{00000000-0005-0000-0000-00000A1B0000}"/>
    <cellStyle name="40% - 강조색2 68 7" xfId="7916" xr:uid="{00000000-0005-0000-0000-00000B1B0000}"/>
    <cellStyle name="40% - 강조색2 68 8" xfId="9100" xr:uid="{00000000-0005-0000-0000-00000C1B0000}"/>
    <cellStyle name="40% - 강조색2 68 9" xfId="2797" xr:uid="{00000000-0005-0000-0000-00000D1B0000}"/>
    <cellStyle name="40% - 강조색2 69" xfId="7272" xr:uid="{00000000-0005-0000-0000-00000E1B0000}"/>
    <cellStyle name="40% - 강조색2 69 10" xfId="5116" xr:uid="{00000000-0005-0000-0000-00000F1B0000}"/>
    <cellStyle name="40% - 강조색2 69 11" xfId="9588" xr:uid="{00000000-0005-0000-0000-0000101B0000}"/>
    <cellStyle name="40% - 강조색2 69 12" xfId="11199" xr:uid="{00000000-0005-0000-0000-0000111B0000}"/>
    <cellStyle name="40% - 강조색2 69 2" xfId="7891" xr:uid="{00000000-0005-0000-0000-0000121B0000}"/>
    <cellStyle name="40% - 강조색2 69 3" xfId="8285" xr:uid="{00000000-0005-0000-0000-0000131B0000}"/>
    <cellStyle name="40% - 강조색2 69 4" xfId="8647" xr:uid="{00000000-0005-0000-0000-0000141B0000}"/>
    <cellStyle name="40% - 강조색2 69 5" xfId="6563" xr:uid="{00000000-0005-0000-0000-0000151B0000}"/>
    <cellStyle name="40% - 강조색2 69 6" xfId="9110" xr:uid="{00000000-0005-0000-0000-0000161B0000}"/>
    <cellStyle name="40% - 강조색2 69 7" xfId="9687" xr:uid="{00000000-0005-0000-0000-0000171B0000}"/>
    <cellStyle name="40% - 강조색2 69 8" xfId="9790" xr:uid="{00000000-0005-0000-0000-0000181B0000}"/>
    <cellStyle name="40% - 강조색2 69 9" xfId="10151" xr:uid="{00000000-0005-0000-0000-0000191B0000}"/>
    <cellStyle name="40% - 강조색2 7" xfId="68" xr:uid="{00000000-0005-0000-0000-00001A1B0000}"/>
    <cellStyle name="40% - 강조색2 70" xfId="7372" xr:uid="{00000000-0005-0000-0000-00001B1B0000}"/>
    <cellStyle name="40% - 강조색2 70 10" xfId="2806" xr:uid="{00000000-0005-0000-0000-00001C1B0000}"/>
    <cellStyle name="40% - 강조색2 70 11" xfId="10845" xr:uid="{00000000-0005-0000-0000-00001D1B0000}"/>
    <cellStyle name="40% - 강조색2 70 12" xfId="11191" xr:uid="{00000000-0005-0000-0000-00001E1B0000}"/>
    <cellStyle name="40% - 강조색2 70 2" xfId="7898" xr:uid="{00000000-0005-0000-0000-00001F1B0000}"/>
    <cellStyle name="40% - 강조색2 70 3" xfId="8292" xr:uid="{00000000-0005-0000-0000-0000201B0000}"/>
    <cellStyle name="40% - 강조색2 70 4" xfId="8654" xr:uid="{00000000-0005-0000-0000-0000211B0000}"/>
    <cellStyle name="40% - 강조색2 70 5" xfId="8350" xr:uid="{00000000-0005-0000-0000-0000221B0000}"/>
    <cellStyle name="40% - 강조색2 70 6" xfId="8434" xr:uid="{00000000-0005-0000-0000-0000231B0000}"/>
    <cellStyle name="40% - 강조색2 70 7" xfId="7758" xr:uid="{00000000-0005-0000-0000-0000241B0000}"/>
    <cellStyle name="40% - 강조색2 70 8" xfId="9783" xr:uid="{00000000-0005-0000-0000-0000251B0000}"/>
    <cellStyle name="40% - 강조색2 70 9" xfId="10230" xr:uid="{00000000-0005-0000-0000-0000261B0000}"/>
    <cellStyle name="40% - 강조색2 71" xfId="7852" xr:uid="{00000000-0005-0000-0000-0000271B0000}"/>
    <cellStyle name="40% - 강조색2 71 10" xfId="10830" xr:uid="{00000000-0005-0000-0000-0000281B0000}"/>
    <cellStyle name="40% - 강조색2 71 11" xfId="11175" xr:uid="{00000000-0005-0000-0000-0000291B0000}"/>
    <cellStyle name="40% - 강조색2 71 2" xfId="8303" xr:uid="{00000000-0005-0000-0000-00002A1B0000}"/>
    <cellStyle name="40% - 강조색2 71 3" xfId="8665" xr:uid="{00000000-0005-0000-0000-00002B1B0000}"/>
    <cellStyle name="40% - 강조색2 71 4" xfId="9029" xr:uid="{00000000-0005-0000-0000-00002C1B0000}"/>
    <cellStyle name="40% - 강조색2 71 5" xfId="9387" xr:uid="{00000000-0005-0000-0000-00002D1B0000}"/>
    <cellStyle name="40% - 강조색2 71 6" xfId="9549" xr:uid="{00000000-0005-0000-0000-00002E1B0000}"/>
    <cellStyle name="40% - 강조색2 71 7" xfId="10009" xr:uid="{00000000-0005-0000-0000-00002F1B0000}"/>
    <cellStyle name="40% - 강조색2 71 8" xfId="902" xr:uid="{00000000-0005-0000-0000-0000301B0000}"/>
    <cellStyle name="40% - 강조색2 71 9" xfId="10630" xr:uid="{00000000-0005-0000-0000-0000311B0000}"/>
    <cellStyle name="40% - 강조색2 72" xfId="8255" xr:uid="{00000000-0005-0000-0000-0000321B0000}"/>
    <cellStyle name="40% - 강조색2 72 10" xfId="10218" xr:uid="{00000000-0005-0000-0000-0000331B0000}"/>
    <cellStyle name="40% - 강조색2 72 2" xfId="8674" xr:uid="{00000000-0005-0000-0000-0000341B0000}"/>
    <cellStyle name="40% - 강조색2 72 3" xfId="9038" xr:uid="{00000000-0005-0000-0000-0000351B0000}"/>
    <cellStyle name="40% - 강조색2 72 4" xfId="9397" xr:uid="{00000000-0005-0000-0000-0000361B0000}"/>
    <cellStyle name="40% - 강조색2 72 5" xfId="9729" xr:uid="{00000000-0005-0000-0000-0000371B0000}"/>
    <cellStyle name="40% - 강조색2 72 6" xfId="6189" xr:uid="{00000000-0005-0000-0000-0000381B0000}"/>
    <cellStyle name="40% - 강조색2 72 7" xfId="10336" xr:uid="{00000000-0005-0000-0000-0000391B0000}"/>
    <cellStyle name="40% - 강조색2 72 8" xfId="4353" xr:uid="{00000000-0005-0000-0000-00003A1B0000}"/>
    <cellStyle name="40% - 강조색2 72 9" xfId="9175" xr:uid="{00000000-0005-0000-0000-00003B1B0000}"/>
    <cellStyle name="40% - 강조색2 73" xfId="8632" xr:uid="{00000000-0005-0000-0000-00003C1B0000}"/>
    <cellStyle name="40% - 강조색2 73 2" xfId="9048" xr:uid="{00000000-0005-0000-0000-00003D1B0000}"/>
    <cellStyle name="40% - 강조색2 73 3" xfId="9407" xr:uid="{00000000-0005-0000-0000-00003E1B0000}"/>
    <cellStyle name="40% - 강조색2 73 4" xfId="9739" xr:uid="{00000000-0005-0000-0000-00003F1B0000}"/>
    <cellStyle name="40% - 강조색2 73 5" xfId="10065" xr:uid="{00000000-0005-0000-0000-0000401B0000}"/>
    <cellStyle name="40% - 강조색2 73 6" xfId="7835" xr:uid="{00000000-0005-0000-0000-0000411B0000}"/>
    <cellStyle name="40% - 강조색2 73 7" xfId="7764" xr:uid="{00000000-0005-0000-0000-0000421B0000}"/>
    <cellStyle name="40% - 강조색2 73 8" xfId="9207" xr:uid="{00000000-0005-0000-0000-0000431B0000}"/>
    <cellStyle name="40% - 강조색2 73 9" xfId="8509" xr:uid="{00000000-0005-0000-0000-0000441B0000}"/>
    <cellStyle name="40% - 강조색2 74" xfId="1639" xr:uid="{00000000-0005-0000-0000-0000451B0000}"/>
    <cellStyle name="40% - 강조색2 74 2" xfId="817" xr:uid="{00000000-0005-0000-0000-0000461B0000}"/>
    <cellStyle name="40% - 강조색2 74 3" xfId="9429" xr:uid="{00000000-0005-0000-0000-0000471B0000}"/>
    <cellStyle name="40% - 강조색2 74 4" xfId="7590" xr:uid="{00000000-0005-0000-0000-0000481B0000}"/>
    <cellStyle name="40% - 강조색2 74 5" xfId="6491" xr:uid="{00000000-0005-0000-0000-0000491B0000}"/>
    <cellStyle name="40% - 강조색2 74 6" xfId="10486" xr:uid="{00000000-0005-0000-0000-00004A1B0000}"/>
    <cellStyle name="40% - 강조색2 74 7" xfId="6459" xr:uid="{00000000-0005-0000-0000-00004B1B0000}"/>
    <cellStyle name="40% - 강조색2 74 8" xfId="11157" xr:uid="{00000000-0005-0000-0000-00004C1B0000}"/>
    <cellStyle name="40% - 강조색2 75" xfId="9304" xr:uid="{00000000-0005-0000-0000-00004D1B0000}"/>
    <cellStyle name="40% - 강조색2 75 2" xfId="9753" xr:uid="{00000000-0005-0000-0000-00004E1B0000}"/>
    <cellStyle name="40% - 강조색2 75 3" xfId="10079" xr:uid="{00000000-0005-0000-0000-00004F1B0000}"/>
    <cellStyle name="40% - 강조색2 75 4" xfId="10392" xr:uid="{00000000-0005-0000-0000-0000501B0000}"/>
    <cellStyle name="40% - 강조색2 75 5" xfId="10701" xr:uid="{00000000-0005-0000-0000-0000511B0000}"/>
    <cellStyle name="40% - 강조색2 75 6" xfId="6019" xr:uid="{00000000-0005-0000-0000-0000521B0000}"/>
    <cellStyle name="40% - 강조색2 75 7" xfId="7944" xr:uid="{00000000-0005-0000-0000-0000531B0000}"/>
    <cellStyle name="40% - 강조색2 76" xfId="6183" xr:uid="{00000000-0005-0000-0000-0000541B0000}"/>
    <cellStyle name="40% - 강조색2 76 2" xfId="8499" xr:uid="{00000000-0005-0000-0000-0000551B0000}"/>
    <cellStyle name="40% - 강조색2 76 3" xfId="8417" xr:uid="{00000000-0005-0000-0000-0000561B0000}"/>
    <cellStyle name="40% - 강조색2 76 4" xfId="9162" xr:uid="{00000000-0005-0000-0000-0000571B0000}"/>
    <cellStyle name="40% - 강조색2 76 5" xfId="2766" xr:uid="{00000000-0005-0000-0000-0000581B0000}"/>
    <cellStyle name="40% - 강조색2 76 6" xfId="3463" xr:uid="{00000000-0005-0000-0000-0000591B0000}"/>
    <cellStyle name="40% - 강조색2 77" xfId="10057" xr:uid="{00000000-0005-0000-0000-00005A1B0000}"/>
    <cellStyle name="40% - 강조색2 77 2" xfId="10413" xr:uid="{00000000-0005-0000-0000-00005B1B0000}"/>
    <cellStyle name="40% - 강조색2 77 3" xfId="10724" xr:uid="{00000000-0005-0000-0000-00005C1B0000}"/>
    <cellStyle name="40% - 강조색2 77 4" xfId="11008" xr:uid="{00000000-0005-0000-0000-00005D1B0000}"/>
    <cellStyle name="40% - 강조색2 77 5" xfId="11284" xr:uid="{00000000-0005-0000-0000-00005E1B0000}"/>
    <cellStyle name="40% - 강조색2 78" xfId="10370" xr:uid="{00000000-0005-0000-0000-00005F1B0000}"/>
    <cellStyle name="40% - 강조색2 78 2" xfId="10730" xr:uid="{00000000-0005-0000-0000-0000601B0000}"/>
    <cellStyle name="40% - 강조색2 78 3" xfId="11014" xr:uid="{00000000-0005-0000-0000-0000611B0000}"/>
    <cellStyle name="40% - 강조색2 78 4" xfId="11291" xr:uid="{00000000-0005-0000-0000-0000621B0000}"/>
    <cellStyle name="40% - 강조색2 79" xfId="10685" xr:uid="{00000000-0005-0000-0000-0000631B0000}"/>
    <cellStyle name="40% - 강조색2 79 2" xfId="11024" xr:uid="{00000000-0005-0000-0000-0000641B0000}"/>
    <cellStyle name="40% - 강조색2 79 3" xfId="11302" xr:uid="{00000000-0005-0000-0000-0000651B0000}"/>
    <cellStyle name="40% - 강조색2 8" xfId="62" xr:uid="{00000000-0005-0000-0000-0000661B0000}"/>
    <cellStyle name="40% - 강조색2 80" xfId="10982" xr:uid="{00000000-0005-0000-0000-0000671B0000}"/>
    <cellStyle name="40% - 강조색2 80 2" xfId="11310" xr:uid="{00000000-0005-0000-0000-0000681B0000}"/>
    <cellStyle name="40% - 강조색2 81" xfId="11277" xr:uid="{00000000-0005-0000-0000-0000691B0000}"/>
    <cellStyle name="40% - 강조색2 82" xfId="1793" xr:uid="{00000000-0005-0000-0000-00006A1B0000}"/>
    <cellStyle name="40% - 강조색2 83" xfId="11432" xr:uid="{00000000-0005-0000-0000-00006B1B0000}"/>
    <cellStyle name="40% - 강조색2 84" xfId="11344" xr:uid="{00000000-0005-0000-0000-00006C1B0000}"/>
    <cellStyle name="40% - 강조색2 85" xfId="11430" xr:uid="{00000000-0005-0000-0000-00006D1B0000}"/>
    <cellStyle name="40% - 강조색2 86" xfId="11441" xr:uid="{00000000-0005-0000-0000-00006E1B0000}"/>
    <cellStyle name="40% - 강조색2 9" xfId="63" xr:uid="{00000000-0005-0000-0000-00006F1B0000}"/>
    <cellStyle name="40% - 강조색3" xfId="30" builtinId="39" customBuiltin="1"/>
    <cellStyle name="40% - 강조색3 10" xfId="167" xr:uid="{00000000-0005-0000-0000-0000711B0000}"/>
    <cellStyle name="40% - 강조색3 11" xfId="180" xr:uid="{00000000-0005-0000-0000-0000721B0000}"/>
    <cellStyle name="40% - 강조색3 12" xfId="193" xr:uid="{00000000-0005-0000-0000-0000731B0000}"/>
    <cellStyle name="40% - 강조색3 13" xfId="206" xr:uid="{00000000-0005-0000-0000-0000741B0000}"/>
    <cellStyle name="40% - 강조색3 14" xfId="219" xr:uid="{00000000-0005-0000-0000-0000751B0000}"/>
    <cellStyle name="40% - 강조색3 15" xfId="232" xr:uid="{00000000-0005-0000-0000-0000761B0000}"/>
    <cellStyle name="40% - 강조색3 16" xfId="245" xr:uid="{00000000-0005-0000-0000-0000771B0000}"/>
    <cellStyle name="40% - 강조색3 17" xfId="258" xr:uid="{00000000-0005-0000-0000-0000781B0000}"/>
    <cellStyle name="40% - 강조색3 18" xfId="271" xr:uid="{00000000-0005-0000-0000-0000791B0000}"/>
    <cellStyle name="40% - 강조색3 19" xfId="284" xr:uid="{00000000-0005-0000-0000-00007A1B0000}"/>
    <cellStyle name="40% - 강조색3 2" xfId="51" xr:uid="{00000000-0005-0000-0000-00007B1B0000}"/>
    <cellStyle name="40% - 강조색3 20" xfId="297" xr:uid="{00000000-0005-0000-0000-00007C1B0000}"/>
    <cellStyle name="40% - 강조색3 21" xfId="310" xr:uid="{00000000-0005-0000-0000-00007D1B0000}"/>
    <cellStyle name="40% - 강조색3 22" xfId="323" xr:uid="{00000000-0005-0000-0000-00007E1B0000}"/>
    <cellStyle name="40% - 강조색3 23" xfId="336" xr:uid="{00000000-0005-0000-0000-00007F1B0000}"/>
    <cellStyle name="40% - 강조색3 24" xfId="349" xr:uid="{00000000-0005-0000-0000-0000801B0000}"/>
    <cellStyle name="40% - 강조색3 25" xfId="362" xr:uid="{00000000-0005-0000-0000-0000811B0000}"/>
    <cellStyle name="40% - 강조색3 26" xfId="375" xr:uid="{00000000-0005-0000-0000-0000821B0000}"/>
    <cellStyle name="40% - 강조색3 27" xfId="388" xr:uid="{00000000-0005-0000-0000-0000831B0000}"/>
    <cellStyle name="40% - 강조색3 28" xfId="401" xr:uid="{00000000-0005-0000-0000-0000841B0000}"/>
    <cellStyle name="40% - 강조색3 29" xfId="414" xr:uid="{00000000-0005-0000-0000-0000851B0000}"/>
    <cellStyle name="40% - 강조색3 3" xfId="78" xr:uid="{00000000-0005-0000-0000-0000861B0000}"/>
    <cellStyle name="40% - 강조색3 30" xfId="427" xr:uid="{00000000-0005-0000-0000-0000871B0000}"/>
    <cellStyle name="40% - 강조색3 31" xfId="440" xr:uid="{00000000-0005-0000-0000-0000881B0000}"/>
    <cellStyle name="40% - 강조색3 32" xfId="452" xr:uid="{00000000-0005-0000-0000-0000891B0000}"/>
    <cellStyle name="40% - 강조색3 33" xfId="464" xr:uid="{00000000-0005-0000-0000-00008A1B0000}"/>
    <cellStyle name="40% - 강조색3 34" xfId="476" xr:uid="{00000000-0005-0000-0000-00008B1B0000}"/>
    <cellStyle name="40% - 강조색3 35" xfId="488" xr:uid="{00000000-0005-0000-0000-00008C1B0000}"/>
    <cellStyle name="40% - 강조색3 36" xfId="499" xr:uid="{00000000-0005-0000-0000-00008D1B0000}"/>
    <cellStyle name="40% - 강조색3 37" xfId="510" xr:uid="{00000000-0005-0000-0000-00008E1B0000}"/>
    <cellStyle name="40% - 강조색3 38" xfId="521" xr:uid="{00000000-0005-0000-0000-00008F1B0000}"/>
    <cellStyle name="40% - 강조색3 39" xfId="530" xr:uid="{00000000-0005-0000-0000-0000901B0000}"/>
    <cellStyle name="40% - 강조색3 4" xfId="82" xr:uid="{00000000-0005-0000-0000-0000911B0000}"/>
    <cellStyle name="40% - 강조색3 40" xfId="550" xr:uid="{00000000-0005-0000-0000-0000921B0000}"/>
    <cellStyle name="40% - 강조색3 40 10" xfId="3335" xr:uid="{00000000-0005-0000-0000-0000931B0000}"/>
    <cellStyle name="40% - 강조색3 40 11" xfId="3577" xr:uid="{00000000-0005-0000-0000-0000941B0000}"/>
    <cellStyle name="40% - 강조색3 40 12" xfId="3824" xr:uid="{00000000-0005-0000-0000-0000951B0000}"/>
    <cellStyle name="40% - 강조색3 40 13" xfId="4157" xr:uid="{00000000-0005-0000-0000-0000961B0000}"/>
    <cellStyle name="40% - 강조색3 40 14" xfId="4418" xr:uid="{00000000-0005-0000-0000-0000971B0000}"/>
    <cellStyle name="40% - 강조색3 40 15" xfId="3227" xr:uid="{00000000-0005-0000-0000-0000981B0000}"/>
    <cellStyle name="40% - 강조색3 40 16" xfId="3214" xr:uid="{00000000-0005-0000-0000-0000991B0000}"/>
    <cellStyle name="40% - 강조색3 40 17" xfId="1921" xr:uid="{00000000-0005-0000-0000-00009A1B0000}"/>
    <cellStyle name="40% - 강조색3 40 18" xfId="5099" xr:uid="{00000000-0005-0000-0000-00009B1B0000}"/>
    <cellStyle name="40% - 강조색3 40 19" xfId="6509" xr:uid="{00000000-0005-0000-0000-00009C1B0000}"/>
    <cellStyle name="40% - 강조색3 40 2" xfId="598" xr:uid="{00000000-0005-0000-0000-00009D1B0000}"/>
    <cellStyle name="40% - 강조색3 40 20" xfId="6344" xr:uid="{00000000-0005-0000-0000-00009E1B0000}"/>
    <cellStyle name="40% - 강조색3 40 21" xfId="7137" xr:uid="{00000000-0005-0000-0000-00009F1B0000}"/>
    <cellStyle name="40% - 강조색3 40 22" xfId="7664" xr:uid="{00000000-0005-0000-0000-0000A01B0000}"/>
    <cellStyle name="40% - 강조색3 40 23" xfId="8099" xr:uid="{00000000-0005-0000-0000-0000A11B0000}"/>
    <cellStyle name="40% - 강조색3 40 24" xfId="3551" xr:uid="{00000000-0005-0000-0000-0000A21B0000}"/>
    <cellStyle name="40% - 강조색3 40 25" xfId="4487" xr:uid="{00000000-0005-0000-0000-0000A31B0000}"/>
    <cellStyle name="40% - 강조색3 40 26" xfId="3089" xr:uid="{00000000-0005-0000-0000-0000A41B0000}"/>
    <cellStyle name="40% - 강조색3 40 27" xfId="9723" xr:uid="{00000000-0005-0000-0000-0000A51B0000}"/>
    <cellStyle name="40% - 강조색3 40 28" xfId="6137" xr:uid="{00000000-0005-0000-0000-0000A61B0000}"/>
    <cellStyle name="40% - 강조색3 40 29" xfId="9587" xr:uid="{00000000-0005-0000-0000-0000A71B0000}"/>
    <cellStyle name="40% - 강조색3 40 3" xfId="1009" xr:uid="{00000000-0005-0000-0000-0000A81B0000}"/>
    <cellStyle name="40% - 강조색3 40 30" xfId="10554" xr:uid="{00000000-0005-0000-0000-0000A91B0000}"/>
    <cellStyle name="40% - 강조색3 40 31" xfId="5191" xr:uid="{00000000-0005-0000-0000-0000AA1B0000}"/>
    <cellStyle name="40% - 강조색3 40 32" xfId="11254" xr:uid="{00000000-0005-0000-0000-0000AB1B0000}"/>
    <cellStyle name="40% - 강조색3 40 33" xfId="11320" xr:uid="{00000000-0005-0000-0000-0000AC1B0000}"/>
    <cellStyle name="40% - 강조색3 40 34" xfId="1034" xr:uid="{00000000-0005-0000-0000-0000AD1B0000}"/>
    <cellStyle name="40% - 강조색3 40 35" xfId="11313" xr:uid="{00000000-0005-0000-0000-0000AE1B0000}"/>
    <cellStyle name="40% - 강조색3 40 36" xfId="11392" xr:uid="{00000000-0005-0000-0000-0000AF1B0000}"/>
    <cellStyle name="40% - 강조색3 40 4" xfId="1273" xr:uid="{00000000-0005-0000-0000-0000B01B0000}"/>
    <cellStyle name="40% - 강조색3 40 5" xfId="1660" xr:uid="{00000000-0005-0000-0000-0000B11B0000}"/>
    <cellStyle name="40% - 강조색3 40 6" xfId="761" xr:uid="{00000000-0005-0000-0000-0000B21B0000}"/>
    <cellStyle name="40% - 강조색3 40 7" xfId="689" xr:uid="{00000000-0005-0000-0000-0000B31B0000}"/>
    <cellStyle name="40% - 강조색3 40 8" xfId="2687" xr:uid="{00000000-0005-0000-0000-0000B41B0000}"/>
    <cellStyle name="40% - 강조색3 40 9" xfId="2980" xr:uid="{00000000-0005-0000-0000-0000B51B0000}"/>
    <cellStyle name="40% - 강조색3 41" xfId="608" xr:uid="{00000000-0005-0000-0000-0000B61B0000}"/>
    <cellStyle name="40% - 강조색3 41 10" xfId="3226" xr:uid="{00000000-0005-0000-0000-0000B71B0000}"/>
    <cellStyle name="40% - 강조색3 41 11" xfId="3603" xr:uid="{00000000-0005-0000-0000-0000B81B0000}"/>
    <cellStyle name="40% - 강조색3 41 12" xfId="3863" xr:uid="{00000000-0005-0000-0000-0000B91B0000}"/>
    <cellStyle name="40% - 강조색3 41 13" xfId="1499" xr:uid="{00000000-0005-0000-0000-0000BA1B0000}"/>
    <cellStyle name="40% - 강조색3 41 14" xfId="4715" xr:uid="{00000000-0005-0000-0000-0000BB1B0000}"/>
    <cellStyle name="40% - 강조색3 41 15" xfId="5310" xr:uid="{00000000-0005-0000-0000-0000BC1B0000}"/>
    <cellStyle name="40% - 강조색3 41 16" xfId="5743" xr:uid="{00000000-0005-0000-0000-0000BD1B0000}"/>
    <cellStyle name="40% - 강조색3 41 17" xfId="5846" xr:uid="{00000000-0005-0000-0000-0000BE1B0000}"/>
    <cellStyle name="40% - 강조색3 41 18" xfId="5921" xr:uid="{00000000-0005-0000-0000-0000BF1B0000}"/>
    <cellStyle name="40% - 강조색3 41 19" xfId="6287" xr:uid="{00000000-0005-0000-0000-0000C01B0000}"/>
    <cellStyle name="40% - 강조색3 41 2" xfId="1111" xr:uid="{00000000-0005-0000-0000-0000C11B0000}"/>
    <cellStyle name="40% - 강조색3 41 20" xfId="2589" xr:uid="{00000000-0005-0000-0000-0000C21B0000}"/>
    <cellStyle name="40% - 강조색3 41 21" xfId="6072" xr:uid="{00000000-0005-0000-0000-0000C31B0000}"/>
    <cellStyle name="40% - 강조색3 41 22" xfId="7701" xr:uid="{00000000-0005-0000-0000-0000C41B0000}"/>
    <cellStyle name="40% - 강조색3 41 23" xfId="8023" xr:uid="{00000000-0005-0000-0000-0000C51B0000}"/>
    <cellStyle name="40% - 강조색3 41 24" xfId="7432" xr:uid="{00000000-0005-0000-0000-0000C61B0000}"/>
    <cellStyle name="40% - 강조색3 41 25" xfId="8680" xr:uid="{00000000-0005-0000-0000-0000C71B0000}"/>
    <cellStyle name="40% - 강조색3 41 26" xfId="9348" xr:uid="{00000000-0005-0000-0000-0000C81B0000}"/>
    <cellStyle name="40% - 강조색3 41 27" xfId="9662" xr:uid="{00000000-0005-0000-0000-0000C91B0000}"/>
    <cellStyle name="40% - 강조색3 41 28" xfId="7508" xr:uid="{00000000-0005-0000-0000-0000CA1B0000}"/>
    <cellStyle name="40% - 강조색3 41 29" xfId="10186" xr:uid="{00000000-0005-0000-0000-0000CB1B0000}"/>
    <cellStyle name="40% - 강조색3 41 3" xfId="1191" xr:uid="{00000000-0005-0000-0000-0000CC1B0000}"/>
    <cellStyle name="40% - 강조색3 41 30" xfId="7550" xr:uid="{00000000-0005-0000-0000-0000CD1B0000}"/>
    <cellStyle name="40% - 강조색3 41 31" xfId="10921" xr:uid="{00000000-0005-0000-0000-0000CE1B0000}"/>
    <cellStyle name="40% - 강조색3 41 32" xfId="2169" xr:uid="{00000000-0005-0000-0000-0000CF1B0000}"/>
    <cellStyle name="40% - 강조색3 41 4" xfId="1283" xr:uid="{00000000-0005-0000-0000-0000D01B0000}"/>
    <cellStyle name="40% - 강조색3 41 5" xfId="1777" xr:uid="{00000000-0005-0000-0000-0000D11B0000}"/>
    <cellStyle name="40% - 강조색3 41 6" xfId="894" xr:uid="{00000000-0005-0000-0000-0000D21B0000}"/>
    <cellStyle name="40% - 강조색3 41 7" xfId="1614" xr:uid="{00000000-0005-0000-0000-0000D31B0000}"/>
    <cellStyle name="40% - 강조색3 41 8" xfId="2636" xr:uid="{00000000-0005-0000-0000-0000D41B0000}"/>
    <cellStyle name="40% - 강조색3 41 9" xfId="2936" xr:uid="{00000000-0005-0000-0000-0000D51B0000}"/>
    <cellStyle name="40% - 강조색3 42" xfId="645" xr:uid="{00000000-0005-0000-0000-0000D61B0000}"/>
    <cellStyle name="40% - 강조색3 42 10" xfId="2895" xr:uid="{00000000-0005-0000-0000-0000D71B0000}"/>
    <cellStyle name="40% - 강조색3 42 11" xfId="3239" xr:uid="{00000000-0005-0000-0000-0000D81B0000}"/>
    <cellStyle name="40% - 강조색3 42 12" xfId="3521" xr:uid="{00000000-0005-0000-0000-0000D91B0000}"/>
    <cellStyle name="40% - 강조색3 42 13" xfId="4389" xr:uid="{00000000-0005-0000-0000-0000DA1B0000}"/>
    <cellStyle name="40% - 강조색3 42 14" xfId="2881" xr:uid="{00000000-0005-0000-0000-0000DB1B0000}"/>
    <cellStyle name="40% - 강조색3 42 15" xfId="5361" xr:uid="{00000000-0005-0000-0000-0000DC1B0000}"/>
    <cellStyle name="40% - 강조색3 42 16" xfId="5706" xr:uid="{00000000-0005-0000-0000-0000DD1B0000}"/>
    <cellStyle name="40% - 강조색3 42 17" xfId="5804" xr:uid="{00000000-0005-0000-0000-0000DE1B0000}"/>
    <cellStyle name="40% - 강조색3 42 18" xfId="5889" xr:uid="{00000000-0005-0000-0000-0000DF1B0000}"/>
    <cellStyle name="40% - 강조색3 42 19" xfId="6280" xr:uid="{00000000-0005-0000-0000-0000E01B0000}"/>
    <cellStyle name="40% - 강조색3 42 2" xfId="1148" xr:uid="{00000000-0005-0000-0000-0000E11B0000}"/>
    <cellStyle name="40% - 강조색3 42 20" xfId="7169" xr:uid="{00000000-0005-0000-0000-0000E21B0000}"/>
    <cellStyle name="40% - 강조색3 42 21" xfId="7191" xr:uid="{00000000-0005-0000-0000-0000E31B0000}"/>
    <cellStyle name="40% - 강조색3 42 22" xfId="7791" xr:uid="{00000000-0005-0000-0000-0000E41B0000}"/>
    <cellStyle name="40% - 강조색3 42 23" xfId="5035" xr:uid="{00000000-0005-0000-0000-0000E51B0000}"/>
    <cellStyle name="40% - 강조색3 42 24" xfId="8604" xr:uid="{00000000-0005-0000-0000-0000E61B0000}"/>
    <cellStyle name="40% - 강조색3 42 25" xfId="8866" xr:uid="{00000000-0005-0000-0000-0000E71B0000}"/>
    <cellStyle name="40% - 강조색3 42 26" xfId="9339" xr:uid="{00000000-0005-0000-0000-0000E81B0000}"/>
    <cellStyle name="40% - 강조색3 42 27" xfId="3182" xr:uid="{00000000-0005-0000-0000-0000E91B0000}"/>
    <cellStyle name="40% - 강조색3 42 28" xfId="4576" xr:uid="{00000000-0005-0000-0000-0000EA1B0000}"/>
    <cellStyle name="40% - 강조색3 42 29" xfId="4493" xr:uid="{00000000-0005-0000-0000-0000EB1B0000}"/>
    <cellStyle name="40% - 강조색3 42 3" xfId="1228" xr:uid="{00000000-0005-0000-0000-0000EC1B0000}"/>
    <cellStyle name="40% - 강조색3 42 30" xfId="4215" xr:uid="{00000000-0005-0000-0000-0000ED1B0000}"/>
    <cellStyle name="40% - 강조색3 42 31" xfId="10177" xr:uid="{00000000-0005-0000-0000-0000EE1B0000}"/>
    <cellStyle name="40% - 강조색3 42 32" xfId="7813" xr:uid="{00000000-0005-0000-0000-0000EF1B0000}"/>
    <cellStyle name="40% - 강조색3 42 4" xfId="1320" xr:uid="{00000000-0005-0000-0000-0000F01B0000}"/>
    <cellStyle name="40% - 강조색3 42 5" xfId="1678" xr:uid="{00000000-0005-0000-0000-0000F11B0000}"/>
    <cellStyle name="40% - 강조색3 42 6" xfId="2013" xr:uid="{00000000-0005-0000-0000-0000F21B0000}"/>
    <cellStyle name="40% - 강조색3 42 7" xfId="2346" xr:uid="{00000000-0005-0000-0000-0000F31B0000}"/>
    <cellStyle name="40% - 강조색3 42 8" xfId="2604" xr:uid="{00000000-0005-0000-0000-0000F41B0000}"/>
    <cellStyle name="40% - 강조색3 42 9" xfId="2927" xr:uid="{00000000-0005-0000-0000-0000F51B0000}"/>
    <cellStyle name="40% - 강조색3 43" xfId="663" xr:uid="{00000000-0005-0000-0000-0000F61B0000}"/>
    <cellStyle name="40% - 강조색3 43 10" xfId="3092" xr:uid="{00000000-0005-0000-0000-0000F71B0000}"/>
    <cellStyle name="40% - 강조색3 43 11" xfId="3591" xr:uid="{00000000-0005-0000-0000-0000F81B0000}"/>
    <cellStyle name="40% - 강조색3 43 12" xfId="3967" xr:uid="{00000000-0005-0000-0000-0000F91B0000}"/>
    <cellStyle name="40% - 강조색3 43 13" xfId="845" xr:uid="{00000000-0005-0000-0000-0000FA1B0000}"/>
    <cellStyle name="40% - 강조색3 43 14" xfId="4606" xr:uid="{00000000-0005-0000-0000-0000FB1B0000}"/>
    <cellStyle name="40% - 강조색3 43 15" xfId="5319" xr:uid="{00000000-0005-0000-0000-0000FC1B0000}"/>
    <cellStyle name="40% - 강조색3 43 16" xfId="4825" xr:uid="{00000000-0005-0000-0000-0000FD1B0000}"/>
    <cellStyle name="40% - 강조색3 43 17" xfId="4902" xr:uid="{00000000-0005-0000-0000-0000FE1B0000}"/>
    <cellStyle name="40% - 강조색3 43 18" xfId="5355" xr:uid="{00000000-0005-0000-0000-0000FF1B0000}"/>
    <cellStyle name="40% - 강조색3 43 19" xfId="6277" xr:uid="{00000000-0005-0000-0000-0000001C0000}"/>
    <cellStyle name="40% - 강조색3 43 2" xfId="1166" xr:uid="{00000000-0005-0000-0000-0000011C0000}"/>
    <cellStyle name="40% - 강조색3 43 20" xfId="2859" xr:uid="{00000000-0005-0000-0000-0000021C0000}"/>
    <cellStyle name="40% - 강조색3 43 21" xfId="3885" xr:uid="{00000000-0005-0000-0000-0000031C0000}"/>
    <cellStyle name="40% - 강조색3 43 22" xfId="853" xr:uid="{00000000-0005-0000-0000-0000041C0000}"/>
    <cellStyle name="40% - 강조색3 43 23" xfId="7924" xr:uid="{00000000-0005-0000-0000-0000051C0000}"/>
    <cellStyle name="40% - 강조색3 43 24" xfId="8547" xr:uid="{00000000-0005-0000-0000-0000061C0000}"/>
    <cellStyle name="40% - 강조색3 43 25" xfId="8414" xr:uid="{00000000-0005-0000-0000-0000071C0000}"/>
    <cellStyle name="40% - 강조색3 43 26" xfId="9098" xr:uid="{00000000-0005-0000-0000-0000081C0000}"/>
    <cellStyle name="40% - 강조색3 43 27" xfId="9509" xr:uid="{00000000-0005-0000-0000-0000091C0000}"/>
    <cellStyle name="40% - 강조색3 43 28" xfId="7668" xr:uid="{00000000-0005-0000-0000-00000A1C0000}"/>
    <cellStyle name="40% - 강조색3 43 29" xfId="3067" xr:uid="{00000000-0005-0000-0000-00000B1C0000}"/>
    <cellStyle name="40% - 강조색3 43 3" xfId="1246" xr:uid="{00000000-0005-0000-0000-00000C1C0000}"/>
    <cellStyle name="40% - 강조색3 43 30" xfId="8104" xr:uid="{00000000-0005-0000-0000-00000D1C0000}"/>
    <cellStyle name="40% - 강조색3 43 31" xfId="10831" xr:uid="{00000000-0005-0000-0000-00000E1C0000}"/>
    <cellStyle name="40% - 강조색3 43 32" xfId="11176" xr:uid="{00000000-0005-0000-0000-00000F1C0000}"/>
    <cellStyle name="40% - 강조색3 43 4" xfId="1338" xr:uid="{00000000-0005-0000-0000-0000101C0000}"/>
    <cellStyle name="40% - 강조색3 43 5" xfId="1754" xr:uid="{00000000-0005-0000-0000-0000111C0000}"/>
    <cellStyle name="40% - 강조색3 43 6" xfId="846" xr:uid="{00000000-0005-0000-0000-0000121C0000}"/>
    <cellStyle name="40% - 강조색3 43 7" xfId="2281" xr:uid="{00000000-0005-0000-0000-0000131C0000}"/>
    <cellStyle name="40% - 강조색3 43 8" xfId="2648" xr:uid="{00000000-0005-0000-0000-0000141C0000}"/>
    <cellStyle name="40% - 강조색3 43 9" xfId="2736" xr:uid="{00000000-0005-0000-0000-0000151C0000}"/>
    <cellStyle name="40% - 강조색3 44" xfId="650" xr:uid="{00000000-0005-0000-0000-0000161C0000}"/>
    <cellStyle name="40% - 강조색3 44 10" xfId="2230" xr:uid="{00000000-0005-0000-0000-0000171C0000}"/>
    <cellStyle name="40% - 강조색3 44 11" xfId="3421" xr:uid="{00000000-0005-0000-0000-0000181C0000}"/>
    <cellStyle name="40% - 강조색3 44 12" xfId="798" xr:uid="{00000000-0005-0000-0000-0000191C0000}"/>
    <cellStyle name="40% - 강조색3 44 13" xfId="4312" xr:uid="{00000000-0005-0000-0000-00001A1C0000}"/>
    <cellStyle name="40% - 강조색3 44 14" xfId="820" xr:uid="{00000000-0005-0000-0000-00001B1C0000}"/>
    <cellStyle name="40% - 강조색3 44 15" xfId="5346" xr:uid="{00000000-0005-0000-0000-00001C1C0000}"/>
    <cellStyle name="40% - 강조색3 44 16" xfId="4142" xr:uid="{00000000-0005-0000-0000-00001D1C0000}"/>
    <cellStyle name="40% - 강조색3 44 17" xfId="5507" xr:uid="{00000000-0005-0000-0000-00001E1C0000}"/>
    <cellStyle name="40% - 강조색3 44 18" xfId="5420" xr:uid="{00000000-0005-0000-0000-00001F1C0000}"/>
    <cellStyle name="40% - 강조색3 44 19" xfId="6348" xr:uid="{00000000-0005-0000-0000-0000201C0000}"/>
    <cellStyle name="40% - 강조색3 44 2" xfId="1153" xr:uid="{00000000-0005-0000-0000-0000211C0000}"/>
    <cellStyle name="40% - 강조색3 44 20" xfId="6445" xr:uid="{00000000-0005-0000-0000-0000221C0000}"/>
    <cellStyle name="40% - 강조색3 44 21" xfId="6449" xr:uid="{00000000-0005-0000-0000-0000231C0000}"/>
    <cellStyle name="40% - 강조색3 44 22" xfId="7435" xr:uid="{00000000-0005-0000-0000-0000241C0000}"/>
    <cellStyle name="40% - 강조색3 44 23" xfId="8226" xr:uid="{00000000-0005-0000-0000-0000251C0000}"/>
    <cellStyle name="40% - 강조색3 44 24" xfId="5219" xr:uid="{00000000-0005-0000-0000-0000261C0000}"/>
    <cellStyle name="40% - 강조색3 44 25" xfId="8958" xr:uid="{00000000-0005-0000-0000-0000271C0000}"/>
    <cellStyle name="40% - 강조색3 44 26" xfId="4628" xr:uid="{00000000-0005-0000-0000-0000281C0000}"/>
    <cellStyle name="40% - 강조색3 44 27" xfId="4265" xr:uid="{00000000-0005-0000-0000-0000291C0000}"/>
    <cellStyle name="40% - 강조색3 44 28" xfId="9911" xr:uid="{00000000-0005-0000-0000-00002A1C0000}"/>
    <cellStyle name="40% - 강조색3 44 29" xfId="10109" xr:uid="{00000000-0005-0000-0000-00002B1C0000}"/>
    <cellStyle name="40% - 강조색3 44 3" xfId="1233" xr:uid="{00000000-0005-0000-0000-00002C1C0000}"/>
    <cellStyle name="40% - 강조색3 44 30" xfId="10467" xr:uid="{00000000-0005-0000-0000-00002D1C0000}"/>
    <cellStyle name="40% - 강조색3 44 31" xfId="10221" xr:uid="{00000000-0005-0000-0000-00002E1C0000}"/>
    <cellStyle name="40% - 강조색3 44 32" xfId="11131" xr:uid="{00000000-0005-0000-0000-00002F1C0000}"/>
    <cellStyle name="40% - 강조색3 44 4" xfId="1325" xr:uid="{00000000-0005-0000-0000-0000301C0000}"/>
    <cellStyle name="40% - 강조색3 44 5" xfId="1740" xr:uid="{00000000-0005-0000-0000-0000311C0000}"/>
    <cellStyle name="40% - 강조색3 44 6" xfId="2064" xr:uid="{00000000-0005-0000-0000-0000321C0000}"/>
    <cellStyle name="40% - 강조색3 44 7" xfId="2302" xr:uid="{00000000-0005-0000-0000-0000331C0000}"/>
    <cellStyle name="40% - 강조색3 44 8" xfId="2488" xr:uid="{00000000-0005-0000-0000-0000341C0000}"/>
    <cellStyle name="40% - 강조색3 44 9" xfId="2123" xr:uid="{00000000-0005-0000-0000-0000351C0000}"/>
    <cellStyle name="40% - 강조색3 45" xfId="633" xr:uid="{00000000-0005-0000-0000-0000361C0000}"/>
    <cellStyle name="40% - 강조색3 45 10" xfId="2136" xr:uid="{00000000-0005-0000-0000-0000371C0000}"/>
    <cellStyle name="40% - 강조색3 45 11" xfId="3543" xr:uid="{00000000-0005-0000-0000-0000381C0000}"/>
    <cellStyle name="40% - 강조색3 45 12" xfId="3847" xr:uid="{00000000-0005-0000-0000-0000391C0000}"/>
    <cellStyle name="40% - 강조색3 45 13" xfId="2832" xr:uid="{00000000-0005-0000-0000-00003A1C0000}"/>
    <cellStyle name="40% - 강조색3 45 14" xfId="4539" xr:uid="{00000000-0005-0000-0000-00003B1C0000}"/>
    <cellStyle name="40% - 강조색3 45 15" xfId="5555" xr:uid="{00000000-0005-0000-0000-00003C1C0000}"/>
    <cellStyle name="40% - 강조색3 45 16" xfId="3872" xr:uid="{00000000-0005-0000-0000-00003D1C0000}"/>
    <cellStyle name="40% - 강조색3 45 17" xfId="5056" xr:uid="{00000000-0005-0000-0000-00003E1C0000}"/>
    <cellStyle name="40% - 강조색3 45 18" xfId="5452" xr:uid="{00000000-0005-0000-0000-00003F1C0000}"/>
    <cellStyle name="40% - 강조색3 45 19" xfId="6249" xr:uid="{00000000-0005-0000-0000-0000401C0000}"/>
    <cellStyle name="40% - 강조색3 45 2" xfId="1136" xr:uid="{00000000-0005-0000-0000-0000411C0000}"/>
    <cellStyle name="40% - 강조색3 45 20" xfId="7106" xr:uid="{00000000-0005-0000-0000-0000421C0000}"/>
    <cellStyle name="40% - 강조색3 45 21" xfId="6885" xr:uid="{00000000-0005-0000-0000-0000431C0000}"/>
    <cellStyle name="40% - 강조색3 45 22" xfId="7505" xr:uid="{00000000-0005-0000-0000-0000441C0000}"/>
    <cellStyle name="40% - 강조색3 45 23" xfId="4513" xr:uid="{00000000-0005-0000-0000-0000451C0000}"/>
    <cellStyle name="40% - 강조색3 45 24" xfId="8535" xr:uid="{00000000-0005-0000-0000-0000461C0000}"/>
    <cellStyle name="40% - 강조색3 45 25" xfId="8993" xr:uid="{00000000-0005-0000-0000-0000471C0000}"/>
    <cellStyle name="40% - 강조색3 45 26" xfId="9107" xr:uid="{00000000-0005-0000-0000-0000481C0000}"/>
    <cellStyle name="40% - 강조색3 45 27" xfId="9650" xr:uid="{00000000-0005-0000-0000-0000491C0000}"/>
    <cellStyle name="40% - 강조색3 45 28" xfId="9933" xr:uid="{00000000-0005-0000-0000-00004A1C0000}"/>
    <cellStyle name="40% - 강조색3 45 29" xfId="6771" xr:uid="{00000000-0005-0000-0000-00004B1C0000}"/>
    <cellStyle name="40% - 강조색3 45 3" xfId="1216" xr:uid="{00000000-0005-0000-0000-00004C1C0000}"/>
    <cellStyle name="40% - 강조색3 45 30" xfId="10457" xr:uid="{00000000-0005-0000-0000-00004D1C0000}"/>
    <cellStyle name="40% - 강조색3 45 31" xfId="8751" xr:uid="{00000000-0005-0000-0000-00004E1C0000}"/>
    <cellStyle name="40% - 강조색3 45 32" xfId="10501" xr:uid="{00000000-0005-0000-0000-00004F1C0000}"/>
    <cellStyle name="40% - 강조색3 45 4" xfId="1308" xr:uid="{00000000-0005-0000-0000-0000501C0000}"/>
    <cellStyle name="40% - 강조색3 45 5" xfId="1709" xr:uid="{00000000-0005-0000-0000-0000511C0000}"/>
    <cellStyle name="40% - 강조색3 45 6" xfId="940" xr:uid="{00000000-0005-0000-0000-0000521C0000}"/>
    <cellStyle name="40% - 강조색3 45 7" xfId="1923" xr:uid="{00000000-0005-0000-0000-0000531C0000}"/>
    <cellStyle name="40% - 강조색3 45 8" xfId="2519" xr:uid="{00000000-0005-0000-0000-0000541C0000}"/>
    <cellStyle name="40% - 강조색3 45 9" xfId="2961" xr:uid="{00000000-0005-0000-0000-0000551C0000}"/>
    <cellStyle name="40% - 강조색3 46" xfId="653" xr:uid="{00000000-0005-0000-0000-0000561C0000}"/>
    <cellStyle name="40% - 강조색3 46 10" xfId="3248" xr:uid="{00000000-0005-0000-0000-0000571C0000}"/>
    <cellStyle name="40% - 강조색3 46 11" xfId="3665" xr:uid="{00000000-0005-0000-0000-0000581C0000}"/>
    <cellStyle name="40% - 강조색3 46 12" xfId="3980" xr:uid="{00000000-0005-0000-0000-0000591C0000}"/>
    <cellStyle name="40% - 강조색3 46 13" xfId="4365" xr:uid="{00000000-0005-0000-0000-00005A1C0000}"/>
    <cellStyle name="40% - 강조색3 46 14" xfId="727" xr:uid="{00000000-0005-0000-0000-00005B1C0000}"/>
    <cellStyle name="40% - 강조색3 46 15" xfId="3783" xr:uid="{00000000-0005-0000-0000-00005C1C0000}"/>
    <cellStyle name="40% - 강조색3 46 16" xfId="4342" xr:uid="{00000000-0005-0000-0000-00005D1C0000}"/>
    <cellStyle name="40% - 강조색3 46 17" xfId="4136" xr:uid="{00000000-0005-0000-0000-00005E1C0000}"/>
    <cellStyle name="40% - 강조색3 46 18" xfId="5428" xr:uid="{00000000-0005-0000-0000-00005F1C0000}"/>
    <cellStyle name="40% - 강조색3 46 19" xfId="6562" xr:uid="{00000000-0005-0000-0000-0000601C0000}"/>
    <cellStyle name="40% - 강조색3 46 2" xfId="1156" xr:uid="{00000000-0005-0000-0000-0000611C0000}"/>
    <cellStyle name="40% - 강조색3 46 20" xfId="3039" xr:uid="{00000000-0005-0000-0000-0000621C0000}"/>
    <cellStyle name="40% - 강조색3 46 21" xfId="6793" xr:uid="{00000000-0005-0000-0000-0000631C0000}"/>
    <cellStyle name="40% - 강조색3 46 22" xfId="5148" xr:uid="{00000000-0005-0000-0000-0000641C0000}"/>
    <cellStyle name="40% - 강조색3 46 23" xfId="8162" xr:uid="{00000000-0005-0000-0000-0000651C0000}"/>
    <cellStyle name="40% - 강조색3 46 24" xfId="6011" xr:uid="{00000000-0005-0000-0000-0000661C0000}"/>
    <cellStyle name="40% - 강조색3 46 25" xfId="6023" xr:uid="{00000000-0005-0000-0000-0000671C0000}"/>
    <cellStyle name="40% - 강조색3 46 26" xfId="9060" xr:uid="{00000000-0005-0000-0000-0000681C0000}"/>
    <cellStyle name="40% - 강조색3 46 27" xfId="9592" xr:uid="{00000000-0005-0000-0000-0000691C0000}"/>
    <cellStyle name="40% - 강조색3 46 28" xfId="10032" xr:uid="{00000000-0005-0000-0000-00006A1C0000}"/>
    <cellStyle name="40% - 강조색3 46 29" xfId="10116" xr:uid="{00000000-0005-0000-0000-00006B1C0000}"/>
    <cellStyle name="40% - 강조색3 46 3" xfId="1236" xr:uid="{00000000-0005-0000-0000-00006C1C0000}"/>
    <cellStyle name="40% - 강조색3 46 30" xfId="8540" xr:uid="{00000000-0005-0000-0000-00006D1C0000}"/>
    <cellStyle name="40% - 강조색3 46 31" xfId="4669" xr:uid="{00000000-0005-0000-0000-00006E1C0000}"/>
    <cellStyle name="40% - 강조색3 46 32" xfId="11239" xr:uid="{00000000-0005-0000-0000-00006F1C0000}"/>
    <cellStyle name="40% - 강조색3 46 4" xfId="1328" xr:uid="{00000000-0005-0000-0000-0000701C0000}"/>
    <cellStyle name="40% - 강조색3 46 5" xfId="1712" xr:uid="{00000000-0005-0000-0000-0000711C0000}"/>
    <cellStyle name="40% - 강조색3 46 6" xfId="1896" xr:uid="{00000000-0005-0000-0000-0000721C0000}"/>
    <cellStyle name="40% - 강조색3 46 7" xfId="1543" xr:uid="{00000000-0005-0000-0000-0000731C0000}"/>
    <cellStyle name="40% - 강조색3 46 8" xfId="1892" xr:uid="{00000000-0005-0000-0000-0000741C0000}"/>
    <cellStyle name="40% - 강조색3 46 9" xfId="791" xr:uid="{00000000-0005-0000-0000-0000751C0000}"/>
    <cellStyle name="40% - 강조색3 47" xfId="585" xr:uid="{00000000-0005-0000-0000-0000761C0000}"/>
    <cellStyle name="40% - 강조색3 47 10" xfId="1607" xr:uid="{00000000-0005-0000-0000-0000771C0000}"/>
    <cellStyle name="40% - 강조색3 47 11" xfId="4630" xr:uid="{00000000-0005-0000-0000-0000781C0000}"/>
    <cellStyle name="40% - 강조색3 47 12" xfId="5111" xr:uid="{00000000-0005-0000-0000-0000791C0000}"/>
    <cellStyle name="40% - 강조색3 47 13" xfId="5008" xr:uid="{00000000-0005-0000-0000-00007A1C0000}"/>
    <cellStyle name="40% - 강조색3 47 14" xfId="5627" xr:uid="{00000000-0005-0000-0000-00007B1C0000}"/>
    <cellStyle name="40% - 강조색3 47 15" xfId="5740" xr:uid="{00000000-0005-0000-0000-00007C1C0000}"/>
    <cellStyle name="40% - 강조색3 47 16" xfId="6003" xr:uid="{00000000-0005-0000-0000-00007D1C0000}"/>
    <cellStyle name="40% - 강조색3 47 17" xfId="7222" xr:uid="{00000000-0005-0000-0000-00007E1C0000}"/>
    <cellStyle name="40% - 강조색3 47 18" xfId="7368" xr:uid="{00000000-0005-0000-0000-00007F1C0000}"/>
    <cellStyle name="40% - 강조색3 47 19" xfId="7583" xr:uid="{00000000-0005-0000-0000-0000801C0000}"/>
    <cellStyle name="40% - 강조색3 47 2" xfId="1070" xr:uid="{00000000-0005-0000-0000-0000811C0000}"/>
    <cellStyle name="40% - 강조색3 47 20" xfId="4457" xr:uid="{00000000-0005-0000-0000-0000821C0000}"/>
    <cellStyle name="40% - 강조색3 47 21" xfId="1430" xr:uid="{00000000-0005-0000-0000-0000831C0000}"/>
    <cellStyle name="40% - 강조색3 47 22" xfId="8760" xr:uid="{00000000-0005-0000-0000-0000841C0000}"/>
    <cellStyle name="40% - 강조색3 47 23" xfId="9336" xr:uid="{00000000-0005-0000-0000-0000851C0000}"/>
    <cellStyle name="40% - 강조색3 47 24" xfId="6869" xr:uid="{00000000-0005-0000-0000-0000861C0000}"/>
    <cellStyle name="40% - 강조색3 47 25" xfId="9776" xr:uid="{00000000-0005-0000-0000-0000871C0000}"/>
    <cellStyle name="40% - 강조색3 47 26" xfId="10182" xr:uid="{00000000-0005-0000-0000-0000881C0000}"/>
    <cellStyle name="40% - 강조색3 47 27" xfId="10662" xr:uid="{00000000-0005-0000-0000-0000891C0000}"/>
    <cellStyle name="40% - 강조색3 47 28" xfId="10836" xr:uid="{00000000-0005-0000-0000-00008A1C0000}"/>
    <cellStyle name="40% - 강조색3 47 29" xfId="11181" xr:uid="{00000000-0005-0000-0000-00008B1C0000}"/>
    <cellStyle name="40% - 강조색3 47 3" xfId="851" xr:uid="{00000000-0005-0000-0000-00008C1C0000}"/>
    <cellStyle name="40% - 강조색3 47 30" xfId="11335" xr:uid="{00000000-0005-0000-0000-00008D1C0000}"/>
    <cellStyle name="40% - 강조색3 47 31" xfId="11398" xr:uid="{00000000-0005-0000-0000-00008E1C0000}"/>
    <cellStyle name="40% - 강조색3 47 32" xfId="11406" xr:uid="{00000000-0005-0000-0000-00008F1C0000}"/>
    <cellStyle name="40% - 강조색3 47 33" xfId="11393" xr:uid="{00000000-0005-0000-0000-0000901C0000}"/>
    <cellStyle name="40% - 강조색3 47 4" xfId="2350" xr:uid="{00000000-0005-0000-0000-0000911C0000}"/>
    <cellStyle name="40% - 강조색3 47 5" xfId="2639" xr:uid="{00000000-0005-0000-0000-0000921C0000}"/>
    <cellStyle name="40% - 강조색3 47 6" xfId="2923" xr:uid="{00000000-0005-0000-0000-0000931C0000}"/>
    <cellStyle name="40% - 강조색3 47 7" xfId="3304" xr:uid="{00000000-0005-0000-0000-0000941C0000}"/>
    <cellStyle name="40% - 강조색3 47 8" xfId="3570" xr:uid="{00000000-0005-0000-0000-0000951C0000}"/>
    <cellStyle name="40% - 강조색3 47 9" xfId="1898" xr:uid="{00000000-0005-0000-0000-0000961C0000}"/>
    <cellStyle name="40% - 강조색3 48" xfId="1046" xr:uid="{00000000-0005-0000-0000-0000971C0000}"/>
    <cellStyle name="40% - 강조색3 48 10" xfId="2847" xr:uid="{00000000-0005-0000-0000-0000981C0000}"/>
    <cellStyle name="40% - 강조색3 48 11" xfId="3767" xr:uid="{00000000-0005-0000-0000-0000991C0000}"/>
    <cellStyle name="40% - 강조색3 48 12" xfId="5465" xr:uid="{00000000-0005-0000-0000-00009A1C0000}"/>
    <cellStyle name="40% - 강조색3 48 13" xfId="5777" xr:uid="{00000000-0005-0000-0000-00009B1C0000}"/>
    <cellStyle name="40% - 강조색3 48 14" xfId="5869" xr:uid="{00000000-0005-0000-0000-00009C1C0000}"/>
    <cellStyle name="40% - 강조색3 48 15" xfId="5936" xr:uid="{00000000-0005-0000-0000-00009D1C0000}"/>
    <cellStyle name="40% - 강조색3 48 16" xfId="2719" xr:uid="{00000000-0005-0000-0000-00009E1C0000}"/>
    <cellStyle name="40% - 강조색3 48 17" xfId="2734" xr:uid="{00000000-0005-0000-0000-00009F1C0000}"/>
    <cellStyle name="40% - 강조색3 48 18" xfId="7230" xr:uid="{00000000-0005-0000-0000-0000A01C0000}"/>
    <cellStyle name="40% - 강조색3 48 19" xfId="6067" xr:uid="{00000000-0005-0000-0000-0000A11C0000}"/>
    <cellStyle name="40% - 강조색3 48 2" xfId="1722" xr:uid="{00000000-0005-0000-0000-0000A21C0000}"/>
    <cellStyle name="40% - 강조색3 48 20" xfId="960" xr:uid="{00000000-0005-0000-0000-0000A31C0000}"/>
    <cellStyle name="40% - 강조색3 48 21" xfId="8486" xr:uid="{00000000-0005-0000-0000-0000A41C0000}"/>
    <cellStyle name="40% - 강조색3 48 22" xfId="8774" xr:uid="{00000000-0005-0000-0000-0000A51C0000}"/>
    <cellStyle name="40% - 강조색3 48 23" xfId="9308" xr:uid="{00000000-0005-0000-0000-0000A61C0000}"/>
    <cellStyle name="40% - 강조색3 48 24" xfId="9666" xr:uid="{00000000-0005-0000-0000-0000A71C0000}"/>
    <cellStyle name="40% - 강조색3 48 25" xfId="4204" xr:uid="{00000000-0005-0000-0000-0000A81C0000}"/>
    <cellStyle name="40% - 강조색3 48 26" xfId="9722" xr:uid="{00000000-0005-0000-0000-0000A91C0000}"/>
    <cellStyle name="40% - 강조색3 48 27" xfId="1426" xr:uid="{00000000-0005-0000-0000-0000AA1C0000}"/>
    <cellStyle name="40% - 강조색3 48 28" xfId="9485" xr:uid="{00000000-0005-0000-0000-0000AB1C0000}"/>
    <cellStyle name="40% - 강조색3 48 29" xfId="6266" xr:uid="{00000000-0005-0000-0000-0000AC1C0000}"/>
    <cellStyle name="40% - 강조색3 48 3" xfId="1521" xr:uid="{00000000-0005-0000-0000-0000AD1C0000}"/>
    <cellStyle name="40% - 강조색3 48 4" xfId="686" xr:uid="{00000000-0005-0000-0000-0000AE1C0000}"/>
    <cellStyle name="40% - 강조색3 48 5" xfId="2541" xr:uid="{00000000-0005-0000-0000-0000AF1C0000}"/>
    <cellStyle name="40% - 강조색3 48 6" xfId="2873" xr:uid="{00000000-0005-0000-0000-0000B01C0000}"/>
    <cellStyle name="40% - 강조색3 48 7" xfId="996" xr:uid="{00000000-0005-0000-0000-0000B11C0000}"/>
    <cellStyle name="40% - 강조색3 48 8" xfId="3677" xr:uid="{00000000-0005-0000-0000-0000B21C0000}"/>
    <cellStyle name="40% - 강조색3 48 9" xfId="2267" xr:uid="{00000000-0005-0000-0000-0000B31C0000}"/>
    <cellStyle name="40% - 강조색3 49" xfId="1030" xr:uid="{00000000-0005-0000-0000-0000B41C0000}"/>
    <cellStyle name="40% - 강조색3 49 10" xfId="4330" xr:uid="{00000000-0005-0000-0000-0000B51C0000}"/>
    <cellStyle name="40% - 강조색3 49 11" xfId="4536" xr:uid="{00000000-0005-0000-0000-0000B61C0000}"/>
    <cellStyle name="40% - 강조색3 49 12" xfId="5286" xr:uid="{00000000-0005-0000-0000-0000B71C0000}"/>
    <cellStyle name="40% - 강조색3 49 13" xfId="5736" xr:uid="{00000000-0005-0000-0000-0000B81C0000}"/>
    <cellStyle name="40% - 강조색3 49 14" xfId="2002" xr:uid="{00000000-0005-0000-0000-0000B91C0000}"/>
    <cellStyle name="40% - 강조색3 49 15" xfId="5504" xr:uid="{00000000-0005-0000-0000-0000BA1C0000}"/>
    <cellStyle name="40% - 강조색3 49 16" xfId="6600" xr:uid="{00000000-0005-0000-0000-0000BB1C0000}"/>
    <cellStyle name="40% - 강조색3 49 17" xfId="6803" xr:uid="{00000000-0005-0000-0000-0000BC1C0000}"/>
    <cellStyle name="40% - 강조색3 49 18" xfId="7049" xr:uid="{00000000-0005-0000-0000-0000BD1C0000}"/>
    <cellStyle name="40% - 강조색3 49 19" xfId="7566" xr:uid="{00000000-0005-0000-0000-0000BE1C0000}"/>
    <cellStyle name="40% - 강조색3 49 2" xfId="1686" xr:uid="{00000000-0005-0000-0000-0000BF1C0000}"/>
    <cellStyle name="40% - 강조색3 49 20" xfId="7970" xr:uid="{00000000-0005-0000-0000-0000C01C0000}"/>
    <cellStyle name="40% - 강조색3 49 21" xfId="6095" xr:uid="{00000000-0005-0000-0000-0000C11C0000}"/>
    <cellStyle name="40% - 강조색3 49 22" xfId="8789" xr:uid="{00000000-0005-0000-0000-0000C21C0000}"/>
    <cellStyle name="40% - 강조색3 49 23" xfId="9296" xr:uid="{00000000-0005-0000-0000-0000C31C0000}"/>
    <cellStyle name="40% - 강조색3 49 24" xfId="6443" xr:uid="{00000000-0005-0000-0000-0000C41C0000}"/>
    <cellStyle name="40% - 강조색3 49 25" xfId="4146" xr:uid="{00000000-0005-0000-0000-0000C51C0000}"/>
    <cellStyle name="40% - 강조색3 49 26" xfId="9064" xr:uid="{00000000-0005-0000-0000-0000C61C0000}"/>
    <cellStyle name="40% - 강조색3 49 27" xfId="7703" xr:uid="{00000000-0005-0000-0000-0000C71C0000}"/>
    <cellStyle name="40% - 강조색3 49 28" xfId="10735" xr:uid="{00000000-0005-0000-0000-0000C81C0000}"/>
    <cellStyle name="40% - 강조색3 49 29" xfId="11087" xr:uid="{00000000-0005-0000-0000-0000C91C0000}"/>
    <cellStyle name="40% - 강조색3 49 3" xfId="2042" xr:uid="{00000000-0005-0000-0000-0000CA1C0000}"/>
    <cellStyle name="40% - 강조색3 49 4" xfId="2318" xr:uid="{00000000-0005-0000-0000-0000CB1C0000}"/>
    <cellStyle name="40% - 강조색3 49 5" xfId="2674" xr:uid="{00000000-0005-0000-0000-0000CC1C0000}"/>
    <cellStyle name="40% - 강조색3 49 6" xfId="2789" xr:uid="{00000000-0005-0000-0000-0000CD1C0000}"/>
    <cellStyle name="40% - 강조색3 49 7" xfId="1360" xr:uid="{00000000-0005-0000-0000-0000CE1C0000}"/>
    <cellStyle name="40% - 강조색3 49 8" xfId="3573" xr:uid="{00000000-0005-0000-0000-0000CF1C0000}"/>
    <cellStyle name="40% - 강조색3 49 9" xfId="3868" xr:uid="{00000000-0005-0000-0000-0000D01C0000}"/>
    <cellStyle name="40% - 강조색3 5" xfId="102" xr:uid="{00000000-0005-0000-0000-0000D11C0000}"/>
    <cellStyle name="40% - 강조색3 50" xfId="1029" xr:uid="{00000000-0005-0000-0000-0000D21C0000}"/>
    <cellStyle name="40% - 강조색3 50 10" xfId="4354" xr:uid="{00000000-0005-0000-0000-0000D31C0000}"/>
    <cellStyle name="40% - 강조색3 50 11" xfId="3148" xr:uid="{00000000-0005-0000-0000-0000D41C0000}"/>
    <cellStyle name="40% - 강조색3 50 12" xfId="4865" xr:uid="{00000000-0005-0000-0000-0000D51C0000}"/>
    <cellStyle name="40% - 강조색3 50 13" xfId="5544" xr:uid="{00000000-0005-0000-0000-0000D61C0000}"/>
    <cellStyle name="40% - 강조색3 50 14" xfId="5491" xr:uid="{00000000-0005-0000-0000-0000D71C0000}"/>
    <cellStyle name="40% - 강조색3 50 15" xfId="5354" xr:uid="{00000000-0005-0000-0000-0000D81C0000}"/>
    <cellStyle name="40% - 강조색3 50 16" xfId="6372" xr:uid="{00000000-0005-0000-0000-0000D91C0000}"/>
    <cellStyle name="40% - 강조색3 50 17" xfId="7013" xr:uid="{00000000-0005-0000-0000-0000DA1C0000}"/>
    <cellStyle name="40% - 강조색3 50 18" xfId="4823" xr:uid="{00000000-0005-0000-0000-0000DB1C0000}"/>
    <cellStyle name="40% - 강조색3 50 19" xfId="3196" xr:uid="{00000000-0005-0000-0000-0000DC1C0000}"/>
    <cellStyle name="40% - 강조색3 50 2" xfId="1685" xr:uid="{00000000-0005-0000-0000-0000DD1C0000}"/>
    <cellStyle name="40% - 강조색3 50 20" xfId="7547" xr:uid="{00000000-0005-0000-0000-0000DE1C0000}"/>
    <cellStyle name="40% - 강조색3 50 21" xfId="8432" xr:uid="{00000000-0005-0000-0000-0000DF1C0000}"/>
    <cellStyle name="40% - 강조색3 50 22" xfId="3492" xr:uid="{00000000-0005-0000-0000-0000E01C0000}"/>
    <cellStyle name="40% - 강조색3 50 23" xfId="9084" xr:uid="{00000000-0005-0000-0000-0000E11C0000}"/>
    <cellStyle name="40% - 강조색3 50 24" xfId="4256" xr:uid="{00000000-0005-0000-0000-0000E21C0000}"/>
    <cellStyle name="40% - 강조색3 50 25" xfId="9834" xr:uid="{00000000-0005-0000-0000-0000E31C0000}"/>
    <cellStyle name="40% - 강조색3 50 26" xfId="2678" xr:uid="{00000000-0005-0000-0000-0000E41C0000}"/>
    <cellStyle name="40% - 강조색3 50 27" xfId="8463" xr:uid="{00000000-0005-0000-0000-0000E51C0000}"/>
    <cellStyle name="40% - 강조색3 50 28" xfId="10829" xr:uid="{00000000-0005-0000-0000-0000E61C0000}"/>
    <cellStyle name="40% - 강조색3 50 29" xfId="11235" xr:uid="{00000000-0005-0000-0000-0000E71C0000}"/>
    <cellStyle name="40% - 강조색3 50 3" xfId="2068" xr:uid="{00000000-0005-0000-0000-0000E81C0000}"/>
    <cellStyle name="40% - 강조색3 50 4" xfId="1486" xr:uid="{00000000-0005-0000-0000-0000E91C0000}"/>
    <cellStyle name="40% - 강조색3 50 5" xfId="2594" xr:uid="{00000000-0005-0000-0000-0000EA1C0000}"/>
    <cellStyle name="40% - 강조색3 50 6" xfId="2888" xr:uid="{00000000-0005-0000-0000-0000EB1C0000}"/>
    <cellStyle name="40% - 강조색3 50 7" xfId="2128" xr:uid="{00000000-0005-0000-0000-0000EC1C0000}"/>
    <cellStyle name="40% - 강조색3 50 8" xfId="3584" xr:uid="{00000000-0005-0000-0000-0000ED1C0000}"/>
    <cellStyle name="40% - 강조색3 50 9" xfId="2765" xr:uid="{00000000-0005-0000-0000-0000EE1C0000}"/>
    <cellStyle name="40% - 강조색3 51" xfId="1026" xr:uid="{00000000-0005-0000-0000-0000EF1C0000}"/>
    <cellStyle name="40% - 강조색3 51 10" xfId="4308" xr:uid="{00000000-0005-0000-0000-0000F01C0000}"/>
    <cellStyle name="40% - 강조색3 51 11" xfId="4230" xr:uid="{00000000-0005-0000-0000-0000F11C0000}"/>
    <cellStyle name="40% - 강조색3 51 12" xfId="4810" xr:uid="{00000000-0005-0000-0000-0000F21C0000}"/>
    <cellStyle name="40% - 강조색3 51 13" xfId="5069" xr:uid="{00000000-0005-0000-0000-0000F31C0000}"/>
    <cellStyle name="40% - 강조색3 51 14" xfId="5693" xr:uid="{00000000-0005-0000-0000-0000F41C0000}"/>
    <cellStyle name="40% - 강조색3 51 15" xfId="5234" xr:uid="{00000000-0005-0000-0000-0000F51C0000}"/>
    <cellStyle name="40% - 강조색3 51 16" xfId="6497" xr:uid="{00000000-0005-0000-0000-0000F61C0000}"/>
    <cellStyle name="40% - 강조색3 51 17" xfId="6546" xr:uid="{00000000-0005-0000-0000-0000F71C0000}"/>
    <cellStyle name="40% - 강조색3 51 18" xfId="6069" xr:uid="{00000000-0005-0000-0000-0000F81C0000}"/>
    <cellStyle name="40% - 강조색3 51 19" xfId="7487" xr:uid="{00000000-0005-0000-0000-0000F91C0000}"/>
    <cellStyle name="40% - 강조색3 51 2" xfId="1681" xr:uid="{00000000-0005-0000-0000-0000FA1C0000}"/>
    <cellStyle name="40% - 강조색3 51 20" xfId="7948" xr:uid="{00000000-0005-0000-0000-0000FB1C0000}"/>
    <cellStyle name="40% - 강조색3 51 21" xfId="3918" xr:uid="{00000000-0005-0000-0000-0000FC1C0000}"/>
    <cellStyle name="40% - 강조색3 51 22" xfId="7917" xr:uid="{00000000-0005-0000-0000-0000FD1C0000}"/>
    <cellStyle name="40% - 강조색3 51 23" xfId="8400" xr:uid="{00000000-0005-0000-0000-0000FE1C0000}"/>
    <cellStyle name="40% - 강조색3 51 24" xfId="9714" xr:uid="{00000000-0005-0000-0000-0000FF1C0000}"/>
    <cellStyle name="40% - 강조색3 51 25" xfId="9979" xr:uid="{00000000-0005-0000-0000-0000001D0000}"/>
    <cellStyle name="40% - 강조색3 51 26" xfId="2815" xr:uid="{00000000-0005-0000-0000-0000011D0000}"/>
    <cellStyle name="40% - 강조색3 51 27" xfId="10656" xr:uid="{00000000-0005-0000-0000-0000021D0000}"/>
    <cellStyle name="40% - 강조색3 51 28" xfId="10502" xr:uid="{00000000-0005-0000-0000-0000031D0000}"/>
    <cellStyle name="40% - 강조색3 51 29" xfId="11107" xr:uid="{00000000-0005-0000-0000-0000041D0000}"/>
    <cellStyle name="40% - 강조색3 51 3" xfId="2015" xr:uid="{00000000-0005-0000-0000-0000051D0000}"/>
    <cellStyle name="40% - 강조색3 51 4" xfId="2213" xr:uid="{00000000-0005-0000-0000-0000061D0000}"/>
    <cellStyle name="40% - 강조색3 51 5" xfId="2470" xr:uid="{00000000-0005-0000-0000-0000071D0000}"/>
    <cellStyle name="40% - 강조색3 51 6" xfId="2935" xr:uid="{00000000-0005-0000-0000-0000081D0000}"/>
    <cellStyle name="40% - 강조색3 51 7" xfId="3326" xr:uid="{00000000-0005-0000-0000-0000091D0000}"/>
    <cellStyle name="40% - 강조색3 51 8" xfId="3568" xr:uid="{00000000-0005-0000-0000-00000A1D0000}"/>
    <cellStyle name="40% - 강조색3 51 9" xfId="774" xr:uid="{00000000-0005-0000-0000-00000B1D0000}"/>
    <cellStyle name="40% - 강조색3 52" xfId="1020" xr:uid="{00000000-0005-0000-0000-00000C1D0000}"/>
    <cellStyle name="40% - 강조색3 52 10" xfId="4180" xr:uid="{00000000-0005-0000-0000-00000D1D0000}"/>
    <cellStyle name="40% - 강조색3 52 11" xfId="4123" xr:uid="{00000000-0005-0000-0000-00000E1D0000}"/>
    <cellStyle name="40% - 강조색3 52 12" xfId="4662" xr:uid="{00000000-0005-0000-0000-00000F1D0000}"/>
    <cellStyle name="40% - 강조색3 52 13" xfId="5765" xr:uid="{00000000-0005-0000-0000-0000101D0000}"/>
    <cellStyle name="40% - 강조색3 52 14" xfId="5863" xr:uid="{00000000-0005-0000-0000-0000111D0000}"/>
    <cellStyle name="40% - 강조색3 52 15" xfId="5933" xr:uid="{00000000-0005-0000-0000-0000121D0000}"/>
    <cellStyle name="40% - 강조색3 52 16" xfId="6584" xr:uid="{00000000-0005-0000-0000-0000131D0000}"/>
    <cellStyle name="40% - 강조색3 52 17" xfId="6071" xr:uid="{00000000-0005-0000-0000-0000141D0000}"/>
    <cellStyle name="40% - 강조색3 52 18" xfId="7301" xr:uid="{00000000-0005-0000-0000-0000151D0000}"/>
    <cellStyle name="40% - 강조색3 52 19" xfId="6365" xr:uid="{00000000-0005-0000-0000-0000161D0000}"/>
    <cellStyle name="40% - 강조색3 52 2" xfId="1671" xr:uid="{00000000-0005-0000-0000-0000171D0000}"/>
    <cellStyle name="40% - 강조색3 52 20" xfId="8182" xr:uid="{00000000-0005-0000-0000-0000181D0000}"/>
    <cellStyle name="40% - 강조색3 52 21" xfId="8497" xr:uid="{00000000-0005-0000-0000-0000191D0000}"/>
    <cellStyle name="40% - 강조색3 52 22" xfId="8323" xr:uid="{00000000-0005-0000-0000-00001A1D0000}"/>
    <cellStyle name="40% - 강조색3 52 23" xfId="9324" xr:uid="{00000000-0005-0000-0000-00001B1D0000}"/>
    <cellStyle name="40% - 강조색3 52 24" xfId="9612" xr:uid="{00000000-0005-0000-0000-00001C1D0000}"/>
    <cellStyle name="40% - 강조색3 52 25" xfId="10017" xr:uid="{00000000-0005-0000-0000-00001D1D0000}"/>
    <cellStyle name="40% - 강조색3 52 26" xfId="6082" xr:uid="{00000000-0005-0000-0000-00001E1D0000}"/>
    <cellStyle name="40% - 강조색3 52 27" xfId="10318" xr:uid="{00000000-0005-0000-0000-00001F1D0000}"/>
    <cellStyle name="40% - 강조색3 52 28" xfId="9342" xr:uid="{00000000-0005-0000-0000-0000201D0000}"/>
    <cellStyle name="40% - 강조색3 52 29" xfId="11273" xr:uid="{00000000-0005-0000-0000-0000211D0000}"/>
    <cellStyle name="40% - 강조색3 52 3" xfId="1842" xr:uid="{00000000-0005-0000-0000-0000221D0000}"/>
    <cellStyle name="40% - 강조색3 52 4" xfId="2289" xr:uid="{00000000-0005-0000-0000-0000231D0000}"/>
    <cellStyle name="40% - 강조색3 52 5" xfId="2659" xr:uid="{00000000-0005-0000-0000-0000241D0000}"/>
    <cellStyle name="40% - 강조색3 52 6" xfId="2950" xr:uid="{00000000-0005-0000-0000-0000251D0000}"/>
    <cellStyle name="40% - 강조색3 52 7" xfId="3257" xr:uid="{00000000-0005-0000-0000-0000261D0000}"/>
    <cellStyle name="40% - 강조색3 52 8" xfId="3586" xr:uid="{00000000-0005-0000-0000-0000271D0000}"/>
    <cellStyle name="40% - 강조색3 52 9" xfId="1535" xr:uid="{00000000-0005-0000-0000-0000281D0000}"/>
    <cellStyle name="40% - 강조색3 53" xfId="1085" xr:uid="{00000000-0005-0000-0000-0000291D0000}"/>
    <cellStyle name="40% - 강조색3 53 10" xfId="4316" xr:uid="{00000000-0005-0000-0000-00002A1D0000}"/>
    <cellStyle name="40% - 강조색3 53 11" xfId="4451" xr:uid="{00000000-0005-0000-0000-00002B1D0000}"/>
    <cellStyle name="40% - 강조색3 53 12" xfId="4880" xr:uid="{00000000-0005-0000-0000-00002C1D0000}"/>
    <cellStyle name="40% - 강조색3 53 13" xfId="4780" xr:uid="{00000000-0005-0000-0000-00002D1D0000}"/>
    <cellStyle name="40% - 강조색3 53 14" xfId="2240" xr:uid="{00000000-0005-0000-0000-00002E1D0000}"/>
    <cellStyle name="40% - 강조색3 53 15" xfId="5752" xr:uid="{00000000-0005-0000-0000-00002F1D0000}"/>
    <cellStyle name="40% - 강조색3 53 16" xfId="4550" xr:uid="{00000000-0005-0000-0000-0000301D0000}"/>
    <cellStyle name="40% - 강조색3 53 17" xfId="7065" xr:uid="{00000000-0005-0000-0000-0000311D0000}"/>
    <cellStyle name="40% - 강조색3 53 18" xfId="7087" xr:uid="{00000000-0005-0000-0000-0000321D0000}"/>
    <cellStyle name="40% - 강조색3 53 19" xfId="6061" xr:uid="{00000000-0005-0000-0000-0000331D0000}"/>
    <cellStyle name="40% - 강조색3 53 2" xfId="1791" xr:uid="{00000000-0005-0000-0000-0000341D0000}"/>
    <cellStyle name="40% - 강조색3 53 20" xfId="8019" xr:uid="{00000000-0005-0000-0000-0000351D0000}"/>
    <cellStyle name="40% - 강조색3 53 21" xfId="8620" xr:uid="{00000000-0005-0000-0000-0000361D0000}"/>
    <cellStyle name="40% - 강조색3 53 22" xfId="8976" xr:uid="{00000000-0005-0000-0000-0000371D0000}"/>
    <cellStyle name="40% - 강조색3 53 23" xfId="9312" xr:uid="{00000000-0005-0000-0000-0000381D0000}"/>
    <cellStyle name="40% - 강조색3 53 24" xfId="9515" xr:uid="{00000000-0005-0000-0000-0000391D0000}"/>
    <cellStyle name="40% - 강조색3 53 25" xfId="7398" xr:uid="{00000000-0005-0000-0000-00003A1D0000}"/>
    <cellStyle name="40% - 강조색3 53 26" xfId="5383" xr:uid="{00000000-0005-0000-0000-00003B1D0000}"/>
    <cellStyle name="40% - 강조색3 53 27" xfId="10632" xr:uid="{00000000-0005-0000-0000-00003C1D0000}"/>
    <cellStyle name="40% - 강조색3 53 28" xfId="4313" xr:uid="{00000000-0005-0000-0000-00003D1D0000}"/>
    <cellStyle name="40% - 강조색3 53 29" xfId="4822" xr:uid="{00000000-0005-0000-0000-00003E1D0000}"/>
    <cellStyle name="40% - 강조색3 53 3" xfId="2016" xr:uid="{00000000-0005-0000-0000-00003F1D0000}"/>
    <cellStyle name="40% - 강조색3 53 4" xfId="1917" xr:uid="{00000000-0005-0000-0000-0000401D0000}"/>
    <cellStyle name="40% - 강조색3 53 5" xfId="2463" xr:uid="{00000000-0005-0000-0000-0000411D0000}"/>
    <cellStyle name="40% - 강조색3 53 6" xfId="2835" xr:uid="{00000000-0005-0000-0000-0000421D0000}"/>
    <cellStyle name="40% - 강조색3 53 7" xfId="744" xr:uid="{00000000-0005-0000-0000-0000431D0000}"/>
    <cellStyle name="40% - 강조색3 53 8" xfId="3578" xr:uid="{00000000-0005-0000-0000-0000441D0000}"/>
    <cellStyle name="40% - 강조색3 53 9" xfId="3948" xr:uid="{00000000-0005-0000-0000-0000451D0000}"/>
    <cellStyle name="40% - 강조색3 54" xfId="755" xr:uid="{00000000-0005-0000-0000-0000461D0000}"/>
    <cellStyle name="40% - 강조색3 54 10" xfId="4498" xr:uid="{00000000-0005-0000-0000-0000471D0000}"/>
    <cellStyle name="40% - 강조색3 54 11" xfId="4722" xr:uid="{00000000-0005-0000-0000-0000481D0000}"/>
    <cellStyle name="40% - 강조색3 54 12" xfId="5509" xr:uid="{00000000-0005-0000-0000-0000491D0000}"/>
    <cellStyle name="40% - 강조색3 54 13" xfId="3110" xr:uid="{00000000-0005-0000-0000-00004A1D0000}"/>
    <cellStyle name="40% - 강조색3 54 14" xfId="2094" xr:uid="{00000000-0005-0000-0000-00004B1D0000}"/>
    <cellStyle name="40% - 강조색3 54 15" xfId="6394" xr:uid="{00000000-0005-0000-0000-00004C1D0000}"/>
    <cellStyle name="40% - 강조색3 54 16" xfId="777" xr:uid="{00000000-0005-0000-0000-00004D1D0000}"/>
    <cellStyle name="40% - 강조색3 54 17" xfId="7004" xr:uid="{00000000-0005-0000-0000-00004E1D0000}"/>
    <cellStyle name="40% - 강조색3 54 18" xfId="7390" xr:uid="{00000000-0005-0000-0000-00004F1D0000}"/>
    <cellStyle name="40% - 강조색3 54 19" xfId="8230" xr:uid="{00000000-0005-0000-0000-0000501D0000}"/>
    <cellStyle name="40% - 강조색3 54 2" xfId="1643" xr:uid="{00000000-0005-0000-0000-0000511D0000}"/>
    <cellStyle name="40% - 강조색3 54 20" xfId="8439" xr:uid="{00000000-0005-0000-0000-0000521D0000}"/>
    <cellStyle name="40% - 강조색3 54 21" xfId="6210" xr:uid="{00000000-0005-0000-0000-0000531D0000}"/>
    <cellStyle name="40% - 강조색3 54 22" xfId="9356" xr:uid="{00000000-0005-0000-0000-0000541D0000}"/>
    <cellStyle name="40% - 강조색3 54 23" xfId="9683" xr:uid="{00000000-0005-0000-0000-0000551D0000}"/>
    <cellStyle name="40% - 강조색3 54 24" xfId="7535" xr:uid="{00000000-0005-0000-0000-0000561D0000}"/>
    <cellStyle name="40% - 강조색3 54 25" xfId="7734" xr:uid="{00000000-0005-0000-0000-0000571D0000}"/>
    <cellStyle name="40% - 강조색3 54 26" xfId="6092" xr:uid="{00000000-0005-0000-0000-0000581D0000}"/>
    <cellStyle name="40% - 강조색3 54 27" xfId="10418" xr:uid="{00000000-0005-0000-0000-0000591D0000}"/>
    <cellStyle name="40% - 강조색3 54 28" xfId="11104" xr:uid="{00000000-0005-0000-0000-00005A1D0000}"/>
    <cellStyle name="40% - 강조색3 54 3" xfId="2357" xr:uid="{00000000-0005-0000-0000-00005B1D0000}"/>
    <cellStyle name="40% - 강조색3 54 4" xfId="2178" xr:uid="{00000000-0005-0000-0000-00005C1D0000}"/>
    <cellStyle name="40% - 강조색3 54 5" xfId="2989" xr:uid="{00000000-0005-0000-0000-00005D1D0000}"/>
    <cellStyle name="40% - 강조색3 54 6" xfId="3295" xr:uid="{00000000-0005-0000-0000-00005E1D0000}"/>
    <cellStyle name="40% - 강조색3 54 7" xfId="3558" xr:uid="{00000000-0005-0000-0000-00005F1D0000}"/>
    <cellStyle name="40% - 강조색3 54 8" xfId="3910" xr:uid="{00000000-0005-0000-0000-0000601D0000}"/>
    <cellStyle name="40% - 강조색3 54 9" xfId="4107" xr:uid="{00000000-0005-0000-0000-0000611D0000}"/>
    <cellStyle name="40% - 강조색3 55" xfId="2051" xr:uid="{00000000-0005-0000-0000-0000621D0000}"/>
    <cellStyle name="40% - 강조색3 55 10" xfId="5476" xr:uid="{00000000-0005-0000-0000-0000631D0000}"/>
    <cellStyle name="40% - 강조색3 55 11" xfId="5732" xr:uid="{00000000-0005-0000-0000-0000641D0000}"/>
    <cellStyle name="40% - 강조색3 55 12" xfId="5487" xr:uid="{00000000-0005-0000-0000-0000651D0000}"/>
    <cellStyle name="40% - 강조색3 55 13" xfId="5629" xr:uid="{00000000-0005-0000-0000-0000661D0000}"/>
    <cellStyle name="40% - 강조색3 55 14" xfId="6197" xr:uid="{00000000-0005-0000-0000-0000671D0000}"/>
    <cellStyle name="40% - 강조색3 55 15" xfId="7070" xr:uid="{00000000-0005-0000-0000-0000681D0000}"/>
    <cellStyle name="40% - 강조색3 55 16" xfId="7128" xr:uid="{00000000-0005-0000-0000-0000691D0000}"/>
    <cellStyle name="40% - 강조색3 55 17" xfId="7738" xr:uid="{00000000-0005-0000-0000-00006A1D0000}"/>
    <cellStyle name="40% - 강조색3 55 18" xfId="2590" xr:uid="{00000000-0005-0000-0000-00006B1D0000}"/>
    <cellStyle name="40% - 강조색3 55 19" xfId="8578" xr:uid="{00000000-0005-0000-0000-00006C1D0000}"/>
    <cellStyle name="40% - 강조색3 55 2" xfId="2377" xr:uid="{00000000-0005-0000-0000-00006D1D0000}"/>
    <cellStyle name="40% - 강조색3 55 20" xfId="6790" xr:uid="{00000000-0005-0000-0000-00006E1D0000}"/>
    <cellStyle name="40% - 강조색3 55 21" xfId="9159" xr:uid="{00000000-0005-0000-0000-00006F1D0000}"/>
    <cellStyle name="40% - 강조색3 55 22" xfId="3180" xr:uid="{00000000-0005-0000-0000-0000701D0000}"/>
    <cellStyle name="40% - 강조색3 55 23" xfId="9832" xr:uid="{00000000-0005-0000-0000-0000711D0000}"/>
    <cellStyle name="40% - 강조색3 55 24" xfId="10158" xr:uid="{00000000-0005-0000-0000-0000721D0000}"/>
    <cellStyle name="40% - 강조색3 55 25" xfId="9261" xr:uid="{00000000-0005-0000-0000-0000731D0000}"/>
    <cellStyle name="40% - 강조색3 55 26" xfId="6848" xr:uid="{00000000-0005-0000-0000-0000741D0000}"/>
    <cellStyle name="40% - 강조색3 55 27" xfId="11027" xr:uid="{00000000-0005-0000-0000-0000751D0000}"/>
    <cellStyle name="40% - 강조색3 55 3" xfId="2696" xr:uid="{00000000-0005-0000-0000-0000761D0000}"/>
    <cellStyle name="40% - 강조색3 55 4" xfId="3011" xr:uid="{00000000-0005-0000-0000-0000771D0000}"/>
    <cellStyle name="40% - 강조색3 55 5" xfId="3312" xr:uid="{00000000-0005-0000-0000-0000781D0000}"/>
    <cellStyle name="40% - 강조색3 55 6" xfId="3528" xr:uid="{00000000-0005-0000-0000-0000791D0000}"/>
    <cellStyle name="40% - 강조색3 55 7" xfId="2943" xr:uid="{00000000-0005-0000-0000-00007A1D0000}"/>
    <cellStyle name="40% - 강조색3 55 8" xfId="4331" xr:uid="{00000000-0005-0000-0000-00007B1D0000}"/>
    <cellStyle name="40% - 강조색3 55 9" xfId="4589" xr:uid="{00000000-0005-0000-0000-00007C1D0000}"/>
    <cellStyle name="40% - 강조색3 56" xfId="2358" xr:uid="{00000000-0005-0000-0000-00007D1D0000}"/>
    <cellStyle name="40% - 강조색3 56 10" xfId="5557" xr:uid="{00000000-0005-0000-0000-00007E1D0000}"/>
    <cellStyle name="40% - 강조색3 56 11" xfId="5665" xr:uid="{00000000-0005-0000-0000-00007F1D0000}"/>
    <cellStyle name="40% - 강조색3 56 12" xfId="3902" xr:uid="{00000000-0005-0000-0000-0000801D0000}"/>
    <cellStyle name="40% - 강조색3 56 13" xfId="6261" xr:uid="{00000000-0005-0000-0000-0000811D0000}"/>
    <cellStyle name="40% - 강조색3 56 14" xfId="6103" xr:uid="{00000000-0005-0000-0000-0000821D0000}"/>
    <cellStyle name="40% - 강조색3 56 15" xfId="6755" xr:uid="{00000000-0005-0000-0000-0000831D0000}"/>
    <cellStyle name="40% - 강조색3 56 16" xfId="7793" xr:uid="{00000000-0005-0000-0000-0000841D0000}"/>
    <cellStyle name="40% - 강조색3 56 17" xfId="6262" xr:uid="{00000000-0005-0000-0000-0000851D0000}"/>
    <cellStyle name="40% - 강조색3 56 18" xfId="7951" xr:uid="{00000000-0005-0000-0000-0000861D0000}"/>
    <cellStyle name="40% - 강조색3 56 19" xfId="8808" xr:uid="{00000000-0005-0000-0000-0000871D0000}"/>
    <cellStyle name="40% - 강조색3 56 2" xfId="2712" xr:uid="{00000000-0005-0000-0000-0000881D0000}"/>
    <cellStyle name="40% - 강조색3 56 20" xfId="3441" xr:uid="{00000000-0005-0000-0000-0000891D0000}"/>
    <cellStyle name="40% - 강조색3 56 21" xfId="4440" xr:uid="{00000000-0005-0000-0000-00008A1D0000}"/>
    <cellStyle name="40% - 강조색3 56 22" xfId="7939" xr:uid="{00000000-0005-0000-0000-00008B1D0000}"/>
    <cellStyle name="40% - 강조색3 56 23" xfId="8380" xr:uid="{00000000-0005-0000-0000-00008C1D0000}"/>
    <cellStyle name="40% - 강조색3 56 24" xfId="8766" xr:uid="{00000000-0005-0000-0000-00008D1D0000}"/>
    <cellStyle name="40% - 강조색3 56 25" xfId="8920" xr:uid="{00000000-0005-0000-0000-00008E1D0000}"/>
    <cellStyle name="40% - 강조색3 56 26" xfId="10144" xr:uid="{00000000-0005-0000-0000-00008F1D0000}"/>
    <cellStyle name="40% - 강조색3 56 3" xfId="3027" xr:uid="{00000000-0005-0000-0000-0000901D0000}"/>
    <cellStyle name="40% - 강조색3 56 4" xfId="3360" xr:uid="{00000000-0005-0000-0000-0000911D0000}"/>
    <cellStyle name="40% - 강조색3 56 5" xfId="3655" xr:uid="{00000000-0005-0000-0000-0000921D0000}"/>
    <cellStyle name="40% - 강조색3 56 6" xfId="3838" xr:uid="{00000000-0005-0000-0000-0000931D0000}"/>
    <cellStyle name="40% - 강조색3 56 7" xfId="2557" xr:uid="{00000000-0005-0000-0000-0000941D0000}"/>
    <cellStyle name="40% - 강조색3 56 8" xfId="4678" xr:uid="{00000000-0005-0000-0000-0000951D0000}"/>
    <cellStyle name="40% - 강조색3 56 9" xfId="5600" xr:uid="{00000000-0005-0000-0000-0000961D0000}"/>
    <cellStyle name="40% - 강조색3 57" xfId="1969" xr:uid="{00000000-0005-0000-0000-0000971D0000}"/>
    <cellStyle name="40% - 강조색3 57 10" xfId="5470" xr:uid="{00000000-0005-0000-0000-0000981D0000}"/>
    <cellStyle name="40% - 강조색3 57 11" xfId="5330" xr:uid="{00000000-0005-0000-0000-0000991D0000}"/>
    <cellStyle name="40% - 강조색3 57 12" xfId="6527" xr:uid="{00000000-0005-0000-0000-00009A1D0000}"/>
    <cellStyle name="40% - 강조색3 57 13" xfId="6828" xr:uid="{00000000-0005-0000-0000-00009B1D0000}"/>
    <cellStyle name="40% - 강조색3 57 14" xfId="6060" xr:uid="{00000000-0005-0000-0000-00009C1D0000}"/>
    <cellStyle name="40% - 강조색3 57 15" xfId="7570" xr:uid="{00000000-0005-0000-0000-00009D1D0000}"/>
    <cellStyle name="40% - 강조색3 57 16" xfId="4084" xr:uid="{00000000-0005-0000-0000-00009E1D0000}"/>
    <cellStyle name="40% - 강조색3 57 17" xfId="1862" xr:uid="{00000000-0005-0000-0000-00009F1D0000}"/>
    <cellStyle name="40% - 강조색3 57 18" xfId="8885" xr:uid="{00000000-0005-0000-0000-0000A01D0000}"/>
    <cellStyle name="40% - 강조색3 57 19" xfId="6127" xr:uid="{00000000-0005-0000-0000-0000A11D0000}"/>
    <cellStyle name="40% - 강조색3 57 2" xfId="3006" xr:uid="{00000000-0005-0000-0000-0000A21D0000}"/>
    <cellStyle name="40% - 강조색3 57 20" xfId="9569" xr:uid="{00000000-0005-0000-0000-0000A31D0000}"/>
    <cellStyle name="40% - 강조색3 57 21" xfId="10046" xr:uid="{00000000-0005-0000-0000-0000A41D0000}"/>
    <cellStyle name="40% - 강조색3 57 22" xfId="6846" xr:uid="{00000000-0005-0000-0000-0000A51D0000}"/>
    <cellStyle name="40% - 강조색3 57 23" xfId="10462" xr:uid="{00000000-0005-0000-0000-0000A61D0000}"/>
    <cellStyle name="40% - 강조색3 57 24" xfId="10773" xr:uid="{00000000-0005-0000-0000-0000A71D0000}"/>
    <cellStyle name="40% - 강조색3 57 25" xfId="11249" xr:uid="{00000000-0005-0000-0000-0000A81D0000}"/>
    <cellStyle name="40% - 강조색3 57 3" xfId="2872" xr:uid="{00000000-0005-0000-0000-0000A91D0000}"/>
    <cellStyle name="40% - 강조색3 57 4" xfId="2879" xr:uid="{00000000-0005-0000-0000-0000AA1D0000}"/>
    <cellStyle name="40% - 강조색3 57 5" xfId="2400" xr:uid="{00000000-0005-0000-0000-0000AB1D0000}"/>
    <cellStyle name="40% - 강조색3 57 6" xfId="3164" xr:uid="{00000000-0005-0000-0000-0000AC1D0000}"/>
    <cellStyle name="40% - 강조색3 57 7" xfId="4150" xr:uid="{00000000-0005-0000-0000-0000AD1D0000}"/>
    <cellStyle name="40% - 강조색3 57 8" xfId="2857" xr:uid="{00000000-0005-0000-0000-0000AE1D0000}"/>
    <cellStyle name="40% - 강조색3 57 9" xfId="5607" xr:uid="{00000000-0005-0000-0000-0000AF1D0000}"/>
    <cellStyle name="40% - 강조색3 58" xfId="2926" xr:uid="{00000000-0005-0000-0000-0000B01D0000}"/>
    <cellStyle name="40% - 강조색3 58 10" xfId="5945" xr:uid="{00000000-0005-0000-0000-0000B11D0000}"/>
    <cellStyle name="40% - 강조색3 58 11" xfId="6382" xr:uid="{00000000-0005-0000-0000-0000B21D0000}"/>
    <cellStyle name="40% - 강조색3 58 12" xfId="3242" xr:uid="{00000000-0005-0000-0000-0000B31D0000}"/>
    <cellStyle name="40% - 강조색3 58 13" xfId="7321" xr:uid="{00000000-0005-0000-0000-0000B41D0000}"/>
    <cellStyle name="40% - 강조색3 58 14" xfId="7424" xr:uid="{00000000-0005-0000-0000-0000B51D0000}"/>
    <cellStyle name="40% - 강조색3 58 15" xfId="6001" xr:uid="{00000000-0005-0000-0000-0000B61D0000}"/>
    <cellStyle name="40% - 강조색3 58 16" xfId="6038" xr:uid="{00000000-0005-0000-0000-0000B71D0000}"/>
    <cellStyle name="40% - 강조색3 58 17" xfId="8694" xr:uid="{00000000-0005-0000-0000-0000B81D0000}"/>
    <cellStyle name="40% - 강조색3 58 18" xfId="7438" xr:uid="{00000000-0005-0000-0000-0000B91D0000}"/>
    <cellStyle name="40% - 강조색3 58 19" xfId="6870" xr:uid="{00000000-0005-0000-0000-0000BA1D0000}"/>
    <cellStyle name="40% - 강조색3 58 2" xfId="3373" xr:uid="{00000000-0005-0000-0000-0000BB1D0000}"/>
    <cellStyle name="40% - 강조색3 58 20" xfId="9961" xr:uid="{00000000-0005-0000-0000-0000BC1D0000}"/>
    <cellStyle name="40% - 강조색3 58 21" xfId="10236" xr:uid="{00000000-0005-0000-0000-0000BD1D0000}"/>
    <cellStyle name="40% - 강조색3 58 22" xfId="10694" xr:uid="{00000000-0005-0000-0000-0000BE1D0000}"/>
    <cellStyle name="40% - 강조색3 58 23" xfId="1542" xr:uid="{00000000-0005-0000-0000-0000BF1D0000}"/>
    <cellStyle name="40% - 강조색3 58 24" xfId="11214" xr:uid="{00000000-0005-0000-0000-0000C01D0000}"/>
    <cellStyle name="40% - 강조색3 58 3" xfId="3706" xr:uid="{00000000-0005-0000-0000-0000C11D0000}"/>
    <cellStyle name="40% - 강조색3 58 4" xfId="4044" xr:uid="{00000000-0005-0000-0000-0000C21D0000}"/>
    <cellStyle name="40% - 강조색3 58 5" xfId="4138" xr:uid="{00000000-0005-0000-0000-0000C31D0000}"/>
    <cellStyle name="40% - 강조색3 58 6" xfId="2856" xr:uid="{00000000-0005-0000-0000-0000C41D0000}"/>
    <cellStyle name="40% - 강조색3 58 7" xfId="912" xr:uid="{00000000-0005-0000-0000-0000C51D0000}"/>
    <cellStyle name="40% - 강조색3 58 8" xfId="5794" xr:uid="{00000000-0005-0000-0000-0000C61D0000}"/>
    <cellStyle name="40% - 강조색3 58 9" xfId="5882" xr:uid="{00000000-0005-0000-0000-0000C71D0000}"/>
    <cellStyle name="40% - 강조색3 59" xfId="3261" xr:uid="{00000000-0005-0000-0000-0000C81D0000}"/>
    <cellStyle name="40% - 강조색3 59 10" xfId="6620" xr:uid="{00000000-0005-0000-0000-0000C91D0000}"/>
    <cellStyle name="40% - 강조색3 59 11" xfId="7243" xr:uid="{00000000-0005-0000-0000-0000CA1D0000}"/>
    <cellStyle name="40% - 강조색3 59 12" xfId="4129" xr:uid="{00000000-0005-0000-0000-0000CB1D0000}"/>
    <cellStyle name="40% - 강조색3 59 13" xfId="7767" xr:uid="{00000000-0005-0000-0000-0000CC1D0000}"/>
    <cellStyle name="40% - 강조색3 59 14" xfId="7933" xr:uid="{00000000-0005-0000-0000-0000CD1D0000}"/>
    <cellStyle name="40% - 강조색3 59 15" xfId="8589" xr:uid="{00000000-0005-0000-0000-0000CE1D0000}"/>
    <cellStyle name="40% - 강조색3 59 16" xfId="8921" xr:uid="{00000000-0005-0000-0000-0000CF1D0000}"/>
    <cellStyle name="40% - 강조색3 59 17" xfId="9276" xr:uid="{00000000-0005-0000-0000-0000D01D0000}"/>
    <cellStyle name="40% - 강조색3 59 18" xfId="4298" xr:uid="{00000000-0005-0000-0000-0000D11D0000}"/>
    <cellStyle name="40% - 강조색3 59 19" xfId="9965" xr:uid="{00000000-0005-0000-0000-0000D21D0000}"/>
    <cellStyle name="40% - 강조색3 59 2" xfId="3718" xr:uid="{00000000-0005-0000-0000-0000D31D0000}"/>
    <cellStyle name="40% - 강조색3 59 20" xfId="4423" xr:uid="{00000000-0005-0000-0000-0000D41D0000}"/>
    <cellStyle name="40% - 강조색3 59 21" xfId="10672" xr:uid="{00000000-0005-0000-0000-0000D51D0000}"/>
    <cellStyle name="40% - 강조색3 59 22" xfId="7929" xr:uid="{00000000-0005-0000-0000-0000D61D0000}"/>
    <cellStyle name="40% - 강조색3 59 23" xfId="10810" xr:uid="{00000000-0005-0000-0000-0000D71D0000}"/>
    <cellStyle name="40% - 강조색3 59 3" xfId="4057" xr:uid="{00000000-0005-0000-0000-0000D81D0000}"/>
    <cellStyle name="40% - 강조색3 59 4" xfId="4393" xr:uid="{00000000-0005-0000-0000-0000D91D0000}"/>
    <cellStyle name="40% - 강조색3 59 5" xfId="4523" xr:uid="{00000000-0005-0000-0000-0000DA1D0000}"/>
    <cellStyle name="40% - 강조색3 59 6" xfId="5127" xr:uid="{00000000-0005-0000-0000-0000DB1D0000}"/>
    <cellStyle name="40% - 강조색3 59 7" xfId="5113" xr:uid="{00000000-0005-0000-0000-0000DC1D0000}"/>
    <cellStyle name="40% - 강조색3 59 8" xfId="4885" xr:uid="{00000000-0005-0000-0000-0000DD1D0000}"/>
    <cellStyle name="40% - 강조색3 59 9" xfId="5332" xr:uid="{00000000-0005-0000-0000-0000DE1D0000}"/>
    <cellStyle name="40% - 강조색3 6" xfId="115" xr:uid="{00000000-0005-0000-0000-0000DF1D0000}"/>
    <cellStyle name="40% - 강조색3 60" xfId="3640" xr:uid="{00000000-0005-0000-0000-0000E01D0000}"/>
    <cellStyle name="40% - 강조색3 60 10" xfId="6949" xr:uid="{00000000-0005-0000-0000-0000E11D0000}"/>
    <cellStyle name="40% - 강조색3 60 11" xfId="7239" xr:uid="{00000000-0005-0000-0000-0000E21D0000}"/>
    <cellStyle name="40% - 강조색3 60 12" xfId="7819" xr:uid="{00000000-0005-0000-0000-0000E31D0000}"/>
    <cellStyle name="40% - 강조색3 60 13" xfId="8125" xr:uid="{00000000-0005-0000-0000-0000E41D0000}"/>
    <cellStyle name="40% - 강조색3 60 14" xfId="7739" xr:uid="{00000000-0005-0000-0000-0000E51D0000}"/>
    <cellStyle name="40% - 강조색3 60 15" xfId="7498" xr:uid="{00000000-0005-0000-0000-0000E61D0000}"/>
    <cellStyle name="40% - 강조색3 60 16" xfId="9137" xr:uid="{00000000-0005-0000-0000-0000E71D0000}"/>
    <cellStyle name="40% - 강조색3 60 17" xfId="9681" xr:uid="{00000000-0005-0000-0000-0000E81D0000}"/>
    <cellStyle name="40% - 강조색3 60 18" xfId="6435" xr:uid="{00000000-0005-0000-0000-0000E91D0000}"/>
    <cellStyle name="40% - 강조색3 60 19" xfId="9903" xr:uid="{00000000-0005-0000-0000-0000EA1D0000}"/>
    <cellStyle name="40% - 강조색3 60 2" xfId="4067" xr:uid="{00000000-0005-0000-0000-0000EB1D0000}"/>
    <cellStyle name="40% - 강조색3 60 20" xfId="10661" xr:uid="{00000000-0005-0000-0000-0000EC1D0000}"/>
    <cellStyle name="40% - 강조색3 60 21" xfId="8786" xr:uid="{00000000-0005-0000-0000-0000ED1D0000}"/>
    <cellStyle name="40% - 강조색3 60 22" xfId="11198" xr:uid="{00000000-0005-0000-0000-0000EE1D0000}"/>
    <cellStyle name="40% - 강조색3 60 3" xfId="4403" xr:uid="{00000000-0005-0000-0000-0000EF1D0000}"/>
    <cellStyle name="40% - 강조색3 60 4" xfId="4756" xr:uid="{00000000-0005-0000-0000-0000F01D0000}"/>
    <cellStyle name="40% - 강조색3 60 5" xfId="5182" xr:uid="{00000000-0005-0000-0000-0000F11D0000}"/>
    <cellStyle name="40% - 강조색3 60 6" xfId="3386" xr:uid="{00000000-0005-0000-0000-0000F21D0000}"/>
    <cellStyle name="40% - 강조색3 60 7" xfId="5534" xr:uid="{00000000-0005-0000-0000-0000F31D0000}"/>
    <cellStyle name="40% - 강조색3 60 8" xfId="5793" xr:uid="{00000000-0005-0000-0000-0000F41D0000}"/>
    <cellStyle name="40% - 강조색3 60 9" xfId="6286" xr:uid="{00000000-0005-0000-0000-0000F51D0000}"/>
    <cellStyle name="40% - 강조색3 61" xfId="3991" xr:uid="{00000000-0005-0000-0000-0000F61D0000}"/>
    <cellStyle name="40% - 강조색3 61 10" xfId="5434" xr:uid="{00000000-0005-0000-0000-0000F71D0000}"/>
    <cellStyle name="40% - 강조색3 61 11" xfId="7796" xr:uid="{00000000-0005-0000-0000-0000F81D0000}"/>
    <cellStyle name="40% - 강조색3 61 12" xfId="8189" xr:uid="{00000000-0005-0000-0000-0000F91D0000}"/>
    <cellStyle name="40% - 강조색3 61 13" xfId="8530" xr:uid="{00000000-0005-0000-0000-0000FA1D0000}"/>
    <cellStyle name="40% - 강조색3 61 14" xfId="8683" xr:uid="{00000000-0005-0000-0000-0000FB1D0000}"/>
    <cellStyle name="40% - 강조색3 61 15" xfId="9381" xr:uid="{00000000-0005-0000-0000-0000FC1D0000}"/>
    <cellStyle name="40% - 강조색3 61 16" xfId="9615" xr:uid="{00000000-0005-0000-0000-0000FD1D0000}"/>
    <cellStyle name="40% - 강조색3 61 17" xfId="10006" xr:uid="{00000000-0005-0000-0000-0000FE1D0000}"/>
    <cellStyle name="40% - 강조색3 61 18" xfId="10106" xr:uid="{00000000-0005-0000-0000-0000FF1D0000}"/>
    <cellStyle name="40% - 강조색3 61 19" xfId="10668" xr:uid="{00000000-0005-0000-0000-0000001E0000}"/>
    <cellStyle name="40% - 강조색3 61 2" xfId="4412" xr:uid="{00000000-0005-0000-0000-0000011E0000}"/>
    <cellStyle name="40% - 강조색3 61 20" xfId="10883" xr:uid="{00000000-0005-0000-0000-0000021E0000}"/>
    <cellStyle name="40% - 강조색3 61 21" xfId="10527" xr:uid="{00000000-0005-0000-0000-0000031E0000}"/>
    <cellStyle name="40% - 강조색3 61 3" xfId="4766" xr:uid="{00000000-0005-0000-0000-0000041E0000}"/>
    <cellStyle name="40% - 강조색3 61 4" xfId="5685" xr:uid="{00000000-0005-0000-0000-0000051E0000}"/>
    <cellStyle name="40% - 강조색3 61 5" xfId="5725" xr:uid="{00000000-0005-0000-0000-0000061E0000}"/>
    <cellStyle name="40% - 강조색3 61 6" xfId="5672" xr:uid="{00000000-0005-0000-0000-0000071E0000}"/>
    <cellStyle name="40% - 강조색3 61 7" xfId="5443" xr:uid="{00000000-0005-0000-0000-0000081E0000}"/>
    <cellStyle name="40% - 강조색3 61 8" xfId="6624" xr:uid="{00000000-0005-0000-0000-0000091E0000}"/>
    <cellStyle name="40% - 강조색3 61 9" xfId="3141" xr:uid="{00000000-0005-0000-0000-00000A1E0000}"/>
    <cellStyle name="40% - 강조색3 62" xfId="3859" xr:uid="{00000000-0005-0000-0000-00000B1E0000}"/>
    <cellStyle name="40% - 강조색3 62 10" xfId="4954" xr:uid="{00000000-0005-0000-0000-00000C1E0000}"/>
    <cellStyle name="40% - 강조색3 62 11" xfId="8171" xr:uid="{00000000-0005-0000-0000-00000D1E0000}"/>
    <cellStyle name="40% - 강조색3 62 12" xfId="8451" xr:uid="{00000000-0005-0000-0000-00000E1E0000}"/>
    <cellStyle name="40% - 강조색3 62 13" xfId="9000" xr:uid="{00000000-0005-0000-0000-00000F1E0000}"/>
    <cellStyle name="40% - 강조색3 62 14" xfId="6902" xr:uid="{00000000-0005-0000-0000-0000101E0000}"/>
    <cellStyle name="40% - 강조색3 62 15" xfId="9696" xr:uid="{00000000-0005-0000-0000-0000111E0000}"/>
    <cellStyle name="40% - 강조색3 62 16" xfId="9902" xr:uid="{00000000-0005-0000-0000-0000121E0000}"/>
    <cellStyle name="40% - 강조색3 62 17" xfId="10273" xr:uid="{00000000-0005-0000-0000-0000131E0000}"/>
    <cellStyle name="40% - 강조색3 62 18" xfId="7920" xr:uid="{00000000-0005-0000-0000-0000141E0000}"/>
    <cellStyle name="40% - 강조색3 62 19" xfId="10819" xr:uid="{00000000-0005-0000-0000-0000151E0000}"/>
    <cellStyle name="40% - 강조색3 62 2" xfId="4763" xr:uid="{00000000-0005-0000-0000-0000161E0000}"/>
    <cellStyle name="40% - 강조색3 62 20" xfId="9827" xr:uid="{00000000-0005-0000-0000-0000171E0000}"/>
    <cellStyle name="40% - 강조색3 62 3" xfId="5659" xr:uid="{00000000-0005-0000-0000-0000181E0000}"/>
    <cellStyle name="40% - 강조색3 62 4" xfId="2729" xr:uid="{00000000-0005-0000-0000-0000191E0000}"/>
    <cellStyle name="40% - 강조색3 62 5" xfId="5205" xr:uid="{00000000-0005-0000-0000-00001A1E0000}"/>
    <cellStyle name="40% - 강조색3 62 6" xfId="2551" xr:uid="{00000000-0005-0000-0000-00001B1E0000}"/>
    <cellStyle name="40% - 강조색3 62 7" xfId="6606" xr:uid="{00000000-0005-0000-0000-00001C1E0000}"/>
    <cellStyle name="40% - 강조색3 62 8" xfId="6895" xr:uid="{00000000-0005-0000-0000-00001D1E0000}"/>
    <cellStyle name="40% - 강조색3 62 9" xfId="7294" xr:uid="{00000000-0005-0000-0000-00001E1E0000}"/>
    <cellStyle name="40% - 강조색3 63" xfId="4699" xr:uid="{00000000-0005-0000-0000-00001F1E0000}"/>
    <cellStyle name="40% - 강조색3 63 10" xfId="7973" xr:uid="{00000000-0005-0000-0000-0000201E0000}"/>
    <cellStyle name="40% - 강조색3 63 11" xfId="8566" xr:uid="{00000000-0005-0000-0000-0000211E0000}"/>
    <cellStyle name="40% - 강조색3 63 12" xfId="6139" xr:uid="{00000000-0005-0000-0000-0000221E0000}"/>
    <cellStyle name="40% - 강조색3 63 13" xfId="5315" xr:uid="{00000000-0005-0000-0000-0000231E0000}"/>
    <cellStyle name="40% - 강조색3 63 14" xfId="9453" xr:uid="{00000000-0005-0000-0000-0000241E0000}"/>
    <cellStyle name="40% - 강조색3 63 15" xfId="6184" xr:uid="{00000000-0005-0000-0000-0000251E0000}"/>
    <cellStyle name="40% - 강조색3 63 16" xfId="9949" xr:uid="{00000000-0005-0000-0000-0000261E0000}"/>
    <cellStyle name="40% - 강조색3 63 17" xfId="10510" xr:uid="{00000000-0005-0000-0000-0000271E0000}"/>
    <cellStyle name="40% - 강조색3 63 18" xfId="1994" xr:uid="{00000000-0005-0000-0000-0000281E0000}"/>
    <cellStyle name="40% - 강조색3 63 19" xfId="11177" xr:uid="{00000000-0005-0000-0000-0000291E0000}"/>
    <cellStyle name="40% - 강조색3 63 2" xfId="5822" xr:uid="{00000000-0005-0000-0000-00002A1E0000}"/>
    <cellStyle name="40% - 강조색3 63 3" xfId="5901" xr:uid="{00000000-0005-0000-0000-00002B1E0000}"/>
    <cellStyle name="40% - 강조색3 63 4" xfId="5959" xr:uid="{00000000-0005-0000-0000-00002C1E0000}"/>
    <cellStyle name="40% - 강조색3 63 5" xfId="5985" xr:uid="{00000000-0005-0000-0000-00002D1E0000}"/>
    <cellStyle name="40% - 강조색3 63 6" xfId="6645" xr:uid="{00000000-0005-0000-0000-00002E1E0000}"/>
    <cellStyle name="40% - 강조색3 63 7" xfId="7115" xr:uid="{00000000-0005-0000-0000-00002F1E0000}"/>
    <cellStyle name="40% - 강조색3 63 8" xfId="7152" xr:uid="{00000000-0005-0000-0000-0000301E0000}"/>
    <cellStyle name="40% - 강조색3 63 9" xfId="7630" xr:uid="{00000000-0005-0000-0000-0000311E0000}"/>
    <cellStyle name="40% - 강조색3 64" xfId="5512" xr:uid="{00000000-0005-0000-0000-0000321E0000}"/>
    <cellStyle name="40% - 강조색3 64 10" xfId="9677" xr:uid="{00000000-0005-0000-0000-0000331E0000}"/>
    <cellStyle name="40% - 강조색3 64 11" xfId="7564" xr:uid="{00000000-0005-0000-0000-0000341E0000}"/>
    <cellStyle name="40% - 강조색3 64 12" xfId="6954" xr:uid="{00000000-0005-0000-0000-0000351E0000}"/>
    <cellStyle name="40% - 강조색3 64 13" xfId="7784" xr:uid="{00000000-0005-0000-0000-0000361E0000}"/>
    <cellStyle name="40% - 강조색3 64 14" xfId="9943" xr:uid="{00000000-0005-0000-0000-0000371E0000}"/>
    <cellStyle name="40% - 강조색3 64 15" xfId="10948" xr:uid="{00000000-0005-0000-0000-0000381E0000}"/>
    <cellStyle name="40% - 강조색3 64 2" xfId="6674" xr:uid="{00000000-0005-0000-0000-0000391E0000}"/>
    <cellStyle name="40% - 강조색3 64 3" xfId="1971" xr:uid="{00000000-0005-0000-0000-00003A1E0000}"/>
    <cellStyle name="40% - 강조색3 64 4" xfId="6871" xr:uid="{00000000-0005-0000-0000-00003B1E0000}"/>
    <cellStyle name="40% - 강조색3 64 5" xfId="7730" xr:uid="{00000000-0005-0000-0000-00003C1E0000}"/>
    <cellStyle name="40% - 강조색3 64 6" xfId="5253" xr:uid="{00000000-0005-0000-0000-00003D1E0000}"/>
    <cellStyle name="40% - 강조색3 64 7" xfId="8501" xr:uid="{00000000-0005-0000-0000-00003E1E0000}"/>
    <cellStyle name="40% - 강조색3 64 8" xfId="3736" xr:uid="{00000000-0005-0000-0000-00003F1E0000}"/>
    <cellStyle name="40% - 강조색3 64 9" xfId="8348" xr:uid="{00000000-0005-0000-0000-0000401E0000}"/>
    <cellStyle name="40% - 강조색3 65" xfId="5451" xr:uid="{00000000-0005-0000-0000-0000411E0000}"/>
    <cellStyle name="40% - 강조색3 65 10" xfId="8919" xr:uid="{00000000-0005-0000-0000-0000421E0000}"/>
    <cellStyle name="40% - 강조색3 65 11" xfId="9991" xr:uid="{00000000-0005-0000-0000-0000431E0000}"/>
    <cellStyle name="40% - 강조색3 65 12" xfId="8367" xr:uid="{00000000-0005-0000-0000-0000441E0000}"/>
    <cellStyle name="40% - 강조색3 65 13" xfId="8327" xr:uid="{00000000-0005-0000-0000-0000451E0000}"/>
    <cellStyle name="40% - 강조색3 65 14" xfId="10879" xr:uid="{00000000-0005-0000-0000-0000461E0000}"/>
    <cellStyle name="40% - 강조색3 65 15" xfId="9315" xr:uid="{00000000-0005-0000-0000-0000471E0000}"/>
    <cellStyle name="40% - 강조색3 65 2" xfId="6670" xr:uid="{00000000-0005-0000-0000-0000481E0000}"/>
    <cellStyle name="40% - 강조색3 65 3" xfId="6702" xr:uid="{00000000-0005-0000-0000-0000491E0000}"/>
    <cellStyle name="40% - 강조색3 65 4" xfId="6993" xr:uid="{00000000-0005-0000-0000-00004A1E0000}"/>
    <cellStyle name="40% - 강조색3 65 5" xfId="7770" xr:uid="{00000000-0005-0000-0000-00004B1E0000}"/>
    <cellStyle name="40% - 강조색3 65 6" xfId="7416" xr:uid="{00000000-0005-0000-0000-00004C1E0000}"/>
    <cellStyle name="40% - 강조색3 65 7" xfId="8622" xr:uid="{00000000-0005-0000-0000-00004D1E0000}"/>
    <cellStyle name="40% - 강조색3 65 8" xfId="8957" xr:uid="{00000000-0005-0000-0000-00004E1E0000}"/>
    <cellStyle name="40% - 강조색3 65 9" xfId="7615" xr:uid="{00000000-0005-0000-0000-00004F1E0000}"/>
    <cellStyle name="40% - 강조색3 66" xfId="5681" xr:uid="{00000000-0005-0000-0000-0000501E0000}"/>
    <cellStyle name="40% - 강조색3 66 10" xfId="8429" xr:uid="{00000000-0005-0000-0000-0000511E0000}"/>
    <cellStyle name="40% - 강조색3 66 11" xfId="10010" xr:uid="{00000000-0005-0000-0000-0000521E0000}"/>
    <cellStyle name="40% - 강조색3 66 12" xfId="10240" xr:uid="{00000000-0005-0000-0000-0000531E0000}"/>
    <cellStyle name="40% - 강조색3 66 13" xfId="10528" xr:uid="{00000000-0005-0000-0000-0000541E0000}"/>
    <cellStyle name="40% - 강조색3 66 14" xfId="10918" xr:uid="{00000000-0005-0000-0000-0000551E0000}"/>
    <cellStyle name="40% - 강조색3 66 15" xfId="695" xr:uid="{00000000-0005-0000-0000-0000561E0000}"/>
    <cellStyle name="40% - 강조색3 66 2" xfId="6685" xr:uid="{00000000-0005-0000-0000-0000571E0000}"/>
    <cellStyle name="40% - 강조색3 66 3" xfId="7302" xr:uid="{00000000-0005-0000-0000-0000581E0000}"/>
    <cellStyle name="40% - 강조색3 66 4" xfId="6981" xr:uid="{00000000-0005-0000-0000-0000591E0000}"/>
    <cellStyle name="40% - 강조색3 66 5" xfId="7582" xr:uid="{00000000-0005-0000-0000-00005A1E0000}"/>
    <cellStyle name="40% - 강조색3 66 6" xfId="3483" xr:uid="{00000000-0005-0000-0000-00005B1E0000}"/>
    <cellStyle name="40% - 강조색3 66 7" xfId="7502" xr:uid="{00000000-0005-0000-0000-00005C1E0000}"/>
    <cellStyle name="40% - 강조색3 66 8" xfId="8916" xr:uid="{00000000-0005-0000-0000-00005D1E0000}"/>
    <cellStyle name="40% - 강조색3 66 9" xfId="9269" xr:uid="{00000000-0005-0000-0000-00005E1E0000}"/>
    <cellStyle name="40% - 강조색3 67" xfId="5485" xr:uid="{00000000-0005-0000-0000-00005F1E0000}"/>
    <cellStyle name="40% - 강조색3 67 10" xfId="8421" xr:uid="{00000000-0005-0000-0000-0000601E0000}"/>
    <cellStyle name="40% - 강조색3 67 11" xfId="9769" xr:uid="{00000000-0005-0000-0000-0000611E0000}"/>
    <cellStyle name="40% - 강조색3 67 12" xfId="10213" xr:uid="{00000000-0005-0000-0000-0000621E0000}"/>
    <cellStyle name="40% - 강조색3 67 13" xfId="10594" xr:uid="{00000000-0005-0000-0000-0000631E0000}"/>
    <cellStyle name="40% - 강조색3 67 14" xfId="10788" xr:uid="{00000000-0005-0000-0000-0000641E0000}"/>
    <cellStyle name="40% - 강조색3 67 15" xfId="11110" xr:uid="{00000000-0005-0000-0000-0000651E0000}"/>
    <cellStyle name="40% - 강조색3 67 2" xfId="6672" xr:uid="{00000000-0005-0000-0000-0000661E0000}"/>
    <cellStyle name="40% - 강조색3 67 3" xfId="6775" xr:uid="{00000000-0005-0000-0000-0000671E0000}"/>
    <cellStyle name="40% - 강조색3 67 4" xfId="4894" xr:uid="{00000000-0005-0000-0000-0000681E0000}"/>
    <cellStyle name="40% - 강조색3 67 5" xfId="7836" xr:uid="{00000000-0005-0000-0000-0000691E0000}"/>
    <cellStyle name="40% - 강조색3 67 6" xfId="8074" xr:uid="{00000000-0005-0000-0000-00006A1E0000}"/>
    <cellStyle name="40% - 강조색3 67 7" xfId="8587" xr:uid="{00000000-0005-0000-0000-00006B1E0000}"/>
    <cellStyle name="40% - 강조색3 67 8" xfId="8979" xr:uid="{00000000-0005-0000-0000-00006C1E0000}"/>
    <cellStyle name="40% - 강조색3 67 9" xfId="840" xr:uid="{00000000-0005-0000-0000-00006D1E0000}"/>
    <cellStyle name="40% - 강조색3 68" xfId="923" xr:uid="{00000000-0005-0000-0000-00006E1E0000}"/>
    <cellStyle name="40% - 강조색3 68 10" xfId="9849" xr:uid="{00000000-0005-0000-0000-00006F1E0000}"/>
    <cellStyle name="40% - 강조색3 68 11" xfId="3588" xr:uid="{00000000-0005-0000-0000-0000701E0000}"/>
    <cellStyle name="40% - 강조색3 68 12" xfId="10512" xr:uid="{00000000-0005-0000-0000-0000711E0000}"/>
    <cellStyle name="40% - 강조색3 68 13" xfId="8747" xr:uid="{00000000-0005-0000-0000-0000721E0000}"/>
    <cellStyle name="40% - 강조색3 68 14" xfId="11119" xr:uid="{00000000-0005-0000-0000-0000731E0000}"/>
    <cellStyle name="40% - 강조색3 68 2" xfId="7207" xr:uid="{00000000-0005-0000-0000-0000741E0000}"/>
    <cellStyle name="40% - 강조색3 68 3" xfId="3793" xr:uid="{00000000-0005-0000-0000-0000751E0000}"/>
    <cellStyle name="40% - 강조색3 68 4" xfId="7598" xr:uid="{00000000-0005-0000-0000-0000761E0000}"/>
    <cellStyle name="40% - 강조색3 68 5" xfId="7783" xr:uid="{00000000-0005-0000-0000-0000771E0000}"/>
    <cellStyle name="40% - 강조색3 68 6" xfId="8467" xr:uid="{00000000-0005-0000-0000-0000781E0000}"/>
    <cellStyle name="40% - 강조색3 68 7" xfId="8831" xr:uid="{00000000-0005-0000-0000-0000791E0000}"/>
    <cellStyle name="40% - 강조색3 68 8" xfId="6963" xr:uid="{00000000-0005-0000-0000-00007A1E0000}"/>
    <cellStyle name="40% - 강조색3 68 9" xfId="7821" xr:uid="{00000000-0005-0000-0000-00007B1E0000}"/>
    <cellStyle name="40% - 강조색3 69" xfId="7142" xr:uid="{00000000-0005-0000-0000-00007C1E0000}"/>
    <cellStyle name="40% - 강조색3 69 10" xfId="6926" xr:uid="{00000000-0005-0000-0000-00007D1E0000}"/>
    <cellStyle name="40% - 강조색3 69 11" xfId="10853" xr:uid="{00000000-0005-0000-0000-00007E1E0000}"/>
    <cellStyle name="40% - 강조색3 69 12" xfId="11083" xr:uid="{00000000-0005-0000-0000-00007F1E0000}"/>
    <cellStyle name="40% - 강조색3 69 2" xfId="7884" xr:uid="{00000000-0005-0000-0000-0000801E0000}"/>
    <cellStyle name="40% - 강조색3 69 3" xfId="8278" xr:uid="{00000000-0005-0000-0000-0000811E0000}"/>
    <cellStyle name="40% - 강조색3 69 4" xfId="8640" xr:uid="{00000000-0005-0000-0000-0000821E0000}"/>
    <cellStyle name="40% - 강조색3 69 5" xfId="8902" xr:uid="{00000000-0005-0000-0000-0000831E0000}"/>
    <cellStyle name="40% - 강조색3 69 6" xfId="2768" xr:uid="{00000000-0005-0000-0000-0000841E0000}"/>
    <cellStyle name="40% - 강조색3 69 7" xfId="6772" xr:uid="{00000000-0005-0000-0000-0000851E0000}"/>
    <cellStyle name="40% - 강조색3 69 8" xfId="10024" xr:uid="{00000000-0005-0000-0000-0000861E0000}"/>
    <cellStyle name="40% - 강조색3 69 9" xfId="10339" xr:uid="{00000000-0005-0000-0000-0000871E0000}"/>
    <cellStyle name="40% - 강조색3 7" xfId="128" xr:uid="{00000000-0005-0000-0000-0000881E0000}"/>
    <cellStyle name="40% - 강조색3 70" xfId="7330" xr:uid="{00000000-0005-0000-0000-0000891E0000}"/>
    <cellStyle name="40% - 강조색3 70 10" xfId="6008" xr:uid="{00000000-0005-0000-0000-00008A1E0000}"/>
    <cellStyle name="40% - 강조색3 70 11" xfId="10943" xr:uid="{00000000-0005-0000-0000-00008B1E0000}"/>
    <cellStyle name="40% - 강조색3 70 12" xfId="9167" xr:uid="{00000000-0005-0000-0000-00008C1E0000}"/>
    <cellStyle name="40% - 강조색3 70 2" xfId="7895" xr:uid="{00000000-0005-0000-0000-00008D1E0000}"/>
    <cellStyle name="40% - 강조색3 70 3" xfId="8289" xr:uid="{00000000-0005-0000-0000-00008E1E0000}"/>
    <cellStyle name="40% - 강조색3 70 4" xfId="8651" xr:uid="{00000000-0005-0000-0000-00008F1E0000}"/>
    <cellStyle name="40% - 강조색3 70 5" xfId="8908" xr:uid="{00000000-0005-0000-0000-0000901E0000}"/>
    <cellStyle name="40% - 강조색3 70 6" xfId="7742" xr:uid="{00000000-0005-0000-0000-0000911E0000}"/>
    <cellStyle name="40% - 강조색3 70 7" xfId="6802" xr:uid="{00000000-0005-0000-0000-0000921E0000}"/>
    <cellStyle name="40% - 강조색3 70 8" xfId="9800" xr:uid="{00000000-0005-0000-0000-0000931E0000}"/>
    <cellStyle name="40% - 강조색3 70 9" xfId="9481" xr:uid="{00000000-0005-0000-0000-0000941E0000}"/>
    <cellStyle name="40% - 강조색3 71" xfId="7825" xr:uid="{00000000-0005-0000-0000-0000951E0000}"/>
    <cellStyle name="40% - 강조색3 71 10" xfId="9890" xr:uid="{00000000-0005-0000-0000-0000961E0000}"/>
    <cellStyle name="40% - 강조색3 71 11" xfId="11213" xr:uid="{00000000-0005-0000-0000-0000971E0000}"/>
    <cellStyle name="40% - 강조색3 71 2" xfId="8300" xr:uid="{00000000-0005-0000-0000-0000981E0000}"/>
    <cellStyle name="40% - 강조색3 71 3" xfId="8662" xr:uid="{00000000-0005-0000-0000-0000991E0000}"/>
    <cellStyle name="40% - 강조색3 71 4" xfId="9026" xr:uid="{00000000-0005-0000-0000-00009A1E0000}"/>
    <cellStyle name="40% - 강조색3 71 5" xfId="9384" xr:uid="{00000000-0005-0000-0000-00009B1E0000}"/>
    <cellStyle name="40% - 강조색3 71 6" xfId="8813" xr:uid="{00000000-0005-0000-0000-00009C1E0000}"/>
    <cellStyle name="40% - 강조색3 71 7" xfId="10048" xr:uid="{00000000-0005-0000-0000-00009D1E0000}"/>
    <cellStyle name="40% - 강조색3 71 8" xfId="6131" xr:uid="{00000000-0005-0000-0000-00009E1E0000}"/>
    <cellStyle name="40% - 강조색3 71 9" xfId="10534" xr:uid="{00000000-0005-0000-0000-00009F1E0000}"/>
    <cellStyle name="40% - 강조색3 72" xfId="8250" xr:uid="{00000000-0005-0000-0000-0000A01E0000}"/>
    <cellStyle name="40% - 강조색3 72 10" xfId="8515" xr:uid="{00000000-0005-0000-0000-0000A11E0000}"/>
    <cellStyle name="40% - 강조색3 72 2" xfId="8673" xr:uid="{00000000-0005-0000-0000-0000A21E0000}"/>
    <cellStyle name="40% - 강조색3 72 3" xfId="9037" xr:uid="{00000000-0005-0000-0000-0000A31E0000}"/>
    <cellStyle name="40% - 강조색3 72 4" xfId="9396" xr:uid="{00000000-0005-0000-0000-0000A41E0000}"/>
    <cellStyle name="40% - 강조색3 72 5" xfId="9728" xr:uid="{00000000-0005-0000-0000-0000A51E0000}"/>
    <cellStyle name="40% - 강조색3 72 6" xfId="9419" xr:uid="{00000000-0005-0000-0000-0000A61E0000}"/>
    <cellStyle name="40% - 강조색3 72 7" xfId="10261" xr:uid="{00000000-0005-0000-0000-0000A71E0000}"/>
    <cellStyle name="40% - 강조색3 72 8" xfId="10686" xr:uid="{00000000-0005-0000-0000-0000A81E0000}"/>
    <cellStyle name="40% - 강조색3 72 9" xfId="3420" xr:uid="{00000000-0005-0000-0000-0000A91E0000}"/>
    <cellStyle name="40% - 강조색3 73" xfId="8608" xr:uid="{00000000-0005-0000-0000-0000AA1E0000}"/>
    <cellStyle name="40% - 강조색3 73 2" xfId="9043" xr:uid="{00000000-0005-0000-0000-0000AB1E0000}"/>
    <cellStyle name="40% - 강조색3 73 3" xfId="9402" xr:uid="{00000000-0005-0000-0000-0000AC1E0000}"/>
    <cellStyle name="40% - 강조색3 73 4" xfId="9734" xr:uid="{00000000-0005-0000-0000-0000AD1E0000}"/>
    <cellStyle name="40% - 강조색3 73 5" xfId="10060" xr:uid="{00000000-0005-0000-0000-0000AE1E0000}"/>
    <cellStyle name="40% - 강조색3 73 6" xfId="1986" xr:uid="{00000000-0005-0000-0000-0000AF1E0000}"/>
    <cellStyle name="40% - 강조색3 73 7" xfId="9056" xr:uid="{00000000-0005-0000-0000-0000B01E0000}"/>
    <cellStyle name="40% - 강조색3 73 8" xfId="9955" xr:uid="{00000000-0005-0000-0000-0000B11E0000}"/>
    <cellStyle name="40% - 강조색3 73 9" xfId="11034" xr:uid="{00000000-0005-0000-0000-0000B21E0000}"/>
    <cellStyle name="40% - 강조색3 74" xfId="8998" xr:uid="{00000000-0005-0000-0000-0000B31E0000}"/>
    <cellStyle name="40% - 강조색3 74 2" xfId="9413" xr:uid="{00000000-0005-0000-0000-0000B41E0000}"/>
    <cellStyle name="40% - 강조색3 74 3" xfId="9745" xr:uid="{00000000-0005-0000-0000-0000B51E0000}"/>
    <cellStyle name="40% - 강조색3 74 4" xfId="10071" xr:uid="{00000000-0005-0000-0000-0000B61E0000}"/>
    <cellStyle name="40% - 강조색3 74 5" xfId="10384" xr:uid="{00000000-0005-0000-0000-0000B71E0000}"/>
    <cellStyle name="40% - 강조색3 74 6" xfId="10681" xr:uid="{00000000-0005-0000-0000-0000B81E0000}"/>
    <cellStyle name="40% - 강조색3 74 7" xfId="10923" xr:uid="{00000000-0005-0000-0000-0000B91E0000}"/>
    <cellStyle name="40% - 강조색3 74 8" xfId="9942" xr:uid="{00000000-0005-0000-0000-0000BA1E0000}"/>
    <cellStyle name="40% - 강조색3 75" xfId="9351" xr:uid="{00000000-0005-0000-0000-0000BB1E0000}"/>
    <cellStyle name="40% - 강조색3 75 2" xfId="9754" xr:uid="{00000000-0005-0000-0000-0000BC1E0000}"/>
    <cellStyle name="40% - 강조색3 75 3" xfId="10080" xr:uid="{00000000-0005-0000-0000-0000BD1E0000}"/>
    <cellStyle name="40% - 강조색3 75 4" xfId="10393" xr:uid="{00000000-0005-0000-0000-0000BE1E0000}"/>
    <cellStyle name="40% - 강조색3 75 5" xfId="10702" xr:uid="{00000000-0005-0000-0000-0000BF1E0000}"/>
    <cellStyle name="40% - 강조색3 75 6" xfId="9457" xr:uid="{00000000-0005-0000-0000-0000C01E0000}"/>
    <cellStyle name="40% - 강조색3 75 7" xfId="8757" xr:uid="{00000000-0005-0000-0000-0000C11E0000}"/>
    <cellStyle name="40% - 강조색3 76" xfId="6035" xr:uid="{00000000-0005-0000-0000-0000C21E0000}"/>
    <cellStyle name="40% - 강조색3 76 2" xfId="9875" xr:uid="{00000000-0005-0000-0000-0000C31E0000}"/>
    <cellStyle name="40% - 강조색3 76 3" xfId="8055" xr:uid="{00000000-0005-0000-0000-0000C41E0000}"/>
    <cellStyle name="40% - 강조색3 76 4" xfId="6093" xr:uid="{00000000-0005-0000-0000-0000C51E0000}"/>
    <cellStyle name="40% - 강조색3 76 5" xfId="10843" xr:uid="{00000000-0005-0000-0000-0000C61E0000}"/>
    <cellStyle name="40% - 강조색3 76 6" xfId="11161" xr:uid="{00000000-0005-0000-0000-0000C71E0000}"/>
    <cellStyle name="40% - 강조색3 77" xfId="9798" xr:uid="{00000000-0005-0000-0000-0000C81E0000}"/>
    <cellStyle name="40% - 강조색3 77 2" xfId="10405" xr:uid="{00000000-0005-0000-0000-0000C91E0000}"/>
    <cellStyle name="40% - 강조색3 77 3" xfId="10715" xr:uid="{00000000-0005-0000-0000-0000CA1E0000}"/>
    <cellStyle name="40% - 강조색3 77 4" xfId="10999" xr:uid="{00000000-0005-0000-0000-0000CB1E0000}"/>
    <cellStyle name="40% - 강조색3 77 5" xfId="6726" xr:uid="{00000000-0005-0000-0000-0000CC1E0000}"/>
    <cellStyle name="40% - 강조색3 78" xfId="10363" xr:uid="{00000000-0005-0000-0000-0000CD1E0000}"/>
    <cellStyle name="40% - 강조색3 78 2" xfId="10729" xr:uid="{00000000-0005-0000-0000-0000CE1E0000}"/>
    <cellStyle name="40% - 강조색3 78 3" xfId="11013" xr:uid="{00000000-0005-0000-0000-0000CF1E0000}"/>
    <cellStyle name="40% - 강조색3 78 4" xfId="11290" xr:uid="{00000000-0005-0000-0000-0000D01E0000}"/>
    <cellStyle name="40% - 강조색3 79" xfId="10669" xr:uid="{00000000-0005-0000-0000-0000D11E0000}"/>
    <cellStyle name="40% - 강조색3 79 2" xfId="11021" xr:uid="{00000000-0005-0000-0000-0000D21E0000}"/>
    <cellStyle name="40% - 강조색3 79 3" xfId="11299" xr:uid="{00000000-0005-0000-0000-0000D31E0000}"/>
    <cellStyle name="40% - 강조색3 8" xfId="141" xr:uid="{00000000-0005-0000-0000-0000D41E0000}"/>
    <cellStyle name="40% - 강조색3 80" xfId="10963" xr:uid="{00000000-0005-0000-0000-0000D51E0000}"/>
    <cellStyle name="40% - 강조색3 80 2" xfId="11307" xr:uid="{00000000-0005-0000-0000-0000D61E0000}"/>
    <cellStyle name="40% - 강조색3 81" xfId="11253" xr:uid="{00000000-0005-0000-0000-0000D71E0000}"/>
    <cellStyle name="40% - 강조색3 82" xfId="1037" xr:uid="{00000000-0005-0000-0000-0000D81E0000}"/>
    <cellStyle name="40% - 강조색3 83" xfId="11410" xr:uid="{00000000-0005-0000-0000-0000D91E0000}"/>
    <cellStyle name="40% - 강조색3 84" xfId="11365" xr:uid="{00000000-0005-0000-0000-0000DA1E0000}"/>
    <cellStyle name="40% - 강조색3 85" xfId="11377" xr:uid="{00000000-0005-0000-0000-0000DB1E0000}"/>
    <cellStyle name="40% - 강조색3 86" xfId="11443" xr:uid="{00000000-0005-0000-0000-0000DC1E0000}"/>
    <cellStyle name="40% - 강조색3 9" xfId="154" xr:uid="{00000000-0005-0000-0000-0000DD1E0000}"/>
    <cellStyle name="40% - 강조색4" xfId="34" builtinId="43" customBuiltin="1"/>
    <cellStyle name="40% - 강조색4 10" xfId="182" xr:uid="{00000000-0005-0000-0000-0000DF1E0000}"/>
    <cellStyle name="40% - 강조색4 11" xfId="195" xr:uid="{00000000-0005-0000-0000-0000E01E0000}"/>
    <cellStyle name="40% - 강조색4 12" xfId="208" xr:uid="{00000000-0005-0000-0000-0000E11E0000}"/>
    <cellStyle name="40% - 강조색4 13" xfId="221" xr:uid="{00000000-0005-0000-0000-0000E21E0000}"/>
    <cellStyle name="40% - 강조색4 14" xfId="234" xr:uid="{00000000-0005-0000-0000-0000E31E0000}"/>
    <cellStyle name="40% - 강조색4 15" xfId="247" xr:uid="{00000000-0005-0000-0000-0000E41E0000}"/>
    <cellStyle name="40% - 강조색4 16" xfId="260" xr:uid="{00000000-0005-0000-0000-0000E51E0000}"/>
    <cellStyle name="40% - 강조색4 17" xfId="273" xr:uid="{00000000-0005-0000-0000-0000E61E0000}"/>
    <cellStyle name="40% - 강조색4 18" xfId="286" xr:uid="{00000000-0005-0000-0000-0000E71E0000}"/>
    <cellStyle name="40% - 강조색4 19" xfId="299" xr:uid="{00000000-0005-0000-0000-0000E81E0000}"/>
    <cellStyle name="40% - 강조색4 2" xfId="53" xr:uid="{00000000-0005-0000-0000-0000E91E0000}"/>
    <cellStyle name="40% - 강조색4 20" xfId="312" xr:uid="{00000000-0005-0000-0000-0000EA1E0000}"/>
    <cellStyle name="40% - 강조색4 21" xfId="325" xr:uid="{00000000-0005-0000-0000-0000EB1E0000}"/>
    <cellStyle name="40% - 강조색4 22" xfId="338" xr:uid="{00000000-0005-0000-0000-0000EC1E0000}"/>
    <cellStyle name="40% - 강조색4 23" xfId="351" xr:uid="{00000000-0005-0000-0000-0000ED1E0000}"/>
    <cellStyle name="40% - 강조색4 24" xfId="364" xr:uid="{00000000-0005-0000-0000-0000EE1E0000}"/>
    <cellStyle name="40% - 강조색4 25" xfId="377" xr:uid="{00000000-0005-0000-0000-0000EF1E0000}"/>
    <cellStyle name="40% - 강조색4 26" xfId="390" xr:uid="{00000000-0005-0000-0000-0000F01E0000}"/>
    <cellStyle name="40% - 강조색4 27" xfId="403" xr:uid="{00000000-0005-0000-0000-0000F11E0000}"/>
    <cellStyle name="40% - 강조색4 28" xfId="416" xr:uid="{00000000-0005-0000-0000-0000F21E0000}"/>
    <cellStyle name="40% - 강조색4 29" xfId="429" xr:uid="{00000000-0005-0000-0000-0000F31E0000}"/>
    <cellStyle name="40% - 강조색4 3" xfId="81" xr:uid="{00000000-0005-0000-0000-0000F41E0000}"/>
    <cellStyle name="40% - 강조색4 30" xfId="442" xr:uid="{00000000-0005-0000-0000-0000F51E0000}"/>
    <cellStyle name="40% - 강조색4 31" xfId="454" xr:uid="{00000000-0005-0000-0000-0000F61E0000}"/>
    <cellStyle name="40% - 강조색4 32" xfId="466" xr:uid="{00000000-0005-0000-0000-0000F71E0000}"/>
    <cellStyle name="40% - 강조색4 33" xfId="478" xr:uid="{00000000-0005-0000-0000-0000F81E0000}"/>
    <cellStyle name="40% - 강조색4 34" xfId="490" xr:uid="{00000000-0005-0000-0000-0000F91E0000}"/>
    <cellStyle name="40% - 강조색4 35" xfId="501" xr:uid="{00000000-0005-0000-0000-0000FA1E0000}"/>
    <cellStyle name="40% - 강조색4 36" xfId="512" xr:uid="{00000000-0005-0000-0000-0000FB1E0000}"/>
    <cellStyle name="40% - 강조색4 37" xfId="523" xr:uid="{00000000-0005-0000-0000-0000FC1E0000}"/>
    <cellStyle name="40% - 강조색4 38" xfId="532" xr:uid="{00000000-0005-0000-0000-0000FD1E0000}"/>
    <cellStyle name="40% - 강조색4 39" xfId="538" xr:uid="{00000000-0005-0000-0000-0000FE1E0000}"/>
    <cellStyle name="40% - 강조색4 4" xfId="104" xr:uid="{00000000-0005-0000-0000-0000FF1E0000}"/>
    <cellStyle name="40% - 강조색4 40" xfId="552" xr:uid="{00000000-0005-0000-0000-0000001F0000}"/>
    <cellStyle name="40% - 강조색4 40 10" xfId="2629" xr:uid="{00000000-0005-0000-0000-0000011F0000}"/>
    <cellStyle name="40% - 강조색4 40 11" xfId="3555" xr:uid="{00000000-0005-0000-0000-0000021F0000}"/>
    <cellStyle name="40% - 강조색4 40 12" xfId="4008" xr:uid="{00000000-0005-0000-0000-0000031F0000}"/>
    <cellStyle name="40% - 강조색4 40 13" xfId="1540" xr:uid="{00000000-0005-0000-0000-0000041F0000}"/>
    <cellStyle name="40% - 강조색4 40 14" xfId="3785" xr:uid="{00000000-0005-0000-0000-0000051F0000}"/>
    <cellStyle name="40% - 강조색4 40 15" xfId="4908" xr:uid="{00000000-0005-0000-0000-0000061F0000}"/>
    <cellStyle name="40% - 강조색4 40 16" xfId="3818" xr:uid="{00000000-0005-0000-0000-0000071F0000}"/>
    <cellStyle name="40% - 강조색4 40 17" xfId="5475" xr:uid="{00000000-0005-0000-0000-0000081F0000}"/>
    <cellStyle name="40% - 강조색4 40 18" xfId="4955" xr:uid="{00000000-0005-0000-0000-0000091F0000}"/>
    <cellStyle name="40% - 강조색4 40 19" xfId="3408" xr:uid="{00000000-0005-0000-0000-00000A1F0000}"/>
    <cellStyle name="40% - 강조색4 40 2" xfId="600" xr:uid="{00000000-0005-0000-0000-00000B1F0000}"/>
    <cellStyle name="40% - 강조색4 40 20" xfId="3382" xr:uid="{00000000-0005-0000-0000-00000C1F0000}"/>
    <cellStyle name="40% - 강조색4 40 21" xfId="7367" xr:uid="{00000000-0005-0000-0000-00000D1F0000}"/>
    <cellStyle name="40% - 강조색4 40 22" xfId="7610" xr:uid="{00000000-0005-0000-0000-00000E1F0000}"/>
    <cellStyle name="40% - 강조색4 40 23" xfId="3167" xr:uid="{00000000-0005-0000-0000-00000F1F0000}"/>
    <cellStyle name="40% - 강조색4 40 24" xfId="8359" xr:uid="{00000000-0005-0000-0000-0000101F0000}"/>
    <cellStyle name="40% - 강조색4 40 25" xfId="8745" xr:uid="{00000000-0005-0000-0000-0000111F0000}"/>
    <cellStyle name="40% - 강조색4 40 26" xfId="6991" xr:uid="{00000000-0005-0000-0000-0000121F0000}"/>
    <cellStyle name="40% - 강조색4 40 27" xfId="9503" xr:uid="{00000000-0005-0000-0000-0000131F0000}"/>
    <cellStyle name="40% - 강조색4 40 28" xfId="8850" xr:uid="{00000000-0005-0000-0000-0000141F0000}"/>
    <cellStyle name="40% - 강조색4 40 29" xfId="7740" xr:uid="{00000000-0005-0000-0000-0000151F0000}"/>
    <cellStyle name="40% - 강조색4 40 3" xfId="1011" xr:uid="{00000000-0005-0000-0000-0000161F0000}"/>
    <cellStyle name="40% - 강조색4 40 30" xfId="6062" xr:uid="{00000000-0005-0000-0000-0000171F0000}"/>
    <cellStyle name="40% - 강조색4 40 31" xfId="10967" xr:uid="{00000000-0005-0000-0000-0000181F0000}"/>
    <cellStyle name="40% - 강조색4 40 32" xfId="3754" xr:uid="{00000000-0005-0000-0000-0000191F0000}"/>
    <cellStyle name="40% - 강조색4 40 33" xfId="11322" xr:uid="{00000000-0005-0000-0000-00001A1F0000}"/>
    <cellStyle name="40% - 강조색4 40 34" xfId="568" xr:uid="{00000000-0005-0000-0000-00001B1F0000}"/>
    <cellStyle name="40% - 강조색4 40 35" xfId="11428" xr:uid="{00000000-0005-0000-0000-00001C1F0000}"/>
    <cellStyle name="40% - 강조색4 40 36" xfId="11384" xr:uid="{00000000-0005-0000-0000-00001D1F0000}"/>
    <cellStyle name="40% - 강조색4 40 4" xfId="1275" xr:uid="{00000000-0005-0000-0000-00001E1F0000}"/>
    <cellStyle name="40% - 강조색4 40 5" xfId="1662" xr:uid="{00000000-0005-0000-0000-00001F1F0000}"/>
    <cellStyle name="40% - 강조색4 40 6" xfId="908" xr:uid="{00000000-0005-0000-0000-0000201F0000}"/>
    <cellStyle name="40% - 강조색4 40 7" xfId="2360" xr:uid="{00000000-0005-0000-0000-0000211F0000}"/>
    <cellStyle name="40% - 강조색4 40 8" xfId="2647" xr:uid="{00000000-0005-0000-0000-0000221F0000}"/>
    <cellStyle name="40% - 강조색4 40 9" xfId="2914" xr:uid="{00000000-0005-0000-0000-0000231F0000}"/>
    <cellStyle name="40% - 강조색4 41" xfId="649" xr:uid="{00000000-0005-0000-0000-0000241F0000}"/>
    <cellStyle name="40% - 강조색4 41 10" xfId="1510" xr:uid="{00000000-0005-0000-0000-0000251F0000}"/>
    <cellStyle name="40% - 강조색4 41 11" xfId="3611" xr:uid="{00000000-0005-0000-0000-0000261F0000}"/>
    <cellStyle name="40% - 강조색4 41 12" xfId="4021" xr:uid="{00000000-0005-0000-0000-0000271F0000}"/>
    <cellStyle name="40% - 강조색4 41 13" xfId="3389" xr:uid="{00000000-0005-0000-0000-0000281F0000}"/>
    <cellStyle name="40% - 강조색4 41 14" xfId="4687" xr:uid="{00000000-0005-0000-0000-0000291F0000}"/>
    <cellStyle name="40% - 강조색4 41 15" xfId="5483" xr:uid="{00000000-0005-0000-0000-00002A1F0000}"/>
    <cellStyle name="40% - 강조색4 41 16" xfId="2792" xr:uid="{00000000-0005-0000-0000-00002B1F0000}"/>
    <cellStyle name="40% - 강조색4 41 17" xfId="5171" xr:uid="{00000000-0005-0000-0000-00002C1F0000}"/>
    <cellStyle name="40% - 강조색4 41 18" xfId="5381" xr:uid="{00000000-0005-0000-0000-00002D1F0000}"/>
    <cellStyle name="40% - 강조색4 41 19" xfId="6493" xr:uid="{00000000-0005-0000-0000-00002E1F0000}"/>
    <cellStyle name="40% - 강조색4 41 2" xfId="1152" xr:uid="{00000000-0005-0000-0000-00002F1F0000}"/>
    <cellStyle name="40% - 강조색4 41 20" xfId="2390" xr:uid="{00000000-0005-0000-0000-0000301F0000}"/>
    <cellStyle name="40% - 강조색4 41 21" xfId="6990" xr:uid="{00000000-0005-0000-0000-0000311F0000}"/>
    <cellStyle name="40% - 강조색4 41 22" xfId="7475" xr:uid="{00000000-0005-0000-0000-0000321F0000}"/>
    <cellStyle name="40% - 강조색4 41 23" xfId="7705" xr:uid="{00000000-0005-0000-0000-0000331F0000}"/>
    <cellStyle name="40% - 강조색4 41 24" xfId="8310" xr:uid="{00000000-0005-0000-0000-0000341F0000}"/>
    <cellStyle name="40% - 강조색4 41 25" xfId="8928" xr:uid="{00000000-0005-0000-0000-0000351F0000}"/>
    <cellStyle name="40% - 강조색4 41 26" xfId="9287" xr:uid="{00000000-0005-0000-0000-0000361F0000}"/>
    <cellStyle name="40% - 강조색4 41 27" xfId="3843" xr:uid="{00000000-0005-0000-0000-0000371F0000}"/>
    <cellStyle name="40% - 강조색4 41 28" xfId="3622" xr:uid="{00000000-0005-0000-0000-0000381F0000}"/>
    <cellStyle name="40% - 강조색4 41 29" xfId="7425" xr:uid="{00000000-0005-0000-0000-0000391F0000}"/>
    <cellStyle name="40% - 강조색4 41 3" xfId="1232" xr:uid="{00000000-0005-0000-0000-00003A1F0000}"/>
    <cellStyle name="40% - 강조색4 41 30" xfId="7996" xr:uid="{00000000-0005-0000-0000-00003B1F0000}"/>
    <cellStyle name="40% - 강조색4 41 31" xfId="10743" xr:uid="{00000000-0005-0000-0000-00003C1F0000}"/>
    <cellStyle name="40% - 강조색4 41 32" xfId="9806" xr:uid="{00000000-0005-0000-0000-00003D1F0000}"/>
    <cellStyle name="40% - 강조색4 41 4" xfId="1324" xr:uid="{00000000-0005-0000-0000-00003E1F0000}"/>
    <cellStyle name="40% - 강조색4 41 5" xfId="1763" xr:uid="{00000000-0005-0000-0000-00003F1F0000}"/>
    <cellStyle name="40% - 강조색4 41 6" xfId="847" xr:uid="{00000000-0005-0000-0000-0000401F0000}"/>
    <cellStyle name="40% - 강조색4 41 7" xfId="751" xr:uid="{00000000-0005-0000-0000-0000411F0000}"/>
    <cellStyle name="40% - 강조색4 41 8" xfId="2605" xr:uid="{00000000-0005-0000-0000-0000421F0000}"/>
    <cellStyle name="40% - 강조색4 41 9" xfId="2877" xr:uid="{00000000-0005-0000-0000-0000431F0000}"/>
    <cellStyle name="40% - 강조색4 42" xfId="666" xr:uid="{00000000-0005-0000-0000-0000441F0000}"/>
    <cellStyle name="40% - 강조색4 42 10" xfId="3209" xr:uid="{00000000-0005-0000-0000-0000451F0000}"/>
    <cellStyle name="40% - 강조색4 42 11" xfId="3650" xr:uid="{00000000-0005-0000-0000-0000461F0000}"/>
    <cellStyle name="40% - 강조색4 42 12" xfId="2114" xr:uid="{00000000-0005-0000-0000-0000471F0000}"/>
    <cellStyle name="40% - 강조색4 42 13" xfId="2520" xr:uid="{00000000-0005-0000-0000-0000481F0000}"/>
    <cellStyle name="40% - 강조색4 42 14" xfId="4455" xr:uid="{00000000-0005-0000-0000-0000491F0000}"/>
    <cellStyle name="40% - 강조색4 42 15" xfId="5038" xr:uid="{00000000-0005-0000-0000-00004A1F0000}"/>
    <cellStyle name="40% - 강조색4 42 16" xfId="5741" xr:uid="{00000000-0005-0000-0000-00004B1F0000}"/>
    <cellStyle name="40% - 강조색4 42 17" xfId="5844" xr:uid="{00000000-0005-0000-0000-00004C1F0000}"/>
    <cellStyle name="40% - 강조색4 42 18" xfId="5919" xr:uid="{00000000-0005-0000-0000-00004D1F0000}"/>
    <cellStyle name="40% - 강조색4 42 19" xfId="6285" xr:uid="{00000000-0005-0000-0000-00004E1F0000}"/>
    <cellStyle name="40% - 강조색4 42 2" xfId="1169" xr:uid="{00000000-0005-0000-0000-00004F1F0000}"/>
    <cellStyle name="40% - 강조색4 42 20" xfId="6279" xr:uid="{00000000-0005-0000-0000-0000501F0000}"/>
    <cellStyle name="40% - 강조색4 42 21" xfId="7305" xr:uid="{00000000-0005-0000-0000-0000511F0000}"/>
    <cellStyle name="40% - 강조색4 42 22" xfId="957" xr:uid="{00000000-0005-0000-0000-0000521F0000}"/>
    <cellStyle name="40% - 강조색4 42 23" xfId="2490" xr:uid="{00000000-0005-0000-0000-0000531F0000}"/>
    <cellStyle name="40% - 강조색4 42 24" xfId="6281" xr:uid="{00000000-0005-0000-0000-0000541F0000}"/>
    <cellStyle name="40% - 강조색4 42 25" xfId="5626" xr:uid="{00000000-0005-0000-0000-0000551F0000}"/>
    <cellStyle name="40% - 강조색4 42 26" xfId="9144" xr:uid="{00000000-0005-0000-0000-0000561F0000}"/>
    <cellStyle name="40% - 강조색4 42 27" xfId="9717" xr:uid="{00000000-0005-0000-0000-0000571F0000}"/>
    <cellStyle name="40% - 강조색4 42 28" xfId="6186" xr:uid="{00000000-0005-0000-0000-0000581F0000}"/>
    <cellStyle name="40% - 강조색4 42 29" xfId="10247" xr:uid="{00000000-0005-0000-0000-0000591F0000}"/>
    <cellStyle name="40% - 강조색4 42 3" xfId="1249" xr:uid="{00000000-0005-0000-0000-00005A1F0000}"/>
    <cellStyle name="40% - 강조색4 42 30" xfId="10590" xr:uid="{00000000-0005-0000-0000-00005B1F0000}"/>
    <cellStyle name="40% - 강조색4 42 31" xfId="10901" xr:uid="{00000000-0005-0000-0000-00005C1F0000}"/>
    <cellStyle name="40% - 강조색4 42 32" xfId="11170" xr:uid="{00000000-0005-0000-0000-00005D1F0000}"/>
    <cellStyle name="40% - 강조색4 42 4" xfId="1341" xr:uid="{00000000-0005-0000-0000-00005E1F0000}"/>
    <cellStyle name="40% - 강조색4 42 5" xfId="1723" xr:uid="{00000000-0005-0000-0000-00005F1F0000}"/>
    <cellStyle name="40% - 강조색4 42 6" xfId="1529" xr:uid="{00000000-0005-0000-0000-0000601F0000}"/>
    <cellStyle name="40% - 강조색4 42 7" xfId="838" xr:uid="{00000000-0005-0000-0000-0000611F0000}"/>
    <cellStyle name="40% - 강조색4 42 8" xfId="2596" xr:uid="{00000000-0005-0000-0000-0000621F0000}"/>
    <cellStyle name="40% - 강조색4 42 9" xfId="2886" xr:uid="{00000000-0005-0000-0000-0000631F0000}"/>
    <cellStyle name="40% - 강조색4 43" xfId="647" xr:uid="{00000000-0005-0000-0000-0000641F0000}"/>
    <cellStyle name="40% - 강조색4 43 10" xfId="1487" xr:uid="{00000000-0005-0000-0000-0000651F0000}"/>
    <cellStyle name="40% - 강조색4 43 11" xfId="3669" xr:uid="{00000000-0005-0000-0000-0000661F0000}"/>
    <cellStyle name="40% - 강조색4 43 12" xfId="3937" xr:uid="{00000000-0005-0000-0000-0000671F0000}"/>
    <cellStyle name="40% - 강조색4 43 13" xfId="3107" xr:uid="{00000000-0005-0000-0000-0000681F0000}"/>
    <cellStyle name="40% - 강조색4 43 14" xfId="4647" xr:uid="{00000000-0005-0000-0000-0000691F0000}"/>
    <cellStyle name="40% - 강조색4 43 15" xfId="5611" xr:uid="{00000000-0005-0000-0000-00006A1F0000}"/>
    <cellStyle name="40% - 강조색4 43 16" xfId="5786" xr:uid="{00000000-0005-0000-0000-00006B1F0000}"/>
    <cellStyle name="40% - 강조색4 43 17" xfId="5876" xr:uid="{00000000-0005-0000-0000-00006C1F0000}"/>
    <cellStyle name="40% - 강조색4 43 18" xfId="5941" xr:uid="{00000000-0005-0000-0000-00006D1F0000}"/>
    <cellStyle name="40% - 강조색4 43 19" xfId="6433" xr:uid="{00000000-0005-0000-0000-00006E1F0000}"/>
    <cellStyle name="40% - 강조색4 43 2" xfId="1150" xr:uid="{00000000-0005-0000-0000-00006F1F0000}"/>
    <cellStyle name="40% - 강조색4 43 20" xfId="1588" xr:uid="{00000000-0005-0000-0000-0000701F0000}"/>
    <cellStyle name="40% - 강조색4 43 21" xfId="3396" xr:uid="{00000000-0005-0000-0000-0000711F0000}"/>
    <cellStyle name="40% - 강조색4 43 22" xfId="4634" xr:uid="{00000000-0005-0000-0000-0000721F0000}"/>
    <cellStyle name="40% - 강조색4 43 23" xfId="8170" xr:uid="{00000000-0005-0000-0000-0000731F0000}"/>
    <cellStyle name="40% - 강조색4 43 24" xfId="6436" xr:uid="{00000000-0005-0000-0000-0000741F0000}"/>
    <cellStyle name="40% - 강조색4 43 25" xfId="8952" xr:uid="{00000000-0005-0000-0000-0000751F0000}"/>
    <cellStyle name="40% - 강조색4 43 26" xfId="9158" xr:uid="{00000000-0005-0000-0000-0000761F0000}"/>
    <cellStyle name="40% - 강조색4 43 27" xfId="5406" xr:uid="{00000000-0005-0000-0000-0000771F0000}"/>
    <cellStyle name="40% - 강조색4 43 28" xfId="7925" xr:uid="{00000000-0005-0000-0000-0000781F0000}"/>
    <cellStyle name="40% - 강조색4 43 29" xfId="5049" xr:uid="{00000000-0005-0000-0000-0000791F0000}"/>
    <cellStyle name="40% - 강조색4 43 3" xfId="1230" xr:uid="{00000000-0005-0000-0000-00007A1F0000}"/>
    <cellStyle name="40% - 강조색4 43 30" xfId="7578" xr:uid="{00000000-0005-0000-0000-00007B1F0000}"/>
    <cellStyle name="40% - 강조색4 43 31" xfId="6349" xr:uid="{00000000-0005-0000-0000-00007C1F0000}"/>
    <cellStyle name="40% - 강조색4 43 32" xfId="11076" xr:uid="{00000000-0005-0000-0000-00007D1F0000}"/>
    <cellStyle name="40% - 강조색4 43 4" xfId="1322" xr:uid="{00000000-0005-0000-0000-00007E1F0000}"/>
    <cellStyle name="40% - 강조색4 43 5" xfId="1691" xr:uid="{00000000-0005-0000-0000-00007F1F0000}"/>
    <cellStyle name="40% - 강조색4 43 6" xfId="2056" xr:uid="{00000000-0005-0000-0000-0000801F0000}"/>
    <cellStyle name="40% - 강조색4 43 7" xfId="2298" xr:uid="{00000000-0005-0000-0000-0000811F0000}"/>
    <cellStyle name="40% - 강조색4 43 8" xfId="2619" xr:uid="{00000000-0005-0000-0000-0000821F0000}"/>
    <cellStyle name="40% - 강조색4 43 9" xfId="2896" xr:uid="{00000000-0005-0000-0000-0000831F0000}"/>
    <cellStyle name="40% - 강조색4 44" xfId="628" xr:uid="{00000000-0005-0000-0000-0000841F0000}"/>
    <cellStyle name="40% - 강조색4 44 10" xfId="3194" xr:uid="{00000000-0005-0000-0000-0000851F0000}"/>
    <cellStyle name="40% - 강조색4 44 11" xfId="2421" xr:uid="{00000000-0005-0000-0000-0000861F0000}"/>
    <cellStyle name="40% - 강조색4 44 12" xfId="3856" xr:uid="{00000000-0005-0000-0000-0000871F0000}"/>
    <cellStyle name="40% - 강조색4 44 13" xfId="4086" xr:uid="{00000000-0005-0000-0000-0000881F0000}"/>
    <cellStyle name="40% - 강조색4 44 14" xfId="4416" xr:uid="{00000000-0005-0000-0000-0000891F0000}"/>
    <cellStyle name="40% - 강조색4 44 15" xfId="1992" xr:uid="{00000000-0005-0000-0000-00008A1F0000}"/>
    <cellStyle name="40% - 강조색4 44 16" xfId="4952" xr:uid="{00000000-0005-0000-0000-00008B1F0000}"/>
    <cellStyle name="40% - 강조색4 44 17" xfId="5774" xr:uid="{00000000-0005-0000-0000-00008C1F0000}"/>
    <cellStyle name="40% - 강조색4 44 18" xfId="5868" xr:uid="{00000000-0005-0000-0000-00008D1F0000}"/>
    <cellStyle name="40% - 강조색4 44 19" xfId="6347" xr:uid="{00000000-0005-0000-0000-00008E1F0000}"/>
    <cellStyle name="40% - 강조색4 44 2" xfId="1131" xr:uid="{00000000-0005-0000-0000-00008F1F0000}"/>
    <cellStyle name="40% - 강조색4 44 20" xfId="3724" xr:uid="{00000000-0005-0000-0000-0000901F0000}"/>
    <cellStyle name="40% - 강조색4 44 21" xfId="6202" xr:uid="{00000000-0005-0000-0000-0000911F0000}"/>
    <cellStyle name="40% - 강조색4 44 22" xfId="7595" xr:uid="{00000000-0005-0000-0000-0000921F0000}"/>
    <cellStyle name="40% - 강조색4 44 23" xfId="6032" xr:uid="{00000000-0005-0000-0000-0000931F0000}"/>
    <cellStyle name="40% - 강조색4 44 24" xfId="8394" xr:uid="{00000000-0005-0000-0000-0000941F0000}"/>
    <cellStyle name="40% - 강조색4 44 25" xfId="4927" xr:uid="{00000000-0005-0000-0000-0000951F0000}"/>
    <cellStyle name="40% - 강조색4 44 26" xfId="8316" xr:uid="{00000000-0005-0000-0000-0000961F0000}"/>
    <cellStyle name="40% - 강조색4 44 27" xfId="7811" xr:uid="{00000000-0005-0000-0000-0000971F0000}"/>
    <cellStyle name="40% - 강조색4 44 28" xfId="9918" xr:uid="{00000000-0005-0000-0000-0000981F0000}"/>
    <cellStyle name="40% - 강조색4 44 29" xfId="9078" xr:uid="{00000000-0005-0000-0000-0000991F0000}"/>
    <cellStyle name="40% - 강조색4 44 3" xfId="1211" xr:uid="{00000000-0005-0000-0000-00009A1F0000}"/>
    <cellStyle name="40% - 강조색4 44 30" xfId="10588" xr:uid="{00000000-0005-0000-0000-00009B1F0000}"/>
    <cellStyle name="40% - 강조색4 44 31" xfId="1600" xr:uid="{00000000-0005-0000-0000-00009C1F0000}"/>
    <cellStyle name="40% - 강조색4 44 32" xfId="11183" xr:uid="{00000000-0005-0000-0000-00009D1F0000}"/>
    <cellStyle name="40% - 강조색4 44 4" xfId="1303" xr:uid="{00000000-0005-0000-0000-00009E1F0000}"/>
    <cellStyle name="40% - 강조색4 44 5" xfId="1715" xr:uid="{00000000-0005-0000-0000-00009F1F0000}"/>
    <cellStyle name="40% - 강조색4 44 6" xfId="1550" xr:uid="{00000000-0005-0000-0000-0000A01F0000}"/>
    <cellStyle name="40% - 강조색4 44 7" xfId="2262" xr:uid="{00000000-0005-0000-0000-0000A11F0000}"/>
    <cellStyle name="40% - 강조색4 44 8" xfId="2565" xr:uid="{00000000-0005-0000-0000-0000A21F0000}"/>
    <cellStyle name="40% - 강조색4 44 9" xfId="2449" xr:uid="{00000000-0005-0000-0000-0000A31F0000}"/>
    <cellStyle name="40% - 강조색4 45" xfId="676" xr:uid="{00000000-0005-0000-0000-0000A41F0000}"/>
    <cellStyle name="40% - 강조색4 45 10" xfId="3331" xr:uid="{00000000-0005-0000-0000-0000A51F0000}"/>
    <cellStyle name="40% - 강조색4 45 11" xfId="3494" xr:uid="{00000000-0005-0000-0000-0000A61F0000}"/>
    <cellStyle name="40% - 강조색4 45 12" xfId="3038" xr:uid="{00000000-0005-0000-0000-0000A71F0000}"/>
    <cellStyle name="40% - 강조색4 45 13" xfId="4153" xr:uid="{00000000-0005-0000-0000-0000A81F0000}"/>
    <cellStyle name="40% - 강조색4 45 14" xfId="788" xr:uid="{00000000-0005-0000-0000-0000A91F0000}"/>
    <cellStyle name="40% - 강조색4 45 15" xfId="5418" xr:uid="{00000000-0005-0000-0000-0000AA1F0000}"/>
    <cellStyle name="40% - 강조색4 45 16" xfId="5136" xr:uid="{00000000-0005-0000-0000-0000AB1F0000}"/>
    <cellStyle name="40% - 강조색4 45 17" xfId="5728" xr:uid="{00000000-0005-0000-0000-0000AC1F0000}"/>
    <cellStyle name="40% - 강조색4 45 18" xfId="4809" xr:uid="{00000000-0005-0000-0000-0000AD1F0000}"/>
    <cellStyle name="40% - 강조색4 45 19" xfId="6399" xr:uid="{00000000-0005-0000-0000-0000AE1F0000}"/>
    <cellStyle name="40% - 강조색4 45 2" xfId="1179" xr:uid="{00000000-0005-0000-0000-0000AF1F0000}"/>
    <cellStyle name="40% - 강조색4 45 20" xfId="7113" xr:uid="{00000000-0005-0000-0000-0000B01F0000}"/>
    <cellStyle name="40% - 강조색4 45 21" xfId="6997" xr:uid="{00000000-0005-0000-0000-0000B11F0000}"/>
    <cellStyle name="40% - 강조색4 45 22" xfId="7657" xr:uid="{00000000-0005-0000-0000-0000B21F0000}"/>
    <cellStyle name="40% - 강조색4 45 23" xfId="8257" xr:uid="{00000000-0005-0000-0000-0000B31F0000}"/>
    <cellStyle name="40% - 강조색4 45 24" xfId="5518" xr:uid="{00000000-0005-0000-0000-0000B41F0000}"/>
    <cellStyle name="40% - 강조색4 45 25" xfId="5209" xr:uid="{00000000-0005-0000-0000-0000B51F0000}"/>
    <cellStyle name="40% - 강조색4 45 26" xfId="9361" xr:uid="{00000000-0005-0000-0000-0000B61F0000}"/>
    <cellStyle name="40% - 강조색4 45 27" xfId="9053" xr:uid="{00000000-0005-0000-0000-0000B71F0000}"/>
    <cellStyle name="40% - 강조색4 45 28" xfId="9508" xr:uid="{00000000-0005-0000-0000-0000B81F0000}"/>
    <cellStyle name="40% - 강조색4 45 29" xfId="3400" xr:uid="{00000000-0005-0000-0000-0000B91F0000}"/>
    <cellStyle name="40% - 강조색4 45 3" xfId="1259" xr:uid="{00000000-0005-0000-0000-0000BA1F0000}"/>
    <cellStyle name="40% - 강조색4 45 30" xfId="10679" xr:uid="{00000000-0005-0000-0000-0000BB1F0000}"/>
    <cellStyle name="40% - 강조색4 45 31" xfId="9878" xr:uid="{00000000-0005-0000-0000-0000BC1F0000}"/>
    <cellStyle name="40% - 강조색4 45 32" xfId="6389" xr:uid="{00000000-0005-0000-0000-0000BD1F0000}"/>
    <cellStyle name="40% - 강조색4 45 4" xfId="1351" xr:uid="{00000000-0005-0000-0000-0000BE1F0000}"/>
    <cellStyle name="40% - 강조색4 45 5" xfId="1735" xr:uid="{00000000-0005-0000-0000-0000BF1F0000}"/>
    <cellStyle name="40% - 강조색4 45 6" xfId="2045" xr:uid="{00000000-0005-0000-0000-0000C01F0000}"/>
    <cellStyle name="40% - 강조색4 45 7" xfId="723" xr:uid="{00000000-0005-0000-0000-0000C11F0000}"/>
    <cellStyle name="40% - 강조색4 45 8" xfId="2103" xr:uid="{00000000-0005-0000-0000-0000C21F0000}"/>
    <cellStyle name="40% - 강조색4 45 9" xfId="2825" xr:uid="{00000000-0005-0000-0000-0000C31F0000}"/>
    <cellStyle name="40% - 강조색4 46" xfId="635" xr:uid="{00000000-0005-0000-0000-0000C41F0000}"/>
    <cellStyle name="40% - 강조색4 46 10" xfId="3215" xr:uid="{00000000-0005-0000-0000-0000C51F0000}"/>
    <cellStyle name="40% - 강조색4 46 11" xfId="3449" xr:uid="{00000000-0005-0000-0000-0000C61F0000}"/>
    <cellStyle name="40% - 강조색4 46 12" xfId="3990" xr:uid="{00000000-0005-0000-0000-0000C71F0000}"/>
    <cellStyle name="40% - 강조색4 46 13" xfId="4109" xr:uid="{00000000-0005-0000-0000-0000C81F0000}"/>
    <cellStyle name="40% - 강조색4 46 14" xfId="4619" xr:uid="{00000000-0005-0000-0000-0000C91F0000}"/>
    <cellStyle name="40% - 강조색4 46 15" xfId="4734" xr:uid="{00000000-0005-0000-0000-0000CA1F0000}"/>
    <cellStyle name="40% - 강조색4 46 16" xfId="5734" xr:uid="{00000000-0005-0000-0000-0000CB1F0000}"/>
    <cellStyle name="40% - 강조색4 46 17" xfId="2892" xr:uid="{00000000-0005-0000-0000-0000CC1F0000}"/>
    <cellStyle name="40% - 강조색4 46 18" xfId="3075" xr:uid="{00000000-0005-0000-0000-0000CD1F0000}"/>
    <cellStyle name="40% - 강조색4 46 19" xfId="6027" xr:uid="{00000000-0005-0000-0000-0000CE1F0000}"/>
    <cellStyle name="40% - 강조색4 46 2" xfId="1138" xr:uid="{00000000-0005-0000-0000-0000CF1F0000}"/>
    <cellStyle name="40% - 강조색4 46 20" xfId="4089" xr:uid="{00000000-0005-0000-0000-0000D01F0000}"/>
    <cellStyle name="40% - 강조색4 46 21" xfId="4287" xr:uid="{00000000-0005-0000-0000-0000D11F0000}"/>
    <cellStyle name="40% - 강조색4 46 22" xfId="7464" xr:uid="{00000000-0005-0000-0000-0000D21F0000}"/>
    <cellStyle name="40% - 강조색4 46 23" xfId="8042" xr:uid="{00000000-0005-0000-0000-0000D31F0000}"/>
    <cellStyle name="40% - 강조색4 46 24" xfId="3442" xr:uid="{00000000-0005-0000-0000-0000D41F0000}"/>
    <cellStyle name="40% - 강조색4 46 25" xfId="9016" xr:uid="{00000000-0005-0000-0000-0000D51F0000}"/>
    <cellStyle name="40% - 강조색4 46 26" xfId="843" xr:uid="{00000000-0005-0000-0000-0000D61F0000}"/>
    <cellStyle name="40% - 강조색4 46 27" xfId="7732" xr:uid="{00000000-0005-0000-0000-0000D71F0000}"/>
    <cellStyle name="40% - 강조색4 46 28" xfId="9214" xr:uid="{00000000-0005-0000-0000-0000D81F0000}"/>
    <cellStyle name="40% - 강조색4 46 29" xfId="9382" xr:uid="{00000000-0005-0000-0000-0000D91F0000}"/>
    <cellStyle name="40% - 강조색4 46 3" xfId="1218" xr:uid="{00000000-0005-0000-0000-0000DA1F0000}"/>
    <cellStyle name="40% - 강조색4 46 30" xfId="8684" xr:uid="{00000000-0005-0000-0000-0000DB1F0000}"/>
    <cellStyle name="40% - 강조색4 46 31" xfId="10939" xr:uid="{00000000-0005-0000-0000-0000DC1F0000}"/>
    <cellStyle name="40% - 강조색4 46 32" xfId="11108" xr:uid="{00000000-0005-0000-0000-0000DD1F0000}"/>
    <cellStyle name="40% - 강조색4 46 4" xfId="1310" xr:uid="{00000000-0005-0000-0000-0000DE1F0000}"/>
    <cellStyle name="40% - 강조색4 46 5" xfId="1767" xr:uid="{00000000-0005-0000-0000-0000DF1F0000}"/>
    <cellStyle name="40% - 강조색4 46 6" xfId="1522" xr:uid="{00000000-0005-0000-0000-0000E01F0000}"/>
    <cellStyle name="40% - 강조색4 46 7" xfId="1445" xr:uid="{00000000-0005-0000-0000-0000E11F0000}"/>
    <cellStyle name="40% - 강조색4 46 8" xfId="2652" xr:uid="{00000000-0005-0000-0000-0000E21F0000}"/>
    <cellStyle name="40% - 강조색4 46 9" xfId="2951" xr:uid="{00000000-0005-0000-0000-0000E31F0000}"/>
    <cellStyle name="40% - 강조색4 47" xfId="581" xr:uid="{00000000-0005-0000-0000-0000E41F0000}"/>
    <cellStyle name="40% - 강조색4 47 10" xfId="4322" xr:uid="{00000000-0005-0000-0000-0000E51F0000}"/>
    <cellStyle name="40% - 강조색4 47 11" xfId="3796" xr:uid="{00000000-0005-0000-0000-0000E61F0000}"/>
    <cellStyle name="40% - 강조색4 47 12" xfId="4834" xr:uid="{00000000-0005-0000-0000-0000E71F0000}"/>
    <cellStyle name="40% - 강조색4 47 13" xfId="3384" xr:uid="{00000000-0005-0000-0000-0000E81F0000}"/>
    <cellStyle name="40% - 강조색4 47 14" xfId="5222" xr:uid="{00000000-0005-0000-0000-0000E91F0000}"/>
    <cellStyle name="40% - 강조색4 47 15" xfId="5215" xr:uid="{00000000-0005-0000-0000-0000EA1F0000}"/>
    <cellStyle name="40% - 강조색4 47 16" xfId="6599" xr:uid="{00000000-0005-0000-0000-0000EB1F0000}"/>
    <cellStyle name="40% - 강조색4 47 17" xfId="7182" xr:uid="{00000000-0005-0000-0000-0000EC1F0000}"/>
    <cellStyle name="40% - 강조색4 47 18" xfId="7261" xr:uid="{00000000-0005-0000-0000-0000ED1F0000}"/>
    <cellStyle name="40% - 강조색4 47 19" xfId="3839" xr:uid="{00000000-0005-0000-0000-0000EE1F0000}"/>
    <cellStyle name="40% - 강조색4 47 2" xfId="1035" xr:uid="{00000000-0005-0000-0000-0000EF1F0000}"/>
    <cellStyle name="40% - 강조색4 47 20" xfId="7935" xr:uid="{00000000-0005-0000-0000-0000F01F0000}"/>
    <cellStyle name="40% - 강조색4 47 21" xfId="8494" xr:uid="{00000000-0005-0000-0000-0000F11F0000}"/>
    <cellStyle name="40% - 강조색4 47 22" xfId="8929" xr:uid="{00000000-0005-0000-0000-0000F21F0000}"/>
    <cellStyle name="40% - 강조색4 47 23" xfId="9376" xr:uid="{00000000-0005-0000-0000-0000F31F0000}"/>
    <cellStyle name="40% - 강조색4 47 24" xfId="9559" xr:uid="{00000000-0005-0000-0000-0000F41F0000}"/>
    <cellStyle name="40% - 강조색4 47 25" xfId="1402" xr:uid="{00000000-0005-0000-0000-0000F51F0000}"/>
    <cellStyle name="40% - 강조색4 47 26" xfId="10238" xr:uid="{00000000-0005-0000-0000-0000F61F0000}"/>
    <cellStyle name="40% - 강조색4 47 27" xfId="10609" xr:uid="{00000000-0005-0000-0000-0000F71F0000}"/>
    <cellStyle name="40% - 강조색4 47 28" xfId="10958" xr:uid="{00000000-0005-0000-0000-0000F81F0000}"/>
    <cellStyle name="40% - 강조색4 47 29" xfId="11263" xr:uid="{00000000-0005-0000-0000-0000F91F0000}"/>
    <cellStyle name="40% - 강조색4 47 3" xfId="1496" xr:uid="{00000000-0005-0000-0000-0000FA1F0000}"/>
    <cellStyle name="40% - 강조색4 47 30" xfId="11328" xr:uid="{00000000-0005-0000-0000-0000FB1F0000}"/>
    <cellStyle name="40% - 강조색4 47 31" xfId="11426" xr:uid="{00000000-0005-0000-0000-0000FC1F0000}"/>
    <cellStyle name="40% - 강조색4 47 32" xfId="11379" xr:uid="{00000000-0005-0000-0000-0000FD1F0000}"/>
    <cellStyle name="40% - 강조색4 47 33" xfId="11342" xr:uid="{00000000-0005-0000-0000-0000FE1F0000}"/>
    <cellStyle name="40% - 강조색4 47 4" xfId="2288" xr:uid="{00000000-0005-0000-0000-0000FF1F0000}"/>
    <cellStyle name="40% - 강조색4 47 5" xfId="2161" xr:uid="{00000000-0005-0000-0000-000000200000}"/>
    <cellStyle name="40% - 강조색4 47 6" xfId="2819" xr:uid="{00000000-0005-0000-0000-000001200000}"/>
    <cellStyle name="40% - 강조색4 47 7" xfId="3327" xr:uid="{00000000-0005-0000-0000-000002200000}"/>
    <cellStyle name="40% - 강조색4 47 8" xfId="3639" xr:uid="{00000000-0005-0000-0000-000003200000}"/>
    <cellStyle name="40% - 강조색4 47 9" xfId="3982" xr:uid="{00000000-0005-0000-0000-000004200000}"/>
    <cellStyle name="40% - 강조색4 48" xfId="1077" xr:uid="{00000000-0005-0000-0000-000005200000}"/>
    <cellStyle name="40% - 강조색4 48 10" xfId="4267" xr:uid="{00000000-0005-0000-0000-000006200000}"/>
    <cellStyle name="40% - 강조색4 48 11" xfId="4489" xr:uid="{00000000-0005-0000-0000-000007200000}"/>
    <cellStyle name="40% - 강조색4 48 12" xfId="5272" xr:uid="{00000000-0005-0000-0000-000008200000}"/>
    <cellStyle name="40% - 강조색4 48 13" xfId="5648" xr:uid="{00000000-0005-0000-0000-000009200000}"/>
    <cellStyle name="40% - 강조색4 48 14" xfId="5625" xr:uid="{00000000-0005-0000-0000-00000A200000}"/>
    <cellStyle name="40% - 강조색4 48 15" xfId="5644" xr:uid="{00000000-0005-0000-0000-00000B200000}"/>
    <cellStyle name="40% - 강조색4 48 16" xfId="6582" xr:uid="{00000000-0005-0000-0000-00000C200000}"/>
    <cellStyle name="40% - 강조색4 48 17" xfId="6972" xr:uid="{00000000-0005-0000-0000-00000D200000}"/>
    <cellStyle name="40% - 강조색4 48 18" xfId="6728" xr:uid="{00000000-0005-0000-0000-00000E200000}"/>
    <cellStyle name="40% - 강조색4 48 19" xfId="7683" xr:uid="{00000000-0005-0000-0000-00000F200000}"/>
    <cellStyle name="40% - 강조색4 48 2" xfId="1776" xr:uid="{00000000-0005-0000-0000-000010200000}"/>
    <cellStyle name="40% - 강조색4 48 20" xfId="6751" xr:uid="{00000000-0005-0000-0000-000011200000}"/>
    <cellStyle name="40% - 강조색4 48 21" xfId="8335" xr:uid="{00000000-0005-0000-0000-000012200000}"/>
    <cellStyle name="40% - 강조색4 48 22" xfId="8904" xr:uid="{00000000-0005-0000-0000-000013200000}"/>
    <cellStyle name="40% - 강조색4 48 23" xfId="4545" xr:uid="{00000000-0005-0000-0000-000014200000}"/>
    <cellStyle name="40% - 강조색4 48 24" xfId="9636" xr:uid="{00000000-0005-0000-0000-000015200000}"/>
    <cellStyle name="40% - 강조색4 48 25" xfId="9838" xr:uid="{00000000-0005-0000-0000-000016200000}"/>
    <cellStyle name="40% - 강조색4 48 26" xfId="10172" xr:uid="{00000000-0005-0000-0000-000017200000}"/>
    <cellStyle name="40% - 강조색4 48 27" xfId="10684" xr:uid="{00000000-0005-0000-0000-000018200000}"/>
    <cellStyle name="40% - 강조색4 48 28" xfId="8392" xr:uid="{00000000-0005-0000-0000-000019200000}"/>
    <cellStyle name="40% - 강조색4 48 29" xfId="6097" xr:uid="{00000000-0005-0000-0000-00001A200000}"/>
    <cellStyle name="40% - 강조색4 48 3" xfId="1596" xr:uid="{00000000-0005-0000-0000-00001B200000}"/>
    <cellStyle name="40% - 강조색4 48 4" xfId="994" xr:uid="{00000000-0005-0000-0000-00001C200000}"/>
    <cellStyle name="40% - 강조색4 48 5" xfId="2677" xr:uid="{00000000-0005-0000-0000-00001D200000}"/>
    <cellStyle name="40% - 강조색4 48 6" xfId="2955" xr:uid="{00000000-0005-0000-0000-00001E200000}"/>
    <cellStyle name="40% - 강조색4 48 7" xfId="3078" xr:uid="{00000000-0005-0000-0000-00001F200000}"/>
    <cellStyle name="40% - 강조색4 48 8" xfId="3452" xr:uid="{00000000-0005-0000-0000-000020200000}"/>
    <cellStyle name="40% - 강조색4 48 9" xfId="1996" xr:uid="{00000000-0005-0000-0000-000021200000}"/>
    <cellStyle name="40% - 강조색4 49" xfId="1025" xr:uid="{00000000-0005-0000-0000-000022200000}"/>
    <cellStyle name="40% - 강조색4 49 10" xfId="4388" xr:uid="{00000000-0005-0000-0000-000023200000}"/>
    <cellStyle name="40% - 강조색4 49 11" xfId="4586" xr:uid="{00000000-0005-0000-0000-000024200000}"/>
    <cellStyle name="40% - 강조색4 49 12" xfId="5152" xr:uid="{00000000-0005-0000-0000-000025200000}"/>
    <cellStyle name="40% - 강조색4 49 13" xfId="981" xr:uid="{00000000-0005-0000-0000-000026200000}"/>
    <cellStyle name="40% - 강조색4 49 14" xfId="1931" xr:uid="{00000000-0005-0000-0000-000027200000}"/>
    <cellStyle name="40% - 강조색4 49 15" xfId="5275" xr:uid="{00000000-0005-0000-0000-000028200000}"/>
    <cellStyle name="40% - 강조색4 49 16" xfId="6470" xr:uid="{00000000-0005-0000-0000-000029200000}"/>
    <cellStyle name="40% - 강조색4 49 17" xfId="7127" xr:uid="{00000000-0005-0000-0000-00002A200000}"/>
    <cellStyle name="40% - 강조색4 49 18" xfId="7359" xr:uid="{00000000-0005-0000-0000-00002B200000}"/>
    <cellStyle name="40% - 강조색4 49 19" xfId="1528" xr:uid="{00000000-0005-0000-0000-00002C200000}"/>
    <cellStyle name="40% - 강조색4 49 2" xfId="1679" xr:uid="{00000000-0005-0000-0000-00002D200000}"/>
    <cellStyle name="40% - 강조색4 49 20" xfId="2544" xr:uid="{00000000-0005-0000-0000-00002E200000}"/>
    <cellStyle name="40% - 강조색4 49 21" xfId="1592" xr:uid="{00000000-0005-0000-0000-00002F200000}"/>
    <cellStyle name="40% - 강조색4 49 22" xfId="6588" xr:uid="{00000000-0005-0000-0000-000030200000}"/>
    <cellStyle name="40% - 강조색4 49 23" xfId="9238" xr:uid="{00000000-0005-0000-0000-000031200000}"/>
    <cellStyle name="40% - 강조색4 49 24" xfId="9567" xr:uid="{00000000-0005-0000-0000-000032200000}"/>
    <cellStyle name="40% - 강조색4 49 25" xfId="6416" xr:uid="{00000000-0005-0000-0000-000033200000}"/>
    <cellStyle name="40% - 강조색4 49 26" xfId="7482" xr:uid="{00000000-0005-0000-0000-000034200000}"/>
    <cellStyle name="40% - 강조색4 49 27" xfId="10529" xr:uid="{00000000-0005-0000-0000-000035200000}"/>
    <cellStyle name="40% - 강조색4 49 28" xfId="10953" xr:uid="{00000000-0005-0000-0000-000036200000}"/>
    <cellStyle name="40% - 강조색4 49 29" xfId="11193" xr:uid="{00000000-0005-0000-0000-000037200000}"/>
    <cellStyle name="40% - 강조색4 49 3" xfId="2065" xr:uid="{00000000-0005-0000-0000-000038200000}"/>
    <cellStyle name="40% - 강조색4 49 4" xfId="2296" xr:uid="{00000000-0005-0000-0000-000039200000}"/>
    <cellStyle name="40% - 강조색4 49 5" xfId="2482" xr:uid="{00000000-0005-0000-0000-00003A200000}"/>
    <cellStyle name="40% - 강조색4 49 6" xfId="1979" xr:uid="{00000000-0005-0000-0000-00003B200000}"/>
    <cellStyle name="40% - 강조색4 49 7" xfId="3255" xr:uid="{00000000-0005-0000-0000-00003C200000}"/>
    <cellStyle name="40% - 강조색4 49 8" xfId="3298" xr:uid="{00000000-0005-0000-0000-00003D200000}"/>
    <cellStyle name="40% - 강조색4 49 9" xfId="3924" xr:uid="{00000000-0005-0000-0000-00003E200000}"/>
    <cellStyle name="40% - 강조색4 5" xfId="117" xr:uid="{00000000-0005-0000-0000-00003F200000}"/>
    <cellStyle name="40% - 강조색4 50" xfId="1054" xr:uid="{00000000-0005-0000-0000-000040200000}"/>
    <cellStyle name="40% - 강조색4 50 10" xfId="4195" xr:uid="{00000000-0005-0000-0000-000041200000}"/>
    <cellStyle name="40% - 강조색4 50 11" xfId="4486" xr:uid="{00000000-0005-0000-0000-000042200000}"/>
    <cellStyle name="40% - 강조색4 50 12" xfId="5580" xr:uid="{00000000-0005-0000-0000-000043200000}"/>
    <cellStyle name="40% - 강조색4 50 13" xfId="5814" xr:uid="{00000000-0005-0000-0000-000044200000}"/>
    <cellStyle name="40% - 강조색4 50 14" xfId="5895" xr:uid="{00000000-0005-0000-0000-000045200000}"/>
    <cellStyle name="40% - 강조색4 50 15" xfId="5953" xr:uid="{00000000-0005-0000-0000-000046200000}"/>
    <cellStyle name="40% - 강조색4 50 16" xfId="1944" xr:uid="{00000000-0005-0000-0000-000047200000}"/>
    <cellStyle name="40% - 강조색4 50 17" xfId="4866" xr:uid="{00000000-0005-0000-0000-000048200000}"/>
    <cellStyle name="40% - 강조색4 50 18" xfId="7124" xr:uid="{00000000-0005-0000-0000-000049200000}"/>
    <cellStyle name="40% - 강조색4 50 19" xfId="7561" xr:uid="{00000000-0005-0000-0000-00004A200000}"/>
    <cellStyle name="40% - 강조색4 50 2" xfId="1730" xr:uid="{00000000-0005-0000-0000-00004B200000}"/>
    <cellStyle name="40% - 강조색4 50 20" xfId="8120" xr:uid="{00000000-0005-0000-0000-00004C200000}"/>
    <cellStyle name="40% - 강조색4 50 21" xfId="1852" xr:uid="{00000000-0005-0000-0000-00004D200000}"/>
    <cellStyle name="40% - 강조색4 50 22" xfId="8982" xr:uid="{00000000-0005-0000-0000-00004E200000}"/>
    <cellStyle name="40% - 강조색4 50 23" xfId="9226" xr:uid="{00000000-0005-0000-0000-00004F200000}"/>
    <cellStyle name="40% - 강조색4 50 24" xfId="9599" xr:uid="{00000000-0005-0000-0000-000050200000}"/>
    <cellStyle name="40% - 강조색4 50 25" xfId="6322" xr:uid="{00000000-0005-0000-0000-000051200000}"/>
    <cellStyle name="40% - 강조색4 50 26" xfId="9935" xr:uid="{00000000-0005-0000-0000-000052200000}"/>
    <cellStyle name="40% - 강조색4 50 27" xfId="10627" xr:uid="{00000000-0005-0000-0000-000053200000}"/>
    <cellStyle name="40% - 강조색4 50 28" xfId="1363" xr:uid="{00000000-0005-0000-0000-000054200000}"/>
    <cellStyle name="40% - 강조색4 50 29" xfId="11138" xr:uid="{00000000-0005-0000-0000-000055200000}"/>
    <cellStyle name="40% - 강조색4 50 3" xfId="2047" xr:uid="{00000000-0005-0000-0000-000056200000}"/>
    <cellStyle name="40% - 강조색4 50 4" xfId="2226" xr:uid="{00000000-0005-0000-0000-000057200000}"/>
    <cellStyle name="40% - 강조색4 50 5" xfId="2428" xr:uid="{00000000-0005-0000-0000-000058200000}"/>
    <cellStyle name="40% - 강조색4 50 6" xfId="2822" xr:uid="{00000000-0005-0000-0000-000059200000}"/>
    <cellStyle name="40% - 강조색4 50 7" xfId="3114" xr:uid="{00000000-0005-0000-0000-00005A200000}"/>
    <cellStyle name="40% - 강조색4 50 8" xfId="3680" xr:uid="{00000000-0005-0000-0000-00005B200000}"/>
    <cellStyle name="40% - 강조색4 50 9" xfId="1427" xr:uid="{00000000-0005-0000-0000-00005C200000}"/>
    <cellStyle name="40% - 강조색4 51" xfId="1081" xr:uid="{00000000-0005-0000-0000-00005D200000}"/>
    <cellStyle name="40% - 강조색4 51 10" xfId="767" xr:uid="{00000000-0005-0000-0000-00005E200000}"/>
    <cellStyle name="40% - 강조색4 51 11" xfId="4527" xr:uid="{00000000-0005-0000-0000-00005F200000}"/>
    <cellStyle name="40% - 강조색4 51 12" xfId="5273" xr:uid="{00000000-0005-0000-0000-000060200000}"/>
    <cellStyle name="40% - 강조색4 51 13" xfId="3781" xr:uid="{00000000-0005-0000-0000-000061200000}"/>
    <cellStyle name="40% - 강조색4 51 14" xfId="5798" xr:uid="{00000000-0005-0000-0000-000062200000}"/>
    <cellStyle name="40% - 강조색4 51 15" xfId="5885" xr:uid="{00000000-0005-0000-0000-000063200000}"/>
    <cellStyle name="40% - 강조색4 51 16" xfId="6558" xr:uid="{00000000-0005-0000-0000-000064200000}"/>
    <cellStyle name="40% - 강조색4 51 17" xfId="4098" xr:uid="{00000000-0005-0000-0000-000065200000}"/>
    <cellStyle name="40% - 강조색4 51 18" xfId="6957" xr:uid="{00000000-0005-0000-0000-000066200000}"/>
    <cellStyle name="40% - 강조색4 51 19" xfId="7713" xr:uid="{00000000-0005-0000-0000-000067200000}"/>
    <cellStyle name="40% - 강조색4 51 2" xfId="1782" xr:uid="{00000000-0005-0000-0000-000068200000}"/>
    <cellStyle name="40% - 강조색4 51 20" xfId="8111" xr:uid="{00000000-0005-0000-0000-000069200000}"/>
    <cellStyle name="40% - 강조색4 51 21" xfId="7728" xr:uid="{00000000-0005-0000-0000-00006A200000}"/>
    <cellStyle name="40% - 강조색4 51 22" xfId="8913" xr:uid="{00000000-0005-0000-0000-00006B200000}"/>
    <cellStyle name="40% - 강조색4 51 23" xfId="9146" xr:uid="{00000000-0005-0000-0000-00006C200000}"/>
    <cellStyle name="40% - 강조색4 51 24" xfId="8512" xr:uid="{00000000-0005-0000-0000-00006D200000}"/>
    <cellStyle name="40% - 강조색4 51 25" xfId="9524" xr:uid="{00000000-0005-0000-0000-00006E200000}"/>
    <cellStyle name="40% - 강조색4 51 26" xfId="10225" xr:uid="{00000000-0005-0000-0000-00006F200000}"/>
    <cellStyle name="40% - 강조색4 51 27" xfId="7974" xr:uid="{00000000-0005-0000-0000-000070200000}"/>
    <cellStyle name="40% - 강조색4 51 28" xfId="10589" xr:uid="{00000000-0005-0000-0000-000071200000}"/>
    <cellStyle name="40% - 강조색4 51 29" xfId="10658" xr:uid="{00000000-0005-0000-0000-000072200000}"/>
    <cellStyle name="40% - 강조색4 51 3" xfId="685" xr:uid="{00000000-0005-0000-0000-000073200000}"/>
    <cellStyle name="40% - 강조색4 51 4" xfId="1938" xr:uid="{00000000-0005-0000-0000-000074200000}"/>
    <cellStyle name="40% - 강조색4 51 5" xfId="2653" xr:uid="{00000000-0005-0000-0000-000075200000}"/>
    <cellStyle name="40% - 강조색4 51 6" xfId="728" xr:uid="{00000000-0005-0000-0000-000076200000}"/>
    <cellStyle name="40% - 강조색4 51 7" xfId="3281" xr:uid="{00000000-0005-0000-0000-000077200000}"/>
    <cellStyle name="40% - 강조색4 51 8" xfId="980" xr:uid="{00000000-0005-0000-0000-000078200000}"/>
    <cellStyle name="40% - 강조색4 51 9" xfId="3146" xr:uid="{00000000-0005-0000-0000-000079200000}"/>
    <cellStyle name="40% - 강조색4 52" xfId="1047" xr:uid="{00000000-0005-0000-0000-00007A200000}"/>
    <cellStyle name="40% - 강조색4 52 10" xfId="4163" xr:uid="{00000000-0005-0000-0000-00007B200000}"/>
    <cellStyle name="40% - 강조색4 52 11" xfId="4648" xr:uid="{00000000-0005-0000-0000-00007C200000}"/>
    <cellStyle name="40% - 강조색4 52 12" xfId="5004" xr:uid="{00000000-0005-0000-0000-00007D200000}"/>
    <cellStyle name="40% - 강조색4 52 13" xfId="5670" xr:uid="{00000000-0005-0000-0000-00007E200000}"/>
    <cellStyle name="40% - 강조색4 52 14" xfId="2115" xr:uid="{00000000-0005-0000-0000-00007F200000}"/>
    <cellStyle name="40% - 강조색4 52 15" xfId="5489" xr:uid="{00000000-0005-0000-0000-000080200000}"/>
    <cellStyle name="40% - 강조색4 52 16" xfId="6601" xr:uid="{00000000-0005-0000-0000-000081200000}"/>
    <cellStyle name="40% - 강조색4 52 17" xfId="7001" xr:uid="{00000000-0005-0000-0000-000082200000}"/>
    <cellStyle name="40% - 강조색4 52 18" xfId="6918" xr:uid="{00000000-0005-0000-0000-000083200000}"/>
    <cellStyle name="40% - 강조색4 52 19" xfId="7530" xr:uid="{00000000-0005-0000-0000-000084200000}"/>
    <cellStyle name="40% - 강조색4 52 2" xfId="1724" xr:uid="{00000000-0005-0000-0000-000085200000}"/>
    <cellStyle name="40% - 강조색4 52 20" xfId="6429" xr:uid="{00000000-0005-0000-0000-000086200000}"/>
    <cellStyle name="40% - 강조색4 52 21" xfId="7472" xr:uid="{00000000-0005-0000-0000-000087200000}"/>
    <cellStyle name="40% - 강조색4 52 22" xfId="6569" xr:uid="{00000000-0005-0000-0000-000088200000}"/>
    <cellStyle name="40% - 강조색4 52 23" xfId="7499" xr:uid="{00000000-0005-0000-0000-000089200000}"/>
    <cellStyle name="40% - 강조색4 52 24" xfId="9701" xr:uid="{00000000-0005-0000-0000-00008A200000}"/>
    <cellStyle name="40% - 강조색4 52 25" xfId="5623" xr:uid="{00000000-0005-0000-0000-00008B200000}"/>
    <cellStyle name="40% - 강조색4 52 26" xfId="2833" xr:uid="{00000000-0005-0000-0000-00008C200000}"/>
    <cellStyle name="40% - 강조색4 52 27" xfId="2517" xr:uid="{00000000-0005-0000-0000-00008D200000}"/>
    <cellStyle name="40% - 강조색4 52 28" xfId="8718" xr:uid="{00000000-0005-0000-0000-00008E200000}"/>
    <cellStyle name="40% - 강조색4 52 29" xfId="6051" xr:uid="{00000000-0005-0000-0000-00008F200000}"/>
    <cellStyle name="40% - 강조색4 52 3" xfId="866" xr:uid="{00000000-0005-0000-0000-000090200000}"/>
    <cellStyle name="40% - 강조색4 52 4" xfId="2096" xr:uid="{00000000-0005-0000-0000-000091200000}"/>
    <cellStyle name="40% - 강조색4 52 5" xfId="2429" xr:uid="{00000000-0005-0000-0000-000092200000}"/>
    <cellStyle name="40% - 강조색4 52 6" xfId="1447" xr:uid="{00000000-0005-0000-0000-000093200000}"/>
    <cellStyle name="40% - 강조색4 52 7" xfId="3183" xr:uid="{00000000-0005-0000-0000-000094200000}"/>
    <cellStyle name="40% - 강조색4 52 8" xfId="3625" xr:uid="{00000000-0005-0000-0000-000095200000}"/>
    <cellStyle name="40% - 강조색4 52 9" xfId="3932" xr:uid="{00000000-0005-0000-0000-000096200000}"/>
    <cellStyle name="40% - 강조색4 53" xfId="1080" xr:uid="{00000000-0005-0000-0000-000097200000}"/>
    <cellStyle name="40% - 강조색4 53 10" xfId="4314" xr:uid="{00000000-0005-0000-0000-000098200000}"/>
    <cellStyle name="40% - 강조색4 53 11" xfId="4462" xr:uid="{00000000-0005-0000-0000-000099200000}"/>
    <cellStyle name="40% - 강조색4 53 12" xfId="3418" xr:uid="{00000000-0005-0000-0000-00009A200000}"/>
    <cellStyle name="40% - 강조색4 53 13" xfId="4850" xr:uid="{00000000-0005-0000-0000-00009B200000}"/>
    <cellStyle name="40% - 강조색4 53 14" xfId="3826" xr:uid="{00000000-0005-0000-0000-00009C200000}"/>
    <cellStyle name="40% - 강조색4 53 15" xfId="5133" xr:uid="{00000000-0005-0000-0000-00009D200000}"/>
    <cellStyle name="40% - 강조색4 53 16" xfId="6316" xr:uid="{00000000-0005-0000-0000-00009E200000}"/>
    <cellStyle name="40% - 강조색4 53 17" xfId="6065" xr:uid="{00000000-0005-0000-0000-00009F200000}"/>
    <cellStyle name="40% - 강조색4 53 18" xfId="6998" xr:uid="{00000000-0005-0000-0000-0000A0200000}"/>
    <cellStyle name="40% - 강조색4 53 19" xfId="7454" xr:uid="{00000000-0005-0000-0000-0000A1200000}"/>
    <cellStyle name="40% - 강조색4 53 2" xfId="1781" xr:uid="{00000000-0005-0000-0000-0000A2200000}"/>
    <cellStyle name="40% - 강조색4 53 20" xfId="6419" xr:uid="{00000000-0005-0000-0000-0000A3200000}"/>
    <cellStyle name="40% - 강조색4 53 21" xfId="8636" xr:uid="{00000000-0005-0000-0000-0000A4200000}"/>
    <cellStyle name="40% - 강조색4 53 22" xfId="8710" xr:uid="{00000000-0005-0000-0000-0000A5200000}"/>
    <cellStyle name="40% - 강조색4 53 23" xfId="9228" xr:uid="{00000000-0005-0000-0000-0000A6200000}"/>
    <cellStyle name="40% - 강조색4 53 24" xfId="9608" xr:uid="{00000000-0005-0000-0000-0000A7200000}"/>
    <cellStyle name="40% - 강조색4 53 25" xfId="9788" xr:uid="{00000000-0005-0000-0000-0000A8200000}"/>
    <cellStyle name="40% - 강조색4 53 26" xfId="10222" xr:uid="{00000000-0005-0000-0000-0000A9200000}"/>
    <cellStyle name="40% - 강조색4 53 27" xfId="9221" xr:uid="{00000000-0005-0000-0000-0000AA200000}"/>
    <cellStyle name="40% - 강조색4 53 28" xfId="10891" xr:uid="{00000000-0005-0000-0000-0000AB200000}"/>
    <cellStyle name="40% - 강조색4 53 29" xfId="9423" xr:uid="{00000000-0005-0000-0000-0000AC200000}"/>
    <cellStyle name="40% - 강조색4 53 3" xfId="830" xr:uid="{00000000-0005-0000-0000-0000AD200000}"/>
    <cellStyle name="40% - 강조색4 53 4" xfId="1473" xr:uid="{00000000-0005-0000-0000-0000AE200000}"/>
    <cellStyle name="40% - 강조색4 53 5" xfId="2624" xr:uid="{00000000-0005-0000-0000-0000AF200000}"/>
    <cellStyle name="40% - 강조색4 53 6" xfId="2972" xr:uid="{00000000-0005-0000-0000-0000B0200000}"/>
    <cellStyle name="40% - 강조색4 53 7" xfId="943" xr:uid="{00000000-0005-0000-0000-0000B1200000}"/>
    <cellStyle name="40% - 강조색4 53 8" xfId="3385" xr:uid="{00000000-0005-0000-0000-0000B2200000}"/>
    <cellStyle name="40% - 강조색4 53 9" xfId="3787" xr:uid="{00000000-0005-0000-0000-0000B3200000}"/>
    <cellStyle name="40% - 강조색4 54" xfId="1490" xr:uid="{00000000-0005-0000-0000-0000B4200000}"/>
    <cellStyle name="40% - 강조색4 54 10" xfId="4470" xr:uid="{00000000-0005-0000-0000-0000B5200000}"/>
    <cellStyle name="40% - 강조색4 54 11" xfId="1604" xr:uid="{00000000-0005-0000-0000-0000B6200000}"/>
    <cellStyle name="40% - 강조색4 54 12" xfId="815" xr:uid="{00000000-0005-0000-0000-0000B7200000}"/>
    <cellStyle name="40% - 강조색4 54 13" xfId="5574" xr:uid="{00000000-0005-0000-0000-0000B8200000}"/>
    <cellStyle name="40% - 강조색4 54 14" xfId="2782" xr:uid="{00000000-0005-0000-0000-0000B9200000}"/>
    <cellStyle name="40% - 강조색4 54 15" xfId="6219" xr:uid="{00000000-0005-0000-0000-0000BA200000}"/>
    <cellStyle name="40% - 강조색4 54 16" xfId="1822" xr:uid="{00000000-0005-0000-0000-0000BB200000}"/>
    <cellStyle name="40% - 강조색4 54 17" xfId="4205" xr:uid="{00000000-0005-0000-0000-0000BC200000}"/>
    <cellStyle name="40% - 강조색4 54 18" xfId="7634" xr:uid="{00000000-0005-0000-0000-0000BD200000}"/>
    <cellStyle name="40% - 강조색4 54 19" xfId="8259" xr:uid="{00000000-0005-0000-0000-0000BE200000}"/>
    <cellStyle name="40% - 강조색4 54 2" xfId="2082" xr:uid="{00000000-0005-0000-0000-0000BF200000}"/>
    <cellStyle name="40% - 강조색4 54 20" xfId="759" xr:uid="{00000000-0005-0000-0000-0000C0200000}"/>
    <cellStyle name="40% - 강조색4 54 21" xfId="3457" xr:uid="{00000000-0005-0000-0000-0000C1200000}"/>
    <cellStyle name="40% - 강조색4 54 22" xfId="9360" xr:uid="{00000000-0005-0000-0000-0000C2200000}"/>
    <cellStyle name="40% - 강조색4 54 23" xfId="9566" xr:uid="{00000000-0005-0000-0000-0000C3200000}"/>
    <cellStyle name="40% - 강조색4 54 24" xfId="10008" xr:uid="{00000000-0005-0000-0000-0000C4200000}"/>
    <cellStyle name="40% - 강조색4 54 25" xfId="6180" xr:uid="{00000000-0005-0000-0000-0000C5200000}"/>
    <cellStyle name="40% - 강조색4 54 26" xfId="7488" xr:uid="{00000000-0005-0000-0000-0000C6200000}"/>
    <cellStyle name="40% - 강조색4 54 27" xfId="10758" xr:uid="{00000000-0005-0000-0000-0000C7200000}"/>
    <cellStyle name="40% - 강조색4 54 28" xfId="11073" xr:uid="{00000000-0005-0000-0000-0000C8200000}"/>
    <cellStyle name="40% - 강조색4 54 3" xfId="2364" xr:uid="{00000000-0005-0000-0000-0000C9200000}"/>
    <cellStyle name="40% - 강조색4 54 4" xfId="2668" xr:uid="{00000000-0005-0000-0000-0000CA200000}"/>
    <cellStyle name="40% - 강조색4 54 5" xfId="1424" xr:uid="{00000000-0005-0000-0000-0000CB200000}"/>
    <cellStyle name="40% - 강조색4 54 6" xfId="3188" xr:uid="{00000000-0005-0000-0000-0000CC200000}"/>
    <cellStyle name="40% - 강조색4 54 7" xfId="3612" xr:uid="{00000000-0005-0000-0000-0000CD200000}"/>
    <cellStyle name="40% - 강조색4 54 8" xfId="3969" xr:uid="{00000000-0005-0000-0000-0000CE200000}"/>
    <cellStyle name="40% - 강조색4 54 9" xfId="4229" xr:uid="{00000000-0005-0000-0000-0000CF200000}"/>
    <cellStyle name="40% - 강조색4 55" xfId="2010" xr:uid="{00000000-0005-0000-0000-0000D0200000}"/>
    <cellStyle name="40% - 강조색4 55 10" xfId="5251" xr:uid="{00000000-0005-0000-0000-0000D1200000}"/>
    <cellStyle name="40% - 강조색4 55 11" xfId="3399" xr:uid="{00000000-0005-0000-0000-0000D2200000}"/>
    <cellStyle name="40% - 강조색4 55 12" xfId="5437" xr:uid="{00000000-0005-0000-0000-0000D3200000}"/>
    <cellStyle name="40% - 강조색4 55 13" xfId="5663" xr:uid="{00000000-0005-0000-0000-0000D4200000}"/>
    <cellStyle name="40% - 강조색4 55 14" xfId="2555" xr:uid="{00000000-0005-0000-0000-0000D5200000}"/>
    <cellStyle name="40% - 강조색4 55 15" xfId="7039" xr:uid="{00000000-0005-0000-0000-0000D6200000}"/>
    <cellStyle name="40% - 강조색4 55 16" xfId="6788" xr:uid="{00000000-0005-0000-0000-0000D7200000}"/>
    <cellStyle name="40% - 강조색4 55 17" xfId="7579" xr:uid="{00000000-0005-0000-0000-0000D8200000}"/>
    <cellStyle name="40% - 강조색4 55 18" xfId="6000" xr:uid="{00000000-0005-0000-0000-0000D9200000}"/>
    <cellStyle name="40% - 강조색4 55 19" xfId="8456" xr:uid="{00000000-0005-0000-0000-0000DA200000}"/>
    <cellStyle name="40% - 강조색4 55 2" xfId="2373" xr:uid="{00000000-0005-0000-0000-0000DB200000}"/>
    <cellStyle name="40% - 강조색4 55 20" xfId="8860" xr:uid="{00000000-0005-0000-0000-0000DC200000}"/>
    <cellStyle name="40% - 강조색4 55 21" xfId="9092" xr:uid="{00000000-0005-0000-0000-0000DD200000}"/>
    <cellStyle name="40% - 강조색4 55 22" xfId="9634" xr:uid="{00000000-0005-0000-0000-0000DE200000}"/>
    <cellStyle name="40% - 강조색4 55 23" xfId="8769" xr:uid="{00000000-0005-0000-0000-0000DF200000}"/>
    <cellStyle name="40% - 강조색4 55 24" xfId="10368" xr:uid="{00000000-0005-0000-0000-0000E0200000}"/>
    <cellStyle name="40% - 강조색4 55 25" xfId="9303" xr:uid="{00000000-0005-0000-0000-0000E1200000}"/>
    <cellStyle name="40% - 강조색4 55 26" xfId="10951" xr:uid="{00000000-0005-0000-0000-0000E2200000}"/>
    <cellStyle name="40% - 강조색4 55 27" xfId="3768" xr:uid="{00000000-0005-0000-0000-0000E3200000}"/>
    <cellStyle name="40% - 강조색4 55 3" xfId="2692" xr:uid="{00000000-0005-0000-0000-0000E4200000}"/>
    <cellStyle name="40% - 강조색4 55 4" xfId="3007" xr:uid="{00000000-0005-0000-0000-0000E5200000}"/>
    <cellStyle name="40% - 강조색4 55 5" xfId="3198" xr:uid="{00000000-0005-0000-0000-0000E6200000}"/>
    <cellStyle name="40% - 강조색4 55 6" xfId="3679" xr:uid="{00000000-0005-0000-0000-0000E7200000}"/>
    <cellStyle name="40% - 강조색4 55 7" xfId="3730" xr:uid="{00000000-0005-0000-0000-0000E8200000}"/>
    <cellStyle name="40% - 강조색4 55 8" xfId="4278" xr:uid="{00000000-0005-0000-0000-0000E9200000}"/>
    <cellStyle name="40% - 강조색4 55 9" xfId="4698" xr:uid="{00000000-0005-0000-0000-0000EA200000}"/>
    <cellStyle name="40% - 강조색4 56" xfId="2294" xr:uid="{00000000-0005-0000-0000-0000EB200000}"/>
    <cellStyle name="40% - 강조색4 56 10" xfId="5616" xr:uid="{00000000-0005-0000-0000-0000EC200000}"/>
    <cellStyle name="40% - 강조색4 56 11" xfId="5157" xr:uid="{00000000-0005-0000-0000-0000ED200000}"/>
    <cellStyle name="40% - 강조색4 56 12" xfId="4864" xr:uid="{00000000-0005-0000-0000-0000EE200000}"/>
    <cellStyle name="40% - 강조색4 56 13" xfId="6340" xr:uid="{00000000-0005-0000-0000-0000EF200000}"/>
    <cellStyle name="40% - 강조색4 56 14" xfId="2241" xr:uid="{00000000-0005-0000-0000-0000F0200000}"/>
    <cellStyle name="40% - 강조색4 56 15" xfId="2392" xr:uid="{00000000-0005-0000-0000-0000F1200000}"/>
    <cellStyle name="40% - 강조색4 56 16" xfId="7802" xr:uid="{00000000-0005-0000-0000-0000F2200000}"/>
    <cellStyle name="40% - 강조색4 56 17" xfId="1937" xr:uid="{00000000-0005-0000-0000-0000F3200000}"/>
    <cellStyle name="40% - 강조색4 56 18" xfId="8373" xr:uid="{00000000-0005-0000-0000-0000F4200000}"/>
    <cellStyle name="40% - 강조색4 56 19" xfId="6302" xr:uid="{00000000-0005-0000-0000-0000F5200000}"/>
    <cellStyle name="40% - 강조색4 56 2" xfId="2705" xr:uid="{00000000-0005-0000-0000-0000F6200000}"/>
    <cellStyle name="40% - 강조색4 56 20" xfId="9373" xr:uid="{00000000-0005-0000-0000-0000F7200000}"/>
    <cellStyle name="40% - 강조색4 56 21" xfId="8811" xr:uid="{00000000-0005-0000-0000-0000F8200000}"/>
    <cellStyle name="40% - 강조색4 56 22" xfId="10028" xr:uid="{00000000-0005-0000-0000-0000F9200000}"/>
    <cellStyle name="40% - 강조색4 56 23" xfId="5408" xr:uid="{00000000-0005-0000-0000-0000FA200000}"/>
    <cellStyle name="40% - 강조색4 56 24" xfId="1988" xr:uid="{00000000-0005-0000-0000-0000FB200000}"/>
    <cellStyle name="40% - 강조색4 56 25" xfId="9077" xr:uid="{00000000-0005-0000-0000-0000FC200000}"/>
    <cellStyle name="40% - 강조색4 56 26" xfId="11038" xr:uid="{00000000-0005-0000-0000-0000FD200000}"/>
    <cellStyle name="40% - 강조색4 56 3" xfId="3020" xr:uid="{00000000-0005-0000-0000-0000FE200000}"/>
    <cellStyle name="40% - 강조색4 56 4" xfId="3353" xr:uid="{00000000-0005-0000-0000-0000FF200000}"/>
    <cellStyle name="40% - 강조색4 56 5" xfId="3319" xr:uid="{00000000-0005-0000-0000-000000210000}"/>
    <cellStyle name="40% - 강조색4 56 6" xfId="3955" xr:uid="{00000000-0005-0000-0000-000001210000}"/>
    <cellStyle name="40% - 강조색4 56 7" xfId="4103" xr:uid="{00000000-0005-0000-0000-000002210000}"/>
    <cellStyle name="40% - 강조색4 56 8" xfId="4503" xr:uid="{00000000-0005-0000-0000-000003210000}"/>
    <cellStyle name="40% - 강조색4 56 9" xfId="5586" xr:uid="{00000000-0005-0000-0000-000004210000}"/>
    <cellStyle name="40% - 강조색4 57" xfId="2586" xr:uid="{00000000-0005-0000-0000-000005210000}"/>
    <cellStyle name="40% - 강조색4 57 10" xfId="5784" xr:uid="{00000000-0005-0000-0000-000006210000}"/>
    <cellStyle name="40% - 강조색4 57 11" xfId="5874" xr:uid="{00000000-0005-0000-0000-000007210000}"/>
    <cellStyle name="40% - 강조색4 57 12" xfId="6308" xr:uid="{00000000-0005-0000-0000-000008210000}"/>
    <cellStyle name="40% - 강조색4 57 13" xfId="6700" xr:uid="{00000000-0005-0000-0000-000009210000}"/>
    <cellStyle name="40% - 강조색4 57 14" xfId="6774" xr:uid="{00000000-0005-0000-0000-00000A210000}"/>
    <cellStyle name="40% - 강조색4 57 15" xfId="4660" xr:uid="{00000000-0005-0000-0000-00000B210000}"/>
    <cellStyle name="40% - 강조색4 57 16" xfId="8175" xr:uid="{00000000-0005-0000-0000-00000C210000}"/>
    <cellStyle name="40% - 강조색4 57 17" xfId="8563" xr:uid="{00000000-0005-0000-0000-00000D210000}"/>
    <cellStyle name="40% - 강조색4 57 18" xfId="9002" xr:uid="{00000000-0005-0000-0000-00000E210000}"/>
    <cellStyle name="40% - 강조색4 57 19" xfId="6307" xr:uid="{00000000-0005-0000-0000-00000F210000}"/>
    <cellStyle name="40% - 강조색4 57 2" xfId="3029" xr:uid="{00000000-0005-0000-0000-000010210000}"/>
    <cellStyle name="40% - 강조색4 57 20" xfId="9589" xr:uid="{00000000-0005-0000-0000-000011210000}"/>
    <cellStyle name="40% - 강조색4 57 21" xfId="10005" xr:uid="{00000000-0005-0000-0000-000012210000}"/>
    <cellStyle name="40% - 강조색4 57 22" xfId="8740" xr:uid="{00000000-0005-0000-0000-000013210000}"/>
    <cellStyle name="40% - 강조색4 57 23" xfId="10552" xr:uid="{00000000-0005-0000-0000-000014210000}"/>
    <cellStyle name="40% - 강조색4 57 24" xfId="8363" xr:uid="{00000000-0005-0000-0000-000015210000}"/>
    <cellStyle name="40% - 강조색4 57 25" xfId="10290" xr:uid="{00000000-0005-0000-0000-000016210000}"/>
    <cellStyle name="40% - 강조색4 57 3" xfId="3362" xr:uid="{00000000-0005-0000-0000-000017210000}"/>
    <cellStyle name="40% - 강조색4 57 4" xfId="3694" xr:uid="{00000000-0005-0000-0000-000018210000}"/>
    <cellStyle name="40% - 강조색4 57 5" xfId="3927" xr:uid="{00000000-0005-0000-0000-000019210000}"/>
    <cellStyle name="40% - 강조색4 57 6" xfId="4273" xr:uid="{00000000-0005-0000-0000-00001A210000}"/>
    <cellStyle name="40% - 강조색4 57 7" xfId="829" xr:uid="{00000000-0005-0000-0000-00001B210000}"/>
    <cellStyle name="40% - 강조색4 57 8" xfId="5550" xr:uid="{00000000-0005-0000-0000-00001C210000}"/>
    <cellStyle name="40% - 강조색4 57 9" xfId="5384" xr:uid="{00000000-0005-0000-0000-00001D210000}"/>
    <cellStyle name="40% - 강조색4 58" xfId="2977" xr:uid="{00000000-0005-0000-0000-00001E210000}"/>
    <cellStyle name="40% - 강조색4 58 10" xfId="4997" xr:uid="{00000000-0005-0000-0000-00001F210000}"/>
    <cellStyle name="40% - 강조색4 58 11" xfId="6487" xr:uid="{00000000-0005-0000-0000-000020210000}"/>
    <cellStyle name="40% - 강조색4 58 12" xfId="7170" xr:uid="{00000000-0005-0000-0000-000021210000}"/>
    <cellStyle name="40% - 강조색4 58 13" xfId="7077" xr:uid="{00000000-0005-0000-0000-000022210000}"/>
    <cellStyle name="40% - 강조색4 58 14" xfId="7851" xr:uid="{00000000-0005-0000-0000-000023210000}"/>
    <cellStyle name="40% - 강조색4 58 15" xfId="8046" xr:uid="{00000000-0005-0000-0000-000024210000}"/>
    <cellStyle name="40% - 강조색4 58 16" xfId="3090" xr:uid="{00000000-0005-0000-0000-000025210000}"/>
    <cellStyle name="40% - 강조색4 58 17" xfId="8685" xr:uid="{00000000-0005-0000-0000-000026210000}"/>
    <cellStyle name="40% - 강조색4 58 18" xfId="8128" xr:uid="{00000000-0005-0000-0000-000027210000}"/>
    <cellStyle name="40% - 강조색4 58 19" xfId="9606" xr:uid="{00000000-0005-0000-0000-000028210000}"/>
    <cellStyle name="40% - 강조색4 58 2" xfId="3376" xr:uid="{00000000-0005-0000-0000-000029210000}"/>
    <cellStyle name="40% - 강조색4 58 20" xfId="10034" xr:uid="{00000000-0005-0000-0000-00002A210000}"/>
    <cellStyle name="40% - 강조색4 58 21" xfId="7922" xr:uid="{00000000-0005-0000-0000-00002B210000}"/>
    <cellStyle name="40% - 강조색4 58 22" xfId="10691" xr:uid="{00000000-0005-0000-0000-00002C210000}"/>
    <cellStyle name="40% - 강조색4 58 23" xfId="7476" xr:uid="{00000000-0005-0000-0000-00002D210000}"/>
    <cellStyle name="40% - 강조색4 58 24" xfId="11092" xr:uid="{00000000-0005-0000-0000-00002E210000}"/>
    <cellStyle name="40% - 강조색4 58 3" xfId="3709" xr:uid="{00000000-0005-0000-0000-00002F210000}"/>
    <cellStyle name="40% - 강조색4 58 4" xfId="4047" xr:uid="{00000000-0005-0000-0000-000030210000}"/>
    <cellStyle name="40% - 강조색4 58 5" xfId="2458" xr:uid="{00000000-0005-0000-0000-000031210000}"/>
    <cellStyle name="40% - 강조색4 58 6" xfId="4686" xr:uid="{00000000-0005-0000-0000-000032210000}"/>
    <cellStyle name="40% - 강조색4 58 7" xfId="5012" xr:uid="{00000000-0005-0000-0000-000033210000}"/>
    <cellStyle name="40% - 강조색4 58 8" xfId="5197" xr:uid="{00000000-0005-0000-0000-000034210000}"/>
    <cellStyle name="40% - 강조색4 58 9" xfId="5731" xr:uid="{00000000-0005-0000-0000-000035210000}"/>
    <cellStyle name="40% - 강조색4 59" xfId="3177" xr:uid="{00000000-0005-0000-0000-000036210000}"/>
    <cellStyle name="40% - 강조색4 59 10" xfId="6472" xr:uid="{00000000-0005-0000-0000-000037210000}"/>
    <cellStyle name="40% - 강조색4 59 11" xfId="6798" xr:uid="{00000000-0005-0000-0000-000038210000}"/>
    <cellStyle name="40% - 강조색4 59 12" xfId="5126" xr:uid="{00000000-0005-0000-0000-000039210000}"/>
    <cellStyle name="40% - 강조색4 59 13" xfId="3116" xr:uid="{00000000-0005-0000-0000-00003A210000}"/>
    <cellStyle name="40% - 강조색4 59 14" xfId="8050" xr:uid="{00000000-0005-0000-0000-00003B210000}"/>
    <cellStyle name="40% - 강조색4 59 15" xfId="1478" xr:uid="{00000000-0005-0000-0000-00003C210000}"/>
    <cellStyle name="40% - 강조색4 59 16" xfId="8006" xr:uid="{00000000-0005-0000-0000-00003D210000}"/>
    <cellStyle name="40% - 강조색4 59 17" xfId="7536" xr:uid="{00000000-0005-0000-0000-00003E210000}"/>
    <cellStyle name="40% - 강조색4 59 18" xfId="9138" xr:uid="{00000000-0005-0000-0000-00003F210000}"/>
    <cellStyle name="40% - 강조색4 59 19" xfId="10002" xr:uid="{00000000-0005-0000-0000-000040210000}"/>
    <cellStyle name="40% - 강조색4 59 2" xfId="3717" xr:uid="{00000000-0005-0000-0000-000041210000}"/>
    <cellStyle name="40% - 강조색4 59 20" xfId="9486" xr:uid="{00000000-0005-0000-0000-000042210000}"/>
    <cellStyle name="40% - 강조색4 59 21" xfId="10419" xr:uid="{00000000-0005-0000-0000-000043210000}"/>
    <cellStyle name="40% - 강조색4 59 22" xfId="4876" xr:uid="{00000000-0005-0000-0000-000044210000}"/>
    <cellStyle name="40% - 강조색4 59 23" xfId="11085" xr:uid="{00000000-0005-0000-0000-000045210000}"/>
    <cellStyle name="40% - 강조색4 59 3" xfId="4056" xr:uid="{00000000-0005-0000-0000-000046210000}"/>
    <cellStyle name="40% - 강조색4 59 4" xfId="4392" xr:uid="{00000000-0005-0000-0000-000047210000}"/>
    <cellStyle name="40% - 강조색4 59 5" xfId="4704" xr:uid="{00000000-0005-0000-0000-000048210000}"/>
    <cellStyle name="40% - 강조색4 59 6" xfId="3313" xr:uid="{00000000-0005-0000-0000-000049210000}"/>
    <cellStyle name="40% - 강조색4 59 7" xfId="5742" xr:uid="{00000000-0005-0000-0000-00004A210000}"/>
    <cellStyle name="40% - 강조색4 59 8" xfId="5845" xr:uid="{00000000-0005-0000-0000-00004B210000}"/>
    <cellStyle name="40% - 강조색4 59 9" xfId="5920" xr:uid="{00000000-0005-0000-0000-00004C210000}"/>
    <cellStyle name="40% - 강조색4 6" xfId="130" xr:uid="{00000000-0005-0000-0000-00004D210000}"/>
    <cellStyle name="40% - 강조색4 60" xfId="1624" xr:uid="{00000000-0005-0000-0000-00004E210000}"/>
    <cellStyle name="40% - 강조색4 60 10" xfId="7271" xr:uid="{00000000-0005-0000-0000-00004F210000}"/>
    <cellStyle name="40% - 강조색4 60 11" xfId="7326" xr:uid="{00000000-0005-0000-0000-000050210000}"/>
    <cellStyle name="40% - 강조색4 60 12" xfId="5110" xr:uid="{00000000-0005-0000-0000-000051210000}"/>
    <cellStyle name="40% - 강조색4 60 13" xfId="6492" xr:uid="{00000000-0005-0000-0000-000052210000}"/>
    <cellStyle name="40% - 강조색4 60 14" xfId="7408" xr:uid="{00000000-0005-0000-0000-000053210000}"/>
    <cellStyle name="40% - 강조색4 60 15" xfId="7495" xr:uid="{00000000-0005-0000-0000-000054210000}"/>
    <cellStyle name="40% - 강조색4 60 16" xfId="9341" xr:uid="{00000000-0005-0000-0000-000055210000}"/>
    <cellStyle name="40% - 강조색4 60 17" xfId="4382" xr:uid="{00000000-0005-0000-0000-000056210000}"/>
    <cellStyle name="40% - 강조색4 60 18" xfId="3744" xr:uid="{00000000-0005-0000-0000-000057210000}"/>
    <cellStyle name="40% - 강조색4 60 19" xfId="10275" xr:uid="{00000000-0005-0000-0000-000058210000}"/>
    <cellStyle name="40% - 강조색4 60 2" xfId="3968" xr:uid="{00000000-0005-0000-0000-000059210000}"/>
    <cellStyle name="40% - 강조색4 60 20" xfId="737" xr:uid="{00000000-0005-0000-0000-00005A210000}"/>
    <cellStyle name="40% - 강조색4 60 21" xfId="10762" xr:uid="{00000000-0005-0000-0000-00005B210000}"/>
    <cellStyle name="40% - 강조색4 60 22" xfId="2858" xr:uid="{00000000-0005-0000-0000-00005C210000}"/>
    <cellStyle name="40% - 강조색4 60 3" xfId="4243" xr:uid="{00000000-0005-0000-0000-00005D210000}"/>
    <cellStyle name="40% - 강조색4 60 4" xfId="4663" xr:uid="{00000000-0005-0000-0000-00005E210000}"/>
    <cellStyle name="40% - 강조색4 60 5" xfId="5471" xr:uid="{00000000-0005-0000-0000-00005F210000}"/>
    <cellStyle name="40% - 강조색4 60 6" xfId="5826" xr:uid="{00000000-0005-0000-0000-000060210000}"/>
    <cellStyle name="40% - 강조색4 60 7" xfId="5904" xr:uid="{00000000-0005-0000-0000-000061210000}"/>
    <cellStyle name="40% - 강조색4 60 8" xfId="5962" xr:uid="{00000000-0005-0000-0000-000062210000}"/>
    <cellStyle name="40% - 강조색4 60 9" xfId="6539" xr:uid="{00000000-0005-0000-0000-000063210000}"/>
    <cellStyle name="40% - 강조색4 61" xfId="3849" xr:uid="{00000000-0005-0000-0000-000064210000}"/>
    <cellStyle name="40% - 강조색4 61 10" xfId="3722" xr:uid="{00000000-0005-0000-0000-000065210000}"/>
    <cellStyle name="40% - 강조색4 61 11" xfId="7607" xr:uid="{00000000-0005-0000-0000-000066210000}"/>
    <cellStyle name="40% - 강조색4 61 12" xfId="715" xr:uid="{00000000-0005-0000-0000-000067210000}"/>
    <cellStyle name="40% - 강조색4 61 13" xfId="8485" xr:uid="{00000000-0005-0000-0000-000068210000}"/>
    <cellStyle name="40% - 강조색4 61 14" xfId="9018" xr:uid="{00000000-0005-0000-0000-000069210000}"/>
    <cellStyle name="40% - 강조색4 61 15" xfId="4499" xr:uid="{00000000-0005-0000-0000-00006A210000}"/>
    <cellStyle name="40% - 강조색4 61 16" xfId="9590" xr:uid="{00000000-0005-0000-0000-00006B210000}"/>
    <cellStyle name="40% - 강조색4 61 17" xfId="2151" xr:uid="{00000000-0005-0000-0000-00006C210000}"/>
    <cellStyle name="40% - 강조색4 61 18" xfId="7145" xr:uid="{00000000-0005-0000-0000-00006D210000}"/>
    <cellStyle name="40% - 강조색4 61 19" xfId="9980" xr:uid="{00000000-0005-0000-0000-00006E210000}"/>
    <cellStyle name="40% - 강조색4 61 2" xfId="4408" xr:uid="{00000000-0005-0000-0000-00006F210000}"/>
    <cellStyle name="40% - 강조색4 61 20" xfId="10871" xr:uid="{00000000-0005-0000-0000-000070210000}"/>
    <cellStyle name="40% - 강조색4 61 21" xfId="6431" xr:uid="{00000000-0005-0000-0000-000071210000}"/>
    <cellStyle name="40% - 강조색4 61 3" xfId="4761" xr:uid="{00000000-0005-0000-0000-000072210000}"/>
    <cellStyle name="40% - 강조색4 61 4" xfId="5655" xr:uid="{00000000-0005-0000-0000-000073210000}"/>
    <cellStyle name="40% - 강조색4 61 5" xfId="4185" xr:uid="{00000000-0005-0000-0000-000074210000}"/>
    <cellStyle name="40% - 강조색4 61 6" xfId="5551" xr:uid="{00000000-0005-0000-0000-000075210000}"/>
    <cellStyle name="40% - 강조색4 61 7" xfId="5775" xr:uid="{00000000-0005-0000-0000-000076210000}"/>
    <cellStyle name="40% - 강조색4 61 8" xfId="2383" xr:uid="{00000000-0005-0000-0000-000077210000}"/>
    <cellStyle name="40% - 강조색4 61 9" xfId="7180" xr:uid="{00000000-0005-0000-0000-000078210000}"/>
    <cellStyle name="40% - 강조색4 62" xfId="4271" xr:uid="{00000000-0005-0000-0000-000079210000}"/>
    <cellStyle name="40% - 강조색4 62 10" xfId="7781" xr:uid="{00000000-0005-0000-0000-00007A210000}"/>
    <cellStyle name="40% - 강조색4 62 11" xfId="1935" xr:uid="{00000000-0005-0000-0000-00007B210000}"/>
    <cellStyle name="40% - 강조색4 62 12" xfId="8506" xr:uid="{00000000-0005-0000-0000-00007C210000}"/>
    <cellStyle name="40% - 강조색4 62 13" xfId="6427" xr:uid="{00000000-0005-0000-0000-00007D210000}"/>
    <cellStyle name="40% - 강조색4 62 14" xfId="867" xr:uid="{00000000-0005-0000-0000-00007E210000}"/>
    <cellStyle name="40% - 강조색4 62 15" xfId="8616" xr:uid="{00000000-0005-0000-0000-00007F210000}"/>
    <cellStyle name="40% - 강조색4 62 16" xfId="9905" xr:uid="{00000000-0005-0000-0000-000080210000}"/>
    <cellStyle name="40% - 강조색4 62 17" xfId="2737" xr:uid="{00000000-0005-0000-0000-000081210000}"/>
    <cellStyle name="40% - 강조색4 62 18" xfId="10211" xr:uid="{00000000-0005-0000-0000-000082210000}"/>
    <cellStyle name="40% - 강조색4 62 19" xfId="10790" xr:uid="{00000000-0005-0000-0000-000083210000}"/>
    <cellStyle name="40% - 강조색4 62 2" xfId="4772" xr:uid="{00000000-0005-0000-0000-000084210000}"/>
    <cellStyle name="40% - 강조색4 62 20" xfId="9141" xr:uid="{00000000-0005-0000-0000-000085210000}"/>
    <cellStyle name="40% - 강조색4 62 3" xfId="5735" xr:uid="{00000000-0005-0000-0000-000086210000}"/>
    <cellStyle name="40% - 강조색4 62 4" xfId="5161" xr:uid="{00000000-0005-0000-0000-000087210000}"/>
    <cellStyle name="40% - 강조색4 62 5" xfId="5170" xr:uid="{00000000-0005-0000-0000-000088210000}"/>
    <cellStyle name="40% - 강조색4 62 6" xfId="5068" xr:uid="{00000000-0005-0000-0000-000089210000}"/>
    <cellStyle name="40% - 강조색4 62 7" xfId="6630" xr:uid="{00000000-0005-0000-0000-00008A210000}"/>
    <cellStyle name="40% - 강조색4 62 8" xfId="7214" xr:uid="{00000000-0005-0000-0000-00008B210000}"/>
    <cellStyle name="40% - 강조색4 62 9" xfId="7160" xr:uid="{00000000-0005-0000-0000-00008C210000}"/>
    <cellStyle name="40% - 강조색4 63" xfId="4435" xr:uid="{00000000-0005-0000-0000-00008D210000}"/>
    <cellStyle name="40% - 강조색4 63 10" xfId="8052" xr:uid="{00000000-0005-0000-0000-00008E210000}"/>
    <cellStyle name="40% - 강조색4 63 11" xfId="8577" xr:uid="{00000000-0005-0000-0000-00008F210000}"/>
    <cellStyle name="40% - 강조색4 63 12" xfId="9006" xr:uid="{00000000-0005-0000-0000-000090210000}"/>
    <cellStyle name="40% - 강조색4 63 13" xfId="9229" xr:uid="{00000000-0005-0000-0000-000091210000}"/>
    <cellStyle name="40% - 강조색4 63 14" xfId="3501" xr:uid="{00000000-0005-0000-0000-000092210000}"/>
    <cellStyle name="40% - 강조색4 63 15" xfId="9801" xr:uid="{00000000-0005-0000-0000-000093210000}"/>
    <cellStyle name="40% - 강조색4 63 16" xfId="10371" xr:uid="{00000000-0005-0000-0000-000094210000}"/>
    <cellStyle name="40% - 강조색4 63 17" xfId="10503" xr:uid="{00000000-0005-0000-0000-000095210000}"/>
    <cellStyle name="40% - 강조색4 63 18" xfId="10804" xr:uid="{00000000-0005-0000-0000-000096210000}"/>
    <cellStyle name="40% - 강조색4 63 19" xfId="10741" xr:uid="{00000000-0005-0000-0000-000097210000}"/>
    <cellStyle name="40% - 강조색4 63 2" xfId="5773" xr:uid="{00000000-0005-0000-0000-000098210000}"/>
    <cellStyle name="40% - 강조색4 63 3" xfId="5867" xr:uid="{00000000-0005-0000-0000-000099210000}"/>
    <cellStyle name="40% - 강조색4 63 4" xfId="5935" xr:uid="{00000000-0005-0000-0000-00009A210000}"/>
    <cellStyle name="40% - 강조색4 63 5" xfId="5979" xr:uid="{00000000-0005-0000-0000-00009B210000}"/>
    <cellStyle name="40% - 강조색4 63 6" xfId="6638" xr:uid="{00000000-0005-0000-0000-00009C210000}"/>
    <cellStyle name="40% - 강조색4 63 7" xfId="1960" xr:uid="{00000000-0005-0000-0000-00009D210000}"/>
    <cellStyle name="40% - 강조색4 63 8" xfId="3158" xr:uid="{00000000-0005-0000-0000-00009E210000}"/>
    <cellStyle name="40% - 강조색4 63 9" xfId="7720" xr:uid="{00000000-0005-0000-0000-00009F210000}"/>
    <cellStyle name="40% - 강조색4 64" xfId="5173" xr:uid="{00000000-0005-0000-0000-0000A0210000}"/>
    <cellStyle name="40% - 강조색4 64 10" xfId="8480" xr:uid="{00000000-0005-0000-0000-0000A1210000}"/>
    <cellStyle name="40% - 강조색4 64 11" xfId="6823" xr:uid="{00000000-0005-0000-0000-0000A2210000}"/>
    <cellStyle name="40% - 강조색4 64 12" xfId="10344" xr:uid="{00000000-0005-0000-0000-0000A3210000}"/>
    <cellStyle name="40% - 강조색4 64 13" xfId="9822" xr:uid="{00000000-0005-0000-0000-0000A4210000}"/>
    <cellStyle name="40% - 강조색4 64 14" xfId="10775" xr:uid="{00000000-0005-0000-0000-0000A5210000}"/>
    <cellStyle name="40% - 강조색4 64 15" xfId="11079" xr:uid="{00000000-0005-0000-0000-0000A6210000}"/>
    <cellStyle name="40% - 강조색4 64 2" xfId="6662" xr:uid="{00000000-0005-0000-0000-0000A7210000}"/>
    <cellStyle name="40% - 강조색4 64 3" xfId="7079" xr:uid="{00000000-0005-0000-0000-0000A8210000}"/>
    <cellStyle name="40% - 강조색4 64 4" xfId="709" xr:uid="{00000000-0005-0000-0000-0000A9210000}"/>
    <cellStyle name="40% - 강조색4 64 5" xfId="7022" xr:uid="{00000000-0005-0000-0000-0000AA210000}"/>
    <cellStyle name="40% - 강조색4 64 6" xfId="8034" xr:uid="{00000000-0005-0000-0000-0000AB210000}"/>
    <cellStyle name="40% - 강조색4 64 7" xfId="5341" xr:uid="{00000000-0005-0000-0000-0000AC210000}"/>
    <cellStyle name="40% - 강조색4 64 8" xfId="8785" xr:uid="{00000000-0005-0000-0000-0000AD210000}"/>
    <cellStyle name="40% - 강조색4 64 9" xfId="9095" xr:uid="{00000000-0005-0000-0000-0000AE210000}"/>
    <cellStyle name="40% - 강조색4 65" xfId="4564" xr:uid="{00000000-0005-0000-0000-0000AF210000}"/>
    <cellStyle name="40% - 강조색4 65 10" xfId="6064" xr:uid="{00000000-0005-0000-0000-0000B0210000}"/>
    <cellStyle name="40% - 강조색4 65 11" xfId="9891" xr:uid="{00000000-0005-0000-0000-0000B1210000}"/>
    <cellStyle name="40% - 강조색4 65 12" xfId="10274" xr:uid="{00000000-0005-0000-0000-0000B2210000}"/>
    <cellStyle name="40% - 강조색4 65 13" xfId="10530" xr:uid="{00000000-0005-0000-0000-0000B3210000}"/>
    <cellStyle name="40% - 강조색4 65 14" xfId="8489" xr:uid="{00000000-0005-0000-0000-0000B4210000}"/>
    <cellStyle name="40% - 강조색4 65 15" xfId="6535" xr:uid="{00000000-0005-0000-0000-0000B5210000}"/>
    <cellStyle name="40% - 강조색4 65 2" xfId="6640" xr:uid="{00000000-0005-0000-0000-0000B6210000}"/>
    <cellStyle name="40% - 강조색4 65 3" xfId="6806" xr:uid="{00000000-0005-0000-0000-0000B7210000}"/>
    <cellStyle name="40% - 강조색4 65 4" xfId="7176" xr:uid="{00000000-0005-0000-0000-0000B8210000}"/>
    <cellStyle name="40% - 강조색4 65 5" xfId="7776" xr:uid="{00000000-0005-0000-0000-0000B9210000}"/>
    <cellStyle name="40% - 강조색4 65 6" xfId="5277" xr:uid="{00000000-0005-0000-0000-0000BA210000}"/>
    <cellStyle name="40% - 강조색4 65 7" xfId="8570" xr:uid="{00000000-0005-0000-0000-0000BB210000}"/>
    <cellStyle name="40% - 강조색4 65 8" xfId="8744" xr:uid="{00000000-0005-0000-0000-0000BC210000}"/>
    <cellStyle name="40% - 강조색4 65 9" xfId="8374" xr:uid="{00000000-0005-0000-0000-0000BD210000}"/>
    <cellStyle name="40% - 강조색4 66" xfId="4858" xr:uid="{00000000-0005-0000-0000-0000BE210000}"/>
    <cellStyle name="40% - 강조색4 66 10" xfId="7434" xr:uid="{00000000-0005-0000-0000-0000BF210000}"/>
    <cellStyle name="40% - 강조색4 66 11" xfId="9624" xr:uid="{00000000-0005-0000-0000-0000C0210000}"/>
    <cellStyle name="40% - 강조색4 66 12" xfId="10091" xr:uid="{00000000-0005-0000-0000-0000C1210000}"/>
    <cellStyle name="40% - 강조색4 66 13" xfId="9493" xr:uid="{00000000-0005-0000-0000-0000C2210000}"/>
    <cellStyle name="40% - 강조색4 66 14" xfId="10827" xr:uid="{00000000-0005-0000-0000-0000C3210000}"/>
    <cellStyle name="40% - 강조색4 66 15" xfId="11064" xr:uid="{00000000-0005-0000-0000-0000C4210000}"/>
    <cellStyle name="40% - 강조색4 66 2" xfId="6650" xr:uid="{00000000-0005-0000-0000-0000C5210000}"/>
    <cellStyle name="40% - 강조색4 66 3" xfId="1471" xr:uid="{00000000-0005-0000-0000-0000C6210000}"/>
    <cellStyle name="40% - 강조색4 66 4" xfId="6122" xr:uid="{00000000-0005-0000-0000-0000C7210000}"/>
    <cellStyle name="40% - 강조색4 66 5" xfId="7850" xr:uid="{00000000-0005-0000-0000-0000C8210000}"/>
    <cellStyle name="40% - 강조색4 66 6" xfId="8196" xr:uid="{00000000-0005-0000-0000-0000C9210000}"/>
    <cellStyle name="40% - 강조색4 66 7" xfId="8460" xr:uid="{00000000-0005-0000-0000-0000CA210000}"/>
    <cellStyle name="40% - 강조색4 66 8" xfId="1873" xr:uid="{00000000-0005-0000-0000-0000CB210000}"/>
    <cellStyle name="40% - 강조색4 66 9" xfId="9272" xr:uid="{00000000-0005-0000-0000-0000CC210000}"/>
    <cellStyle name="40% - 강조색4 67" xfId="5809" xr:uid="{00000000-0005-0000-0000-0000CD210000}"/>
    <cellStyle name="40% - 강조색4 67 10" xfId="9539" xr:uid="{00000000-0005-0000-0000-0000CE210000}"/>
    <cellStyle name="40% - 강조색4 67 11" xfId="9124" xr:uid="{00000000-0005-0000-0000-0000CF210000}"/>
    <cellStyle name="40% - 강조색4 67 12" xfId="6294" xr:uid="{00000000-0005-0000-0000-0000D0210000}"/>
    <cellStyle name="40% - 강조색4 67 13" xfId="10553" xr:uid="{00000000-0005-0000-0000-0000D1210000}"/>
    <cellStyle name="40% - 강조색4 67 14" xfId="9831" xr:uid="{00000000-0005-0000-0000-0000D2210000}"/>
    <cellStyle name="40% - 강조색4 67 15" xfId="6709" xr:uid="{00000000-0005-0000-0000-0000D3210000}"/>
    <cellStyle name="40% - 강조색4 67 2" xfId="6691" xr:uid="{00000000-0005-0000-0000-0000D4210000}"/>
    <cellStyle name="40% - 강조색4 67 3" xfId="7316" xr:uid="{00000000-0005-0000-0000-0000D5210000}"/>
    <cellStyle name="40% - 강조색4 67 4" xfId="7324" xr:uid="{00000000-0005-0000-0000-0000D6210000}"/>
    <cellStyle name="40% - 강조색4 67 5" xfId="7859" xr:uid="{00000000-0005-0000-0000-0000D7210000}"/>
    <cellStyle name="40% - 강조색4 67 6" xfId="8017" xr:uid="{00000000-0005-0000-0000-0000D8210000}"/>
    <cellStyle name="40% - 강조색4 67 7" xfId="8601" xr:uid="{00000000-0005-0000-0000-0000D9210000}"/>
    <cellStyle name="40% - 강조색4 67 8" xfId="9015" xr:uid="{00000000-0005-0000-0000-0000DA210000}"/>
    <cellStyle name="40% - 강조색4 67 9" xfId="9349" xr:uid="{00000000-0005-0000-0000-0000DB210000}"/>
    <cellStyle name="40% - 강조색4 68" xfId="6513" xr:uid="{00000000-0005-0000-0000-0000DC210000}"/>
    <cellStyle name="40% - 강조색4 68 10" xfId="9771" xr:uid="{00000000-0005-0000-0000-0000DD210000}"/>
    <cellStyle name="40% - 강조색4 68 11" xfId="10259" xr:uid="{00000000-0005-0000-0000-0000DE210000}"/>
    <cellStyle name="40% - 강조색4 68 12" xfId="3427" xr:uid="{00000000-0005-0000-0000-0000DF210000}"/>
    <cellStyle name="40% - 강조색4 68 13" xfId="10431" xr:uid="{00000000-0005-0000-0000-0000E0210000}"/>
    <cellStyle name="40% - 강조색4 68 14" xfId="1506" xr:uid="{00000000-0005-0000-0000-0000E1210000}"/>
    <cellStyle name="40% - 강조색4 68 2" xfId="7358" xr:uid="{00000000-0005-0000-0000-0000E2210000}"/>
    <cellStyle name="40% - 강조색4 68 3" xfId="7385" xr:uid="{00000000-0005-0000-0000-0000E3210000}"/>
    <cellStyle name="40% - 강조색4 68 4" xfId="7874" xr:uid="{00000000-0005-0000-0000-0000E4210000}"/>
    <cellStyle name="40% - 강조색4 68 5" xfId="8073" xr:uid="{00000000-0005-0000-0000-0000E5210000}"/>
    <cellStyle name="40% - 강조색4 68 6" xfId="8596" xr:uid="{00000000-0005-0000-0000-0000E6210000}"/>
    <cellStyle name="40% - 강조색4 68 7" xfId="8386" xr:uid="{00000000-0005-0000-0000-0000E7210000}"/>
    <cellStyle name="40% - 강조색4 68 8" xfId="9331" xr:uid="{00000000-0005-0000-0000-0000E8210000}"/>
    <cellStyle name="40% - 강조색4 68 9" xfId="8090" xr:uid="{00000000-0005-0000-0000-0000E9210000}"/>
    <cellStyle name="40% - 강조색4 69" xfId="7151" xr:uid="{00000000-0005-0000-0000-0000EA210000}"/>
    <cellStyle name="40% - 강조색4 69 10" xfId="10634" xr:uid="{00000000-0005-0000-0000-0000EB210000}"/>
    <cellStyle name="40% - 강조색4 69 11" xfId="10096" xr:uid="{00000000-0005-0000-0000-0000EC210000}"/>
    <cellStyle name="40% - 강조색4 69 12" xfId="11166" xr:uid="{00000000-0005-0000-0000-0000ED210000}"/>
    <cellStyle name="40% - 강조색4 69 2" xfId="7886" xr:uid="{00000000-0005-0000-0000-0000EE210000}"/>
    <cellStyle name="40% - 강조색4 69 3" xfId="8280" xr:uid="{00000000-0005-0000-0000-0000EF210000}"/>
    <cellStyle name="40% - 강조색4 69 4" xfId="8642" xr:uid="{00000000-0005-0000-0000-0000F0210000}"/>
    <cellStyle name="40% - 강조색4 69 5" xfId="8794" xr:uid="{00000000-0005-0000-0000-0000F1210000}"/>
    <cellStyle name="40% - 강조색4 69 6" xfId="9355" xr:uid="{00000000-0005-0000-0000-0000F2210000}"/>
    <cellStyle name="40% - 강조색4 69 7" xfId="9568" xr:uid="{00000000-0005-0000-0000-0000F3210000}"/>
    <cellStyle name="40% - 강조색4 69 8" xfId="9960" xr:uid="{00000000-0005-0000-0000-0000F4210000}"/>
    <cellStyle name="40% - 강조색4 69 9" xfId="10149" xr:uid="{00000000-0005-0000-0000-0000F5210000}"/>
    <cellStyle name="40% - 강조색4 7" xfId="143" xr:uid="{00000000-0005-0000-0000-0000F6210000}"/>
    <cellStyle name="40% - 강조색4 70" xfId="7325" xr:uid="{00000000-0005-0000-0000-0000F7210000}"/>
    <cellStyle name="40% - 강조색4 70 10" xfId="10692" xr:uid="{00000000-0005-0000-0000-0000F8210000}"/>
    <cellStyle name="40% - 강조색4 70 11" xfId="10774" xr:uid="{00000000-0005-0000-0000-0000F9210000}"/>
    <cellStyle name="40% - 강조색4 70 12" xfId="11160" xr:uid="{00000000-0005-0000-0000-0000FA210000}"/>
    <cellStyle name="40% - 강조색4 70 2" xfId="7894" xr:uid="{00000000-0005-0000-0000-0000FB210000}"/>
    <cellStyle name="40% - 강조색4 70 3" xfId="8288" xr:uid="{00000000-0005-0000-0000-0000FC210000}"/>
    <cellStyle name="40% - 강조색4 70 4" xfId="8650" xr:uid="{00000000-0005-0000-0000-0000FD210000}"/>
    <cellStyle name="40% - 강조색4 70 5" xfId="6024" xr:uid="{00000000-0005-0000-0000-0000FE210000}"/>
    <cellStyle name="40% - 강조색4 70 6" xfId="7696" xr:uid="{00000000-0005-0000-0000-0000FF210000}"/>
    <cellStyle name="40% - 강조색4 70 7" xfId="5410" xr:uid="{00000000-0005-0000-0000-000000220000}"/>
    <cellStyle name="40% - 강조색4 70 8" xfId="5084" xr:uid="{00000000-0005-0000-0000-000001220000}"/>
    <cellStyle name="40% - 강조색4 70 9" xfId="10250" xr:uid="{00000000-0005-0000-0000-000002220000}"/>
    <cellStyle name="40% - 강조색4 71" xfId="7823" xr:uid="{00000000-0005-0000-0000-000003220000}"/>
    <cellStyle name="40% - 강조색4 71 10" xfId="9808" xr:uid="{00000000-0005-0000-0000-000004220000}"/>
    <cellStyle name="40% - 강조색4 71 11" xfId="7955" xr:uid="{00000000-0005-0000-0000-000005220000}"/>
    <cellStyle name="40% - 강조색4 71 2" xfId="8299" xr:uid="{00000000-0005-0000-0000-000006220000}"/>
    <cellStyle name="40% - 강조색4 71 3" xfId="8661" xr:uid="{00000000-0005-0000-0000-000007220000}"/>
    <cellStyle name="40% - 강조색4 71 4" xfId="9025" xr:uid="{00000000-0005-0000-0000-000008220000}"/>
    <cellStyle name="40% - 강조색4 71 5" xfId="9383" xr:uid="{00000000-0005-0000-0000-000009220000}"/>
    <cellStyle name="40% - 강조색4 71 6" xfId="9528" xr:uid="{00000000-0005-0000-0000-00000A220000}"/>
    <cellStyle name="40% - 강조색4 71 7" xfId="10042" xr:uid="{00000000-0005-0000-0000-00000B220000}"/>
    <cellStyle name="40% - 강조색4 71 8" xfId="10283" xr:uid="{00000000-0005-0000-0000-00000C220000}"/>
    <cellStyle name="40% - 강조색4 71 9" xfId="10434" xr:uid="{00000000-0005-0000-0000-00000D220000}"/>
    <cellStyle name="40% - 강조색4 72" xfId="8209" xr:uid="{00000000-0005-0000-0000-00000E220000}"/>
    <cellStyle name="40% - 강조색4 72 10" xfId="6938" xr:uid="{00000000-0005-0000-0000-00000F220000}"/>
    <cellStyle name="40% - 강조색4 72 2" xfId="8672" xr:uid="{00000000-0005-0000-0000-000010220000}"/>
    <cellStyle name="40% - 강조색4 72 3" xfId="9036" xr:uid="{00000000-0005-0000-0000-000011220000}"/>
    <cellStyle name="40% - 강조색4 72 4" xfId="9395" xr:uid="{00000000-0005-0000-0000-000012220000}"/>
    <cellStyle name="40% - 강조색4 72 5" xfId="9727" xr:uid="{00000000-0005-0000-0000-000013220000}"/>
    <cellStyle name="40% - 강조색4 72 6" xfId="9847" xr:uid="{00000000-0005-0000-0000-000014220000}"/>
    <cellStyle name="40% - 강조색4 72 7" xfId="9785" xr:uid="{00000000-0005-0000-0000-000015220000}"/>
    <cellStyle name="40% - 강조색4 72 8" xfId="10532" xr:uid="{00000000-0005-0000-0000-000016220000}"/>
    <cellStyle name="40% - 강조색4 72 9" xfId="10899" xr:uid="{00000000-0005-0000-0000-000017220000}"/>
    <cellStyle name="40% - 강조색4 73" xfId="6205" xr:uid="{00000000-0005-0000-0000-000018220000}"/>
    <cellStyle name="40% - 강조색4 73 2" xfId="8994" xr:uid="{00000000-0005-0000-0000-000019220000}"/>
    <cellStyle name="40% - 강조색4 73 3" xfId="8150" xr:uid="{00000000-0005-0000-0000-00001A220000}"/>
    <cellStyle name="40% - 강조색4 73 4" xfId="9551" xr:uid="{00000000-0005-0000-0000-00001B220000}"/>
    <cellStyle name="40% - 강조색4 73 5" xfId="8010" xr:uid="{00000000-0005-0000-0000-00001C220000}"/>
    <cellStyle name="40% - 강조색4 73 6" xfId="10133" xr:uid="{00000000-0005-0000-0000-00001D220000}"/>
    <cellStyle name="40% - 강조색4 73 7" xfId="10420" xr:uid="{00000000-0005-0000-0000-00001E220000}"/>
    <cellStyle name="40% - 강조색4 73 8" xfId="4795" xr:uid="{00000000-0005-0000-0000-00001F220000}"/>
    <cellStyle name="40% - 강조색4 73 9" xfId="9234" xr:uid="{00000000-0005-0000-0000-000020220000}"/>
    <cellStyle name="40% - 강조색4 74" xfId="8899" xr:uid="{00000000-0005-0000-0000-000021220000}"/>
    <cellStyle name="40% - 강조색4 74 2" xfId="9410" xr:uid="{00000000-0005-0000-0000-000022220000}"/>
    <cellStyle name="40% - 강조색4 74 3" xfId="9742" xr:uid="{00000000-0005-0000-0000-000023220000}"/>
    <cellStyle name="40% - 강조색4 74 4" xfId="10068" xr:uid="{00000000-0005-0000-0000-000024220000}"/>
    <cellStyle name="40% - 강조색4 74 5" xfId="10381" xr:uid="{00000000-0005-0000-0000-000025220000}"/>
    <cellStyle name="40% - 강조색4 74 6" xfId="10635" xr:uid="{00000000-0005-0000-0000-000026220000}"/>
    <cellStyle name="40% - 강조색4 74 7" xfId="10947" xr:uid="{00000000-0005-0000-0000-000027220000}"/>
    <cellStyle name="40% - 강조색4 74 8" xfId="7932" xr:uid="{00000000-0005-0000-0000-000028220000}"/>
    <cellStyle name="40% - 강조색4 75" xfId="5228" xr:uid="{00000000-0005-0000-0000-000029220000}"/>
    <cellStyle name="40% - 강조색4 75 2" xfId="3852" xr:uid="{00000000-0005-0000-0000-00002A220000}"/>
    <cellStyle name="40% - 강조색4 75 3" xfId="5293" xr:uid="{00000000-0005-0000-0000-00002B220000}"/>
    <cellStyle name="40% - 강조색4 75 4" xfId="7685" xr:uid="{00000000-0005-0000-0000-00002C220000}"/>
    <cellStyle name="40% - 강조색4 75 5" xfId="10577" xr:uid="{00000000-0005-0000-0000-00002D220000}"/>
    <cellStyle name="40% - 강조색4 75 6" xfId="10863" xr:uid="{00000000-0005-0000-0000-00002E220000}"/>
    <cellStyle name="40% - 강조색4 75 7" xfId="9825" xr:uid="{00000000-0005-0000-0000-00002F220000}"/>
    <cellStyle name="40% - 강조색4 76" xfId="8114" xr:uid="{00000000-0005-0000-0000-000030220000}"/>
    <cellStyle name="40% - 강조색4 76 2" xfId="7680" xr:uid="{00000000-0005-0000-0000-000031220000}"/>
    <cellStyle name="40% - 강조색4 76 3" xfId="6275" xr:uid="{00000000-0005-0000-0000-000032220000}"/>
    <cellStyle name="40% - 강조색4 76 4" xfId="10488" xr:uid="{00000000-0005-0000-0000-000033220000}"/>
    <cellStyle name="40% - 강조색4 76 5" xfId="10815" xr:uid="{00000000-0005-0000-0000-000034220000}"/>
    <cellStyle name="40% - 강조색4 76 6" xfId="11095" xr:uid="{00000000-0005-0000-0000-000035220000}"/>
    <cellStyle name="40% - 강조색4 77" xfId="9977" xr:uid="{00000000-0005-0000-0000-000036220000}"/>
    <cellStyle name="40% - 강조색4 77 2" xfId="10410" xr:uid="{00000000-0005-0000-0000-000037220000}"/>
    <cellStyle name="40% - 강조색4 77 3" xfId="10721" xr:uid="{00000000-0005-0000-0000-000038220000}"/>
    <cellStyle name="40% - 강조색4 77 4" xfId="11005" xr:uid="{00000000-0005-0000-0000-000039220000}"/>
    <cellStyle name="40% - 강조색4 77 5" xfId="11281" xr:uid="{00000000-0005-0000-0000-00003A220000}"/>
    <cellStyle name="40% - 강조색4 78" xfId="9859" xr:uid="{00000000-0005-0000-0000-00003B220000}"/>
    <cellStyle name="40% - 강조색4 78 2" xfId="10717" xr:uid="{00000000-0005-0000-0000-00003C220000}"/>
    <cellStyle name="40% - 강조색4 78 3" xfId="11001" xr:uid="{00000000-0005-0000-0000-00003D220000}"/>
    <cellStyle name="40% - 강조색4 78 4" xfId="11137" xr:uid="{00000000-0005-0000-0000-00003E220000}"/>
    <cellStyle name="40% - 강조색4 79" xfId="10484" xr:uid="{00000000-0005-0000-0000-00003F220000}"/>
    <cellStyle name="40% - 강조색4 79 2" xfId="11016" xr:uid="{00000000-0005-0000-0000-000040220000}"/>
    <cellStyle name="40% - 강조색4 79 3" xfId="11293" xr:uid="{00000000-0005-0000-0000-000041220000}"/>
    <cellStyle name="40% - 강조색4 8" xfId="156" xr:uid="{00000000-0005-0000-0000-000042220000}"/>
    <cellStyle name="40% - 강조색4 80" xfId="10506" xr:uid="{00000000-0005-0000-0000-000043220000}"/>
    <cellStyle name="40% - 강조색4 80 2" xfId="11294" xr:uid="{00000000-0005-0000-0000-000044220000}"/>
    <cellStyle name="40% - 강조색4 81" xfId="11250" xr:uid="{00000000-0005-0000-0000-000045220000}"/>
    <cellStyle name="40% - 강조색4 82" xfId="1105" xr:uid="{00000000-0005-0000-0000-000046220000}"/>
    <cellStyle name="40% - 강조색4 83" xfId="11429" xr:uid="{00000000-0005-0000-0000-000047220000}"/>
    <cellStyle name="40% - 강조색4 84" xfId="11339" xr:uid="{00000000-0005-0000-0000-000048220000}"/>
    <cellStyle name="40% - 강조색4 85" xfId="11360" xr:uid="{00000000-0005-0000-0000-000049220000}"/>
    <cellStyle name="40% - 강조색4 86" xfId="11445" xr:uid="{00000000-0005-0000-0000-00004A220000}"/>
    <cellStyle name="40% - 강조색4 9" xfId="169" xr:uid="{00000000-0005-0000-0000-00004B220000}"/>
    <cellStyle name="40% - 강조색5" xfId="38" builtinId="47" customBuiltin="1"/>
    <cellStyle name="40% - 강조색5 10" xfId="174" xr:uid="{00000000-0005-0000-0000-00004D220000}"/>
    <cellStyle name="40% - 강조색5 11" xfId="187" xr:uid="{00000000-0005-0000-0000-00004E220000}"/>
    <cellStyle name="40% - 강조색5 12" xfId="200" xr:uid="{00000000-0005-0000-0000-00004F220000}"/>
    <cellStyle name="40% - 강조색5 13" xfId="213" xr:uid="{00000000-0005-0000-0000-000050220000}"/>
    <cellStyle name="40% - 강조색5 14" xfId="226" xr:uid="{00000000-0005-0000-0000-000051220000}"/>
    <cellStyle name="40% - 강조색5 15" xfId="239" xr:uid="{00000000-0005-0000-0000-000052220000}"/>
    <cellStyle name="40% - 강조색5 16" xfId="252" xr:uid="{00000000-0005-0000-0000-000053220000}"/>
    <cellStyle name="40% - 강조색5 17" xfId="265" xr:uid="{00000000-0005-0000-0000-000054220000}"/>
    <cellStyle name="40% - 강조색5 18" xfId="278" xr:uid="{00000000-0005-0000-0000-000055220000}"/>
    <cellStyle name="40% - 강조색5 19" xfId="291" xr:uid="{00000000-0005-0000-0000-000056220000}"/>
    <cellStyle name="40% - 강조색5 2" xfId="55" xr:uid="{00000000-0005-0000-0000-000057220000}"/>
    <cellStyle name="40% - 강조색5 20" xfId="304" xr:uid="{00000000-0005-0000-0000-000058220000}"/>
    <cellStyle name="40% - 강조색5 21" xfId="317" xr:uid="{00000000-0005-0000-0000-000059220000}"/>
    <cellStyle name="40% - 강조색5 22" xfId="330" xr:uid="{00000000-0005-0000-0000-00005A220000}"/>
    <cellStyle name="40% - 강조색5 23" xfId="343" xr:uid="{00000000-0005-0000-0000-00005B220000}"/>
    <cellStyle name="40% - 강조색5 24" xfId="356" xr:uid="{00000000-0005-0000-0000-00005C220000}"/>
    <cellStyle name="40% - 강조색5 25" xfId="369" xr:uid="{00000000-0005-0000-0000-00005D220000}"/>
    <cellStyle name="40% - 강조색5 26" xfId="382" xr:uid="{00000000-0005-0000-0000-00005E220000}"/>
    <cellStyle name="40% - 강조색5 27" xfId="395" xr:uid="{00000000-0005-0000-0000-00005F220000}"/>
    <cellStyle name="40% - 강조색5 28" xfId="408" xr:uid="{00000000-0005-0000-0000-000060220000}"/>
    <cellStyle name="40% - 강조색5 29" xfId="421" xr:uid="{00000000-0005-0000-0000-000061220000}"/>
    <cellStyle name="40% - 강조색5 3" xfId="85" xr:uid="{00000000-0005-0000-0000-000062220000}"/>
    <cellStyle name="40% - 강조색5 30" xfId="434" xr:uid="{00000000-0005-0000-0000-000063220000}"/>
    <cellStyle name="40% - 강조색5 31" xfId="446" xr:uid="{00000000-0005-0000-0000-000064220000}"/>
    <cellStyle name="40% - 강조색5 32" xfId="458" xr:uid="{00000000-0005-0000-0000-000065220000}"/>
    <cellStyle name="40% - 강조색5 33" xfId="470" xr:uid="{00000000-0005-0000-0000-000066220000}"/>
    <cellStyle name="40% - 강조색5 34" xfId="482" xr:uid="{00000000-0005-0000-0000-000067220000}"/>
    <cellStyle name="40% - 강조색5 35" xfId="493" xr:uid="{00000000-0005-0000-0000-000068220000}"/>
    <cellStyle name="40% - 강조색5 36" xfId="504" xr:uid="{00000000-0005-0000-0000-000069220000}"/>
    <cellStyle name="40% - 강조색5 37" xfId="515" xr:uid="{00000000-0005-0000-0000-00006A220000}"/>
    <cellStyle name="40% - 강조색5 38" xfId="526" xr:uid="{00000000-0005-0000-0000-00006B220000}"/>
    <cellStyle name="40% - 강조색5 39" xfId="534" xr:uid="{00000000-0005-0000-0000-00006C220000}"/>
    <cellStyle name="40% - 강조색5 4" xfId="96" xr:uid="{00000000-0005-0000-0000-00006D220000}"/>
    <cellStyle name="40% - 강조색5 40" xfId="554" xr:uid="{00000000-0005-0000-0000-00006E220000}"/>
    <cellStyle name="40% - 강조색5 40 10" xfId="3065" xr:uid="{00000000-0005-0000-0000-00006F220000}"/>
    <cellStyle name="40% - 강조색5 40 11" xfId="1414" xr:uid="{00000000-0005-0000-0000-000070220000}"/>
    <cellStyle name="40% - 강조색5 40 12" xfId="2127" xr:uid="{00000000-0005-0000-0000-000071220000}"/>
    <cellStyle name="40% - 강조색5 40 13" xfId="1888" xr:uid="{00000000-0005-0000-0000-000072220000}"/>
    <cellStyle name="40% - 강조색5 40 14" xfId="4735" xr:uid="{00000000-0005-0000-0000-000073220000}"/>
    <cellStyle name="40% - 강조색5 40 15" xfId="4464" xr:uid="{00000000-0005-0000-0000-000074220000}"/>
    <cellStyle name="40% - 강조색5 40 16" xfId="5263" xr:uid="{00000000-0005-0000-0000-000075220000}"/>
    <cellStyle name="40% - 강조색5 40 17" xfId="5145" xr:uid="{00000000-0005-0000-0000-000076220000}"/>
    <cellStyle name="40% - 강조색5 40 18" xfId="5353" xr:uid="{00000000-0005-0000-0000-000077220000}"/>
    <cellStyle name="40% - 강조색5 40 19" xfId="6519" xr:uid="{00000000-0005-0000-0000-000078220000}"/>
    <cellStyle name="40% - 강조색5 40 2" xfId="602" xr:uid="{00000000-0005-0000-0000-000079220000}"/>
    <cellStyle name="40% - 강조색5 40 20" xfId="6521" xr:uid="{00000000-0005-0000-0000-00007A220000}"/>
    <cellStyle name="40% - 강조색5 40 21" xfId="7082" xr:uid="{00000000-0005-0000-0000-00007B220000}"/>
    <cellStyle name="40% - 강조색5 40 22" xfId="7672" xr:uid="{00000000-0005-0000-0000-00007C220000}"/>
    <cellStyle name="40% - 강조색5 40 23" xfId="8124" xr:uid="{00000000-0005-0000-0000-00007D220000}"/>
    <cellStyle name="40% - 강조색5 40 24" xfId="3151" xr:uid="{00000000-0005-0000-0000-00007E220000}"/>
    <cellStyle name="40% - 강조색5 40 25" xfId="6240" xr:uid="{00000000-0005-0000-0000-00007F220000}"/>
    <cellStyle name="40% - 강조색5 40 26" xfId="5425" xr:uid="{00000000-0005-0000-0000-000080220000}"/>
    <cellStyle name="40% - 강조색5 40 27" xfId="9565" xr:uid="{00000000-0005-0000-0000-000081220000}"/>
    <cellStyle name="40% - 강조색5 40 28" xfId="9791" xr:uid="{00000000-0005-0000-0000-000082220000}"/>
    <cellStyle name="40% - 강조색5 40 29" xfId="10360" xr:uid="{00000000-0005-0000-0000-000083220000}"/>
    <cellStyle name="40% - 강조색5 40 3" xfId="1013" xr:uid="{00000000-0005-0000-0000-000084220000}"/>
    <cellStyle name="40% - 강조색5 40 30" xfId="10117" xr:uid="{00000000-0005-0000-0000-000085220000}"/>
    <cellStyle name="40% - 강조색5 40 31" xfId="10941" xr:uid="{00000000-0005-0000-0000-000086220000}"/>
    <cellStyle name="40% - 강조색5 40 32" xfId="11197" xr:uid="{00000000-0005-0000-0000-000087220000}"/>
    <cellStyle name="40% - 강조색5 40 33" xfId="11324" xr:uid="{00000000-0005-0000-0000-000088220000}"/>
    <cellStyle name="40% - 강조색5 40 34" xfId="561" xr:uid="{00000000-0005-0000-0000-000089220000}"/>
    <cellStyle name="40% - 강조색5 40 35" xfId="11380" xr:uid="{00000000-0005-0000-0000-00008A220000}"/>
    <cellStyle name="40% - 강조색5 40 36" xfId="11347" xr:uid="{00000000-0005-0000-0000-00008B220000}"/>
    <cellStyle name="40% - 강조색5 40 4" xfId="1277" xr:uid="{00000000-0005-0000-0000-00008C220000}"/>
    <cellStyle name="40% - 강조색5 40 5" xfId="1664" xr:uid="{00000000-0005-0000-0000-00008D220000}"/>
    <cellStyle name="40% - 강조색5 40 6" xfId="965" xr:uid="{00000000-0005-0000-0000-00008E220000}"/>
    <cellStyle name="40% - 강조색5 40 7" xfId="2359" xr:uid="{00000000-0005-0000-0000-00008F220000}"/>
    <cellStyle name="40% - 강조색5 40 8" xfId="2638" xr:uid="{00000000-0005-0000-0000-000090220000}"/>
    <cellStyle name="40% - 강조색5 40 9" xfId="2904" xr:uid="{00000000-0005-0000-0000-000091220000}"/>
    <cellStyle name="40% - 강조색5 41" xfId="641" xr:uid="{00000000-0005-0000-0000-000092220000}"/>
    <cellStyle name="40% - 강조색5 41 10" xfId="3213" xr:uid="{00000000-0005-0000-0000-000093220000}"/>
    <cellStyle name="40% - 강조색5 41 11" xfId="3480" xr:uid="{00000000-0005-0000-0000-000094220000}"/>
    <cellStyle name="40% - 강조색5 41 12" xfId="2820" xr:uid="{00000000-0005-0000-0000-000095220000}"/>
    <cellStyle name="40% - 강조색5 41 13" xfId="4240" xr:uid="{00000000-0005-0000-0000-000096220000}"/>
    <cellStyle name="40% - 강조색5 41 14" xfId="4572" xr:uid="{00000000-0005-0000-0000-000097220000}"/>
    <cellStyle name="40% - 강조색5 41 15" xfId="5370" xr:uid="{00000000-0005-0000-0000-000098220000}"/>
    <cellStyle name="40% - 강조색5 41 16" xfId="5458" xr:uid="{00000000-0005-0000-0000-000099220000}"/>
    <cellStyle name="40% - 강조색5 41 17" xfId="5605" xr:uid="{00000000-0005-0000-0000-00009A220000}"/>
    <cellStyle name="40% - 강조색5 41 18" xfId="3860" xr:uid="{00000000-0005-0000-0000-00009B220000}"/>
    <cellStyle name="40% - 강조색5 41 19" xfId="6568" xr:uid="{00000000-0005-0000-0000-00009C220000}"/>
    <cellStyle name="40% - 강조색5 41 2" xfId="1144" xr:uid="{00000000-0005-0000-0000-00009D220000}"/>
    <cellStyle name="40% - 강조색5 41 20" xfId="6089" xr:uid="{00000000-0005-0000-0000-00009E220000}"/>
    <cellStyle name="40% - 강조색5 41 21" xfId="7111" xr:uid="{00000000-0005-0000-0000-00009F220000}"/>
    <cellStyle name="40% - 강조색5 41 22" xfId="7670" xr:uid="{00000000-0005-0000-0000-0000A0220000}"/>
    <cellStyle name="40% - 강조색5 41 23" xfId="8047" xr:uid="{00000000-0005-0000-0000-0000A1220000}"/>
    <cellStyle name="40% - 강조색5 41 24" xfId="4483" xr:uid="{00000000-0005-0000-0000-0000A2220000}"/>
    <cellStyle name="40% - 강조색5 41 25" xfId="3106" xr:uid="{00000000-0005-0000-0000-0000A3220000}"/>
    <cellStyle name="40% - 강조색5 41 26" xfId="9330" xr:uid="{00000000-0005-0000-0000-0000A4220000}"/>
    <cellStyle name="40% - 강조색5 41 27" xfId="9530" xr:uid="{00000000-0005-0000-0000-0000A5220000}"/>
    <cellStyle name="40% - 강조색5 41 28" xfId="6164" xr:uid="{00000000-0005-0000-0000-0000A6220000}"/>
    <cellStyle name="40% - 강조색5 41 29" xfId="6124" xr:uid="{00000000-0005-0000-0000-0000A7220000}"/>
    <cellStyle name="40% - 강조색5 41 3" xfId="1224" xr:uid="{00000000-0005-0000-0000-0000A8220000}"/>
    <cellStyle name="40% - 강조색5 41 30" xfId="10575" xr:uid="{00000000-0005-0000-0000-0000A9220000}"/>
    <cellStyle name="40% - 강조색5 41 31" xfId="6142" xr:uid="{00000000-0005-0000-0000-0000AA220000}"/>
    <cellStyle name="40% - 강조색5 41 32" xfId="9145" xr:uid="{00000000-0005-0000-0000-0000AB220000}"/>
    <cellStyle name="40% - 강조색5 41 4" xfId="1316" xr:uid="{00000000-0005-0000-0000-0000AC220000}"/>
    <cellStyle name="40% - 강조색5 41 5" xfId="1755" xr:uid="{00000000-0005-0000-0000-0000AD220000}"/>
    <cellStyle name="40% - 강조색5 41 6" xfId="1359" xr:uid="{00000000-0005-0000-0000-0000AE220000}"/>
    <cellStyle name="40% - 강조색5 41 7" xfId="806" xr:uid="{00000000-0005-0000-0000-0000AF220000}"/>
    <cellStyle name="40% - 강조색5 41 8" xfId="2665" xr:uid="{00000000-0005-0000-0000-0000B0220000}"/>
    <cellStyle name="40% - 강조색5 41 9" xfId="2745" xr:uid="{00000000-0005-0000-0000-0000B1220000}"/>
    <cellStyle name="40% - 강조색5 42" xfId="667" xr:uid="{00000000-0005-0000-0000-0000B2220000}"/>
    <cellStyle name="40% - 강조색5 42 10" xfId="3181" xr:uid="{00000000-0005-0000-0000-0000B3220000}"/>
    <cellStyle name="40% - 강조색5 42 11" xfId="3489" xr:uid="{00000000-0005-0000-0000-0000B4220000}"/>
    <cellStyle name="40% - 강조색5 42 12" xfId="3904" xr:uid="{00000000-0005-0000-0000-0000B5220000}"/>
    <cellStyle name="40% - 강조색5 42 13" xfId="4169" xr:uid="{00000000-0005-0000-0000-0000B6220000}"/>
    <cellStyle name="40% - 강조색5 42 14" xfId="1925" xr:uid="{00000000-0005-0000-0000-0000B7220000}"/>
    <cellStyle name="40% - 강조색5 42 15" xfId="5088" xr:uid="{00000000-0005-0000-0000-0000B8220000}"/>
    <cellStyle name="40% - 강조색5 42 16" xfId="4871" xr:uid="{00000000-0005-0000-0000-0000B9220000}"/>
    <cellStyle name="40% - 강조색5 42 17" xfId="5363" xr:uid="{00000000-0005-0000-0000-0000BA220000}"/>
    <cellStyle name="40% - 강조색5 42 18" xfId="5339" xr:uid="{00000000-0005-0000-0000-0000BB220000}"/>
    <cellStyle name="40% - 강조색5 42 19" xfId="6121" xr:uid="{00000000-0005-0000-0000-0000BC220000}"/>
    <cellStyle name="40% - 강조색5 42 2" xfId="1170" xr:uid="{00000000-0005-0000-0000-0000BD220000}"/>
    <cellStyle name="40% - 강조색5 42 20" xfId="6859" xr:uid="{00000000-0005-0000-0000-0000BE220000}"/>
    <cellStyle name="40% - 강조색5 42 21" xfId="4833" xr:uid="{00000000-0005-0000-0000-0000BF220000}"/>
    <cellStyle name="40% - 강조색5 42 22" xfId="7803" xr:uid="{00000000-0005-0000-0000-0000C0220000}"/>
    <cellStyle name="40% - 강조색5 42 23" xfId="7990" xr:uid="{00000000-0005-0000-0000-0000C1220000}"/>
    <cellStyle name="40% - 강조색5 42 24" xfId="8341" xr:uid="{00000000-0005-0000-0000-0000C2220000}"/>
    <cellStyle name="40% - 강조색5 42 25" xfId="6904" xr:uid="{00000000-0005-0000-0000-0000C3220000}"/>
    <cellStyle name="40% - 강조색5 42 26" xfId="9285" xr:uid="{00000000-0005-0000-0000-0000C4220000}"/>
    <cellStyle name="40% - 강조색5 42 27" xfId="9480" xr:uid="{00000000-0005-0000-0000-0000C5220000}"/>
    <cellStyle name="40% - 강조색5 42 28" xfId="9821" xr:uid="{00000000-0005-0000-0000-0000C6220000}"/>
    <cellStyle name="40% - 강조색5 42 29" xfId="9435" xr:uid="{00000000-0005-0000-0000-0000C7220000}"/>
    <cellStyle name="40% - 강조색5 42 3" xfId="1250" xr:uid="{00000000-0005-0000-0000-0000C8220000}"/>
    <cellStyle name="40% - 강조색5 42 30" xfId="928" xr:uid="{00000000-0005-0000-0000-0000C9220000}"/>
    <cellStyle name="40% - 강조색5 42 31" xfId="6423" xr:uid="{00000000-0005-0000-0000-0000CA220000}"/>
    <cellStyle name="40% - 강조색5 42 32" xfId="9973" xr:uid="{00000000-0005-0000-0000-0000CB220000}"/>
    <cellStyle name="40% - 강조색5 42 4" xfId="1342" xr:uid="{00000000-0005-0000-0000-0000CC220000}"/>
    <cellStyle name="40% - 강조색5 42 5" xfId="1725" xr:uid="{00000000-0005-0000-0000-0000CD220000}"/>
    <cellStyle name="40% - 강조색5 42 6" xfId="1610" xr:uid="{00000000-0005-0000-0000-0000CE220000}"/>
    <cellStyle name="40% - 강조색5 42 7" xfId="2231" xr:uid="{00000000-0005-0000-0000-0000CF220000}"/>
    <cellStyle name="40% - 강조색5 42 8" xfId="904" xr:uid="{00000000-0005-0000-0000-0000D0220000}"/>
    <cellStyle name="40% - 강조색5 42 9" xfId="1961" xr:uid="{00000000-0005-0000-0000-0000D1220000}"/>
    <cellStyle name="40% - 강조색5 43" xfId="607" xr:uid="{00000000-0005-0000-0000-0000D2220000}"/>
    <cellStyle name="40% - 강조색5 43 10" xfId="2722" xr:uid="{00000000-0005-0000-0000-0000D3220000}"/>
    <cellStyle name="40% - 강조색5 43 11" xfId="3595" xr:uid="{00000000-0005-0000-0000-0000D4220000}"/>
    <cellStyle name="40% - 강조색5 43 12" xfId="3889" xr:uid="{00000000-0005-0000-0000-0000D5220000}"/>
    <cellStyle name="40% - 강조색5 43 13" xfId="4208" xr:uid="{00000000-0005-0000-0000-0000D6220000}"/>
    <cellStyle name="40% - 강조색5 43 14" xfId="3789" xr:uid="{00000000-0005-0000-0000-0000D7220000}"/>
    <cellStyle name="40% - 강조색5 43 15" xfId="3757" xr:uid="{00000000-0005-0000-0000-0000D8220000}"/>
    <cellStyle name="40% - 강조색5 43 16" xfId="2587" xr:uid="{00000000-0005-0000-0000-0000D9220000}"/>
    <cellStyle name="40% - 강조색5 43 17" xfId="1448" xr:uid="{00000000-0005-0000-0000-0000DA220000}"/>
    <cellStyle name="40% - 강조색5 43 18" xfId="5576" xr:uid="{00000000-0005-0000-0000-0000DB220000}"/>
    <cellStyle name="40% - 강조색5 43 19" xfId="6596" xr:uid="{00000000-0005-0000-0000-0000DC220000}"/>
    <cellStyle name="40% - 강조색5 43 2" xfId="1110" xr:uid="{00000000-0005-0000-0000-0000DD220000}"/>
    <cellStyle name="40% - 강조색5 43 20" xfId="3986" xr:uid="{00000000-0005-0000-0000-0000DE220000}"/>
    <cellStyle name="40% - 강조색5 43 21" xfId="4495" xr:uid="{00000000-0005-0000-0000-0000DF220000}"/>
    <cellStyle name="40% - 강조색5 43 22" xfId="4808" xr:uid="{00000000-0005-0000-0000-0000E0220000}"/>
    <cellStyle name="40% - 강조색5 43 23" xfId="4612" xr:uid="{00000000-0005-0000-0000-0000E1220000}"/>
    <cellStyle name="40% - 강조색5 43 24" xfId="8633" xr:uid="{00000000-0005-0000-0000-0000E2220000}"/>
    <cellStyle name="40% - 강조색5 43 25" xfId="6336" xr:uid="{00000000-0005-0000-0000-0000E3220000}"/>
    <cellStyle name="40% - 강조색5 43 26" xfId="9148" xr:uid="{00000000-0005-0000-0000-0000E4220000}"/>
    <cellStyle name="40% - 강조색5 43 27" xfId="9694" xr:uid="{00000000-0005-0000-0000-0000E5220000}"/>
    <cellStyle name="40% - 강조색5 43 28" xfId="9899" xr:uid="{00000000-0005-0000-0000-0000E6220000}"/>
    <cellStyle name="40% - 강조색5 43 29" xfId="8002" xr:uid="{00000000-0005-0000-0000-0000E7220000}"/>
    <cellStyle name="40% - 강조색5 43 3" xfId="1190" xr:uid="{00000000-0005-0000-0000-0000E8220000}"/>
    <cellStyle name="40% - 강조색5 43 30" xfId="10335" xr:uid="{00000000-0005-0000-0000-0000E9220000}"/>
    <cellStyle name="40% - 강조색5 43 31" xfId="10850" xr:uid="{00000000-0005-0000-0000-0000EA220000}"/>
    <cellStyle name="40% - 강조색5 43 32" xfId="11059" xr:uid="{00000000-0005-0000-0000-0000EB220000}"/>
    <cellStyle name="40% - 강조색5 43 4" xfId="1282" xr:uid="{00000000-0005-0000-0000-0000EC220000}"/>
    <cellStyle name="40% - 강조색5 43 5" xfId="1784" xr:uid="{00000000-0005-0000-0000-0000ED220000}"/>
    <cellStyle name="40% - 강조색5 43 6" xfId="2050" xr:uid="{00000000-0005-0000-0000-0000EE220000}"/>
    <cellStyle name="40% - 강조색5 43 7" xfId="2204" xr:uid="{00000000-0005-0000-0000-0000EF220000}"/>
    <cellStyle name="40% - 강조색5 43 8" xfId="2460" xr:uid="{00000000-0005-0000-0000-0000F0220000}"/>
    <cellStyle name="40% - 강조색5 43 9" xfId="1558" xr:uid="{00000000-0005-0000-0000-0000F1220000}"/>
    <cellStyle name="40% - 강조색5 44" xfId="640" xr:uid="{00000000-0005-0000-0000-0000F2220000}"/>
    <cellStyle name="40% - 강조색5 44 10" xfId="1864" xr:uid="{00000000-0005-0000-0000-0000F3220000}"/>
    <cellStyle name="40% - 강조색5 44 11" xfId="2799" xr:uid="{00000000-0005-0000-0000-0000F4220000}"/>
    <cellStyle name="40% - 강조색5 44 12" xfId="3726" xr:uid="{00000000-0005-0000-0000-0000F5220000}"/>
    <cellStyle name="40% - 강조색5 44 13" xfId="4370" xr:uid="{00000000-0005-0000-0000-0000F6220000}"/>
    <cellStyle name="40% - 강조색5 44 14" xfId="4458" xr:uid="{00000000-0005-0000-0000-0000F7220000}"/>
    <cellStyle name="40% - 강조색5 44 15" xfId="5240" xr:uid="{00000000-0005-0000-0000-0000F8220000}"/>
    <cellStyle name="40% - 강조색5 44 16" xfId="5737" xr:uid="{00000000-0005-0000-0000-0000F9220000}"/>
    <cellStyle name="40% - 강조색5 44 17" xfId="5842" xr:uid="{00000000-0005-0000-0000-0000FA220000}"/>
    <cellStyle name="40% - 강조색5 44 18" xfId="5918" xr:uid="{00000000-0005-0000-0000-0000FB220000}"/>
    <cellStyle name="40% - 강조색5 44 19" xfId="6263" xr:uid="{00000000-0005-0000-0000-0000FC220000}"/>
    <cellStyle name="40% - 강조색5 44 2" xfId="1143" xr:uid="{00000000-0005-0000-0000-0000FD220000}"/>
    <cellStyle name="40% - 강조색5 44 20" xfId="6970" xr:uid="{00000000-0005-0000-0000-0000FE220000}"/>
    <cellStyle name="40% - 강조색5 44 21" xfId="7236" xr:uid="{00000000-0005-0000-0000-0000FF220000}"/>
    <cellStyle name="40% - 강조색5 44 22" xfId="4189" xr:uid="{00000000-0005-0000-0000-000000230000}"/>
    <cellStyle name="40% - 강조색5 44 23" xfId="1645" xr:uid="{00000000-0005-0000-0000-000001230000}"/>
    <cellStyle name="40% - 강조색5 44 24" xfId="8603" xr:uid="{00000000-0005-0000-0000-000002230000}"/>
    <cellStyle name="40% - 강조색5 44 25" xfId="7976" xr:uid="{00000000-0005-0000-0000-000003230000}"/>
    <cellStyle name="40% - 강조색5 44 26" xfId="3417" xr:uid="{00000000-0005-0000-0000-000004230000}"/>
    <cellStyle name="40% - 강조색5 44 27" xfId="9425" xr:uid="{00000000-0005-0000-0000-000005230000}"/>
    <cellStyle name="40% - 강조색5 44 28" xfId="7427" xr:uid="{00000000-0005-0000-0000-000006230000}"/>
    <cellStyle name="40% - 강조색5 44 29" xfId="10245" xr:uid="{00000000-0005-0000-0000-000007230000}"/>
    <cellStyle name="40% - 강조색5 44 3" xfId="1223" xr:uid="{00000000-0005-0000-0000-000008230000}"/>
    <cellStyle name="40% - 강조색5 44 30" xfId="10673" xr:uid="{00000000-0005-0000-0000-000009230000}"/>
    <cellStyle name="40% - 강조색5 44 31" xfId="10897" xr:uid="{00000000-0005-0000-0000-00000A230000}"/>
    <cellStyle name="40% - 강조색5 44 32" xfId="8912" xr:uid="{00000000-0005-0000-0000-00000B230000}"/>
    <cellStyle name="40% - 강조색5 44 4" xfId="1315" xr:uid="{00000000-0005-0000-0000-00000C230000}"/>
    <cellStyle name="40% - 강조색5 44 5" xfId="1698" xr:uid="{00000000-0005-0000-0000-00000D230000}"/>
    <cellStyle name="40% - 강조색5 44 6" xfId="950" xr:uid="{00000000-0005-0000-0000-00000E230000}"/>
    <cellStyle name="40% - 강조색5 44 7" xfId="2097" xr:uid="{00000000-0005-0000-0000-00000F230000}"/>
    <cellStyle name="40% - 강조색5 44 8" xfId="1561" xr:uid="{00000000-0005-0000-0000-000010230000}"/>
    <cellStyle name="40% - 강조색5 44 9" xfId="2924" xr:uid="{00000000-0005-0000-0000-000011230000}"/>
    <cellStyle name="40% - 강조색5 45" xfId="634" xr:uid="{00000000-0005-0000-0000-000012230000}"/>
    <cellStyle name="40% - 강조색5 45 10" xfId="3299" xr:uid="{00000000-0005-0000-0000-000013230000}"/>
    <cellStyle name="40% - 강조색5 45 11" xfId="2901" xr:uid="{00000000-0005-0000-0000-000014230000}"/>
    <cellStyle name="40% - 강조색5 45 12" xfId="3723" xr:uid="{00000000-0005-0000-0000-000015230000}"/>
    <cellStyle name="40% - 강조색5 45 13" xfId="4347" xr:uid="{00000000-0005-0000-0000-000016230000}"/>
    <cellStyle name="40% - 강조색5 45 14" xfId="4108" xr:uid="{00000000-0005-0000-0000-000017230000}"/>
    <cellStyle name="40% - 강조색5 45 15" xfId="1485" xr:uid="{00000000-0005-0000-0000-000018230000}"/>
    <cellStyle name="40% - 강조색5 45 16" xfId="5791" xr:uid="{00000000-0005-0000-0000-000019230000}"/>
    <cellStyle name="40% - 강조색5 45 17" xfId="5881" xr:uid="{00000000-0005-0000-0000-00001A230000}"/>
    <cellStyle name="40% - 강조색5 45 18" xfId="5944" xr:uid="{00000000-0005-0000-0000-00001B230000}"/>
    <cellStyle name="40% - 강조색5 45 19" xfId="6413" xr:uid="{00000000-0005-0000-0000-00001C230000}"/>
    <cellStyle name="40% - 강조색5 45 2" xfId="1137" xr:uid="{00000000-0005-0000-0000-00001D230000}"/>
    <cellStyle name="40% - 강조색5 45 20" xfId="3506" xr:uid="{00000000-0005-0000-0000-00001E230000}"/>
    <cellStyle name="40% - 강조색5 45 21" xfId="6973" xr:uid="{00000000-0005-0000-0000-00001F230000}"/>
    <cellStyle name="40% - 강조색5 45 22" xfId="4590" xr:uid="{00000000-0005-0000-0000-000020230000}"/>
    <cellStyle name="40% - 강조색5 45 23" xfId="8212" xr:uid="{00000000-0005-0000-0000-000021230000}"/>
    <cellStyle name="40% - 강조색5 45 24" xfId="6839" xr:uid="{00000000-0005-0000-0000-000022230000}"/>
    <cellStyle name="40% - 강조색5 45 25" xfId="8872" xr:uid="{00000000-0005-0000-0000-000023230000}"/>
    <cellStyle name="40% - 강조색5 45 26" xfId="9264" xr:uid="{00000000-0005-0000-0000-000024230000}"/>
    <cellStyle name="40% - 강조색5 45 27" xfId="9657" xr:uid="{00000000-0005-0000-0000-000025230000}"/>
    <cellStyle name="40% - 강조색5 45 28" xfId="9431" xr:uid="{00000000-0005-0000-0000-000026230000}"/>
    <cellStyle name="40% - 강조색5 45 29" xfId="10153" xr:uid="{00000000-0005-0000-0000-000027230000}"/>
    <cellStyle name="40% - 강조색5 45 3" xfId="1217" xr:uid="{00000000-0005-0000-0000-000028230000}"/>
    <cellStyle name="40% - 강조색5 45 30" xfId="10542" xr:uid="{00000000-0005-0000-0000-000029230000}"/>
    <cellStyle name="40% - 강조색5 45 31" xfId="10888" xr:uid="{00000000-0005-0000-0000-00002A230000}"/>
    <cellStyle name="40% - 강조색5 45 32" xfId="11070" xr:uid="{00000000-0005-0000-0000-00002B230000}"/>
    <cellStyle name="40% - 강조색5 45 4" xfId="1309" xr:uid="{00000000-0005-0000-0000-00002C230000}"/>
    <cellStyle name="40% - 강조색5 45 5" xfId="1739" xr:uid="{00000000-0005-0000-0000-00002D230000}"/>
    <cellStyle name="40% - 강조색5 45 6" xfId="2025" xr:uid="{00000000-0005-0000-0000-00002E230000}"/>
    <cellStyle name="40% - 강조색5 45 7" xfId="2352" xr:uid="{00000000-0005-0000-0000-00002F230000}"/>
    <cellStyle name="40% - 강조색5 45 8" xfId="1880" xr:uid="{00000000-0005-0000-0000-000030230000}"/>
    <cellStyle name="40% - 강조색5 45 9" xfId="2864" xr:uid="{00000000-0005-0000-0000-000031230000}"/>
    <cellStyle name="40% - 강조색5 46" xfId="629" xr:uid="{00000000-0005-0000-0000-000032230000}"/>
    <cellStyle name="40% - 강조색5 46 10" xfId="3324" xr:uid="{00000000-0005-0000-0000-000033230000}"/>
    <cellStyle name="40% - 강조색5 46 11" xfId="3514" xr:uid="{00000000-0005-0000-0000-000034230000}"/>
    <cellStyle name="40% - 강조색5 46 12" xfId="3771" xr:uid="{00000000-0005-0000-0000-000035230000}"/>
    <cellStyle name="40% - 강조색5 46 13" xfId="4144" xr:uid="{00000000-0005-0000-0000-000036230000}"/>
    <cellStyle name="40% - 강조색5 46 14" xfId="2851" xr:uid="{00000000-0005-0000-0000-000037230000}"/>
    <cellStyle name="40% - 강조색5 46 15" xfId="4948" xr:uid="{00000000-0005-0000-0000-000038230000}"/>
    <cellStyle name="40% - 강조색5 46 16" xfId="4913" xr:uid="{00000000-0005-0000-0000-000039230000}"/>
    <cellStyle name="40% - 강조색5 46 17" xfId="5788" xr:uid="{00000000-0005-0000-0000-00003A230000}"/>
    <cellStyle name="40% - 강조색5 46 18" xfId="5878" xr:uid="{00000000-0005-0000-0000-00003B230000}"/>
    <cellStyle name="40% - 강조색5 46 19" xfId="6477" xr:uid="{00000000-0005-0000-0000-00003C230000}"/>
    <cellStyle name="40% - 강조색5 46 2" xfId="1132" xr:uid="{00000000-0005-0000-0000-00003D230000}"/>
    <cellStyle name="40% - 강조색5 46 20" xfId="6255" xr:uid="{00000000-0005-0000-0000-00003E230000}"/>
    <cellStyle name="40% - 강조색5 46 21" xfId="4791" xr:uid="{00000000-0005-0000-0000-00003F230000}"/>
    <cellStyle name="40% - 강조색5 46 22" xfId="7735" xr:uid="{00000000-0005-0000-0000-000040230000}"/>
    <cellStyle name="40% - 강조색5 46 23" xfId="7957" xr:uid="{00000000-0005-0000-0000-000041230000}"/>
    <cellStyle name="40% - 강조색5 46 24" xfId="8598" xr:uid="{00000000-0005-0000-0000-000042230000}"/>
    <cellStyle name="40% - 강조색5 46 25" xfId="8721" xr:uid="{00000000-0005-0000-0000-000043230000}"/>
    <cellStyle name="40% - 강조색5 46 26" xfId="9131" xr:uid="{00000000-0005-0000-0000-000044230000}"/>
    <cellStyle name="40% - 강조색5 46 27" xfId="9487" xr:uid="{00000000-0005-0000-0000-000045230000}"/>
    <cellStyle name="40% - 강조색5 46 28" xfId="7675" xr:uid="{00000000-0005-0000-0000-000046230000}"/>
    <cellStyle name="40% - 강조색5 46 29" xfId="9534" xr:uid="{00000000-0005-0000-0000-000047230000}"/>
    <cellStyle name="40% - 강조색5 46 3" xfId="1212" xr:uid="{00000000-0005-0000-0000-000048230000}"/>
    <cellStyle name="40% - 강조색5 46 30" xfId="10642" xr:uid="{00000000-0005-0000-0000-000049230000}"/>
    <cellStyle name="40% - 강조색5 46 31" xfId="8729" xr:uid="{00000000-0005-0000-0000-00004A230000}"/>
    <cellStyle name="40% - 강조색5 46 32" xfId="8037" xr:uid="{00000000-0005-0000-0000-00004B230000}"/>
    <cellStyle name="40% - 강조색5 46 4" xfId="1304" xr:uid="{00000000-0005-0000-0000-00004C230000}"/>
    <cellStyle name="40% - 강조색5 46 5" xfId="1737" xr:uid="{00000000-0005-0000-0000-00004D230000}"/>
    <cellStyle name="40% - 강조색5 46 6" xfId="2075" xr:uid="{00000000-0005-0000-0000-00004E230000}"/>
    <cellStyle name="40% - 강조색5 46 7" xfId="2330" xr:uid="{00000000-0005-0000-0000-00004F230000}"/>
    <cellStyle name="40% - 강조색5 46 8" xfId="876" xr:uid="{00000000-0005-0000-0000-000050230000}"/>
    <cellStyle name="40% - 강조색5 46 9" xfId="2898" xr:uid="{00000000-0005-0000-0000-000051230000}"/>
    <cellStyle name="40% - 강조색5 47" xfId="576" xr:uid="{00000000-0005-0000-0000-000052230000}"/>
    <cellStyle name="40% - 강조색5 47 10" xfId="1616" xr:uid="{00000000-0005-0000-0000-000053230000}"/>
    <cellStyle name="40% - 강조색5 47 11" xfId="4728" xr:uid="{00000000-0005-0000-0000-000054230000}"/>
    <cellStyle name="40% - 강조색5 47 12" xfId="4253" xr:uid="{00000000-0005-0000-0000-000055230000}"/>
    <cellStyle name="40% - 강조색5 47 13" xfId="5415" xr:uid="{00000000-0005-0000-0000-000056230000}"/>
    <cellStyle name="40% - 강조색5 47 14" xfId="5392" xr:uid="{00000000-0005-0000-0000-000057230000}"/>
    <cellStyle name="40% - 강조색5 47 15" xfId="5553" xr:uid="{00000000-0005-0000-0000-000058230000}"/>
    <cellStyle name="40% - 강조색5 47 16" xfId="3260" xr:uid="{00000000-0005-0000-0000-000059230000}"/>
    <cellStyle name="40% - 강조색5 47 17" xfId="7213" xr:uid="{00000000-0005-0000-0000-00005A230000}"/>
    <cellStyle name="40% - 강조색5 47 18" xfId="7112" xr:uid="{00000000-0005-0000-0000-00005B230000}"/>
    <cellStyle name="40% - 강조색5 47 19" xfId="7790" xr:uid="{00000000-0005-0000-0000-00005C230000}"/>
    <cellStyle name="40% - 강조색5 47 2" xfId="1064" xr:uid="{00000000-0005-0000-0000-00005D230000}"/>
    <cellStyle name="40% - 강조색5 47 20" xfId="8206" xr:uid="{00000000-0005-0000-0000-00005E230000}"/>
    <cellStyle name="40% - 강조색5 47 21" xfId="4359" xr:uid="{00000000-0005-0000-0000-00005F230000}"/>
    <cellStyle name="40% - 강조색5 47 22" xfId="8727" xr:uid="{00000000-0005-0000-0000-000060230000}"/>
    <cellStyle name="40% - 강조색5 47 23" xfId="693" xr:uid="{00000000-0005-0000-0000-000061230000}"/>
    <cellStyle name="40% - 강조색5 47 24" xfId="7646" xr:uid="{00000000-0005-0000-0000-000062230000}"/>
    <cellStyle name="40% - 강조색5 47 25" xfId="9928" xr:uid="{00000000-0005-0000-0000-000063230000}"/>
    <cellStyle name="40% - 강조색5 47 26" xfId="9874" xr:uid="{00000000-0005-0000-0000-000064230000}"/>
    <cellStyle name="40% - 강조색5 47 27" xfId="2149" xr:uid="{00000000-0005-0000-0000-000065230000}"/>
    <cellStyle name="40% - 강조색5 47 28" xfId="10964" xr:uid="{00000000-0005-0000-0000-000066230000}"/>
    <cellStyle name="40% - 강조색5 47 29" xfId="10772" xr:uid="{00000000-0005-0000-0000-000067230000}"/>
    <cellStyle name="40% - 강조색5 47 3" xfId="2006" xr:uid="{00000000-0005-0000-0000-000068230000}"/>
    <cellStyle name="40% - 강조색5 47 30" xfId="11333" xr:uid="{00000000-0005-0000-0000-000069230000}"/>
    <cellStyle name="40% - 강조색5 47 31" xfId="11402" xr:uid="{00000000-0005-0000-0000-00006A230000}"/>
    <cellStyle name="40% - 강조색5 47 32" xfId="11404" xr:uid="{00000000-0005-0000-0000-00006B230000}"/>
    <cellStyle name="40% - 강조색5 47 33" xfId="11416" xr:uid="{00000000-0005-0000-0000-00006C230000}"/>
    <cellStyle name="40% - 강조색5 47 4" xfId="2297" xr:uid="{00000000-0005-0000-0000-00006D230000}"/>
    <cellStyle name="40% - 강조색5 47 5" xfId="2635" xr:uid="{00000000-0005-0000-0000-00006E230000}"/>
    <cellStyle name="40% - 강조색5 47 6" xfId="1976" xr:uid="{00000000-0005-0000-0000-00006F230000}"/>
    <cellStyle name="40% - 강조색5 47 7" xfId="3102" xr:uid="{00000000-0005-0000-0000-000070230000}"/>
    <cellStyle name="40% - 강조색5 47 8" xfId="3340" xr:uid="{00000000-0005-0000-0000-000071230000}"/>
    <cellStyle name="40% - 강조색5 47 9" xfId="3903" xr:uid="{00000000-0005-0000-0000-000072230000}"/>
    <cellStyle name="40% - 강조색5 48" xfId="1060" xr:uid="{00000000-0005-0000-0000-000073230000}"/>
    <cellStyle name="40% - 강조색5 48 10" xfId="4201" xr:uid="{00000000-0005-0000-0000-000074230000}"/>
    <cellStyle name="40% - 강조색5 48 11" xfId="4750" xr:uid="{00000000-0005-0000-0000-000075230000}"/>
    <cellStyle name="40% - 강조색5 48 12" xfId="5497" xr:uid="{00000000-0005-0000-0000-000076230000}"/>
    <cellStyle name="40% - 강조색5 48 13" xfId="5516" xr:uid="{00000000-0005-0000-0000-000077230000}"/>
    <cellStyle name="40% - 강조색5 48 14" xfId="5435" xr:uid="{00000000-0005-0000-0000-000078230000}"/>
    <cellStyle name="40% - 강조색5 48 15" xfId="5163" xr:uid="{00000000-0005-0000-0000-000079230000}"/>
    <cellStyle name="40% - 강조색5 48 16" xfId="6417" xr:uid="{00000000-0005-0000-0000-00007A230000}"/>
    <cellStyle name="40% - 강조색5 48 17" xfId="6208" xr:uid="{00000000-0005-0000-0000-00007B230000}"/>
    <cellStyle name="40% - 강조색5 48 18" xfId="7060" xr:uid="{00000000-0005-0000-0000-00007C230000}"/>
    <cellStyle name="40% - 강조색5 48 19" xfId="7400" xr:uid="{00000000-0005-0000-0000-00007D230000}"/>
    <cellStyle name="40% - 강조색5 48 2" xfId="1743" xr:uid="{00000000-0005-0000-0000-00007E230000}"/>
    <cellStyle name="40% - 강조색5 48 20" xfId="8217" xr:uid="{00000000-0005-0000-0000-00007F230000}"/>
    <cellStyle name="40% - 강조색5 48 21" xfId="3845" xr:uid="{00000000-0005-0000-0000-000080230000}"/>
    <cellStyle name="40% - 강조색5 48 22" xfId="8856" xr:uid="{00000000-0005-0000-0000-000081230000}"/>
    <cellStyle name="40% - 강조색5 48 23" xfId="9151" xr:uid="{00000000-0005-0000-0000-000082230000}"/>
    <cellStyle name="40% - 강조색5 48 24" xfId="9700" xr:uid="{00000000-0005-0000-0000-000083230000}"/>
    <cellStyle name="40% - 강조색5 48 25" xfId="9936" xr:uid="{00000000-0005-0000-0000-000084230000}"/>
    <cellStyle name="40% - 강조색5 48 26" xfId="10199" xr:uid="{00000000-0005-0000-0000-000085230000}"/>
    <cellStyle name="40% - 강조색5 48 27" xfId="9197" xr:uid="{00000000-0005-0000-0000-000086230000}"/>
    <cellStyle name="40% - 강조색5 48 28" xfId="5081" xr:uid="{00000000-0005-0000-0000-000087230000}"/>
    <cellStyle name="40% - 강조색5 48 29" xfId="11258" xr:uid="{00000000-0005-0000-0000-000088230000}"/>
    <cellStyle name="40% - 강조색5 48 3" xfId="2072" xr:uid="{00000000-0005-0000-0000-000089230000}"/>
    <cellStyle name="40% - 강조색5 48 4" xfId="2351" xr:uid="{00000000-0005-0000-0000-00008A230000}"/>
    <cellStyle name="40% - 강조색5 48 5" xfId="1934" xr:uid="{00000000-0005-0000-0000-00008B230000}"/>
    <cellStyle name="40% - 강조색5 48 6" xfId="758" xr:uid="{00000000-0005-0000-0000-00008C230000}"/>
    <cellStyle name="40% - 강조색5 48 7" xfId="3284" xr:uid="{00000000-0005-0000-0000-00008D230000}"/>
    <cellStyle name="40% - 강조색5 48 8" xfId="3155" xr:uid="{00000000-0005-0000-0000-00008E230000}"/>
    <cellStyle name="40% - 강조색5 48 9" xfId="3609" xr:uid="{00000000-0005-0000-0000-00008F230000}"/>
    <cellStyle name="40% - 강조색5 49" xfId="1084" xr:uid="{00000000-0005-0000-0000-000090230000}"/>
    <cellStyle name="40% - 강조색5 49 10" xfId="4124" xr:uid="{00000000-0005-0000-0000-000091230000}"/>
    <cellStyle name="40% - 강조색5 49 11" xfId="4692" xr:uid="{00000000-0005-0000-0000-000092230000}"/>
    <cellStyle name="40% - 강조색5 49 12" xfId="5108" xr:uid="{00000000-0005-0000-0000-000093230000}"/>
    <cellStyle name="40% - 강조색5 49 13" xfId="5806" xr:uid="{00000000-0005-0000-0000-000094230000}"/>
    <cellStyle name="40% - 강조색5 49 14" xfId="5890" xr:uid="{00000000-0005-0000-0000-000095230000}"/>
    <cellStyle name="40% - 강조색5 49 15" xfId="5950" xr:uid="{00000000-0005-0000-0000-000096230000}"/>
    <cellStyle name="40% - 강조색5 49 16" xfId="1632" xr:uid="{00000000-0005-0000-0000-000097230000}"/>
    <cellStyle name="40% - 강조색5 49 17" xfId="7276" xr:uid="{00000000-0005-0000-0000-000098230000}"/>
    <cellStyle name="40% - 강조색5 49 18" xfId="7029" xr:uid="{00000000-0005-0000-0000-000099230000}"/>
    <cellStyle name="40% - 강조색5 49 19" xfId="7673" xr:uid="{00000000-0005-0000-0000-00009A230000}"/>
    <cellStyle name="40% - 강조색5 49 2" xfId="1786" xr:uid="{00000000-0005-0000-0000-00009B230000}"/>
    <cellStyle name="40% - 강조색5 49 20" xfId="8029" xr:uid="{00000000-0005-0000-0000-00009C230000}"/>
    <cellStyle name="40% - 강조색5 49 21" xfId="8615" xr:uid="{00000000-0005-0000-0000-00009D230000}"/>
    <cellStyle name="40% - 강조색5 49 22" xfId="4217" xr:uid="{00000000-0005-0000-0000-00009E230000}"/>
    <cellStyle name="40% - 강조색5 49 23" xfId="7999" xr:uid="{00000000-0005-0000-0000-00009F230000}"/>
    <cellStyle name="40% - 강조색5 49 24" xfId="9661" xr:uid="{00000000-0005-0000-0000-0000A0230000}"/>
    <cellStyle name="40% - 강조색5 49 25" xfId="6451" xr:uid="{00000000-0005-0000-0000-0000A1230000}"/>
    <cellStyle name="40% - 강조색5 49 26" xfId="5998" xr:uid="{00000000-0005-0000-0000-0000A2230000}"/>
    <cellStyle name="40% - 강조색5 49 27" xfId="2418" xr:uid="{00000000-0005-0000-0000-0000A3230000}"/>
    <cellStyle name="40% - 강조색5 49 28" xfId="10983" xr:uid="{00000000-0005-0000-0000-0000A4230000}"/>
    <cellStyle name="40% - 강조색5 49 29" xfId="6930" xr:uid="{00000000-0005-0000-0000-0000A5230000}"/>
    <cellStyle name="40% - 강조색5 49 3" xfId="2059" xr:uid="{00000000-0005-0000-0000-0000A6230000}"/>
    <cellStyle name="40% - 강조색5 49 4" xfId="879" xr:uid="{00000000-0005-0000-0000-0000A7230000}"/>
    <cellStyle name="40% - 강조색5 49 5" xfId="2616" xr:uid="{00000000-0005-0000-0000-0000A8230000}"/>
    <cellStyle name="40% - 강조색5 49 6" xfId="2131" xr:uid="{00000000-0005-0000-0000-0000A9230000}"/>
    <cellStyle name="40% - 강조색5 49 7" xfId="3179" xr:uid="{00000000-0005-0000-0000-0000AA230000}"/>
    <cellStyle name="40% - 강조색5 49 8" xfId="951" xr:uid="{00000000-0005-0000-0000-0000AB230000}"/>
    <cellStyle name="40% - 강조색5 49 9" xfId="3936" xr:uid="{00000000-0005-0000-0000-0000AC230000}"/>
    <cellStyle name="40% - 강조색5 5" xfId="109" xr:uid="{00000000-0005-0000-0000-0000AD230000}"/>
    <cellStyle name="40% - 강조색5 50" xfId="1017" xr:uid="{00000000-0005-0000-0000-0000AE230000}"/>
    <cellStyle name="40% - 강조색5 50 10" xfId="752" xr:uid="{00000000-0005-0000-0000-0000AF230000}"/>
    <cellStyle name="40% - 강조색5 50 11" xfId="1507" xr:uid="{00000000-0005-0000-0000-0000B0230000}"/>
    <cellStyle name="40% - 강조색5 50 12" xfId="2107" xr:uid="{00000000-0005-0000-0000-0000B1230000}"/>
    <cellStyle name="40% - 강조색5 50 13" xfId="3241" xr:uid="{00000000-0005-0000-0000-0000B2230000}"/>
    <cellStyle name="40% - 강조색5 50 14" xfId="3042" xr:uid="{00000000-0005-0000-0000-0000B3230000}"/>
    <cellStyle name="40% - 강조색5 50 15" xfId="4882" xr:uid="{00000000-0005-0000-0000-0000B4230000}"/>
    <cellStyle name="40% - 강조색5 50 16" xfId="6494" xr:uid="{00000000-0005-0000-0000-0000B5230000}"/>
    <cellStyle name="40% - 강조색5 50 17" xfId="7192" xr:uid="{00000000-0005-0000-0000-0000B6230000}"/>
    <cellStyle name="40% - 강조색5 50 18" xfId="7194" xr:uid="{00000000-0005-0000-0000-0000B7230000}"/>
    <cellStyle name="40% - 강조색5 50 19" xfId="6311" xr:uid="{00000000-0005-0000-0000-0000B8230000}"/>
    <cellStyle name="40% - 강조색5 50 2" xfId="1668" xr:uid="{00000000-0005-0000-0000-0000B9230000}"/>
    <cellStyle name="40% - 강조색5 50 20" xfId="8249" xr:uid="{00000000-0005-0000-0000-0000BA230000}"/>
    <cellStyle name="40% - 강조색5 50 21" xfId="3456" xr:uid="{00000000-0005-0000-0000-0000BB230000}"/>
    <cellStyle name="40% - 강조색5 50 22" xfId="8978" xr:uid="{00000000-0005-0000-0000-0000BC230000}"/>
    <cellStyle name="40% - 강조색5 50 23" xfId="4926" xr:uid="{00000000-0005-0000-0000-0000BD230000}"/>
    <cellStyle name="40% - 강조색5 50 24" xfId="9626" xr:uid="{00000000-0005-0000-0000-0000BE230000}"/>
    <cellStyle name="40% - 강조색5 50 25" xfId="9885" xr:uid="{00000000-0005-0000-0000-0000BF230000}"/>
    <cellStyle name="40% - 강조색5 50 26" xfId="10159" xr:uid="{00000000-0005-0000-0000-0000C0230000}"/>
    <cellStyle name="40% - 강조색5 50 27" xfId="10490" xr:uid="{00000000-0005-0000-0000-0000C1230000}"/>
    <cellStyle name="40% - 강조색5 50 28" xfId="8402" xr:uid="{00000000-0005-0000-0000-0000C2230000}"/>
    <cellStyle name="40% - 강조색5 50 29" xfId="11189" xr:uid="{00000000-0005-0000-0000-0000C3230000}"/>
    <cellStyle name="40% - 강조색5 50 3" xfId="921" xr:uid="{00000000-0005-0000-0000-0000C4230000}"/>
    <cellStyle name="40% - 강조색5 50 4" xfId="2333" xr:uid="{00000000-0005-0000-0000-0000C5230000}"/>
    <cellStyle name="40% - 강조색5 50 5" xfId="2646" xr:uid="{00000000-0005-0000-0000-0000C6230000}"/>
    <cellStyle name="40% - 강조색5 50 6" xfId="2933" xr:uid="{00000000-0005-0000-0000-0000C7230000}"/>
    <cellStyle name="40% - 강조색5 50 7" xfId="3321" xr:uid="{00000000-0005-0000-0000-0000C8230000}"/>
    <cellStyle name="40% - 강조색5 50 8" xfId="3491" xr:uid="{00000000-0005-0000-0000-0000C9230000}"/>
    <cellStyle name="40% - 강조색5 50 9" xfId="3921" xr:uid="{00000000-0005-0000-0000-0000CA230000}"/>
    <cellStyle name="40% - 강조색5 51" xfId="1058" xr:uid="{00000000-0005-0000-0000-0000CB230000}"/>
    <cellStyle name="40% - 강조색5 51 10" xfId="4280" xr:uid="{00000000-0005-0000-0000-0000CC230000}"/>
    <cellStyle name="40% - 강조색5 51 11" xfId="4640" xr:uid="{00000000-0005-0000-0000-0000CD230000}"/>
    <cellStyle name="40% - 강조색5 51 12" xfId="5417" xr:uid="{00000000-0005-0000-0000-0000CE230000}"/>
    <cellStyle name="40% - 강조색5 51 13" xfId="5442" xr:uid="{00000000-0005-0000-0000-0000CF230000}"/>
    <cellStyle name="40% - 강조색5 51 14" xfId="5556" xr:uid="{00000000-0005-0000-0000-0000D0230000}"/>
    <cellStyle name="40% - 강조색5 51 15" xfId="5432" xr:uid="{00000000-0005-0000-0000-0000D1230000}"/>
    <cellStyle name="40% - 강조색5 51 16" xfId="3159" xr:uid="{00000000-0005-0000-0000-0000D2230000}"/>
    <cellStyle name="40% - 강조색5 51 17" xfId="7159" xr:uid="{00000000-0005-0000-0000-0000D3230000}"/>
    <cellStyle name="40% - 강조색5 51 18" xfId="6814" xr:uid="{00000000-0005-0000-0000-0000D4230000}"/>
    <cellStyle name="40% - 강조색5 51 19" xfId="6227" xr:uid="{00000000-0005-0000-0000-0000D5230000}"/>
    <cellStyle name="40% - 강조색5 51 2" xfId="1734" xr:uid="{00000000-0005-0000-0000-0000D6230000}"/>
    <cellStyle name="40% - 강조색5 51 20" xfId="8242" xr:uid="{00000000-0005-0000-0000-0000D7230000}"/>
    <cellStyle name="40% - 강조색5 51 21" xfId="8309" xr:uid="{00000000-0005-0000-0000-0000D8230000}"/>
    <cellStyle name="40% - 강조색5 51 22" xfId="6245" xr:uid="{00000000-0005-0000-0000-0000D9230000}"/>
    <cellStyle name="40% - 강조색5 51 23" xfId="9372" xr:uid="{00000000-0005-0000-0000-0000DA230000}"/>
    <cellStyle name="40% - 강조색5 51 24" xfId="6923" xr:uid="{00000000-0005-0000-0000-0000DB230000}"/>
    <cellStyle name="40% - 강조색5 51 25" xfId="5280" xr:uid="{00000000-0005-0000-0000-0000DC230000}"/>
    <cellStyle name="40% - 강조색5 51 26" xfId="3866" xr:uid="{00000000-0005-0000-0000-0000DD230000}"/>
    <cellStyle name="40% - 강조색5 51 27" xfId="7267" xr:uid="{00000000-0005-0000-0000-0000DE230000}"/>
    <cellStyle name="40% - 강조색5 51 28" xfId="8817" xr:uid="{00000000-0005-0000-0000-0000DF230000}"/>
    <cellStyle name="40% - 강조색5 51 29" xfId="11203" xr:uid="{00000000-0005-0000-0000-0000E0230000}"/>
    <cellStyle name="40% - 강조색5 51 3" xfId="2071" xr:uid="{00000000-0005-0000-0000-0000E1230000}"/>
    <cellStyle name="40% - 강조색5 51 4" xfId="2332" xr:uid="{00000000-0005-0000-0000-0000E2230000}"/>
    <cellStyle name="40% - 강조색5 51 5" xfId="1428" xr:uid="{00000000-0005-0000-0000-0000E3230000}"/>
    <cellStyle name="40% - 강조색5 51 6" xfId="946" xr:uid="{00000000-0005-0000-0000-0000E4230000}"/>
    <cellStyle name="40% - 강조색5 51 7" xfId="1615" xr:uid="{00000000-0005-0000-0000-0000E5230000}"/>
    <cellStyle name="40% - 강조색5 51 8" xfId="3620" xr:uid="{00000000-0005-0000-0000-0000E6230000}"/>
    <cellStyle name="40% - 강조색5 51 9" xfId="2679" xr:uid="{00000000-0005-0000-0000-0000E7230000}"/>
    <cellStyle name="40% - 강조색5 52" xfId="1002" xr:uid="{00000000-0005-0000-0000-0000E8230000}"/>
    <cellStyle name="40% - 강조색5 52 10" xfId="2100" xr:uid="{00000000-0005-0000-0000-0000E9230000}"/>
    <cellStyle name="40% - 강조색5 52 11" xfId="4618" xr:uid="{00000000-0005-0000-0000-0000EA230000}"/>
    <cellStyle name="40% - 강조색5 52 12" xfId="5318" xr:uid="{00000000-0005-0000-0000-0000EB230000}"/>
    <cellStyle name="40% - 강조색5 52 13" xfId="5350" xr:uid="{00000000-0005-0000-0000-0000EC230000}"/>
    <cellStyle name="40% - 강조색5 52 14" xfId="5543" xr:uid="{00000000-0005-0000-0000-0000ED230000}"/>
    <cellStyle name="40% - 강조색5 52 15" xfId="5807" xr:uid="{00000000-0005-0000-0000-0000EE230000}"/>
    <cellStyle name="40% - 강조색5 52 16" xfId="6616" xr:uid="{00000000-0005-0000-0000-0000EF230000}"/>
    <cellStyle name="40% - 강조색5 52 17" xfId="6244" xr:uid="{00000000-0005-0000-0000-0000F0230000}"/>
    <cellStyle name="40% - 강조색5 52 18" xfId="7038" xr:uid="{00000000-0005-0000-0000-0000F1230000}"/>
    <cellStyle name="40% - 강조색5 52 19" xfId="6198" xr:uid="{00000000-0005-0000-0000-0000F2230000}"/>
    <cellStyle name="40% - 강조색5 52 2" xfId="1652" xr:uid="{00000000-0005-0000-0000-0000F3230000}"/>
    <cellStyle name="40% - 강조색5 52 20" xfId="8181" xr:uid="{00000000-0005-0000-0000-0000F4230000}"/>
    <cellStyle name="40% - 강조색5 52 21" xfId="1548" xr:uid="{00000000-0005-0000-0000-0000F5230000}"/>
    <cellStyle name="40% - 강조색5 52 22" xfId="8696" xr:uid="{00000000-0005-0000-0000-0000F6230000}"/>
    <cellStyle name="40% - 강조색5 52 23" xfId="9173" xr:uid="{00000000-0005-0000-0000-0000F7230000}"/>
    <cellStyle name="40% - 강조색5 52 24" xfId="9529" xr:uid="{00000000-0005-0000-0000-0000F8230000}"/>
    <cellStyle name="40% - 강조색5 52 25" xfId="9996" xr:uid="{00000000-0005-0000-0000-0000F9230000}"/>
    <cellStyle name="40% - 강조색5 52 26" xfId="10286" xr:uid="{00000000-0005-0000-0000-0000FA230000}"/>
    <cellStyle name="40% - 강조색5 52 27" xfId="10451" xr:uid="{00000000-0005-0000-0000-0000FB230000}"/>
    <cellStyle name="40% - 강조색5 52 28" xfId="10928" xr:uid="{00000000-0005-0000-0000-0000FC230000}"/>
    <cellStyle name="40% - 강조색5 52 29" xfId="11028" xr:uid="{00000000-0005-0000-0000-0000FD230000}"/>
    <cellStyle name="40% - 강조색5 52 3" xfId="1483" xr:uid="{00000000-0005-0000-0000-0000FE230000}"/>
    <cellStyle name="40% - 강조색5 52 4" xfId="741" xr:uid="{00000000-0005-0000-0000-0000FF230000}"/>
    <cellStyle name="40% - 강조색5 52 5" xfId="2523" xr:uid="{00000000-0005-0000-0000-000000240000}"/>
    <cellStyle name="40% - 강조색5 52 6" xfId="2472" xr:uid="{00000000-0005-0000-0000-000001240000}"/>
    <cellStyle name="40% - 강조색5 52 7" xfId="781" xr:uid="{00000000-0005-0000-0000-000002240000}"/>
    <cellStyle name="40% - 강조색5 52 8" xfId="3163" xr:uid="{00000000-0005-0000-0000-000003240000}"/>
    <cellStyle name="40% - 강조색5 52 9" xfId="3853" xr:uid="{00000000-0005-0000-0000-000004240000}"/>
    <cellStyle name="40% - 강조색5 53" xfId="1067" xr:uid="{00000000-0005-0000-0000-000005240000}"/>
    <cellStyle name="40% - 강조색5 53 10" xfId="4380" xr:uid="{00000000-0005-0000-0000-000006240000}"/>
    <cellStyle name="40% - 강조색5 53 11" xfId="4633" xr:uid="{00000000-0005-0000-0000-000007240000}"/>
    <cellStyle name="40% - 강조색5 53 12" xfId="1500" xr:uid="{00000000-0005-0000-0000-000008240000}"/>
    <cellStyle name="40% - 강조색5 53 13" xfId="5226" xr:uid="{00000000-0005-0000-0000-000009240000}"/>
    <cellStyle name="40% - 강조색5 53 14" xfId="4792" xr:uid="{00000000-0005-0000-0000-00000A240000}"/>
    <cellStyle name="40% - 강조색5 53 15" xfId="5194" xr:uid="{00000000-0005-0000-0000-00000B240000}"/>
    <cellStyle name="40% - 강조색5 53 16" xfId="6587" xr:uid="{00000000-0005-0000-0000-00000C240000}"/>
    <cellStyle name="40% - 강조색5 53 17" xfId="3529" xr:uid="{00000000-0005-0000-0000-00000D240000}"/>
    <cellStyle name="40% - 강조색5 53 18" xfId="1462" xr:uid="{00000000-0005-0000-0000-00000E240000}"/>
    <cellStyle name="40% - 강조색5 53 19" xfId="6460" xr:uid="{00000000-0005-0000-0000-00000F240000}"/>
    <cellStyle name="40% - 강조색5 53 2" xfId="1750" xr:uid="{00000000-0005-0000-0000-000010240000}"/>
    <cellStyle name="40% - 강조색5 53 20" xfId="8222" xr:uid="{00000000-0005-0000-0000-000011240000}"/>
    <cellStyle name="40% - 강조색5 53 21" xfId="5153" xr:uid="{00000000-0005-0000-0000-000012240000}"/>
    <cellStyle name="40% - 강조색5 53 22" xfId="6375" xr:uid="{00000000-0005-0000-0000-000013240000}"/>
    <cellStyle name="40% - 강조색5 53 23" xfId="9297" xr:uid="{00000000-0005-0000-0000-000014240000}"/>
    <cellStyle name="40% - 강조색5 53 24" xfId="9638" xr:uid="{00000000-0005-0000-0000-000015240000}"/>
    <cellStyle name="40% - 강조색5 53 25" xfId="9895" xr:uid="{00000000-0005-0000-0000-000016240000}"/>
    <cellStyle name="40% - 강조색5 53 26" xfId="6147" xr:uid="{00000000-0005-0000-0000-000017240000}"/>
    <cellStyle name="40% - 강조색5 53 27" xfId="10469" xr:uid="{00000000-0005-0000-0000-000018240000}"/>
    <cellStyle name="40% - 강조색5 53 28" xfId="6220" xr:uid="{00000000-0005-0000-0000-000019240000}"/>
    <cellStyle name="40% - 강조색5 53 29" xfId="6194" xr:uid="{00000000-0005-0000-0000-00001A240000}"/>
    <cellStyle name="40% - 강조색5 53 3" xfId="895" xr:uid="{00000000-0005-0000-0000-00001B240000}"/>
    <cellStyle name="40% - 강조색5 53 4" xfId="2273" xr:uid="{00000000-0005-0000-0000-00001C240000}"/>
    <cellStyle name="40% - 강조색5 53 5" xfId="2309" xr:uid="{00000000-0005-0000-0000-00001D240000}"/>
    <cellStyle name="40% - 강조색5 53 6" xfId="2804" xr:uid="{00000000-0005-0000-0000-00001E240000}"/>
    <cellStyle name="40% - 강조색5 53 7" xfId="3343" xr:uid="{00000000-0005-0000-0000-00001F240000}"/>
    <cellStyle name="40% - 강조색5 53 8" xfId="3672" xr:uid="{00000000-0005-0000-0000-000020240000}"/>
    <cellStyle name="40% - 강조색5 53 9" xfId="3844" xr:uid="{00000000-0005-0000-0000-000021240000}"/>
    <cellStyle name="40% - 강조색5 54" xfId="780" xr:uid="{00000000-0005-0000-0000-000022240000}"/>
    <cellStyle name="40% - 강조색5 54 10" xfId="4597" xr:uid="{00000000-0005-0000-0000-000023240000}"/>
    <cellStyle name="40% - 강조색5 54 11" xfId="5382" xr:uid="{00000000-0005-0000-0000-000024240000}"/>
    <cellStyle name="40% - 강조색5 54 12" xfId="5159" xr:uid="{00000000-0005-0000-0000-000025240000}"/>
    <cellStyle name="40% - 강조색5 54 13" xfId="4417" xr:uid="{00000000-0005-0000-0000-000026240000}"/>
    <cellStyle name="40% - 강조색5 54 14" xfId="2493" xr:uid="{00000000-0005-0000-0000-000027240000}"/>
    <cellStyle name="40% - 강조색5 54 15" xfId="6018" xr:uid="{00000000-0005-0000-0000-000028240000}"/>
    <cellStyle name="40% - 강조색5 54 16" xfId="1595" xr:uid="{00000000-0005-0000-0000-000029240000}"/>
    <cellStyle name="40% - 강조색5 54 17" xfId="2969" xr:uid="{00000000-0005-0000-0000-00002A240000}"/>
    <cellStyle name="40% - 강조색5 54 18" xfId="6985" xr:uid="{00000000-0005-0000-0000-00002B240000}"/>
    <cellStyle name="40% - 강조색5 54 19" xfId="6021" xr:uid="{00000000-0005-0000-0000-00002C240000}"/>
    <cellStyle name="40% - 강조색5 54 2" xfId="1601" xr:uid="{00000000-0005-0000-0000-00002D240000}"/>
    <cellStyle name="40% - 강조색5 54 20" xfId="3732" xr:uid="{00000000-0005-0000-0000-00002E240000}"/>
    <cellStyle name="40% - 강조색5 54 21" xfId="8946" xr:uid="{00000000-0005-0000-0000-00002F240000}"/>
    <cellStyle name="40% - 강조색5 54 22" xfId="4849" xr:uid="{00000000-0005-0000-0000-000030240000}"/>
    <cellStyle name="40% - 강조색5 54 23" xfId="2456" xr:uid="{00000000-0005-0000-0000-000031240000}"/>
    <cellStyle name="40% - 강조색5 54 24" xfId="10036" xr:uid="{00000000-0005-0000-0000-000032240000}"/>
    <cellStyle name="40% - 강조색5 54 25" xfId="10207" xr:uid="{00000000-0005-0000-0000-000033240000}"/>
    <cellStyle name="40% - 강조색5 54 26" xfId="10472" xr:uid="{00000000-0005-0000-0000-000034240000}"/>
    <cellStyle name="40% - 강조색5 54 27" xfId="10877" xr:uid="{00000000-0005-0000-0000-000035240000}"/>
    <cellStyle name="40% - 강조색5 54 28" xfId="11188" xr:uid="{00000000-0005-0000-0000-000036240000}"/>
    <cellStyle name="40% - 강조색5 54 3" xfId="2229" xr:uid="{00000000-0005-0000-0000-000037240000}"/>
    <cellStyle name="40% - 강조색5 54 4" xfId="2420" xr:uid="{00000000-0005-0000-0000-000038240000}"/>
    <cellStyle name="40% - 강조색5 54 5" xfId="2983" xr:uid="{00000000-0005-0000-0000-000039240000}"/>
    <cellStyle name="40% - 강조색5 54 6" xfId="3204" xr:uid="{00000000-0005-0000-0000-00003A240000}"/>
    <cellStyle name="40% - 강조색5 54 7" xfId="3511" xr:uid="{00000000-0005-0000-0000-00003B240000}"/>
    <cellStyle name="40% - 강조색5 54 8" xfId="1545" xr:uid="{00000000-0005-0000-0000-00003C240000}"/>
    <cellStyle name="40% - 강조색5 54 9" xfId="4356" xr:uid="{00000000-0005-0000-0000-00003D240000}"/>
    <cellStyle name="40% - 강조색5 55" xfId="2053" xr:uid="{00000000-0005-0000-0000-00003E240000}"/>
    <cellStyle name="40% - 강조색5 55 10" xfId="5523" xr:uid="{00000000-0005-0000-0000-00003F240000}"/>
    <cellStyle name="40% - 강조색5 55 11" xfId="5689" xr:uid="{00000000-0005-0000-0000-000040240000}"/>
    <cellStyle name="40% - 강조색5 55 12" xfId="4856" xr:uid="{00000000-0005-0000-0000-000041240000}"/>
    <cellStyle name="40% - 강조색5 55 13" xfId="5340" xr:uid="{00000000-0005-0000-0000-000042240000}"/>
    <cellStyle name="40% - 강조색5 55 14" xfId="6107" xr:uid="{00000000-0005-0000-0000-000043240000}"/>
    <cellStyle name="40% - 강조색5 55 15" xfId="2802" xr:uid="{00000000-0005-0000-0000-000044240000}"/>
    <cellStyle name="40% - 강조색5 55 16" xfId="7121" xr:uid="{00000000-0005-0000-0000-000045240000}"/>
    <cellStyle name="40% - 강조색5 55 17" xfId="3748" xr:uid="{00000000-0005-0000-0000-000046240000}"/>
    <cellStyle name="40% - 강조색5 55 18" xfId="3815" xr:uid="{00000000-0005-0000-0000-000047240000}"/>
    <cellStyle name="40% - 강조색5 55 19" xfId="8437" xr:uid="{00000000-0005-0000-0000-000048240000}"/>
    <cellStyle name="40% - 강조색5 55 2" xfId="2378" xr:uid="{00000000-0005-0000-0000-000049240000}"/>
    <cellStyle name="40% - 강조색5 55 20" xfId="8986" xr:uid="{00000000-0005-0000-0000-00004A240000}"/>
    <cellStyle name="40% - 강조색5 55 21" xfId="9316" xr:uid="{00000000-0005-0000-0000-00004B240000}"/>
    <cellStyle name="40% - 강조색5 55 22" xfId="8927" xr:uid="{00000000-0005-0000-0000-00004C240000}"/>
    <cellStyle name="40% - 강조색5 55 23" xfId="9586" xr:uid="{00000000-0005-0000-0000-00004D240000}"/>
    <cellStyle name="40% - 강조색5 55 24" xfId="8873" xr:uid="{00000000-0005-0000-0000-00004E240000}"/>
    <cellStyle name="40% - 강조색5 55 25" xfId="9945" xr:uid="{00000000-0005-0000-0000-00004F240000}"/>
    <cellStyle name="40% - 강조색5 55 26" xfId="7484" xr:uid="{00000000-0005-0000-0000-000050240000}"/>
    <cellStyle name="40% - 강조색5 55 27" xfId="10491" xr:uid="{00000000-0005-0000-0000-000051240000}"/>
    <cellStyle name="40% - 강조색5 55 3" xfId="2697" xr:uid="{00000000-0005-0000-0000-000052240000}"/>
    <cellStyle name="40% - 강조색5 55 4" xfId="3012" xr:uid="{00000000-0005-0000-0000-000053240000}"/>
    <cellStyle name="40% - 강조색5 55 5" xfId="3290" xr:uid="{00000000-0005-0000-0000-000054240000}"/>
    <cellStyle name="40% - 강조색5 55 6" xfId="2720" xr:uid="{00000000-0005-0000-0000-000055240000}"/>
    <cellStyle name="40% - 강조색5 55 7" xfId="2414" xr:uid="{00000000-0005-0000-0000-000056240000}"/>
    <cellStyle name="40% - 강조색5 55 8" xfId="4332" xr:uid="{00000000-0005-0000-0000-000057240000}"/>
    <cellStyle name="40% - 강조색5 55 9" xfId="4421" xr:uid="{00000000-0005-0000-0000-000058240000}"/>
    <cellStyle name="40% - 강조색5 56" xfId="2306" xr:uid="{00000000-0005-0000-0000-000059240000}"/>
    <cellStyle name="40% - 강조색5 56 10" xfId="1425" xr:uid="{00000000-0005-0000-0000-00005A240000}"/>
    <cellStyle name="40% - 강조색5 56 11" xfId="5682" xr:uid="{00000000-0005-0000-0000-00005B240000}"/>
    <cellStyle name="40% - 강조색5 56 12" xfId="986" xr:uid="{00000000-0005-0000-0000-00005C240000}"/>
    <cellStyle name="40% - 강조색5 56 13" xfId="6542" xr:uid="{00000000-0005-0000-0000-00005D240000}"/>
    <cellStyle name="40% - 강조색5 56 14" xfId="7021" xr:uid="{00000000-0005-0000-0000-00005E240000}"/>
    <cellStyle name="40% - 강조색5 56 15" xfId="7045" xr:uid="{00000000-0005-0000-0000-00005F240000}"/>
    <cellStyle name="40% - 강조색5 56 16" xfId="2715" xr:uid="{00000000-0005-0000-0000-000060240000}"/>
    <cellStyle name="40% - 강조색5 56 17" xfId="3769" xr:uid="{00000000-0005-0000-0000-000061240000}"/>
    <cellStyle name="40% - 강조색5 56 18" xfId="8586" xr:uid="{00000000-0005-0000-0000-000062240000}"/>
    <cellStyle name="40% - 강조색5 56 19" xfId="6297" xr:uid="{00000000-0005-0000-0000-000063240000}"/>
    <cellStyle name="40% - 강조색5 56 2" xfId="2706" xr:uid="{00000000-0005-0000-0000-000064240000}"/>
    <cellStyle name="40% - 강조색5 56 20" xfId="2143" xr:uid="{00000000-0005-0000-0000-000065240000}"/>
    <cellStyle name="40% - 강조색5 56 21" xfId="9674" xr:uid="{00000000-0005-0000-0000-000066240000}"/>
    <cellStyle name="40% - 강조색5 56 22" xfId="9839" xr:uid="{00000000-0005-0000-0000-000067240000}"/>
    <cellStyle name="40% - 강조색5 56 23" xfId="10122" xr:uid="{00000000-0005-0000-0000-000068240000}"/>
    <cellStyle name="40% - 강조색5 56 24" xfId="10671" xr:uid="{00000000-0005-0000-0000-000069240000}"/>
    <cellStyle name="40% - 강조색5 56 25" xfId="10991" xr:uid="{00000000-0005-0000-0000-00006A240000}"/>
    <cellStyle name="40% - 강조색5 56 26" xfId="11030" xr:uid="{00000000-0005-0000-0000-00006B240000}"/>
    <cellStyle name="40% - 강조색5 56 3" xfId="3021" xr:uid="{00000000-0005-0000-0000-00006C240000}"/>
    <cellStyle name="40% - 강조색5 56 4" xfId="3354" xr:uid="{00000000-0005-0000-0000-00006D240000}"/>
    <cellStyle name="40% - 강조색5 56 5" xfId="3688" xr:uid="{00000000-0005-0000-0000-00006E240000}"/>
    <cellStyle name="40% - 강조색5 56 6" xfId="997" xr:uid="{00000000-0005-0000-0000-00006F240000}"/>
    <cellStyle name="40% - 강조색5 56 7" xfId="816" xr:uid="{00000000-0005-0000-0000-000070240000}"/>
    <cellStyle name="40% - 강조색5 56 8" xfId="4683" xr:uid="{00000000-0005-0000-0000-000071240000}"/>
    <cellStyle name="40% - 강조색5 56 9" xfId="5454" xr:uid="{00000000-0005-0000-0000-000072240000}"/>
    <cellStyle name="40% - 강조색5 57" xfId="2658" xr:uid="{00000000-0005-0000-0000-000073240000}"/>
    <cellStyle name="40% - 강조색5 57 10" xfId="4912" xr:uid="{00000000-0005-0000-0000-000074240000}"/>
    <cellStyle name="40% - 강조색5 57 11" xfId="5183" xr:uid="{00000000-0005-0000-0000-000075240000}"/>
    <cellStyle name="40% - 강조색5 57 12" xfId="4473" xr:uid="{00000000-0005-0000-0000-000076240000}"/>
    <cellStyle name="40% - 강조색5 57 13" xfId="1846" xr:uid="{00000000-0005-0000-0000-000077240000}"/>
    <cellStyle name="40% - 강조색5 57 14" xfId="7096" xr:uid="{00000000-0005-0000-0000-000078240000}"/>
    <cellStyle name="40% - 강조색5 57 15" xfId="7846" xr:uid="{00000000-0005-0000-0000-000079240000}"/>
    <cellStyle name="40% - 강조색5 57 16" xfId="4831" xr:uid="{00000000-0005-0000-0000-00007A240000}"/>
    <cellStyle name="40% - 강조색5 57 17" xfId="7516" xr:uid="{00000000-0005-0000-0000-00007B240000}"/>
    <cellStyle name="40% - 강조색5 57 18" xfId="6743" xr:uid="{00000000-0005-0000-0000-00007C240000}"/>
    <cellStyle name="40% - 강조색5 57 19" xfId="8887" xr:uid="{00000000-0005-0000-0000-00007D240000}"/>
    <cellStyle name="40% - 강조색5 57 2" xfId="3034" xr:uid="{00000000-0005-0000-0000-00007E240000}"/>
    <cellStyle name="40% - 강조색5 57 20" xfId="9705" xr:uid="{00000000-0005-0000-0000-00007F240000}"/>
    <cellStyle name="40% - 강조색5 57 21" xfId="10049" xr:uid="{00000000-0005-0000-0000-000080240000}"/>
    <cellStyle name="40% - 강조색5 57 22" xfId="10380" xr:uid="{00000000-0005-0000-0000-000081240000}"/>
    <cellStyle name="40% - 강조색5 57 23" xfId="8163" xr:uid="{00000000-0005-0000-0000-000082240000}"/>
    <cellStyle name="40% - 강조색5 57 24" xfId="10862" xr:uid="{00000000-0005-0000-0000-000083240000}"/>
    <cellStyle name="40% - 강조색5 57 25" xfId="5022" xr:uid="{00000000-0005-0000-0000-000084240000}"/>
    <cellStyle name="40% - 강조색5 57 3" xfId="3367" xr:uid="{00000000-0005-0000-0000-000085240000}"/>
    <cellStyle name="40% - 강조색5 57 4" xfId="3699" xr:uid="{00000000-0005-0000-0000-000086240000}"/>
    <cellStyle name="40% - 강조색5 57 5" xfId="3438" xr:uid="{00000000-0005-0000-0000-000087240000}"/>
    <cellStyle name="40% - 강조색5 57 6" xfId="4288" xr:uid="{00000000-0005-0000-0000-000088240000}"/>
    <cellStyle name="40% - 강조색5 57 7" xfId="4516" xr:uid="{00000000-0005-0000-0000-000089240000}"/>
    <cellStyle name="40% - 강조색5 57 8" xfId="4968" xr:uid="{00000000-0005-0000-0000-00008A240000}"/>
    <cellStyle name="40% - 강조색5 57 9" xfId="5309" xr:uid="{00000000-0005-0000-0000-00008B240000}"/>
    <cellStyle name="40% - 강조색5 58" xfId="1850" xr:uid="{00000000-0005-0000-0000-00008C240000}"/>
    <cellStyle name="40% - 강조색5 58 10" xfId="5541" xr:uid="{00000000-0005-0000-0000-00008D240000}"/>
    <cellStyle name="40% - 강조색5 58 11" xfId="3109" xr:uid="{00000000-0005-0000-0000-00008E240000}"/>
    <cellStyle name="40% - 강조색5 58 12" xfId="7100" xr:uid="{00000000-0005-0000-0000-00008F240000}"/>
    <cellStyle name="40% - 강조색5 58 13" xfId="7158" xr:uid="{00000000-0005-0000-0000-000090240000}"/>
    <cellStyle name="40% - 강조색5 58 14" xfId="6401" xr:uid="{00000000-0005-0000-0000-000091240000}"/>
    <cellStyle name="40% - 강조색5 58 15" xfId="6989" xr:uid="{00000000-0005-0000-0000-000092240000}"/>
    <cellStyle name="40% - 강조색5 58 16" xfId="6854" xr:uid="{00000000-0005-0000-0000-000093240000}"/>
    <cellStyle name="40% - 강조색5 58 17" xfId="8770" xr:uid="{00000000-0005-0000-0000-000094240000}"/>
    <cellStyle name="40% - 강조색5 58 18" xfId="8324" xr:uid="{00000000-0005-0000-0000-000095240000}"/>
    <cellStyle name="40% - 강조색5 58 19" xfId="9621" xr:uid="{00000000-0005-0000-0000-000096240000}"/>
    <cellStyle name="40% - 강조색5 58 2" xfId="3293" xr:uid="{00000000-0005-0000-0000-000097240000}"/>
    <cellStyle name="40% - 강조색5 58 20" xfId="9136" xr:uid="{00000000-0005-0000-0000-000098240000}"/>
    <cellStyle name="40% - 강조색5 58 21" xfId="10288" xr:uid="{00000000-0005-0000-0000-000099240000}"/>
    <cellStyle name="40% - 강조색5 58 22" xfId="8738" xr:uid="{00000000-0005-0000-0000-00009A240000}"/>
    <cellStyle name="40% - 강조색5 58 23" xfId="9521" xr:uid="{00000000-0005-0000-0000-00009B240000}"/>
    <cellStyle name="40% - 강조색5 58 24" xfId="11127" xr:uid="{00000000-0005-0000-0000-00009C240000}"/>
    <cellStyle name="40% - 강조색5 58 3" xfId="3524" xr:uid="{00000000-0005-0000-0000-00009D240000}"/>
    <cellStyle name="40% - 강조색5 58 4" xfId="3999" xr:uid="{00000000-0005-0000-0000-00009E240000}"/>
    <cellStyle name="40% - 강조색5 58 5" xfId="4244" xr:uid="{00000000-0005-0000-0000-00009F240000}"/>
    <cellStyle name="40% - 강조색5 58 6" xfId="4703" xr:uid="{00000000-0005-0000-0000-0000A0240000}"/>
    <cellStyle name="40% - 강조색5 58 7" xfId="4947" xr:uid="{00000000-0005-0000-0000-0000A1240000}"/>
    <cellStyle name="40% - 강조색5 58 8" xfId="3247" xr:uid="{00000000-0005-0000-0000-0000A2240000}"/>
    <cellStyle name="40% - 강조색5 58 9" xfId="5687" xr:uid="{00000000-0005-0000-0000-0000A3240000}"/>
    <cellStyle name="40% - 강조색5 59" xfId="3073" xr:uid="{00000000-0005-0000-0000-0000A4240000}"/>
    <cellStyle name="40% - 강조색5 59 10" xfId="6517" xr:uid="{00000000-0005-0000-0000-0000A5240000}"/>
    <cellStyle name="40% - 강조색5 59 11" xfId="3882" xr:uid="{00000000-0005-0000-0000-0000A6240000}"/>
    <cellStyle name="40% - 강조색5 59 12" xfId="7327" xr:uid="{00000000-0005-0000-0000-0000A7240000}"/>
    <cellStyle name="40% - 강조색5 59 13" xfId="6974" xr:uid="{00000000-0005-0000-0000-0000A8240000}"/>
    <cellStyle name="40% - 강조색5 59 14" xfId="8007" xr:uid="{00000000-0005-0000-0000-0000A9240000}"/>
    <cellStyle name="40% - 강조색5 59 15" xfId="8481" xr:uid="{00000000-0005-0000-0000-0000AA240000}"/>
    <cellStyle name="40% - 강조색5 59 16" xfId="8759" xr:uid="{00000000-0005-0000-0000-0000AB240000}"/>
    <cellStyle name="40% - 강조색5 59 17" xfId="9220" xr:uid="{00000000-0005-0000-0000-0000AC240000}"/>
    <cellStyle name="40% - 강조색5 59 18" xfId="9576" xr:uid="{00000000-0005-0000-0000-0000AD240000}"/>
    <cellStyle name="40% - 강조색5 59 19" xfId="9990" xr:uid="{00000000-0005-0000-0000-0000AE240000}"/>
    <cellStyle name="40% - 강조색5 59 2" xfId="3713" xr:uid="{00000000-0005-0000-0000-0000AF240000}"/>
    <cellStyle name="40% - 강조색5 59 20" xfId="8520" xr:uid="{00000000-0005-0000-0000-0000B0240000}"/>
    <cellStyle name="40% - 강조색5 59 21" xfId="9830" xr:uid="{00000000-0005-0000-0000-0000B1240000}"/>
    <cellStyle name="40% - 강조색5 59 22" xfId="3460" xr:uid="{00000000-0005-0000-0000-0000B2240000}"/>
    <cellStyle name="40% - 강조색5 59 23" xfId="11241" xr:uid="{00000000-0005-0000-0000-0000B3240000}"/>
    <cellStyle name="40% - 강조색5 59 3" xfId="4052" xr:uid="{00000000-0005-0000-0000-0000B4240000}"/>
    <cellStyle name="40% - 강조색5 59 4" xfId="1523" xr:uid="{00000000-0005-0000-0000-0000B5240000}"/>
    <cellStyle name="40% - 강조색5 59 5" xfId="1830" xr:uid="{00000000-0005-0000-0000-0000B6240000}"/>
    <cellStyle name="40% - 강조색5 59 6" xfId="5424" xr:uid="{00000000-0005-0000-0000-0000B7240000}"/>
    <cellStyle name="40% - 강조색5 59 7" xfId="1989" xr:uid="{00000000-0005-0000-0000-0000B8240000}"/>
    <cellStyle name="40% - 강조색5 59 8" xfId="5427" xr:uid="{00000000-0005-0000-0000-0000B9240000}"/>
    <cellStyle name="40% - 강조색5 59 9" xfId="5675" xr:uid="{00000000-0005-0000-0000-0000BA240000}"/>
    <cellStyle name="40% - 강조색5 6" xfId="122" xr:uid="{00000000-0005-0000-0000-0000BB240000}"/>
    <cellStyle name="40% - 강조색5 60" xfId="3604" xr:uid="{00000000-0005-0000-0000-0000BC240000}"/>
    <cellStyle name="40% - 강조색5 60 10" xfId="7234" xr:uid="{00000000-0005-0000-0000-0000BD240000}"/>
    <cellStyle name="40% - 강조색5 60 11" xfId="7292" xr:uid="{00000000-0005-0000-0000-0000BE240000}"/>
    <cellStyle name="40% - 강조색5 60 12" xfId="7765" xr:uid="{00000000-0005-0000-0000-0000BF240000}"/>
    <cellStyle name="40% - 강조색5 60 13" xfId="8199" xr:uid="{00000000-0005-0000-0000-0000C0240000}"/>
    <cellStyle name="40% - 강조색5 60 14" xfId="8362" xr:uid="{00000000-0005-0000-0000-0000C1240000}"/>
    <cellStyle name="40% - 강조색5 60 15" xfId="8707" xr:uid="{00000000-0005-0000-0000-0000C2240000}"/>
    <cellStyle name="40% - 강조색5 60 16" xfId="9201" xr:uid="{00000000-0005-0000-0000-0000C3240000}"/>
    <cellStyle name="40% - 강조색5 60 17" xfId="9499" xr:uid="{00000000-0005-0000-0000-0000C4240000}"/>
    <cellStyle name="40% - 강조색5 60 18" xfId="6234" xr:uid="{00000000-0005-0000-0000-0000C5240000}"/>
    <cellStyle name="40% - 강조색5 60 19" xfId="10349" xr:uid="{00000000-0005-0000-0000-0000C6240000}"/>
    <cellStyle name="40% - 강조색5 60 2" xfId="4064" xr:uid="{00000000-0005-0000-0000-0000C7240000}"/>
    <cellStyle name="40% - 강조색5 60 20" xfId="9227" xr:uid="{00000000-0005-0000-0000-0000C8240000}"/>
    <cellStyle name="40% - 강조색5 60 21" xfId="10857" xr:uid="{00000000-0005-0000-0000-0000C9240000}"/>
    <cellStyle name="40% - 강조색5 60 22" xfId="11063" xr:uid="{00000000-0005-0000-0000-0000CA240000}"/>
    <cellStyle name="40% - 강조색5 60 3" xfId="4400" xr:uid="{00000000-0005-0000-0000-0000CB240000}"/>
    <cellStyle name="40% - 강조색5 60 4" xfId="4753" xr:uid="{00000000-0005-0000-0000-0000CC240000}"/>
    <cellStyle name="40% - 강조색5 60 5" xfId="5397" xr:uid="{00000000-0005-0000-0000-0000CD240000}"/>
    <cellStyle name="40% - 강조색5 60 6" xfId="5274" xr:uid="{00000000-0005-0000-0000-0000CE240000}"/>
    <cellStyle name="40% - 강조색5 60 7" xfId="2122" xr:uid="{00000000-0005-0000-0000-0000CF240000}"/>
    <cellStyle name="40% - 강조색5 60 8" xfId="4781" xr:uid="{00000000-0005-0000-0000-0000D0240000}"/>
    <cellStyle name="40% - 강조색5 60 9" xfId="6608" xr:uid="{00000000-0005-0000-0000-0000D1240000}"/>
    <cellStyle name="40% - 강조색5 61" xfId="2784" xr:uid="{00000000-0005-0000-0000-0000D2240000}"/>
    <cellStyle name="40% - 강조색5 61 10" xfId="7002" xr:uid="{00000000-0005-0000-0000-0000D3240000}"/>
    <cellStyle name="40% - 강조색5 61 11" xfId="7648" xr:uid="{00000000-0005-0000-0000-0000D4240000}"/>
    <cellStyle name="40% - 강조색5 61 12" xfId="8215" xr:uid="{00000000-0005-0000-0000-0000D5240000}"/>
    <cellStyle name="40% - 강조색5 61 13" xfId="8571" xr:uid="{00000000-0005-0000-0000-0000D6240000}"/>
    <cellStyle name="40% - 강조색5 61 14" xfId="8862" xr:uid="{00000000-0005-0000-0000-0000D7240000}"/>
    <cellStyle name="40% - 강조색5 61 15" xfId="9121" xr:uid="{00000000-0005-0000-0000-0000D8240000}"/>
    <cellStyle name="40% - 강조색5 61 16" xfId="9578" xr:uid="{00000000-0005-0000-0000-0000D9240000}"/>
    <cellStyle name="40% - 강조색5 61 17" xfId="9982" xr:uid="{00000000-0005-0000-0000-0000DA240000}"/>
    <cellStyle name="40% - 강조색5 61 18" xfId="8473" xr:uid="{00000000-0005-0000-0000-0000DB240000}"/>
    <cellStyle name="40% - 강조색5 61 19" xfId="10453" xr:uid="{00000000-0005-0000-0000-0000DC240000}"/>
    <cellStyle name="40% - 강조색5 61 2" xfId="4152" xr:uid="{00000000-0005-0000-0000-0000DD240000}"/>
    <cellStyle name="40% - 강조색5 61 20" xfId="1419" xr:uid="{00000000-0005-0000-0000-0000DE240000}"/>
    <cellStyle name="40% - 강조색5 61 21" xfId="9523" xr:uid="{00000000-0005-0000-0000-0000DF240000}"/>
    <cellStyle name="40% - 강조색5 61 3" xfId="4598" xr:uid="{00000000-0005-0000-0000-0000E0240000}"/>
    <cellStyle name="40% - 강조색5 61 4" xfId="1974" xr:uid="{00000000-0005-0000-0000-0000E1240000}"/>
    <cellStyle name="40% - 강조색5 61 5" xfId="3765" xr:uid="{00000000-0005-0000-0000-0000E2240000}"/>
    <cellStyle name="40% - 강조색5 61 6" xfId="5132" xr:uid="{00000000-0005-0000-0000-0000E3240000}"/>
    <cellStyle name="40% - 강조색5 61 7" xfId="5649" xr:uid="{00000000-0005-0000-0000-0000E4240000}"/>
    <cellStyle name="40% - 강조색5 61 8" xfId="3728" xr:uid="{00000000-0005-0000-0000-0000E5240000}"/>
    <cellStyle name="40% - 강조색5 61 9" xfId="6716" xr:uid="{00000000-0005-0000-0000-0000E6240000}"/>
    <cellStyle name="40% - 강조색5 62" xfId="2473" xr:uid="{00000000-0005-0000-0000-0000E7240000}"/>
    <cellStyle name="40% - 강조색5 62 10" xfId="7788" xr:uid="{00000000-0005-0000-0000-0000E8240000}"/>
    <cellStyle name="40% - 강조색5 62 11" xfId="7938" xr:uid="{00000000-0005-0000-0000-0000E9240000}"/>
    <cellStyle name="40% - 강조색5 62 12" xfId="2188" xr:uid="{00000000-0005-0000-0000-0000EA240000}"/>
    <cellStyle name="40% - 강조색5 62 13" xfId="3892" xr:uid="{00000000-0005-0000-0000-0000EB240000}"/>
    <cellStyle name="40% - 강조색5 62 14" xfId="9327" xr:uid="{00000000-0005-0000-0000-0000EC240000}"/>
    <cellStyle name="40% - 강조색5 62 15" xfId="7413" xr:uid="{00000000-0005-0000-0000-0000ED240000}"/>
    <cellStyle name="40% - 강조색5 62 16" xfId="10021" xr:uid="{00000000-0005-0000-0000-0000EE240000}"/>
    <cellStyle name="40% - 강조색5 62 17" xfId="9082" xr:uid="{00000000-0005-0000-0000-0000EF240000}"/>
    <cellStyle name="40% - 강조색5 62 18" xfId="3265" xr:uid="{00000000-0005-0000-0000-0000F0240000}"/>
    <cellStyle name="40% - 강조색5 62 19" xfId="4646" xr:uid="{00000000-0005-0000-0000-0000F1240000}"/>
    <cellStyle name="40% - 강조색5 62 2" xfId="4552" xr:uid="{00000000-0005-0000-0000-0000F2240000}"/>
    <cellStyle name="40% - 강조색5 62 20" xfId="9824" xr:uid="{00000000-0005-0000-0000-0000F3240000}"/>
    <cellStyle name="40% - 강조색5 62 3" xfId="1854" xr:uid="{00000000-0005-0000-0000-0000F4240000}"/>
    <cellStyle name="40% - 강조색5 62 4" xfId="5160" xr:uid="{00000000-0005-0000-0000-0000F5240000}"/>
    <cellStyle name="40% - 강조색5 62 5" xfId="5484" xr:uid="{00000000-0005-0000-0000-0000F6240000}"/>
    <cellStyle name="40% - 강조색5 62 6" xfId="2718" xr:uid="{00000000-0005-0000-0000-0000F7240000}"/>
    <cellStyle name="40% - 강조색5 62 7" xfId="4556" xr:uid="{00000000-0005-0000-0000-0000F8240000}"/>
    <cellStyle name="40% - 강조색5 62 8" xfId="6862" xr:uid="{00000000-0005-0000-0000-0000F9240000}"/>
    <cellStyle name="40% - 강조색5 62 9" xfId="6909" xr:uid="{00000000-0005-0000-0000-0000FA240000}"/>
    <cellStyle name="40% - 강조색5 63" xfId="4636" xr:uid="{00000000-0005-0000-0000-0000FB240000}"/>
    <cellStyle name="40% - 강조색5 63 10" xfId="8152" xr:uid="{00000000-0005-0000-0000-0000FC240000}"/>
    <cellStyle name="40% - 강조색5 63 11" xfId="7608" xr:uid="{00000000-0005-0000-0000-0000FD240000}"/>
    <cellStyle name="40% - 강조색5 63 12" xfId="8992" xr:uid="{00000000-0005-0000-0000-0000FE240000}"/>
    <cellStyle name="40% - 강조색5 63 13" xfId="9119" xr:uid="{00000000-0005-0000-0000-0000FF240000}"/>
    <cellStyle name="40% - 강조색5 63 14" xfId="8809" xr:uid="{00000000-0005-0000-0000-000000250000}"/>
    <cellStyle name="40% - 강조색5 63 15" xfId="5314" xr:uid="{00000000-0005-0000-0000-000001250000}"/>
    <cellStyle name="40% - 강조색5 63 16" xfId="9337" xr:uid="{00000000-0005-0000-0000-000002250000}"/>
    <cellStyle name="40% - 강조색5 63 17" xfId="10570" xr:uid="{00000000-0005-0000-0000-000003250000}"/>
    <cellStyle name="40% - 강조색5 63 18" xfId="10842" xr:uid="{00000000-0005-0000-0000-000004250000}"/>
    <cellStyle name="40% - 강조색5 63 19" xfId="8960" xr:uid="{00000000-0005-0000-0000-000005250000}"/>
    <cellStyle name="40% - 강조색5 63 2" xfId="5810" xr:uid="{00000000-0005-0000-0000-000006250000}"/>
    <cellStyle name="40% - 강조색5 63 3" xfId="5892" xr:uid="{00000000-0005-0000-0000-000007250000}"/>
    <cellStyle name="40% - 강조색5 63 4" xfId="5951" xr:uid="{00000000-0005-0000-0000-000008250000}"/>
    <cellStyle name="40% - 강조색5 63 5" xfId="5982" xr:uid="{00000000-0005-0000-0000-000009250000}"/>
    <cellStyle name="40% - 강조색5 63 6" xfId="6642" xr:uid="{00000000-0005-0000-0000-00000A250000}"/>
    <cellStyle name="40% - 강조색5 63 7" xfId="6992" xr:uid="{00000000-0005-0000-0000-00000B250000}"/>
    <cellStyle name="40% - 강조색5 63 8" xfId="7341" xr:uid="{00000000-0005-0000-0000-00000C250000}"/>
    <cellStyle name="40% - 강조색5 63 9" xfId="7718" xr:uid="{00000000-0005-0000-0000-00000D250000}"/>
    <cellStyle name="40% - 강조색5 64" xfId="5142" xr:uid="{00000000-0005-0000-0000-00000E250000}"/>
    <cellStyle name="40% - 강조색5 64 10" xfId="6141" xr:uid="{00000000-0005-0000-0000-00000F250000}"/>
    <cellStyle name="40% - 강조색5 64 11" xfId="9823" xr:uid="{00000000-0005-0000-0000-000010250000}"/>
    <cellStyle name="40% - 강조색5 64 12" xfId="9483" xr:uid="{00000000-0005-0000-0000-000011250000}"/>
    <cellStyle name="40% - 강조색5 64 13" xfId="7478" xr:uid="{00000000-0005-0000-0000-000012250000}"/>
    <cellStyle name="40% - 강조색5 64 14" xfId="10183" xr:uid="{00000000-0005-0000-0000-000013250000}"/>
    <cellStyle name="40% - 강조색5 64 15" xfId="11152" xr:uid="{00000000-0005-0000-0000-000014250000}"/>
    <cellStyle name="40% - 강조색5 64 2" xfId="6660" xr:uid="{00000000-0005-0000-0000-000015250000}"/>
    <cellStyle name="40% - 강조색5 64 3" xfId="7110" xr:uid="{00000000-0005-0000-0000-000016250000}"/>
    <cellStyle name="40% - 강조색5 64 4" xfId="6750" xr:uid="{00000000-0005-0000-0000-000017250000}"/>
    <cellStyle name="40% - 강조색5 64 5" xfId="6440" xr:uid="{00000000-0005-0000-0000-000018250000}"/>
    <cellStyle name="40% - 강조색5 64 6" xfId="6387" xr:uid="{00000000-0005-0000-0000-000019250000}"/>
    <cellStyle name="40% - 강조색5 64 7" xfId="8521" xr:uid="{00000000-0005-0000-0000-00001A250000}"/>
    <cellStyle name="40% - 강조색5 64 8" xfId="6482" xr:uid="{00000000-0005-0000-0000-00001B250000}"/>
    <cellStyle name="40% - 강조색5 64 9" xfId="9088" xr:uid="{00000000-0005-0000-0000-00001C250000}"/>
    <cellStyle name="40% - 강조색5 65" xfId="5362" xr:uid="{00000000-0005-0000-0000-00001D250000}"/>
    <cellStyle name="40% - 강조색5 65 10" xfId="9702" xr:uid="{00000000-0005-0000-0000-00001E250000}"/>
    <cellStyle name="40% - 강조색5 65 11" xfId="9799" xr:uid="{00000000-0005-0000-0000-00001F250000}"/>
    <cellStyle name="40% - 강조색5 65 12" xfId="10376" xr:uid="{00000000-0005-0000-0000-000020250000}"/>
    <cellStyle name="40% - 강조색5 65 13" xfId="3454" xr:uid="{00000000-0005-0000-0000-000021250000}"/>
    <cellStyle name="40% - 강조색5 65 14" xfId="10909" xr:uid="{00000000-0005-0000-0000-000022250000}"/>
    <cellStyle name="40% - 강조색5 65 15" xfId="9669" xr:uid="{00000000-0005-0000-0000-000023250000}"/>
    <cellStyle name="40% - 강조색5 65 2" xfId="6668" xr:uid="{00000000-0005-0000-0000-000024250000}"/>
    <cellStyle name="40% - 강조색5 65 3" xfId="7101" xr:uid="{00000000-0005-0000-0000-000025250000}"/>
    <cellStyle name="40% - 강조색5 65 4" xfId="6987" xr:uid="{00000000-0005-0000-0000-000026250000}"/>
    <cellStyle name="40% - 강조색5 65 5" xfId="7541" xr:uid="{00000000-0005-0000-0000-000027250000}"/>
    <cellStyle name="40% - 강조색5 65 6" xfId="8041" xr:uid="{00000000-0005-0000-0000-000028250000}"/>
    <cellStyle name="40% - 강조색5 65 7" xfId="6232" xr:uid="{00000000-0005-0000-0000-000029250000}"/>
    <cellStyle name="40% - 강조색5 65 8" xfId="9008" xr:uid="{00000000-0005-0000-0000-00002A250000}"/>
    <cellStyle name="40% - 강조색5 65 9" xfId="9213" xr:uid="{00000000-0005-0000-0000-00002B250000}"/>
    <cellStyle name="40% - 강조색5 66" xfId="5568" xr:uid="{00000000-0005-0000-0000-00002C250000}"/>
    <cellStyle name="40% - 강조색5 66 10" xfId="3608" xr:uid="{00000000-0005-0000-0000-00002D250000}"/>
    <cellStyle name="40% - 강조색5 66 11" xfId="4608" xr:uid="{00000000-0005-0000-0000-00002E250000}"/>
    <cellStyle name="40% - 강조색5 66 12" xfId="10206" xr:uid="{00000000-0005-0000-0000-00002F250000}"/>
    <cellStyle name="40% - 강조색5 66 13" xfId="8144" xr:uid="{00000000-0005-0000-0000-000030250000}"/>
    <cellStyle name="40% - 강조색5 66 14" xfId="9219" xr:uid="{00000000-0005-0000-0000-000031250000}"/>
    <cellStyle name="40% - 강조색5 66 15" xfId="10865" xr:uid="{00000000-0005-0000-0000-000032250000}"/>
    <cellStyle name="40% - 강조색5 66 2" xfId="6680" xr:uid="{00000000-0005-0000-0000-000033250000}"/>
    <cellStyle name="40% - 강조색5 66 3" xfId="7289" xr:uid="{00000000-0005-0000-0000-000034250000}"/>
    <cellStyle name="40% - 강조색5 66 4" xfId="4175" xr:uid="{00000000-0005-0000-0000-000035250000}"/>
    <cellStyle name="40% - 강조색5 66 5" xfId="7513" xr:uid="{00000000-0005-0000-0000-000036250000}"/>
    <cellStyle name="40% - 강조색5 66 6" xfId="8223" xr:uid="{00000000-0005-0000-0000-000037250000}"/>
    <cellStyle name="40% - 강조색5 66 7" xfId="8459" xr:uid="{00000000-0005-0000-0000-000038250000}"/>
    <cellStyle name="40% - 강조색5 66 8" xfId="8997" xr:uid="{00000000-0005-0000-0000-000039250000}"/>
    <cellStyle name="40% - 강조색5 66 9" xfId="4601" xr:uid="{00000000-0005-0000-0000-00003A250000}"/>
    <cellStyle name="40% - 강조색5 67" xfId="5795" xr:uid="{00000000-0005-0000-0000-00003B250000}"/>
    <cellStyle name="40% - 강조색5 67 10" xfId="9668" xr:uid="{00000000-0005-0000-0000-00003C250000}"/>
    <cellStyle name="40% - 강조색5 67 11" xfId="2578" xr:uid="{00000000-0005-0000-0000-00003D250000}"/>
    <cellStyle name="40% - 강조색5 67 12" xfId="10193" xr:uid="{00000000-0005-0000-0000-00003E250000}"/>
    <cellStyle name="40% - 강조색5 67 13" xfId="10526" xr:uid="{00000000-0005-0000-0000-00003F250000}"/>
    <cellStyle name="40% - 강조색5 67 14" xfId="10839" xr:uid="{00000000-0005-0000-0000-000040250000}"/>
    <cellStyle name="40% - 강조색5 67 15" xfId="11208" xr:uid="{00000000-0005-0000-0000-000041250000}"/>
    <cellStyle name="40% - 강조색5 67 2" xfId="6689" xr:uid="{00000000-0005-0000-0000-000042250000}"/>
    <cellStyle name="40% - 강조색5 67 3" xfId="7312" xr:uid="{00000000-0005-0000-0000-000043250000}"/>
    <cellStyle name="40% - 강조색5 67 4" xfId="7116" xr:uid="{00000000-0005-0000-0000-000044250000}"/>
    <cellStyle name="40% - 강조색5 67 5" xfId="7857" xr:uid="{00000000-0005-0000-0000-000045250000}"/>
    <cellStyle name="40% - 강조색5 67 6" xfId="7904" xr:uid="{00000000-0005-0000-0000-000046250000}"/>
    <cellStyle name="40% - 강조색5 67 7" xfId="8613" xr:uid="{00000000-0005-0000-0000-000047250000}"/>
    <cellStyle name="40% - 강조색5 67 8" xfId="3472" xr:uid="{00000000-0005-0000-0000-000048250000}"/>
    <cellStyle name="40% - 강조색5 67 9" xfId="9365" xr:uid="{00000000-0005-0000-0000-000049250000}"/>
    <cellStyle name="40% - 강조색5 68" xfId="6508" xr:uid="{00000000-0005-0000-0000-00004A250000}"/>
    <cellStyle name="40% - 강조색5 68 10" xfId="9930" xr:uid="{00000000-0005-0000-0000-00004B250000}"/>
    <cellStyle name="40% - 강조색5 68 11" xfId="4467" xr:uid="{00000000-0005-0000-0000-00004C250000}"/>
    <cellStyle name="40% - 강조색5 68 12" xfId="10695" xr:uid="{00000000-0005-0000-0000-00004D250000}"/>
    <cellStyle name="40% - 강조색5 68 13" xfId="6385" xr:uid="{00000000-0005-0000-0000-00004E250000}"/>
    <cellStyle name="40% - 강조색5 68 14" xfId="11211" xr:uid="{00000000-0005-0000-0000-00004F250000}"/>
    <cellStyle name="40% - 강조색5 68 2" xfId="7356" xr:uid="{00000000-0005-0000-0000-000050250000}"/>
    <cellStyle name="40% - 강조색5 68 3" xfId="7383" xr:uid="{00000000-0005-0000-0000-000051250000}"/>
    <cellStyle name="40% - 강조색5 68 4" xfId="7872" xr:uid="{00000000-0005-0000-0000-000052250000}"/>
    <cellStyle name="40% - 강조색5 68 5" xfId="8035" xr:uid="{00000000-0005-0000-0000-000053250000}"/>
    <cellStyle name="40% - 강조색5 68 6" xfId="8584" xr:uid="{00000000-0005-0000-0000-000054250000}"/>
    <cellStyle name="40% - 강조색5 68 7" xfId="8941" xr:uid="{00000000-0005-0000-0000-000055250000}"/>
    <cellStyle name="40% - 강조색5 68 8" xfId="9326" xr:uid="{00000000-0005-0000-0000-000056250000}"/>
    <cellStyle name="40% - 강조색5 68 9" xfId="6284" xr:uid="{00000000-0005-0000-0000-000057250000}"/>
    <cellStyle name="40% - 강조색5 69" xfId="7073" xr:uid="{00000000-0005-0000-0000-000058250000}"/>
    <cellStyle name="40% - 강조색5 69 10" xfId="3499" xr:uid="{00000000-0005-0000-0000-000059250000}"/>
    <cellStyle name="40% - 강조색5 69 11" xfId="7643" xr:uid="{00000000-0005-0000-0000-00005A250000}"/>
    <cellStyle name="40% - 강조색5 69 12" xfId="11118" xr:uid="{00000000-0005-0000-0000-00005B250000}"/>
    <cellStyle name="40% - 강조색5 69 2" xfId="7882" xr:uid="{00000000-0005-0000-0000-00005C250000}"/>
    <cellStyle name="40% - 강조색5 69 3" xfId="8276" xr:uid="{00000000-0005-0000-0000-00005D250000}"/>
    <cellStyle name="40% - 강조색5 69 4" xfId="3135" xr:uid="{00000000-0005-0000-0000-00005E250000}"/>
    <cellStyle name="40% - 강조색5 69 5" xfId="8909" xr:uid="{00000000-0005-0000-0000-00005F250000}"/>
    <cellStyle name="40% - 강조색5 69 6" xfId="8765" xr:uid="{00000000-0005-0000-0000-000060250000}"/>
    <cellStyle name="40% - 강조색5 69 7" xfId="7621" xr:uid="{00000000-0005-0000-0000-000061250000}"/>
    <cellStyle name="40% - 강조색5 69 8" xfId="9972" xr:uid="{00000000-0005-0000-0000-000062250000}"/>
    <cellStyle name="40% - 강조색5 69 9" xfId="10219" xr:uid="{00000000-0005-0000-0000-000063250000}"/>
    <cellStyle name="40% - 강조색5 7" xfId="135" xr:uid="{00000000-0005-0000-0000-000064250000}"/>
    <cellStyle name="40% - 강조색5 70" xfId="7139" xr:uid="{00000000-0005-0000-0000-000065250000}"/>
    <cellStyle name="40% - 강조색5 70 10" xfId="10521" xr:uid="{00000000-0005-0000-0000-000066250000}"/>
    <cellStyle name="40% - 강조색5 70 11" xfId="10841" xr:uid="{00000000-0005-0000-0000-000067250000}"/>
    <cellStyle name="40% - 강조색5 70 12" xfId="9166" xr:uid="{00000000-0005-0000-0000-000068250000}"/>
    <cellStyle name="40% - 강조색5 70 2" xfId="7883" xr:uid="{00000000-0005-0000-0000-000069250000}"/>
    <cellStyle name="40% - 강조색5 70 3" xfId="8277" xr:uid="{00000000-0005-0000-0000-00006A250000}"/>
    <cellStyle name="40% - 강조색5 70 4" xfId="8639" xr:uid="{00000000-0005-0000-0000-00006B250000}"/>
    <cellStyle name="40% - 강조색5 70 5" xfId="8796" xr:uid="{00000000-0005-0000-0000-00006C250000}"/>
    <cellStyle name="40% - 강조색5 70 6" xfId="9069" xr:uid="{00000000-0005-0000-0000-00006D250000}"/>
    <cellStyle name="40% - 강조색5 70 7" xfId="6228" xr:uid="{00000000-0005-0000-0000-00006E250000}"/>
    <cellStyle name="40% - 강조색5 70 8" xfId="6761" xr:uid="{00000000-0005-0000-0000-00006F250000}"/>
    <cellStyle name="40% - 강조색5 70 9" xfId="10297" xr:uid="{00000000-0005-0000-0000-000070250000}"/>
    <cellStyle name="40% - 강조색5 71" xfId="7568" xr:uid="{00000000-0005-0000-0000-000071250000}"/>
    <cellStyle name="40% - 강조색5 71 10" xfId="10847" xr:uid="{00000000-0005-0000-0000-000072250000}"/>
    <cellStyle name="40% - 강조색5 71 11" xfId="7463" xr:uid="{00000000-0005-0000-0000-000073250000}"/>
    <cellStyle name="40% - 강조색5 71 2" xfId="8294" xr:uid="{00000000-0005-0000-0000-000074250000}"/>
    <cellStyle name="40% - 강조색5 71 3" xfId="8656" xr:uid="{00000000-0005-0000-0000-000075250000}"/>
    <cellStyle name="40% - 강조색5 71 4" xfId="9020" xr:uid="{00000000-0005-0000-0000-000076250000}"/>
    <cellStyle name="40% - 강조색5 71 5" xfId="9375" xr:uid="{00000000-0005-0000-0000-000077250000}"/>
    <cellStyle name="40% - 강조색5 71 6" xfId="9555" xr:uid="{00000000-0005-0000-0000-000078250000}"/>
    <cellStyle name="40% - 강조색5 71 7" xfId="9775" xr:uid="{00000000-0005-0000-0000-000079250000}"/>
    <cellStyle name="40% - 강조색5 71 8" xfId="9879" xr:uid="{00000000-0005-0000-0000-00007A250000}"/>
    <cellStyle name="40% - 강조색5 71 9" xfId="10243" xr:uid="{00000000-0005-0000-0000-00007B250000}"/>
    <cellStyle name="40% - 강조색5 72" xfId="8263" xr:uid="{00000000-0005-0000-0000-00007C250000}"/>
    <cellStyle name="40% - 강조색5 72 10" xfId="8119" xr:uid="{00000000-0005-0000-0000-00007D250000}"/>
    <cellStyle name="40% - 강조색5 72 2" xfId="8675" xr:uid="{00000000-0005-0000-0000-00007E250000}"/>
    <cellStyle name="40% - 강조색5 72 3" xfId="9039" xr:uid="{00000000-0005-0000-0000-00007F250000}"/>
    <cellStyle name="40% - 강조색5 72 4" xfId="9398" xr:uid="{00000000-0005-0000-0000-000080250000}"/>
    <cellStyle name="40% - 강조색5 72 5" xfId="9730" xr:uid="{00000000-0005-0000-0000-000081250000}"/>
    <cellStyle name="40% - 강조색5 72 6" xfId="4113" xr:uid="{00000000-0005-0000-0000-000082250000}"/>
    <cellStyle name="40% - 강조색5 72 7" xfId="5030" xr:uid="{00000000-0005-0000-0000-000083250000}"/>
    <cellStyle name="40% - 강조색5 72 8" xfId="7512" xr:uid="{00000000-0005-0000-0000-000084250000}"/>
    <cellStyle name="40% - 강조색5 72 9" xfId="903" xr:uid="{00000000-0005-0000-0000-000085250000}"/>
    <cellStyle name="40% - 강조색5 73" xfId="8614" xr:uid="{00000000-0005-0000-0000-000086250000}"/>
    <cellStyle name="40% - 강조색5 73 2" xfId="9044" xr:uid="{00000000-0005-0000-0000-000087250000}"/>
    <cellStyle name="40% - 강조색5 73 3" xfId="9403" xr:uid="{00000000-0005-0000-0000-000088250000}"/>
    <cellStyle name="40% - 강조색5 73 4" xfId="9735" xr:uid="{00000000-0005-0000-0000-000089250000}"/>
    <cellStyle name="40% - 강조색5 73 5" xfId="10061" xr:uid="{00000000-0005-0000-0000-00008A250000}"/>
    <cellStyle name="40% - 강조색5 73 6" xfId="9652" xr:uid="{00000000-0005-0000-0000-00008B250000}"/>
    <cellStyle name="40% - 강조색5 73 7" xfId="6402" xr:uid="{00000000-0005-0000-0000-00008C250000}"/>
    <cellStyle name="40% - 강조색5 73 8" xfId="6364" xr:uid="{00000000-0005-0000-0000-00008D250000}"/>
    <cellStyle name="40% - 강조색5 73 9" xfId="11096" xr:uid="{00000000-0005-0000-0000-00008E250000}"/>
    <cellStyle name="40% - 강조색5 74" xfId="9007" xr:uid="{00000000-0005-0000-0000-00008F250000}"/>
    <cellStyle name="40% - 강조색5 74 2" xfId="9416" xr:uid="{00000000-0005-0000-0000-000090250000}"/>
    <cellStyle name="40% - 강조색5 74 3" xfId="9748" xr:uid="{00000000-0005-0000-0000-000091250000}"/>
    <cellStyle name="40% - 강조색5 74 4" xfId="10074" xr:uid="{00000000-0005-0000-0000-000092250000}"/>
    <cellStyle name="40% - 강조색5 74 5" xfId="10387" xr:uid="{00000000-0005-0000-0000-000093250000}"/>
    <cellStyle name="40% - 강조색5 74 6" xfId="9202" xr:uid="{00000000-0005-0000-0000-000094250000}"/>
    <cellStyle name="40% - 강조색5 74 7" xfId="6434" xr:uid="{00000000-0005-0000-0000-000095250000}"/>
    <cellStyle name="40% - 강조색5 74 8" xfId="11261" xr:uid="{00000000-0005-0000-0000-000096250000}"/>
    <cellStyle name="40% - 강조색5 75" xfId="9379" xr:uid="{00000000-0005-0000-0000-000097250000}"/>
    <cellStyle name="40% - 강조색5 75 2" xfId="9757" xr:uid="{00000000-0005-0000-0000-000098250000}"/>
    <cellStyle name="40% - 강조색5 75 3" xfId="10083" xr:uid="{00000000-0005-0000-0000-000099250000}"/>
    <cellStyle name="40% - 강조색5 75 4" xfId="10396" xr:uid="{00000000-0005-0000-0000-00009A250000}"/>
    <cellStyle name="40% - 강조색5 75 5" xfId="10705" xr:uid="{00000000-0005-0000-0000-00009B250000}"/>
    <cellStyle name="40% - 강조색5 75 6" xfId="10889" xr:uid="{00000000-0005-0000-0000-00009C250000}"/>
    <cellStyle name="40% - 강조색5 75 7" xfId="11113" xr:uid="{00000000-0005-0000-0000-00009D250000}"/>
    <cellStyle name="40% - 강조색5 76" xfId="9720" xr:uid="{00000000-0005-0000-0000-00009E250000}"/>
    <cellStyle name="40% - 강조색5 76 2" xfId="10090" xr:uid="{00000000-0005-0000-0000-00009F250000}"/>
    <cellStyle name="40% - 강조색5 76 3" xfId="10404" xr:uid="{00000000-0005-0000-0000-0000A0250000}"/>
    <cellStyle name="40% - 강조색5 76 4" xfId="10714" xr:uid="{00000000-0005-0000-0000-0000A1250000}"/>
    <cellStyle name="40% - 강조색5 76 5" xfId="10997" xr:uid="{00000000-0005-0000-0000-0000A2250000}"/>
    <cellStyle name="40% - 강조색5 76 6" xfId="11195" xr:uid="{00000000-0005-0000-0000-0000A3250000}"/>
    <cellStyle name="40% - 강조색5 77" xfId="9807" xr:uid="{00000000-0005-0000-0000-0000A4250000}"/>
    <cellStyle name="40% - 강조색5 77 2" xfId="10406" xr:uid="{00000000-0005-0000-0000-0000A5250000}"/>
    <cellStyle name="40% - 강조색5 77 3" xfId="10716" xr:uid="{00000000-0005-0000-0000-0000A6250000}"/>
    <cellStyle name="40% - 강조색5 77 4" xfId="11000" xr:uid="{00000000-0005-0000-0000-0000A7250000}"/>
    <cellStyle name="40% - 강조색5 77 5" xfId="10619" xr:uid="{00000000-0005-0000-0000-0000A8250000}"/>
    <cellStyle name="40% - 강조색5 78" xfId="5503" xr:uid="{00000000-0005-0000-0000-0000A9250000}"/>
    <cellStyle name="40% - 강조색5 78 2" xfId="10606" xr:uid="{00000000-0005-0000-0000-0000AA250000}"/>
    <cellStyle name="40% - 강조색5 78 3" xfId="10796" xr:uid="{00000000-0005-0000-0000-0000AB250000}"/>
    <cellStyle name="40% - 강조색5 78 4" xfId="4611" xr:uid="{00000000-0005-0000-0000-0000AC250000}"/>
    <cellStyle name="40% - 강조색5 79" xfId="10682" xr:uid="{00000000-0005-0000-0000-0000AD250000}"/>
    <cellStyle name="40% - 강조색5 79 2" xfId="11022" xr:uid="{00000000-0005-0000-0000-0000AE250000}"/>
    <cellStyle name="40% - 강조색5 79 3" xfId="11300" xr:uid="{00000000-0005-0000-0000-0000AF250000}"/>
    <cellStyle name="40% - 강조색5 8" xfId="148" xr:uid="{00000000-0005-0000-0000-0000B0250000}"/>
    <cellStyle name="40% - 강조색5 80" xfId="10985" xr:uid="{00000000-0005-0000-0000-0000B1250000}"/>
    <cellStyle name="40% - 강조색5 80 2" xfId="11311" xr:uid="{00000000-0005-0000-0000-0000B2250000}"/>
    <cellStyle name="40% - 강조색5 81" xfId="11267" xr:uid="{00000000-0005-0000-0000-0000B3250000}"/>
    <cellStyle name="40% - 강조색5 82" xfId="565" xr:uid="{00000000-0005-0000-0000-0000B4250000}"/>
    <cellStyle name="40% - 강조색5 83" xfId="11343" xr:uid="{00000000-0005-0000-0000-0000B5250000}"/>
    <cellStyle name="40% - 강조색5 84" xfId="11348" xr:uid="{00000000-0005-0000-0000-0000B6250000}"/>
    <cellStyle name="40% - 강조색5 85" xfId="11359" xr:uid="{00000000-0005-0000-0000-0000B7250000}"/>
    <cellStyle name="40% - 강조색5 86" xfId="11447" xr:uid="{00000000-0005-0000-0000-0000B8250000}"/>
    <cellStyle name="40% - 강조색5 9" xfId="161" xr:uid="{00000000-0005-0000-0000-0000B9250000}"/>
    <cellStyle name="40% - 강조색6" xfId="42" builtinId="51" customBuiltin="1"/>
    <cellStyle name="40% - 강조색6 10" xfId="177" xr:uid="{00000000-0005-0000-0000-0000BB250000}"/>
    <cellStyle name="40% - 강조색6 11" xfId="190" xr:uid="{00000000-0005-0000-0000-0000BC250000}"/>
    <cellStyle name="40% - 강조색6 12" xfId="203" xr:uid="{00000000-0005-0000-0000-0000BD250000}"/>
    <cellStyle name="40% - 강조색6 13" xfId="216" xr:uid="{00000000-0005-0000-0000-0000BE250000}"/>
    <cellStyle name="40% - 강조색6 14" xfId="229" xr:uid="{00000000-0005-0000-0000-0000BF250000}"/>
    <cellStyle name="40% - 강조색6 15" xfId="242" xr:uid="{00000000-0005-0000-0000-0000C0250000}"/>
    <cellStyle name="40% - 강조색6 16" xfId="255" xr:uid="{00000000-0005-0000-0000-0000C1250000}"/>
    <cellStyle name="40% - 강조색6 17" xfId="268" xr:uid="{00000000-0005-0000-0000-0000C2250000}"/>
    <cellStyle name="40% - 강조색6 18" xfId="281" xr:uid="{00000000-0005-0000-0000-0000C3250000}"/>
    <cellStyle name="40% - 강조색6 19" xfId="294" xr:uid="{00000000-0005-0000-0000-0000C4250000}"/>
    <cellStyle name="40% - 강조색6 2" xfId="57" xr:uid="{00000000-0005-0000-0000-0000C5250000}"/>
    <cellStyle name="40% - 강조색6 20" xfId="307" xr:uid="{00000000-0005-0000-0000-0000C6250000}"/>
    <cellStyle name="40% - 강조색6 21" xfId="320" xr:uid="{00000000-0005-0000-0000-0000C7250000}"/>
    <cellStyle name="40% - 강조색6 22" xfId="333" xr:uid="{00000000-0005-0000-0000-0000C8250000}"/>
    <cellStyle name="40% - 강조색6 23" xfId="346" xr:uid="{00000000-0005-0000-0000-0000C9250000}"/>
    <cellStyle name="40% - 강조색6 24" xfId="359" xr:uid="{00000000-0005-0000-0000-0000CA250000}"/>
    <cellStyle name="40% - 강조색6 25" xfId="372" xr:uid="{00000000-0005-0000-0000-0000CB250000}"/>
    <cellStyle name="40% - 강조색6 26" xfId="385" xr:uid="{00000000-0005-0000-0000-0000CC250000}"/>
    <cellStyle name="40% - 강조색6 27" xfId="398" xr:uid="{00000000-0005-0000-0000-0000CD250000}"/>
    <cellStyle name="40% - 강조색6 28" xfId="411" xr:uid="{00000000-0005-0000-0000-0000CE250000}"/>
    <cellStyle name="40% - 강조색6 29" xfId="424" xr:uid="{00000000-0005-0000-0000-0000CF250000}"/>
    <cellStyle name="40% - 강조색6 3" xfId="89" xr:uid="{00000000-0005-0000-0000-0000D0250000}"/>
    <cellStyle name="40% - 강조색6 30" xfId="437" xr:uid="{00000000-0005-0000-0000-0000D1250000}"/>
    <cellStyle name="40% - 강조색6 31" xfId="449" xr:uid="{00000000-0005-0000-0000-0000D2250000}"/>
    <cellStyle name="40% - 강조색6 32" xfId="461" xr:uid="{00000000-0005-0000-0000-0000D3250000}"/>
    <cellStyle name="40% - 강조색6 33" xfId="473" xr:uid="{00000000-0005-0000-0000-0000D4250000}"/>
    <cellStyle name="40% - 강조색6 34" xfId="485" xr:uid="{00000000-0005-0000-0000-0000D5250000}"/>
    <cellStyle name="40% - 강조색6 35" xfId="496" xr:uid="{00000000-0005-0000-0000-0000D6250000}"/>
    <cellStyle name="40% - 강조색6 36" xfId="507" xr:uid="{00000000-0005-0000-0000-0000D7250000}"/>
    <cellStyle name="40% - 강조색6 37" xfId="518" xr:uid="{00000000-0005-0000-0000-0000D8250000}"/>
    <cellStyle name="40% - 강조색6 38" xfId="528" xr:uid="{00000000-0005-0000-0000-0000D9250000}"/>
    <cellStyle name="40% - 강조색6 39" xfId="536" xr:uid="{00000000-0005-0000-0000-0000DA250000}"/>
    <cellStyle name="40% - 강조색6 4" xfId="99" xr:uid="{00000000-0005-0000-0000-0000DB250000}"/>
    <cellStyle name="40% - 강조색6 40" xfId="556" xr:uid="{00000000-0005-0000-0000-0000DC250000}"/>
    <cellStyle name="40% - 강조색6 40 10" xfId="740" xr:uid="{00000000-0005-0000-0000-0000DD250000}"/>
    <cellStyle name="40% - 강조색6 40 11" xfId="2101" xr:uid="{00000000-0005-0000-0000-0000DE250000}"/>
    <cellStyle name="40% - 강조색6 40 12" xfId="891" xr:uid="{00000000-0005-0000-0000-0000DF250000}"/>
    <cellStyle name="40% - 강조색6 40 13" xfId="4242" xr:uid="{00000000-0005-0000-0000-0000E0250000}"/>
    <cellStyle name="40% - 강조색6 40 14" xfId="4679" xr:uid="{00000000-0005-0000-0000-0000E1250000}"/>
    <cellStyle name="40% - 강조색6 40 15" xfId="3944" xr:uid="{00000000-0005-0000-0000-0000E2250000}"/>
    <cellStyle name="40% - 강조색6 40 16" xfId="3066" xr:uid="{00000000-0005-0000-0000-0000E3250000}"/>
    <cellStyle name="40% - 강조색6 40 17" xfId="4853" xr:uid="{00000000-0005-0000-0000-0000E4250000}"/>
    <cellStyle name="40% - 강조색6 40 18" xfId="5721" xr:uid="{00000000-0005-0000-0000-0000E5250000}"/>
    <cellStyle name="40% - 강조색6 40 19" xfId="6432" xr:uid="{00000000-0005-0000-0000-0000E6250000}"/>
    <cellStyle name="40% - 강조색6 40 2" xfId="604" xr:uid="{00000000-0005-0000-0000-0000E7250000}"/>
    <cellStyle name="40% - 강조색6 40 20" xfId="7078" xr:uid="{00000000-0005-0000-0000-0000E8250000}"/>
    <cellStyle name="40% - 강조색6 40 21" xfId="7185" xr:uid="{00000000-0005-0000-0000-0000E9250000}"/>
    <cellStyle name="40% - 강조색6 40 22" xfId="5336" xr:uid="{00000000-0005-0000-0000-0000EA250000}"/>
    <cellStyle name="40% - 강조색6 40 23" xfId="3828" xr:uid="{00000000-0005-0000-0000-0000EB250000}"/>
    <cellStyle name="40% - 강조색6 40 24" xfId="6006" xr:uid="{00000000-0005-0000-0000-0000EC250000}"/>
    <cellStyle name="40% - 강조색6 40 25" xfId="4261" xr:uid="{00000000-0005-0000-0000-0000ED250000}"/>
    <cellStyle name="40% - 강조색6 40 26" xfId="3522" xr:uid="{00000000-0005-0000-0000-0000EE250000}"/>
    <cellStyle name="40% - 강조색6 40 27" xfId="3104" xr:uid="{00000000-0005-0000-0000-0000EF250000}"/>
    <cellStyle name="40% - 강조색6 40 28" xfId="8492" xr:uid="{00000000-0005-0000-0000-0000F0250000}"/>
    <cellStyle name="40% - 강조색6 40 29" xfId="10334" xr:uid="{00000000-0005-0000-0000-0000F1250000}"/>
    <cellStyle name="40% - 강조색6 40 3" xfId="1015" xr:uid="{00000000-0005-0000-0000-0000F2250000}"/>
    <cellStyle name="40% - 강조색6 40 30" xfId="4642" xr:uid="{00000000-0005-0000-0000-0000F3250000}"/>
    <cellStyle name="40% - 강조색6 40 31" xfId="10925" xr:uid="{00000000-0005-0000-0000-0000F4250000}"/>
    <cellStyle name="40% - 강조색6 40 32" xfId="2248" xr:uid="{00000000-0005-0000-0000-0000F5250000}"/>
    <cellStyle name="40% - 강조색6 40 33" xfId="11326" xr:uid="{00000000-0005-0000-0000-0000F6250000}"/>
    <cellStyle name="40% - 강조색6 40 34" xfId="572" xr:uid="{00000000-0005-0000-0000-0000F7250000}"/>
    <cellStyle name="40% - 강조색6 40 35" xfId="11409" xr:uid="{00000000-0005-0000-0000-0000F8250000}"/>
    <cellStyle name="40% - 강조색6 40 36" xfId="570" xr:uid="{00000000-0005-0000-0000-0000F9250000}"/>
    <cellStyle name="40% - 강조색6 40 4" xfId="1279" xr:uid="{00000000-0005-0000-0000-0000FA250000}"/>
    <cellStyle name="40% - 강조색6 40 5" xfId="1666" xr:uid="{00000000-0005-0000-0000-0000FB250000}"/>
    <cellStyle name="40% - 강조색6 40 6" xfId="993" xr:uid="{00000000-0005-0000-0000-0000FC250000}"/>
    <cellStyle name="40% - 강조색6 40 7" xfId="2205" xr:uid="{00000000-0005-0000-0000-0000FD250000}"/>
    <cellStyle name="40% - 강조색6 40 8" xfId="2637" xr:uid="{00000000-0005-0000-0000-0000FE250000}"/>
    <cellStyle name="40% - 강조색6 40 9" xfId="2987" xr:uid="{00000000-0005-0000-0000-0000FF250000}"/>
    <cellStyle name="40% - 강조색6 41" xfId="637" xr:uid="{00000000-0005-0000-0000-000000260000}"/>
    <cellStyle name="40% - 강조색6 41 10" xfId="3305" xr:uid="{00000000-0005-0000-0000-000001260000}"/>
    <cellStyle name="40% - 강조색6 41 11" xfId="2553" xr:uid="{00000000-0005-0000-0000-000002260000}"/>
    <cellStyle name="40% - 강조색6 41 12" xfId="1824" xr:uid="{00000000-0005-0000-0000-000003260000}"/>
    <cellStyle name="40% - 강조색6 41 13" xfId="4072" xr:uid="{00000000-0005-0000-0000-000004260000}"/>
    <cellStyle name="40% - 강조색6 41 14" xfId="4729" xr:uid="{00000000-0005-0000-0000-000005260000}"/>
    <cellStyle name="40% - 강조색6 41 15" xfId="5199" xr:uid="{00000000-0005-0000-0000-000006260000}"/>
    <cellStyle name="40% - 강조색6 41 16" xfId="2125" xr:uid="{00000000-0005-0000-0000-000007260000}"/>
    <cellStyle name="40% - 강조색6 41 17" xfId="5787" xr:uid="{00000000-0005-0000-0000-000008260000}"/>
    <cellStyle name="40% - 강조색6 41 18" xfId="5877" xr:uid="{00000000-0005-0000-0000-000009260000}"/>
    <cellStyle name="40% - 강조색6 41 19" xfId="2844" xr:uid="{00000000-0005-0000-0000-00000A260000}"/>
    <cellStyle name="40% - 강조색6 41 2" xfId="1140" xr:uid="{00000000-0005-0000-0000-00000B260000}"/>
    <cellStyle name="40% - 강조색6 41 20" xfId="7201" xr:uid="{00000000-0005-0000-0000-00000C260000}"/>
    <cellStyle name="40% - 강조색6 41 21" xfId="742" xr:uid="{00000000-0005-0000-0000-00000D260000}"/>
    <cellStyle name="40% - 강조색6 41 22" xfId="6832" xr:uid="{00000000-0005-0000-0000-00000E260000}"/>
    <cellStyle name="40% - 강조색6 41 23" xfId="8264" xr:uid="{00000000-0005-0000-0000-00000F260000}"/>
    <cellStyle name="40% - 강조색6 41 24" xfId="2840" xr:uid="{00000000-0005-0000-0000-000010260000}"/>
    <cellStyle name="40% - 강조색6 41 25" xfId="7449" xr:uid="{00000000-0005-0000-0000-000011260000}"/>
    <cellStyle name="40% - 강조색6 41 26" xfId="9102" xr:uid="{00000000-0005-0000-0000-000012260000}"/>
    <cellStyle name="40% - 강조색6 41 27" xfId="7453" xr:uid="{00000000-0005-0000-0000-000013260000}"/>
    <cellStyle name="40% - 강조색6 41 28" xfId="1887" xr:uid="{00000000-0005-0000-0000-000014260000}"/>
    <cellStyle name="40% - 강조색6 41 29" xfId="10265" xr:uid="{00000000-0005-0000-0000-000015260000}"/>
    <cellStyle name="40% - 강조색6 41 3" xfId="1220" xr:uid="{00000000-0005-0000-0000-000016260000}"/>
    <cellStyle name="40% - 강조색6 41 30" xfId="6253" xr:uid="{00000000-0005-0000-0000-000017260000}"/>
    <cellStyle name="40% - 강조색6 41 31" xfId="10837" xr:uid="{00000000-0005-0000-0000-000018260000}"/>
    <cellStyle name="40% - 강조색6 41 32" xfId="9154" xr:uid="{00000000-0005-0000-0000-000019260000}"/>
    <cellStyle name="40% - 강조색6 41 4" xfId="1312" xr:uid="{00000000-0005-0000-0000-00001A260000}"/>
    <cellStyle name="40% - 강조색6 41 5" xfId="1745" xr:uid="{00000000-0005-0000-0000-00001B260000}"/>
    <cellStyle name="40% - 강조색6 41 6" xfId="2055" xr:uid="{00000000-0005-0000-0000-00001C260000}"/>
    <cellStyle name="40% - 강조색6 41 7" xfId="2224" xr:uid="{00000000-0005-0000-0000-00001D260000}"/>
    <cellStyle name="40% - 강조색6 41 8" xfId="2661" xr:uid="{00000000-0005-0000-0000-00001E260000}"/>
    <cellStyle name="40% - 강조색6 41 9" xfId="1911" xr:uid="{00000000-0005-0000-0000-00001F260000}"/>
    <cellStyle name="40% - 강조색6 42" xfId="627" xr:uid="{00000000-0005-0000-0000-000020260000}"/>
    <cellStyle name="40% - 강조색6 42 10" xfId="3342" xr:uid="{00000000-0005-0000-0000-000021260000}"/>
    <cellStyle name="40% - 강조색6 42 11" xfId="3661" xr:uid="{00000000-0005-0000-0000-000022260000}"/>
    <cellStyle name="40% - 강조색6 42 12" xfId="4018" xr:uid="{00000000-0005-0000-0000-000023260000}"/>
    <cellStyle name="40% - 강조색6 42 13" xfId="1948" xr:uid="{00000000-0005-0000-0000-000024260000}"/>
    <cellStyle name="40% - 강조색6 42 14" xfId="4510" xr:uid="{00000000-0005-0000-0000-000025260000}"/>
    <cellStyle name="40% - 강조색6 42 15" xfId="5288" xr:uid="{00000000-0005-0000-0000-000026260000}"/>
    <cellStyle name="40% - 강조색6 42 16" xfId="5783" xr:uid="{00000000-0005-0000-0000-000027260000}"/>
    <cellStyle name="40% - 강조색6 42 17" xfId="5873" xr:uid="{00000000-0005-0000-0000-000028260000}"/>
    <cellStyle name="40% - 강조색6 42 18" xfId="5940" xr:uid="{00000000-0005-0000-0000-000029260000}"/>
    <cellStyle name="40% - 강조색6 42 19" xfId="6462" xr:uid="{00000000-0005-0000-0000-00002A260000}"/>
    <cellStyle name="40% - 강조색6 42 2" xfId="1130" xr:uid="{00000000-0005-0000-0000-00002B260000}"/>
    <cellStyle name="40% - 강조색6 42 20" xfId="6887" xr:uid="{00000000-0005-0000-0000-00002C260000}"/>
    <cellStyle name="40% - 강조색6 42 21" xfId="7252" xr:uid="{00000000-0005-0000-0000-00002D260000}"/>
    <cellStyle name="40% - 강조색6 42 22" xfId="7468" xr:uid="{00000000-0005-0000-0000-00002E260000}"/>
    <cellStyle name="40% - 강조색6 42 23" xfId="8204" xr:uid="{00000000-0005-0000-0000-00002F260000}"/>
    <cellStyle name="40% - 강조색6 42 24" xfId="8353" xr:uid="{00000000-0005-0000-0000-000030260000}"/>
    <cellStyle name="40% - 강조색6 42 25" xfId="8411" xr:uid="{00000000-0005-0000-0000-000031260000}"/>
    <cellStyle name="40% - 강조색6 42 26" xfId="7807" xr:uid="{00000000-0005-0000-0000-000032260000}"/>
    <cellStyle name="40% - 강조색6 42 27" xfId="9525" xr:uid="{00000000-0005-0000-0000-000033260000}"/>
    <cellStyle name="40% - 강조색6 42 28" xfId="9777" xr:uid="{00000000-0005-0000-0000-000034260000}"/>
    <cellStyle name="40% - 강조색6 42 29" xfId="10348" xr:uid="{00000000-0005-0000-0000-000035260000}"/>
    <cellStyle name="40% - 강조색6 42 3" xfId="1210" xr:uid="{00000000-0005-0000-0000-000036260000}"/>
    <cellStyle name="40% - 강조색6 42 30" xfId="10414" xr:uid="{00000000-0005-0000-0000-000037260000}"/>
    <cellStyle name="40% - 강조색6 42 31" xfId="10866" xr:uid="{00000000-0005-0000-0000-000038260000}"/>
    <cellStyle name="40% - 강조색6 42 32" xfId="11091" xr:uid="{00000000-0005-0000-0000-000039260000}"/>
    <cellStyle name="40% - 강조색6 42 4" xfId="1302" xr:uid="{00000000-0005-0000-0000-00003A260000}"/>
    <cellStyle name="40% - 강조색6 42 5" xfId="1766" xr:uid="{00000000-0005-0000-0000-00003B260000}"/>
    <cellStyle name="40% - 강조색6 42 6" xfId="972" xr:uid="{00000000-0005-0000-0000-00003C260000}"/>
    <cellStyle name="40% - 강조색6 42 7" xfId="764" xr:uid="{00000000-0005-0000-0000-00003D260000}"/>
    <cellStyle name="40% - 강조색6 42 8" xfId="1437" xr:uid="{00000000-0005-0000-0000-00003E260000}"/>
    <cellStyle name="40% - 강조색6 42 9" xfId="2988" xr:uid="{00000000-0005-0000-0000-00003F260000}"/>
    <cellStyle name="40% - 강조색6 43" xfId="636" xr:uid="{00000000-0005-0000-0000-000040260000}"/>
    <cellStyle name="40% - 강조색6 43 10" xfId="3105" xr:uid="{00000000-0005-0000-0000-000041260000}"/>
    <cellStyle name="40% - 강조색6 43 11" xfId="3649" xr:uid="{00000000-0005-0000-0000-000042260000}"/>
    <cellStyle name="40% - 강조색6 43 12" xfId="4009" xr:uid="{00000000-0005-0000-0000-000043260000}"/>
    <cellStyle name="40% - 강조색6 43 13" xfId="4236" xr:uid="{00000000-0005-0000-0000-000044260000}"/>
    <cellStyle name="40% - 강조색6 43 14" xfId="4643" xr:uid="{00000000-0005-0000-0000-000045260000}"/>
    <cellStyle name="40% - 강조색6 43 15" xfId="5377" xr:uid="{00000000-0005-0000-0000-000046260000}"/>
    <cellStyle name="40% - 강조색6 43 16" xfId="3051" xr:uid="{00000000-0005-0000-0000-000047260000}"/>
    <cellStyle name="40% - 강조색6 43 17" xfId="4980" xr:uid="{00000000-0005-0000-0000-000048260000}"/>
    <cellStyle name="40% - 강조색6 43 18" xfId="5357" xr:uid="{00000000-0005-0000-0000-000049260000}"/>
    <cellStyle name="40% - 강조색6 43 19" xfId="6218" xr:uid="{00000000-0005-0000-0000-00004A260000}"/>
    <cellStyle name="40% - 강조색6 43 2" xfId="1139" xr:uid="{00000000-0005-0000-0000-00004B260000}"/>
    <cellStyle name="40% - 강조색6 43 20" xfId="4491" xr:uid="{00000000-0005-0000-0000-00004C260000}"/>
    <cellStyle name="40% - 강조색6 43 21" xfId="7253" xr:uid="{00000000-0005-0000-0000-00004D260000}"/>
    <cellStyle name="40% - 강조색6 43 22" xfId="6437" xr:uid="{00000000-0005-0000-0000-00004E260000}"/>
    <cellStyle name="40% - 강조색6 43 23" xfId="7967" xr:uid="{00000000-0005-0000-0000-00004F260000}"/>
    <cellStyle name="40% - 강조색6 43 24" xfId="713" xr:uid="{00000000-0005-0000-0000-000050260000}"/>
    <cellStyle name="40% - 강조색6 43 25" xfId="6108" xr:uid="{00000000-0005-0000-0000-000051260000}"/>
    <cellStyle name="40% - 강조색6 43 26" xfId="9251" xr:uid="{00000000-0005-0000-0000-000052260000}"/>
    <cellStyle name="40% - 강조색6 43 27" xfId="9721" xr:uid="{00000000-0005-0000-0000-000053260000}"/>
    <cellStyle name="40% - 강조색6 43 28" xfId="4459" xr:uid="{00000000-0005-0000-0000-000054260000}"/>
    <cellStyle name="40% - 강조색6 43 29" xfId="8724" xr:uid="{00000000-0005-0000-0000-000055260000}"/>
    <cellStyle name="40% - 강조색6 43 3" xfId="1219" xr:uid="{00000000-0005-0000-0000-000056260000}"/>
    <cellStyle name="40% - 강조색6 43 30" xfId="8876" xr:uid="{00000000-0005-0000-0000-000057260000}"/>
    <cellStyle name="40% - 강조색6 43 31" xfId="10929" xr:uid="{00000000-0005-0000-0000-000058260000}"/>
    <cellStyle name="40% - 강조색6 43 32" xfId="7527" xr:uid="{00000000-0005-0000-0000-000059260000}"/>
    <cellStyle name="40% - 강조색6 43 4" xfId="1311" xr:uid="{00000000-0005-0000-0000-00005A260000}"/>
    <cellStyle name="40% - 강조색6 43 5" xfId="1702" xr:uid="{00000000-0005-0000-0000-00005B260000}"/>
    <cellStyle name="40% - 강조색6 43 6" xfId="971" xr:uid="{00000000-0005-0000-0000-00005C260000}"/>
    <cellStyle name="40% - 강조색6 43 7" xfId="1593" xr:uid="{00000000-0005-0000-0000-00005D260000}"/>
    <cellStyle name="40% - 강조색6 43 8" xfId="2602" xr:uid="{00000000-0005-0000-0000-00005E260000}"/>
    <cellStyle name="40% - 강조색6 43 9" xfId="2996" xr:uid="{00000000-0005-0000-0000-00005F260000}"/>
    <cellStyle name="40% - 강조색6 44" xfId="669" xr:uid="{00000000-0005-0000-0000-000060260000}"/>
    <cellStyle name="40% - 강조색6 44 10" xfId="2099" xr:uid="{00000000-0005-0000-0000-000061260000}"/>
    <cellStyle name="40% - 강조색6 44 11" xfId="3390" xr:uid="{00000000-0005-0000-0000-000062260000}"/>
    <cellStyle name="40% - 강조색6 44 12" xfId="3941" xr:uid="{00000000-0005-0000-0000-000063260000}"/>
    <cellStyle name="40% - 강조색6 44 13" xfId="4290" xr:uid="{00000000-0005-0000-0000-000064260000}"/>
    <cellStyle name="40% - 강조색6 44 14" xfId="3230" xr:uid="{00000000-0005-0000-0000-000065260000}"/>
    <cellStyle name="40% - 강조색6 44 15" xfId="3933" xr:uid="{00000000-0005-0000-0000-000066260000}"/>
    <cellStyle name="40% - 강조색6 44 16" xfId="5052" xr:uid="{00000000-0005-0000-0000-000067260000}"/>
    <cellStyle name="40% - 강조색6 44 17" xfId="5107" xr:uid="{00000000-0005-0000-0000-000068260000}"/>
    <cellStyle name="40% - 강조색6 44 18" xfId="5224" xr:uid="{00000000-0005-0000-0000-000069260000}"/>
    <cellStyle name="40% - 강조색6 44 19" xfId="3175" xr:uid="{00000000-0005-0000-0000-00006A260000}"/>
    <cellStyle name="40% - 강조색6 44 2" xfId="1172" xr:uid="{00000000-0005-0000-0000-00006B260000}"/>
    <cellStyle name="40% - 강조색6 44 20" xfId="7143" xr:uid="{00000000-0005-0000-0000-00006C260000}"/>
    <cellStyle name="40% - 강조색6 44 21" xfId="7287" xr:uid="{00000000-0005-0000-0000-00006D260000}"/>
    <cellStyle name="40% - 강조색6 44 22" xfId="7641" xr:uid="{00000000-0005-0000-0000-00006E260000}"/>
    <cellStyle name="40% - 강조색6 44 23" xfId="7485" xr:uid="{00000000-0005-0000-0000-00006F260000}"/>
    <cellStyle name="40% - 강조색6 44 24" xfId="3094" xr:uid="{00000000-0005-0000-0000-000070260000}"/>
    <cellStyle name="40% - 강조색6 44 25" xfId="8232" xr:uid="{00000000-0005-0000-0000-000071260000}"/>
    <cellStyle name="40% - 강조색6 44 26" xfId="6216" xr:uid="{00000000-0005-0000-0000-000072260000}"/>
    <cellStyle name="40% - 강조색6 44 27" xfId="9593" xr:uid="{00000000-0005-0000-0000-000073260000}"/>
    <cellStyle name="40% - 강조색6 44 28" xfId="10043" xr:uid="{00000000-0005-0000-0000-000074260000}"/>
    <cellStyle name="40% - 강조색6 44 29" xfId="3323" xr:uid="{00000000-0005-0000-0000-000075260000}"/>
    <cellStyle name="40% - 강조색6 44 3" xfId="1252" xr:uid="{00000000-0005-0000-0000-000076260000}"/>
    <cellStyle name="40% - 강조색6 44 30" xfId="10561" xr:uid="{00000000-0005-0000-0000-000077260000}"/>
    <cellStyle name="40% - 강조색6 44 31" xfId="10763" xr:uid="{00000000-0005-0000-0000-000078260000}"/>
    <cellStyle name="40% - 강조색6 44 32" xfId="2885" xr:uid="{00000000-0005-0000-0000-000079260000}"/>
    <cellStyle name="40% - 강조색6 44 4" xfId="1344" xr:uid="{00000000-0005-0000-0000-00007A260000}"/>
    <cellStyle name="40% - 강조색6 44 5" xfId="1772" xr:uid="{00000000-0005-0000-0000-00007B260000}"/>
    <cellStyle name="40% - 강조색6 44 6" xfId="720" xr:uid="{00000000-0005-0000-0000-00007C260000}"/>
    <cellStyle name="40% - 강조색6 44 7" xfId="1541" xr:uid="{00000000-0005-0000-0000-00007D260000}"/>
    <cellStyle name="40% - 강조색6 44 8" xfId="2644" xr:uid="{00000000-0005-0000-0000-00007E260000}"/>
    <cellStyle name="40% - 강조색6 44 9" xfId="1554" xr:uid="{00000000-0005-0000-0000-00007F260000}"/>
    <cellStyle name="40% - 강조색6 45" xfId="621" xr:uid="{00000000-0005-0000-0000-000080260000}"/>
    <cellStyle name="40% - 강조색6 45 10" xfId="2790" xr:uid="{00000000-0005-0000-0000-000081260000}"/>
    <cellStyle name="40% - 강조색6 45 11" xfId="3684" xr:uid="{00000000-0005-0000-0000-000082260000}"/>
    <cellStyle name="40% - 강조색6 45 12" xfId="4035" xr:uid="{00000000-0005-0000-0000-000083260000}"/>
    <cellStyle name="40% - 강조색6 45 13" xfId="760" xr:uid="{00000000-0005-0000-0000-000084260000}"/>
    <cellStyle name="40% - 강조색6 45 14" xfId="4484" xr:uid="{00000000-0005-0000-0000-000085260000}"/>
    <cellStyle name="40% - 강조색6 45 15" xfId="2174" xr:uid="{00000000-0005-0000-0000-000086260000}"/>
    <cellStyle name="40% - 강조색6 45 16" xfId="4848" xr:uid="{00000000-0005-0000-0000-000087260000}"/>
    <cellStyle name="40% - 강조색6 45 17" xfId="4579" xr:uid="{00000000-0005-0000-0000-000088260000}"/>
    <cellStyle name="40% - 강조색6 45 18" xfId="4537" xr:uid="{00000000-0005-0000-0000-000089260000}"/>
    <cellStyle name="40% - 강조색6 45 19" xfId="4874" xr:uid="{00000000-0005-0000-0000-00008A260000}"/>
    <cellStyle name="40% - 강조색6 45 2" xfId="1124" xr:uid="{00000000-0005-0000-0000-00008B260000}"/>
    <cellStyle name="40% - 강조색6 45 20" xfId="6717" xr:uid="{00000000-0005-0000-0000-00008C260000}"/>
    <cellStyle name="40% - 강조색6 45 21" xfId="6880" xr:uid="{00000000-0005-0000-0000-00008D260000}"/>
    <cellStyle name="40% - 강조색6 45 22" xfId="4533" xr:uid="{00000000-0005-0000-0000-00008E260000}"/>
    <cellStyle name="40% - 강조색6 45 23" xfId="8229" xr:uid="{00000000-0005-0000-0000-00008F260000}"/>
    <cellStyle name="40% - 강조색6 45 24" xfId="8442" xr:uid="{00000000-0005-0000-0000-000090260000}"/>
    <cellStyle name="40% - 강조색6 45 25" xfId="4511" xr:uid="{00000000-0005-0000-0000-000091260000}"/>
    <cellStyle name="40% - 강조색6 45 26" xfId="9079" xr:uid="{00000000-0005-0000-0000-000092260000}"/>
    <cellStyle name="40% - 강조색6 45 27" xfId="4120" xr:uid="{00000000-0005-0000-0000-000093260000}"/>
    <cellStyle name="40% - 강조색6 45 28" xfId="2507" xr:uid="{00000000-0005-0000-0000-000094260000}"/>
    <cellStyle name="40% - 강조색6 45 29" xfId="10345" xr:uid="{00000000-0005-0000-0000-000095260000}"/>
    <cellStyle name="40% - 강조색6 45 3" xfId="1204" xr:uid="{00000000-0005-0000-0000-000096260000}"/>
    <cellStyle name="40% - 강조색6 45 30" xfId="9940" xr:uid="{00000000-0005-0000-0000-000097260000}"/>
    <cellStyle name="40% - 강조색6 45 31" xfId="9417" xr:uid="{00000000-0005-0000-0000-000098260000}"/>
    <cellStyle name="40% - 강조색6 45 32" xfId="6209" xr:uid="{00000000-0005-0000-0000-000099260000}"/>
    <cellStyle name="40% - 강조색6 45 4" xfId="1296" xr:uid="{00000000-0005-0000-0000-00009A260000}"/>
    <cellStyle name="40% - 강조색6 45 5" xfId="1765" xr:uid="{00000000-0005-0000-0000-00009B260000}"/>
    <cellStyle name="40% - 강조색6 45 6" xfId="1514" xr:uid="{00000000-0005-0000-0000-00009C260000}"/>
    <cellStyle name="40% - 강조색6 45 7" xfId="835" xr:uid="{00000000-0005-0000-0000-00009D260000}"/>
    <cellStyle name="40% - 강조색6 45 8" xfId="1839" xr:uid="{00000000-0005-0000-0000-00009E260000}"/>
    <cellStyle name="40% - 강조색6 45 9" xfId="2810" xr:uid="{00000000-0005-0000-0000-00009F260000}"/>
    <cellStyle name="40% - 강조색6 46" xfId="664" xr:uid="{00000000-0005-0000-0000-0000A0260000}"/>
    <cellStyle name="40% - 강조색6 46 10" xfId="3192" xr:uid="{00000000-0005-0000-0000-0000A1260000}"/>
    <cellStyle name="40% - 강조색6 46 11" xfId="1903" xr:uid="{00000000-0005-0000-0000-0000A2260000}"/>
    <cellStyle name="40% - 강조색6 46 12" xfId="2464" xr:uid="{00000000-0005-0000-0000-0000A3260000}"/>
    <cellStyle name="40% - 강조색6 46 13" xfId="4318" xr:uid="{00000000-0005-0000-0000-0000A4260000}"/>
    <cellStyle name="40% - 강조색6 46 14" xfId="4744" xr:uid="{00000000-0005-0000-0000-0000A5260000}"/>
    <cellStyle name="40% - 강조색6 46 15" xfId="4303" xr:uid="{00000000-0005-0000-0000-0000A6260000}"/>
    <cellStyle name="40% - 강조색6 46 16" xfId="5223" xr:uid="{00000000-0005-0000-0000-0000A7260000}"/>
    <cellStyle name="40% - 강조색6 46 17" xfId="5562" xr:uid="{00000000-0005-0000-0000-0000A8260000}"/>
    <cellStyle name="40% - 강조색6 46 18" xfId="5051" xr:uid="{00000000-0005-0000-0000-0000A9260000}"/>
    <cellStyle name="40% - 강조색6 46 19" xfId="6237" xr:uid="{00000000-0005-0000-0000-0000AA260000}"/>
    <cellStyle name="40% - 강조색6 46 2" xfId="1167" xr:uid="{00000000-0005-0000-0000-0000AB260000}"/>
    <cellStyle name="40% - 강조색6 46 20" xfId="7202" xr:uid="{00000000-0005-0000-0000-0000AC260000}"/>
    <cellStyle name="40% - 강조색6 46 21" xfId="2713" xr:uid="{00000000-0005-0000-0000-0000AD260000}"/>
    <cellStyle name="40% - 강조색6 46 22" xfId="2747" xr:uid="{00000000-0005-0000-0000-0000AE260000}"/>
    <cellStyle name="40% - 강조색6 46 23" xfId="3607" xr:uid="{00000000-0005-0000-0000-0000AF260000}"/>
    <cellStyle name="40% - 강조색6 46 24" xfId="4514" xr:uid="{00000000-0005-0000-0000-0000B0260000}"/>
    <cellStyle name="40% - 강조색6 46 25" xfId="8865" xr:uid="{00000000-0005-0000-0000-0000B1260000}"/>
    <cellStyle name="40% - 강조색6 46 26" xfId="8938" xr:uid="{00000000-0005-0000-0000-0000B2260000}"/>
    <cellStyle name="40% - 강조색6 46 27" xfId="7679" xr:uid="{00000000-0005-0000-0000-0000B3260000}"/>
    <cellStyle name="40% - 강조색6 46 28" xfId="2163" xr:uid="{00000000-0005-0000-0000-0000B4260000}"/>
    <cellStyle name="40% - 강조색6 46 29" xfId="10214" xr:uid="{00000000-0005-0000-0000-0000B5260000}"/>
    <cellStyle name="40% - 강조색6 46 3" xfId="1247" xr:uid="{00000000-0005-0000-0000-0000B6260000}"/>
    <cellStyle name="40% - 강조색6 46 30" xfId="8307" xr:uid="{00000000-0005-0000-0000-0000B7260000}"/>
    <cellStyle name="40% - 강조색6 46 31" xfId="8951" xr:uid="{00000000-0005-0000-0000-0000B8260000}"/>
    <cellStyle name="40% - 강조색6 46 32" xfId="7769" xr:uid="{00000000-0005-0000-0000-0000B9260000}"/>
    <cellStyle name="40% - 강조색6 46 4" xfId="1339" xr:uid="{00000000-0005-0000-0000-0000BA260000}"/>
    <cellStyle name="40% - 강조색6 46 5" xfId="1707" xr:uid="{00000000-0005-0000-0000-0000BB260000}"/>
    <cellStyle name="40% - 강조색6 46 6" xfId="1429" xr:uid="{00000000-0005-0000-0000-0000BC260000}"/>
    <cellStyle name="40% - 강조색6 46 7" xfId="990" xr:uid="{00000000-0005-0000-0000-0000BD260000}"/>
    <cellStyle name="40% - 강조색6 46 8" xfId="2601" xr:uid="{00000000-0005-0000-0000-0000BE260000}"/>
    <cellStyle name="40% - 강조색6 46 9" xfId="2827" xr:uid="{00000000-0005-0000-0000-0000BF260000}"/>
    <cellStyle name="40% - 강조색6 47" xfId="573" xr:uid="{00000000-0005-0000-0000-0000C0260000}"/>
    <cellStyle name="40% - 강조색6 47 10" xfId="4307" xr:uid="{00000000-0005-0000-0000-0000C1260000}"/>
    <cellStyle name="40% - 강조색6 47 11" xfId="4664" xr:uid="{00000000-0005-0000-0000-0000C2260000}"/>
    <cellStyle name="40% - 강조색6 47 12" xfId="5137" xr:uid="{00000000-0005-0000-0000-0000C3260000}"/>
    <cellStyle name="40% - 강조색6 47 13" xfId="5634" xr:uid="{00000000-0005-0000-0000-0000C4260000}"/>
    <cellStyle name="40% - 강조색6 47 14" xfId="3949" xr:uid="{00000000-0005-0000-0000-0000C5260000}"/>
    <cellStyle name="40% - 강조색6 47 15" xfId="5085" xr:uid="{00000000-0005-0000-0000-0000C6260000}"/>
    <cellStyle name="40% - 강조색6 47 16" xfId="6593" xr:uid="{00000000-0005-0000-0000-0000C7260000}"/>
    <cellStyle name="40% - 강조색6 47 17" xfId="7257" xr:uid="{00000000-0005-0000-0000-0000C8260000}"/>
    <cellStyle name="40% - 강조색6 47 18" xfId="7075" xr:uid="{00000000-0005-0000-0000-0000C9260000}"/>
    <cellStyle name="40% - 강조색6 47 19" xfId="2757" xr:uid="{00000000-0005-0000-0000-0000CA260000}"/>
    <cellStyle name="40% - 강조색6 47 2" xfId="1057" xr:uid="{00000000-0005-0000-0000-0000CB260000}"/>
    <cellStyle name="40% - 강조색6 47 20" xfId="8267" xr:uid="{00000000-0005-0000-0000-0000CC260000}"/>
    <cellStyle name="40% - 강조색6 47 21" xfId="8541" xr:uid="{00000000-0005-0000-0000-0000CD260000}"/>
    <cellStyle name="40% - 강조색6 47 22" xfId="8775" xr:uid="{00000000-0005-0000-0000-0000CE260000}"/>
    <cellStyle name="40% - 강조색6 47 23" xfId="9153" xr:uid="{00000000-0005-0000-0000-0000CF260000}"/>
    <cellStyle name="40% - 강조색6 47 24" xfId="3118" xr:uid="{00000000-0005-0000-0000-0000D0260000}"/>
    <cellStyle name="40% - 강조색6 47 25" xfId="1611" xr:uid="{00000000-0005-0000-0000-0000D1260000}"/>
    <cellStyle name="40% - 강조색6 47 26" xfId="4607" xr:uid="{00000000-0005-0000-0000-0000D2260000}"/>
    <cellStyle name="40% - 강조색6 47 27" xfId="10196" xr:uid="{00000000-0005-0000-0000-0000D3260000}"/>
    <cellStyle name="40% - 강조색6 47 28" xfId="10797" xr:uid="{00000000-0005-0000-0000-0000D4260000}"/>
    <cellStyle name="40% - 강조색6 47 29" xfId="11168" xr:uid="{00000000-0005-0000-0000-0000D5260000}"/>
    <cellStyle name="40% - 강조색6 47 3" xfId="2009" xr:uid="{00000000-0005-0000-0000-0000D6260000}"/>
    <cellStyle name="40% - 강조색6 47 30" xfId="11331" xr:uid="{00000000-0005-0000-0000-0000D7260000}"/>
    <cellStyle name="40% - 강조색6 47 31" xfId="11419" xr:uid="{00000000-0005-0000-0000-0000D8260000}"/>
    <cellStyle name="40% - 강조색6 47 32" xfId="11369" xr:uid="{00000000-0005-0000-0000-0000D9260000}"/>
    <cellStyle name="40% - 강조색6 47 33" xfId="11421" xr:uid="{00000000-0005-0000-0000-0000DA260000}"/>
    <cellStyle name="40% - 강조색6 47 4" xfId="2353" xr:uid="{00000000-0005-0000-0000-0000DB260000}"/>
    <cellStyle name="40% - 강조색6 47 5" xfId="931" xr:uid="{00000000-0005-0000-0000-0000DC260000}"/>
    <cellStyle name="40% - 강조색6 47 6" xfId="2475" xr:uid="{00000000-0005-0000-0000-0000DD260000}"/>
    <cellStyle name="40% - 강조색6 47 7" xfId="3139" xr:uid="{00000000-0005-0000-0000-0000DE260000}"/>
    <cellStyle name="40% - 강조색6 47 8" xfId="3565" xr:uid="{00000000-0005-0000-0000-0000DF260000}"/>
    <cellStyle name="40% - 강조색6 47 9" xfId="3928" xr:uid="{00000000-0005-0000-0000-0000E0260000}"/>
    <cellStyle name="40% - 강조색6 48" xfId="1079" xr:uid="{00000000-0005-0000-0000-0000E1260000}"/>
    <cellStyle name="40% - 강조색6 48 10" xfId="4373" xr:uid="{00000000-0005-0000-0000-0000E2260000}"/>
    <cellStyle name="40% - 강조색6 48 11" xfId="3963" xr:uid="{00000000-0005-0000-0000-0000E3260000}"/>
    <cellStyle name="40% - 강조색6 48 12" xfId="5345" xr:uid="{00000000-0005-0000-0000-0000E4260000}"/>
    <cellStyle name="40% - 강조색6 48 13" xfId="4842" xr:uid="{00000000-0005-0000-0000-0000E5260000}"/>
    <cellStyle name="40% - 강조색6 48 14" xfId="5719" xr:uid="{00000000-0005-0000-0000-0000E6260000}"/>
    <cellStyle name="40% - 강조색6 48 15" xfId="5015" xr:uid="{00000000-0005-0000-0000-0000E7260000}"/>
    <cellStyle name="40% - 강조색6 48 16" xfId="6350" xr:uid="{00000000-0005-0000-0000-0000E8260000}"/>
    <cellStyle name="40% - 강조색6 48 17" xfId="6727" xr:uid="{00000000-0005-0000-0000-0000E9260000}"/>
    <cellStyle name="40% - 강조색6 48 18" xfId="6442" xr:uid="{00000000-0005-0000-0000-0000EA260000}"/>
    <cellStyle name="40% - 강조색6 48 19" xfId="7754" xr:uid="{00000000-0005-0000-0000-0000EB260000}"/>
    <cellStyle name="40% - 강조색6 48 2" xfId="1779" xr:uid="{00000000-0005-0000-0000-0000EC260000}"/>
    <cellStyle name="40% - 강조색6 48 20" xfId="7533" xr:uid="{00000000-0005-0000-0000-0000ED260000}"/>
    <cellStyle name="40% - 강조색6 48 21" xfId="8313" xr:uid="{00000000-0005-0000-0000-0000EE260000}"/>
    <cellStyle name="40% - 강조색6 48 22" xfId="8895" xr:uid="{00000000-0005-0000-0000-0000EF260000}"/>
    <cellStyle name="40% - 강조색6 48 23" xfId="9199" xr:uid="{00000000-0005-0000-0000-0000F0260000}"/>
    <cellStyle name="40% - 강조색6 48 24" xfId="9454" xr:uid="{00000000-0005-0000-0000-0000F1260000}"/>
    <cellStyle name="40% - 강조색6 48 25" xfId="9921" xr:uid="{00000000-0005-0000-0000-0000F2260000}"/>
    <cellStyle name="40% - 강조색6 48 26" xfId="6248" xr:uid="{00000000-0005-0000-0000-0000F3260000}"/>
    <cellStyle name="40% - 강조색6 48 27" xfId="6005" xr:uid="{00000000-0005-0000-0000-0000F4260000}"/>
    <cellStyle name="40% - 강조색6 48 28" xfId="10113" xr:uid="{00000000-0005-0000-0000-0000F5260000}"/>
    <cellStyle name="40% - 강조색6 48 29" xfId="9797" xr:uid="{00000000-0005-0000-0000-0000F6260000}"/>
    <cellStyle name="40% - 강조색6 48 3" xfId="1568" xr:uid="{00000000-0005-0000-0000-0000F7260000}"/>
    <cellStyle name="40% - 강조색6 48 4" xfId="2212" xr:uid="{00000000-0005-0000-0000-0000F8260000}"/>
    <cellStyle name="40% - 강조색6 48 5" xfId="2548" xr:uid="{00000000-0005-0000-0000-0000F9260000}"/>
    <cellStyle name="40% - 강조색6 48 6" xfId="2165" xr:uid="{00000000-0005-0000-0000-0000FA260000}"/>
    <cellStyle name="40% - 강조색6 48 7" xfId="3108" xr:uid="{00000000-0005-0000-0000-0000FB260000}"/>
    <cellStyle name="40% - 강조색6 48 8" xfId="964" xr:uid="{00000000-0005-0000-0000-0000FC260000}"/>
    <cellStyle name="40% - 강조색6 48 9" xfId="3074" xr:uid="{00000000-0005-0000-0000-0000FD260000}"/>
    <cellStyle name="40% - 강조색6 49" xfId="1074" xr:uid="{00000000-0005-0000-0000-0000FE260000}"/>
    <cellStyle name="40% - 강조색6 49 10" xfId="2447" xr:uid="{00000000-0005-0000-0000-0000FF260000}"/>
    <cellStyle name="40% - 강조색6 49 11" xfId="4650" xr:uid="{00000000-0005-0000-0000-000000270000}"/>
    <cellStyle name="40% - 강조색6 49 12" xfId="5155" xr:uid="{00000000-0005-0000-0000-000001270000}"/>
    <cellStyle name="40% - 강조색6 49 13" xfId="4945" xr:uid="{00000000-0005-0000-0000-000002270000}"/>
    <cellStyle name="40% - 강조색6 49 14" xfId="5259" xr:uid="{00000000-0005-0000-0000-000003270000}"/>
    <cellStyle name="40% - 강조색6 49 15" xfId="4889" xr:uid="{00000000-0005-0000-0000-000004270000}"/>
    <cellStyle name="40% - 강조색6 49 16" xfId="6578" xr:uid="{00000000-0005-0000-0000-000005270000}"/>
    <cellStyle name="40% - 강조색6 49 17" xfId="7254" xr:uid="{00000000-0005-0000-0000-000006270000}"/>
    <cellStyle name="40% - 강조색6 49 18" xfId="7099" xr:uid="{00000000-0005-0000-0000-000007270000}"/>
    <cellStyle name="40% - 강조색6 49 19" xfId="7782" xr:uid="{00000000-0005-0000-0000-000008270000}"/>
    <cellStyle name="40% - 강조색6 49 2" xfId="1770" xr:uid="{00000000-0005-0000-0000-000009270000}"/>
    <cellStyle name="40% - 강조색6 49 20" xfId="7909" xr:uid="{00000000-0005-0000-0000-00000A270000}"/>
    <cellStyle name="40% - 강조색6 49 21" xfId="8554" xr:uid="{00000000-0005-0000-0000-00000B270000}"/>
    <cellStyle name="40% - 강조색6 49 22" xfId="8977" xr:uid="{00000000-0005-0000-0000-00000C270000}"/>
    <cellStyle name="40% - 강조색6 49 23" xfId="9215" xr:uid="{00000000-0005-0000-0000-00000D270000}"/>
    <cellStyle name="40% - 강조색6 49 24" xfId="9533" xr:uid="{00000000-0005-0000-0000-00000E270000}"/>
    <cellStyle name="40% - 강조색6 49 25" xfId="8968" xr:uid="{00000000-0005-0000-0000-00000F270000}"/>
    <cellStyle name="40% - 강조색6 49 26" xfId="7997" xr:uid="{00000000-0005-0000-0000-000010270000}"/>
    <cellStyle name="40% - 강조색6 49 27" xfId="4546" xr:uid="{00000000-0005-0000-0000-000011270000}"/>
    <cellStyle name="40% - 강조색6 49 28" xfId="10927" xr:uid="{00000000-0005-0000-0000-000012270000}"/>
    <cellStyle name="40% - 강조색6 49 29" xfId="11084" xr:uid="{00000000-0005-0000-0000-000013270000}"/>
    <cellStyle name="40% - 강조색6 49 3" xfId="1438" xr:uid="{00000000-0005-0000-0000-000014270000}"/>
    <cellStyle name="40% - 강조색6 49 4" xfId="789" xr:uid="{00000000-0005-0000-0000-000015270000}"/>
    <cellStyle name="40% - 강조색6 49 5" xfId="1884" xr:uid="{00000000-0005-0000-0000-000016270000}"/>
    <cellStyle name="40% - 강조색6 49 6" xfId="2957" xr:uid="{00000000-0005-0000-0000-000017270000}"/>
    <cellStyle name="40% - 강조색6 49 7" xfId="3165" xr:uid="{00000000-0005-0000-0000-000018270000}"/>
    <cellStyle name="40% - 강조색6 49 8" xfId="1899" xr:uid="{00000000-0005-0000-0000-000019270000}"/>
    <cellStyle name="40% - 강조색6 49 9" xfId="3970" xr:uid="{00000000-0005-0000-0000-00001A270000}"/>
    <cellStyle name="40% - 강조색6 5" xfId="112" xr:uid="{00000000-0005-0000-0000-00001B270000}"/>
    <cellStyle name="40% - 강조색6 50" xfId="1036" xr:uid="{00000000-0005-0000-0000-00001C270000}"/>
    <cellStyle name="40% - 강조색6 50 10" xfId="4257" xr:uid="{00000000-0005-0000-0000-00001D270000}"/>
    <cellStyle name="40% - 강조색6 50 11" xfId="4482" xr:uid="{00000000-0005-0000-0000-00001E270000}"/>
    <cellStyle name="40% - 강조색6 50 12" xfId="5372" xr:uid="{00000000-0005-0000-0000-00001F270000}"/>
    <cellStyle name="40% - 강조색6 50 13" xfId="4162" xr:uid="{00000000-0005-0000-0000-000020270000}"/>
    <cellStyle name="40% - 강조색6 50 14" xfId="4957" xr:uid="{00000000-0005-0000-0000-000021270000}"/>
    <cellStyle name="40% - 강조색6 50 15" xfId="5754" xr:uid="{00000000-0005-0000-0000-000022270000}"/>
    <cellStyle name="40% - 강조색6 50 16" xfId="6586" xr:uid="{00000000-0005-0000-0000-000023270000}"/>
    <cellStyle name="40% - 강조색6 50 17" xfId="7102" xr:uid="{00000000-0005-0000-0000-000024270000}"/>
    <cellStyle name="40% - 강조색6 50 18" xfId="3415" xr:uid="{00000000-0005-0000-0000-000025270000}"/>
    <cellStyle name="40% - 강조색6 50 19" xfId="7669" xr:uid="{00000000-0005-0000-0000-000026270000}"/>
    <cellStyle name="40% - 강조색6 50 2" xfId="1695" xr:uid="{00000000-0005-0000-0000-000027270000}"/>
    <cellStyle name="40% - 강조색6 50 20" xfId="6787" xr:uid="{00000000-0005-0000-0000-000028270000}"/>
    <cellStyle name="40% - 강조색6 50 21" xfId="8012" xr:uid="{00000000-0005-0000-0000-000029270000}"/>
    <cellStyle name="40% - 강조색6 50 22" xfId="8737" xr:uid="{00000000-0005-0000-0000-00002A270000}"/>
    <cellStyle name="40% - 강조색6 50 23" xfId="9363" xr:uid="{00000000-0005-0000-0000-00002B270000}"/>
    <cellStyle name="40% - 강조색6 50 24" xfId="9575" xr:uid="{00000000-0005-0000-0000-00002C270000}"/>
    <cellStyle name="40% - 강조색6 50 25" xfId="4202" xr:uid="{00000000-0005-0000-0000-00002D270000}"/>
    <cellStyle name="40% - 강조색6 50 26" xfId="10314" xr:uid="{00000000-0005-0000-0000-00002E270000}"/>
    <cellStyle name="40% - 강조색6 50 27" xfId="10550" xr:uid="{00000000-0005-0000-0000-00002F270000}"/>
    <cellStyle name="40% - 강조색6 50 28" xfId="10949" xr:uid="{00000000-0005-0000-0000-000030270000}"/>
    <cellStyle name="40% - 강조색6 50 29" xfId="11178" xr:uid="{00000000-0005-0000-0000-000031270000}"/>
    <cellStyle name="40% - 강조색6 50 3" xfId="1436" xr:uid="{00000000-0005-0000-0000-000032270000}"/>
    <cellStyle name="40% - 강조색6 50 4" xfId="2271" xr:uid="{00000000-0005-0000-0000-000033270000}"/>
    <cellStyle name="40% - 강조색6 50 5" xfId="2683" xr:uid="{00000000-0005-0000-0000-000034270000}"/>
    <cellStyle name="40% - 강조색6 50 6" xfId="1952" xr:uid="{00000000-0005-0000-0000-000035270000}"/>
    <cellStyle name="40% - 강조색6 50 7" xfId="3302" xr:uid="{00000000-0005-0000-0000-000036270000}"/>
    <cellStyle name="40% - 강조색6 50 8" xfId="3597" xr:uid="{00000000-0005-0000-0000-000037270000}"/>
    <cellStyle name="40% - 강조색6 50 9" xfId="3734" xr:uid="{00000000-0005-0000-0000-000038270000}"/>
    <cellStyle name="40% - 강조색6 51" xfId="1052" xr:uid="{00000000-0005-0000-0000-000039270000}"/>
    <cellStyle name="40% - 강조색6 51 10" xfId="4074" xr:uid="{00000000-0005-0000-0000-00003A270000}"/>
    <cellStyle name="40% - 강조색6 51 11" xfId="4532" xr:uid="{00000000-0005-0000-0000-00003B270000}"/>
    <cellStyle name="40% - 강조색6 51 12" xfId="5368" xr:uid="{00000000-0005-0000-0000-00003C270000}"/>
    <cellStyle name="40% - 강조색6 51 13" xfId="5421" xr:uid="{00000000-0005-0000-0000-00003D270000}"/>
    <cellStyle name="40% - 강조색6 51 14" xfId="5367" xr:uid="{00000000-0005-0000-0000-00003E270000}"/>
    <cellStyle name="40% - 강조색6 51 15" xfId="4148" xr:uid="{00000000-0005-0000-0000-00003F270000}"/>
    <cellStyle name="40% - 강조색6 51 16" xfId="692" xr:uid="{00000000-0005-0000-0000-000040270000}"/>
    <cellStyle name="40% - 강조색6 51 17" xfId="1553" xr:uid="{00000000-0005-0000-0000-000041270000}"/>
    <cellStyle name="40% - 강조색6 51 18" xfId="6730" xr:uid="{00000000-0005-0000-0000-000042270000}"/>
    <cellStyle name="40% - 강조색6 51 19" xfId="3412" xr:uid="{00000000-0005-0000-0000-000043270000}"/>
    <cellStyle name="40% - 강조색6 51 2" xfId="1729" xr:uid="{00000000-0005-0000-0000-000044270000}"/>
    <cellStyle name="40% - 강조색6 51 20" xfId="4632" xr:uid="{00000000-0005-0000-0000-000045270000}"/>
    <cellStyle name="40% - 강조색6 51 21" xfId="2816" xr:uid="{00000000-0005-0000-0000-000046270000}"/>
    <cellStyle name="40% - 강조색6 51 22" xfId="9004" xr:uid="{00000000-0005-0000-0000-000047270000}"/>
    <cellStyle name="40% - 강조색6 51 23" xfId="8961" xr:uid="{00000000-0005-0000-0000-000048270000}"/>
    <cellStyle name="40% - 강조색6 51 24" xfId="9506" xr:uid="{00000000-0005-0000-0000-000049270000}"/>
    <cellStyle name="40% - 강조색6 51 25" xfId="9970" xr:uid="{00000000-0005-0000-0000-00004A270000}"/>
    <cellStyle name="40% - 강조색6 51 26" xfId="6422" xr:uid="{00000000-0005-0000-0000-00004B270000}"/>
    <cellStyle name="40% - 강조색6 51 27" xfId="9437" xr:uid="{00000000-0005-0000-0000-00004C270000}"/>
    <cellStyle name="40% - 강조색6 51 28" xfId="10986" xr:uid="{00000000-0005-0000-0000-00004D270000}"/>
    <cellStyle name="40% - 강조색6 51 29" xfId="11224" xr:uid="{00000000-0005-0000-0000-00004E270000}"/>
    <cellStyle name="40% - 강조색6 51 3" xfId="937" xr:uid="{00000000-0005-0000-0000-00004F270000}"/>
    <cellStyle name="40% - 강조색6 51 4" xfId="2092" xr:uid="{00000000-0005-0000-0000-000050270000}"/>
    <cellStyle name="40% - 강조색6 51 5" xfId="1620" xr:uid="{00000000-0005-0000-0000-000051270000}"/>
    <cellStyle name="40% - 강조색6 51 6" xfId="2887" xr:uid="{00000000-0005-0000-0000-000052270000}"/>
    <cellStyle name="40% - 강조색6 51 7" xfId="873" xr:uid="{00000000-0005-0000-0000-000053270000}"/>
    <cellStyle name="40% - 강조색6 51 8" xfId="2388" xr:uid="{00000000-0005-0000-0000-000054270000}"/>
    <cellStyle name="40% - 강조색6 51 9" xfId="3834" xr:uid="{00000000-0005-0000-0000-000055270000}"/>
    <cellStyle name="40% - 강조색6 52" xfId="1072" xr:uid="{00000000-0005-0000-0000-000056270000}"/>
    <cellStyle name="40% - 강조색6 52 10" xfId="2396" xr:uid="{00000000-0005-0000-0000-000057270000}"/>
    <cellStyle name="40% - 강조색6 52 11" xfId="2203" xr:uid="{00000000-0005-0000-0000-000058270000}"/>
    <cellStyle name="40% - 강조색6 52 12" xfId="2455" xr:uid="{00000000-0005-0000-0000-000059270000}"/>
    <cellStyle name="40% - 강조색6 52 13" xfId="5352" xr:uid="{00000000-0005-0000-0000-00005A270000}"/>
    <cellStyle name="40% - 강조색6 52 14" xfId="5679" xr:uid="{00000000-0005-0000-0000-00005B270000}"/>
    <cellStyle name="40% - 강조색6 52 15" xfId="2408" xr:uid="{00000000-0005-0000-0000-00005C270000}"/>
    <cellStyle name="40% - 강조색6 52 16" xfId="6548" xr:uid="{00000000-0005-0000-0000-00005D270000}"/>
    <cellStyle name="40% - 강조색6 52 17" xfId="6865" xr:uid="{00000000-0005-0000-0000-00005E270000}"/>
    <cellStyle name="40% - 강조색6 52 18" xfId="3759" xr:uid="{00000000-0005-0000-0000-00005F270000}"/>
    <cellStyle name="40% - 강조색6 52 19" xfId="4126" xr:uid="{00000000-0005-0000-0000-000060270000}"/>
    <cellStyle name="40% - 강조색6 52 2" xfId="1764" xr:uid="{00000000-0005-0000-0000-000061270000}"/>
    <cellStyle name="40% - 강조색6 52 20" xfId="4471" xr:uid="{00000000-0005-0000-0000-000062270000}"/>
    <cellStyle name="40% - 강조색6 52 21" xfId="1981" xr:uid="{00000000-0005-0000-0000-000063270000}"/>
    <cellStyle name="40% - 강조색6 52 22" xfId="8923" xr:uid="{00000000-0005-0000-0000-000064270000}"/>
    <cellStyle name="40% - 강조색6 52 23" xfId="4596" xr:uid="{00000000-0005-0000-0000-000065270000}"/>
    <cellStyle name="40% - 강조색6 52 24" xfId="8126" xr:uid="{00000000-0005-0000-0000-000066270000}"/>
    <cellStyle name="40% - 강조색6 52 25" xfId="9114" xr:uid="{00000000-0005-0000-0000-000067270000}"/>
    <cellStyle name="40% - 강조색6 52 26" xfId="10367" xr:uid="{00000000-0005-0000-0000-000068270000}"/>
    <cellStyle name="40% - 강조색6 52 27" xfId="3149" xr:uid="{00000000-0005-0000-0000-000069270000}"/>
    <cellStyle name="40% - 강조색6 52 28" xfId="4492" xr:uid="{00000000-0005-0000-0000-00006A270000}"/>
    <cellStyle name="40% - 강조색6 52 29" xfId="11046" xr:uid="{00000000-0005-0000-0000-00006B270000}"/>
    <cellStyle name="40% - 강조색6 52 3" xfId="1394" xr:uid="{00000000-0005-0000-0000-00006C270000}"/>
    <cellStyle name="40% - 강조색6 52 4" xfId="2253" xr:uid="{00000000-0005-0000-0000-00006D270000}"/>
    <cellStyle name="40% - 강조색6 52 5" xfId="1885" xr:uid="{00000000-0005-0000-0000-00006E270000}"/>
    <cellStyle name="40% - 강조색6 52 6" xfId="2922" xr:uid="{00000000-0005-0000-0000-00006F270000}"/>
    <cellStyle name="40% - 강조색6 52 7" xfId="3296" xr:uid="{00000000-0005-0000-0000-000070270000}"/>
    <cellStyle name="40% - 강조색6 52 8" xfId="3481" xr:uid="{00000000-0005-0000-0000-000071270000}"/>
    <cellStyle name="40% - 강조색6 52 9" xfId="3993" xr:uid="{00000000-0005-0000-0000-000072270000}"/>
    <cellStyle name="40% - 강조색6 53" xfId="1103" xr:uid="{00000000-0005-0000-0000-000073270000}"/>
    <cellStyle name="40% - 강조색6 53 10" xfId="2110" xr:uid="{00000000-0005-0000-0000-000074270000}"/>
    <cellStyle name="40% - 강조색6 53 11" xfId="4688" xr:uid="{00000000-0005-0000-0000-000075270000}"/>
    <cellStyle name="40% - 강조색6 53 12" xfId="5515" xr:uid="{00000000-0005-0000-0000-000076270000}"/>
    <cellStyle name="40% - 강조색6 53 13" xfId="2755" xr:uid="{00000000-0005-0000-0000-000077270000}"/>
    <cellStyle name="40% - 강조색6 53 14" xfId="2580" xr:uid="{00000000-0005-0000-0000-000078270000}"/>
    <cellStyle name="40% - 강조색6 53 15" xfId="5040" xr:uid="{00000000-0005-0000-0000-000079270000}"/>
    <cellStyle name="40% - 강조색6 53 16" xfId="6251" xr:uid="{00000000-0005-0000-0000-00007A270000}"/>
    <cellStyle name="40% - 강조색6 53 17" xfId="3738" xr:uid="{00000000-0005-0000-0000-00007B270000}"/>
    <cellStyle name="40% - 강조색6 53 18" xfId="7016" xr:uid="{00000000-0005-0000-0000-00007C270000}"/>
    <cellStyle name="40% - 강조색6 53 19" xfId="7727" xr:uid="{00000000-0005-0000-0000-00007D270000}"/>
    <cellStyle name="40% - 강조색6 53 2" xfId="1816" xr:uid="{00000000-0005-0000-0000-00007E270000}"/>
    <cellStyle name="40% - 강조색6 53 20" xfId="1388" xr:uid="{00000000-0005-0000-0000-00007F270000}"/>
    <cellStyle name="40% - 강조색6 53 21" xfId="8628" xr:uid="{00000000-0005-0000-0000-000080270000}"/>
    <cellStyle name="40% - 강조색6 53 22" xfId="4946" xr:uid="{00000000-0005-0000-0000-000081270000}"/>
    <cellStyle name="40% - 강조색6 53 23" xfId="9149" xr:uid="{00000000-0005-0000-0000-000082270000}"/>
    <cellStyle name="40% - 강조색6 53 24" xfId="6912" xr:uid="{00000000-0005-0000-0000-000083270000}"/>
    <cellStyle name="40% - 강조색6 53 25" xfId="9852" xr:uid="{00000000-0005-0000-0000-000084270000}"/>
    <cellStyle name="40% - 강조색6 53 26" xfId="9452" xr:uid="{00000000-0005-0000-0000-000085270000}"/>
    <cellStyle name="40% - 강조색6 53 27" xfId="6178" xr:uid="{00000000-0005-0000-0000-000086270000}"/>
    <cellStyle name="40% - 강조색6 53 28" xfId="10898" xr:uid="{00000000-0005-0000-0000-000087270000}"/>
    <cellStyle name="40% - 강조색6 53 29" xfId="11103" xr:uid="{00000000-0005-0000-0000-000088270000}"/>
    <cellStyle name="40% - 강조색6 53 3" xfId="701" xr:uid="{00000000-0005-0000-0000-000089270000}"/>
    <cellStyle name="40% - 강조색6 53 4" xfId="1534" xr:uid="{00000000-0005-0000-0000-00008A270000}"/>
    <cellStyle name="40% - 강조색6 53 5" xfId="696" xr:uid="{00000000-0005-0000-0000-00008B270000}"/>
    <cellStyle name="40% - 강조색6 53 6" xfId="2387" xr:uid="{00000000-0005-0000-0000-00008C270000}"/>
    <cellStyle name="40% - 강조색6 53 7" xfId="3081" xr:uid="{00000000-0005-0000-0000-00008D270000}"/>
    <cellStyle name="40% - 강조색6 53 8" xfId="3682" xr:uid="{00000000-0005-0000-0000-00008E270000}"/>
    <cellStyle name="40% - 강조색6 53 9" xfId="3855" xr:uid="{00000000-0005-0000-0000-00008F270000}"/>
    <cellStyle name="40% - 강조색6 54" xfId="1446" xr:uid="{00000000-0005-0000-0000-000090270000}"/>
    <cellStyle name="40% - 강조색6 54 10" xfId="4682" xr:uid="{00000000-0005-0000-0000-000091270000}"/>
    <cellStyle name="40% - 강조색6 54 11" xfId="4826" xr:uid="{00000000-0005-0000-0000-000092270000}"/>
    <cellStyle name="40% - 강조색6 54 12" xfId="5836" xr:uid="{00000000-0005-0000-0000-000093270000}"/>
    <cellStyle name="40% - 강조색6 54 13" xfId="5913" xr:uid="{00000000-0005-0000-0000-000094270000}"/>
    <cellStyle name="40% - 강조색6 54 14" xfId="5969" xr:uid="{00000000-0005-0000-0000-000095270000}"/>
    <cellStyle name="40% - 강조색6 54 15" xfId="2132" xr:uid="{00000000-0005-0000-0000-000096270000}"/>
    <cellStyle name="40% - 강조색6 54 16" xfId="6707" xr:uid="{00000000-0005-0000-0000-000097270000}"/>
    <cellStyle name="40% - 강조색6 54 17" xfId="6835" xr:uid="{00000000-0005-0000-0000-000098270000}"/>
    <cellStyle name="40% - 강조색6 54 18" xfId="7775" xr:uid="{00000000-0005-0000-0000-000099270000}"/>
    <cellStyle name="40% - 강조색6 54 19" xfId="8218" xr:uid="{00000000-0005-0000-0000-00009A270000}"/>
    <cellStyle name="40% - 강조색6 54 2" xfId="2081" xr:uid="{00000000-0005-0000-0000-00009B270000}"/>
    <cellStyle name="40% - 강조색6 54 20" xfId="7012" xr:uid="{00000000-0005-0000-0000-00009C270000}"/>
    <cellStyle name="40% - 강조색6 54 21" xfId="8932" xr:uid="{00000000-0005-0000-0000-00009D270000}"/>
    <cellStyle name="40% - 강조색6 54 22" xfId="9380" xr:uid="{00000000-0005-0000-0000-00009E270000}"/>
    <cellStyle name="40% - 강조색6 54 23" xfId="6522" xr:uid="{00000000-0005-0000-0000-00009F270000}"/>
    <cellStyle name="40% - 강조색6 54 24" xfId="2167" xr:uid="{00000000-0005-0000-0000-0000A0270000}"/>
    <cellStyle name="40% - 강조색6 54 25" xfId="7491" xr:uid="{00000000-0005-0000-0000-0000A1270000}"/>
    <cellStyle name="40% - 강조색6 54 26" xfId="10677" xr:uid="{00000000-0005-0000-0000-0000A2270000}"/>
    <cellStyle name="40% - 강조색6 54 27" xfId="9580" xr:uid="{00000000-0005-0000-0000-0000A3270000}"/>
    <cellStyle name="40% - 강조색6 54 28" xfId="11204" xr:uid="{00000000-0005-0000-0000-0000A4270000}"/>
    <cellStyle name="40% - 강조색6 54 3" xfId="2363" xr:uid="{00000000-0005-0000-0000-0000A5270000}"/>
    <cellStyle name="40% - 강조색6 54 4" xfId="2607" xr:uid="{00000000-0005-0000-0000-0000A6270000}"/>
    <cellStyle name="40% - 강조색6 54 5" xfId="2890" xr:uid="{00000000-0005-0000-0000-0000A7270000}"/>
    <cellStyle name="40% - 강조색6 54 6" xfId="795" xr:uid="{00000000-0005-0000-0000-0000A8270000}"/>
    <cellStyle name="40% - 강조색6 54 7" xfId="3487" xr:uid="{00000000-0005-0000-0000-0000A9270000}"/>
    <cellStyle name="40% - 강조색6 54 8" xfId="3996" xr:uid="{00000000-0005-0000-0000-0000AA270000}"/>
    <cellStyle name="40% - 강조색6 54 9" xfId="4337" xr:uid="{00000000-0005-0000-0000-0000AB270000}"/>
    <cellStyle name="40% - 강조색6 55" xfId="2035" xr:uid="{00000000-0005-0000-0000-0000AC270000}"/>
    <cellStyle name="40% - 강조색6 55 10" xfId="5231" xr:uid="{00000000-0005-0000-0000-0000AD270000}"/>
    <cellStyle name="40% - 강조색6 55 11" xfId="3218" xr:uid="{00000000-0005-0000-0000-0000AE270000}"/>
    <cellStyle name="40% - 강조색6 55 12" xfId="5661" xr:uid="{00000000-0005-0000-0000-0000AF270000}"/>
    <cellStyle name="40% - 강조색6 55 13" xfId="1837" xr:uid="{00000000-0005-0000-0000-0000B0270000}"/>
    <cellStyle name="40% - 강조색6 55 14" xfId="6618" xr:uid="{00000000-0005-0000-0000-0000B1270000}"/>
    <cellStyle name="40% - 강조색6 55 15" xfId="3347" xr:uid="{00000000-0005-0000-0000-0000B2270000}"/>
    <cellStyle name="40% - 강조색6 55 16" xfId="4649" xr:uid="{00000000-0005-0000-0000-0000B3270000}"/>
    <cellStyle name="40% - 강조색6 55 17" xfId="7181" xr:uid="{00000000-0005-0000-0000-0000B4270000}"/>
    <cellStyle name="40% - 강조색6 55 18" xfId="3925" xr:uid="{00000000-0005-0000-0000-0000B5270000}"/>
    <cellStyle name="40% - 강조색6 55 19" xfId="7945" xr:uid="{00000000-0005-0000-0000-0000B6270000}"/>
    <cellStyle name="40% - 강조색6 55 2" xfId="2376" xr:uid="{00000000-0005-0000-0000-0000B7270000}"/>
    <cellStyle name="40% - 강조색6 55 20" xfId="2382" xr:uid="{00000000-0005-0000-0000-0000B8270000}"/>
    <cellStyle name="40% - 강조색6 55 21" xfId="1357" xr:uid="{00000000-0005-0000-0000-0000B9270000}"/>
    <cellStyle name="40% - 강조색6 55 22" xfId="4883" xr:uid="{00000000-0005-0000-0000-0000BA270000}"/>
    <cellStyle name="40% - 강조색6 55 23" xfId="9795" xr:uid="{00000000-0005-0000-0000-0000BB270000}"/>
    <cellStyle name="40% - 강조색6 55 24" xfId="10258" xr:uid="{00000000-0005-0000-0000-0000BC270000}"/>
    <cellStyle name="40% - 강조색6 55 25" xfId="6564" xr:uid="{00000000-0005-0000-0000-0000BD270000}"/>
    <cellStyle name="40% - 강조색6 55 26" xfId="9501" xr:uid="{00000000-0005-0000-0000-0000BE270000}"/>
    <cellStyle name="40% - 강조색6 55 27" xfId="11115" xr:uid="{00000000-0005-0000-0000-0000BF270000}"/>
    <cellStyle name="40% - 강조색6 55 3" xfId="2695" xr:uid="{00000000-0005-0000-0000-0000C0270000}"/>
    <cellStyle name="40% - 강조색6 55 4" xfId="3010" xr:uid="{00000000-0005-0000-0000-0000C1270000}"/>
    <cellStyle name="40% - 강조색6 55 5" xfId="1954" xr:uid="{00000000-0005-0000-0000-0000C2270000}"/>
    <cellStyle name="40% - 강조색6 55 6" xfId="1617" xr:uid="{00000000-0005-0000-0000-0000C3270000}"/>
    <cellStyle name="40% - 강조색6 55 7" xfId="3784" xr:uid="{00000000-0005-0000-0000-0000C4270000}"/>
    <cellStyle name="40% - 강조색6 55 8" xfId="4121" xr:uid="{00000000-0005-0000-0000-0000C5270000}"/>
    <cellStyle name="40% - 강조색6 55 9" xfId="4540" xr:uid="{00000000-0005-0000-0000-0000C6270000}"/>
    <cellStyle name="40% - 강조색6 56" xfId="2292" xr:uid="{00000000-0005-0000-0000-0000C7270000}"/>
    <cellStyle name="40% - 강조색6 56 10" xfId="5151" xr:uid="{00000000-0005-0000-0000-0000C8270000}"/>
    <cellStyle name="40% - 강조색6 56 11" xfId="4967" xr:uid="{00000000-0005-0000-0000-0000C9270000}"/>
    <cellStyle name="40% - 강조색6 56 12" xfId="4851" xr:uid="{00000000-0005-0000-0000-0000CA270000}"/>
    <cellStyle name="40% - 강조색6 56 13" xfId="6274" xr:uid="{00000000-0005-0000-0000-0000CB270000}"/>
    <cellStyle name="40% - 강조색6 56 14" xfId="6976" xr:uid="{00000000-0005-0000-0000-0000CC270000}"/>
    <cellStyle name="40% - 강조색6 56 15" xfId="775" xr:uid="{00000000-0005-0000-0000-0000CD270000}"/>
    <cellStyle name="40% - 강조색6 56 16" xfId="7709" xr:uid="{00000000-0005-0000-0000-0000CE270000}"/>
    <cellStyle name="40% - 강조색6 56 17" xfId="8051" xr:uid="{00000000-0005-0000-0000-0000CF270000}"/>
    <cellStyle name="40% - 강조색6 56 18" xfId="8556" xr:uid="{00000000-0005-0000-0000-0000D0270000}"/>
    <cellStyle name="40% - 강조색6 56 19" xfId="8708" xr:uid="{00000000-0005-0000-0000-0000D1270000}"/>
    <cellStyle name="40% - 강조색6 56 2" xfId="2704" xr:uid="{00000000-0005-0000-0000-0000D2270000}"/>
    <cellStyle name="40% - 강조색6 56 20" xfId="9364" xr:uid="{00000000-0005-0000-0000-0000D3270000}"/>
    <cellStyle name="40% - 강조색6 56 21" xfId="7952" xr:uid="{00000000-0005-0000-0000-0000D4270000}"/>
    <cellStyle name="40% - 강조색6 56 22" xfId="2662" xr:uid="{00000000-0005-0000-0000-0000D5270000}"/>
    <cellStyle name="40% - 강조색6 56 23" xfId="8849" xr:uid="{00000000-0005-0000-0000-0000D6270000}"/>
    <cellStyle name="40% - 강조색6 56 24" xfId="10523" xr:uid="{00000000-0005-0000-0000-0000D7270000}"/>
    <cellStyle name="40% - 강조색6 56 25" xfId="8735" xr:uid="{00000000-0005-0000-0000-0000D8270000}"/>
    <cellStyle name="40% - 강조색6 56 26" xfId="11117" xr:uid="{00000000-0005-0000-0000-0000D9270000}"/>
    <cellStyle name="40% - 강조색6 56 3" xfId="3019" xr:uid="{00000000-0005-0000-0000-0000DA270000}"/>
    <cellStyle name="40% - 강조색6 56 4" xfId="3352" xr:uid="{00000000-0005-0000-0000-0000DB270000}"/>
    <cellStyle name="40% - 강조색6 56 5" xfId="2129" xr:uid="{00000000-0005-0000-0000-0000DC270000}"/>
    <cellStyle name="40% - 강조색6 56 6" xfId="3636" xr:uid="{00000000-0005-0000-0000-0000DD270000}"/>
    <cellStyle name="40% - 강조색6 56 7" xfId="4216" xr:uid="{00000000-0005-0000-0000-0000DE270000}"/>
    <cellStyle name="40% - 강조색6 56 8" xfId="4134" xr:uid="{00000000-0005-0000-0000-0000DF270000}"/>
    <cellStyle name="40% - 강조색6 56 9" xfId="1847" xr:uid="{00000000-0005-0000-0000-0000E0270000}"/>
    <cellStyle name="40% - 강조색6 57" xfId="2655" xr:uid="{00000000-0005-0000-0000-0000E1270000}"/>
    <cellStyle name="40% - 강조색6 57 10" xfId="5615" xr:uid="{00000000-0005-0000-0000-0000E2270000}"/>
    <cellStyle name="40% - 강조색6 57 11" xfId="5399" xr:uid="{00000000-0005-0000-0000-0000E3270000}"/>
    <cellStyle name="40% - 강조색6 57 12" xfId="6257" xr:uid="{00000000-0005-0000-0000-0000E4270000}"/>
    <cellStyle name="40% - 강조색6 57 13" xfId="7173" xr:uid="{00000000-0005-0000-0000-0000E5270000}"/>
    <cellStyle name="40% - 강조색6 57 14" xfId="6863" xr:uid="{00000000-0005-0000-0000-0000E6270000}"/>
    <cellStyle name="40% - 강조색6 57 15" xfId="3760" xr:uid="{00000000-0005-0000-0000-0000E7270000}"/>
    <cellStyle name="40% - 강조색6 57 16" xfId="8265" xr:uid="{00000000-0005-0000-0000-0000E8270000}"/>
    <cellStyle name="40% - 강조색6 57 17" xfId="8573" xr:uid="{00000000-0005-0000-0000-0000E9270000}"/>
    <cellStyle name="40% - 강조색6 57 18" xfId="8972" xr:uid="{00000000-0005-0000-0000-0000EA270000}"/>
    <cellStyle name="40% - 강조색6 57 19" xfId="8717" xr:uid="{00000000-0005-0000-0000-0000EB270000}"/>
    <cellStyle name="40% - 강조색6 57 2" xfId="3033" xr:uid="{00000000-0005-0000-0000-0000EC270000}"/>
    <cellStyle name="40% - 강조색6 57 20" xfId="9622" xr:uid="{00000000-0005-0000-0000-0000ED270000}"/>
    <cellStyle name="40% - 강조색6 57 21" xfId="9913" xr:uid="{00000000-0005-0000-0000-0000EE270000}"/>
    <cellStyle name="40% - 강조색6 57 22" xfId="10156" xr:uid="{00000000-0005-0000-0000-0000EF270000}"/>
    <cellStyle name="40% - 강조색6 57 23" xfId="10587" xr:uid="{00000000-0005-0000-0000-0000F0270000}"/>
    <cellStyle name="40% - 강조색6 57 24" xfId="10798" xr:uid="{00000000-0005-0000-0000-0000F1270000}"/>
    <cellStyle name="40% - 강조색6 57 25" xfId="9794" xr:uid="{00000000-0005-0000-0000-0000F2270000}"/>
    <cellStyle name="40% - 강조색6 57 3" xfId="3366" xr:uid="{00000000-0005-0000-0000-0000F3270000}"/>
    <cellStyle name="40% - 강조색6 57 4" xfId="3698" xr:uid="{00000000-0005-0000-0000-0000F4270000}"/>
    <cellStyle name="40% - 강조색6 57 5" xfId="4001" xr:uid="{00000000-0005-0000-0000-0000F5270000}"/>
    <cellStyle name="40% - 강조색6 57 6" xfId="4071" xr:uid="{00000000-0005-0000-0000-0000F6270000}"/>
    <cellStyle name="40% - 강조색6 57 7" xfId="4681" xr:uid="{00000000-0005-0000-0000-0000F7270000}"/>
    <cellStyle name="40% - 강조색6 57 8" xfId="5236" xr:uid="{00000000-0005-0000-0000-0000F8270000}"/>
    <cellStyle name="40% - 강조색6 57 9" xfId="4841" xr:uid="{00000000-0005-0000-0000-0000F9270000}"/>
    <cellStyle name="40% - 강조색6 58" xfId="2952" xr:uid="{00000000-0005-0000-0000-0000FA270000}"/>
    <cellStyle name="40% - 강조색6 58 10" xfId="5597" xr:uid="{00000000-0005-0000-0000-0000FB270000}"/>
    <cellStyle name="40% - 강조색6 58 11" xfId="5995" xr:uid="{00000000-0005-0000-0000-0000FC270000}"/>
    <cellStyle name="40% - 강조색6 58 12" xfId="6840" xr:uid="{00000000-0005-0000-0000-0000FD270000}"/>
    <cellStyle name="40% - 강조색6 58 13" xfId="4990" xr:uid="{00000000-0005-0000-0000-0000FE270000}"/>
    <cellStyle name="40% - 강조색6 58 14" xfId="7733" xr:uid="{00000000-0005-0000-0000-0000FF270000}"/>
    <cellStyle name="40% - 강조색6 58 15" xfId="4824" xr:uid="{00000000-0005-0000-0000-000000280000}"/>
    <cellStyle name="40% - 강조색6 58 16" xfId="8385" xr:uid="{00000000-0005-0000-0000-000001280000}"/>
    <cellStyle name="40% - 강조색6 58 17" xfId="6150" xr:uid="{00000000-0005-0000-0000-000002280000}"/>
    <cellStyle name="40% - 강조색6 58 18" xfId="9353" xr:uid="{00000000-0005-0000-0000-000003280000}"/>
    <cellStyle name="40% - 강조색6 58 19" xfId="9322" xr:uid="{00000000-0005-0000-0000-000004280000}"/>
    <cellStyle name="40% - 강조색6 58 2" xfId="3375" xr:uid="{00000000-0005-0000-0000-000005280000}"/>
    <cellStyle name="40% - 강조색6 58 20" xfId="3311" xr:uid="{00000000-0005-0000-0000-000006280000}"/>
    <cellStyle name="40% - 강조색6 58 21" xfId="10306" xr:uid="{00000000-0005-0000-0000-000007280000}"/>
    <cellStyle name="40% - 강조색6 58 22" xfId="5006" xr:uid="{00000000-0005-0000-0000-000008280000}"/>
    <cellStyle name="40% - 강조색6 58 23" xfId="9643" xr:uid="{00000000-0005-0000-0000-000009280000}"/>
    <cellStyle name="40% - 강조색6 58 24" xfId="11075" xr:uid="{00000000-0005-0000-0000-00000A280000}"/>
    <cellStyle name="40% - 강조색6 58 3" xfId="3708" xr:uid="{00000000-0005-0000-0000-00000B280000}"/>
    <cellStyle name="40% - 강조색6 58 4" xfId="4046" xr:uid="{00000000-0005-0000-0000-00000C280000}"/>
    <cellStyle name="40% - 강조색6 58 5" xfId="4305" xr:uid="{00000000-0005-0000-0000-00000D280000}"/>
    <cellStyle name="40% - 강조색6 58 6" xfId="4743" xr:uid="{00000000-0005-0000-0000-00000E280000}"/>
    <cellStyle name="40% - 강조색6 58 7" xfId="4463" xr:uid="{00000000-0005-0000-0000-00000F280000}"/>
    <cellStyle name="40% - 강조색6 58 8" xfId="5039" xr:uid="{00000000-0005-0000-0000-000010280000}"/>
    <cellStyle name="40% - 강조색6 58 9" xfId="5472" xr:uid="{00000000-0005-0000-0000-000011280000}"/>
    <cellStyle name="40% - 강조색6 59" xfId="3140" xr:uid="{00000000-0005-0000-0000-000012280000}"/>
    <cellStyle name="40% - 강조색6 59 10" xfId="6498" xr:uid="{00000000-0005-0000-0000-000013280000}"/>
    <cellStyle name="40% - 강조색6 59 11" xfId="6898" xr:uid="{00000000-0005-0000-0000-000014280000}"/>
    <cellStyle name="40% - 강조색6 59 12" xfId="6236" xr:uid="{00000000-0005-0000-0000-000015280000}"/>
    <cellStyle name="40% - 강조색6 59 13" xfId="7396" xr:uid="{00000000-0005-0000-0000-000016280000}"/>
    <cellStyle name="40% - 강조색6 59 14" xfId="8088" xr:uid="{00000000-0005-0000-0000-000017280000}"/>
    <cellStyle name="40% - 강조색6 59 15" xfId="8594" xr:uid="{00000000-0005-0000-0000-000018280000}"/>
    <cellStyle name="40% - 강조색6 59 16" xfId="8483" xr:uid="{00000000-0005-0000-0000-000019280000}"/>
    <cellStyle name="40% - 강조색6 59 17" xfId="6391" xr:uid="{00000000-0005-0000-0000-00001A280000}"/>
    <cellStyle name="40% - 강조색6 59 18" xfId="9495" xr:uid="{00000000-0005-0000-0000-00001B280000}"/>
    <cellStyle name="40% - 강조색6 59 19" xfId="8732" xr:uid="{00000000-0005-0000-0000-00001C280000}"/>
    <cellStyle name="40% - 강조색6 59 2" xfId="3716" xr:uid="{00000000-0005-0000-0000-00001D280000}"/>
    <cellStyle name="40% - 강조색6 59 20" xfId="10140" xr:uid="{00000000-0005-0000-0000-00001E280000}"/>
    <cellStyle name="40% - 강조색6 59 21" xfId="5246" xr:uid="{00000000-0005-0000-0000-00001F280000}"/>
    <cellStyle name="40% - 강조색6 59 22" xfId="6119" xr:uid="{00000000-0005-0000-0000-000020280000}"/>
    <cellStyle name="40% - 강조색6 59 23" xfId="8470" xr:uid="{00000000-0005-0000-0000-000021280000}"/>
    <cellStyle name="40% - 강조색6 59 3" xfId="4055" xr:uid="{00000000-0005-0000-0000-000022280000}"/>
    <cellStyle name="40% - 강조색6 59 4" xfId="4391" xr:uid="{00000000-0005-0000-0000-000023280000}"/>
    <cellStyle name="40% - 강조색6 59 5" xfId="4727" xr:uid="{00000000-0005-0000-0000-000024280000}"/>
    <cellStyle name="40% - 강조색6 59 6" xfId="5402" xr:uid="{00000000-0005-0000-0000-000025280000}"/>
    <cellStyle name="40% - 강조색6 59 7" xfId="5802" xr:uid="{00000000-0005-0000-0000-000026280000}"/>
    <cellStyle name="40% - 강조색6 59 8" xfId="5888" xr:uid="{00000000-0005-0000-0000-000027280000}"/>
    <cellStyle name="40% - 강조색6 59 9" xfId="5949" xr:uid="{00000000-0005-0000-0000-000028280000}"/>
    <cellStyle name="40% - 강조색6 6" xfId="125" xr:uid="{00000000-0005-0000-0000-000029280000}"/>
    <cellStyle name="40% - 강조색6 60" xfId="3627" xr:uid="{00000000-0005-0000-0000-00002A280000}"/>
    <cellStyle name="40% - 강조색6 60 10" xfId="7083" xr:uid="{00000000-0005-0000-0000-00002B280000}"/>
    <cellStyle name="40% - 강조색6 60 11" xfId="4431" xr:uid="{00000000-0005-0000-0000-00002C280000}"/>
    <cellStyle name="40% - 강조색6 60 12" xfId="7539" xr:uid="{00000000-0005-0000-0000-00002D280000}"/>
    <cellStyle name="40% - 강조색6 60 13" xfId="8178" xr:uid="{00000000-0005-0000-0000-00002E280000}"/>
    <cellStyle name="40% - 강조색6 60 14" xfId="6414" xr:uid="{00000000-0005-0000-0000-00002F280000}"/>
    <cellStyle name="40% - 강조색6 60 15" xfId="7936" xr:uid="{00000000-0005-0000-0000-000030280000}"/>
    <cellStyle name="40% - 강조색6 60 16" xfId="6339" xr:uid="{00000000-0005-0000-0000-000031280000}"/>
    <cellStyle name="40% - 강조색6 60 17" xfId="9600" xr:uid="{00000000-0005-0000-0000-000032280000}"/>
    <cellStyle name="40% - 강조색6 60 18" xfId="9789" xr:uid="{00000000-0005-0000-0000-000033280000}"/>
    <cellStyle name="40% - 강조색6 60 19" xfId="10358" xr:uid="{00000000-0005-0000-0000-000034280000}"/>
    <cellStyle name="40% - 강조색6 60 2" xfId="4065" xr:uid="{00000000-0005-0000-0000-000035280000}"/>
    <cellStyle name="40% - 강조색6 60 20" xfId="10565" xr:uid="{00000000-0005-0000-0000-000036280000}"/>
    <cellStyle name="40% - 강조색6 60 21" xfId="3914" xr:uid="{00000000-0005-0000-0000-000037280000}"/>
    <cellStyle name="40% - 강조색6 60 22" xfId="11032" xr:uid="{00000000-0005-0000-0000-000038280000}"/>
    <cellStyle name="40% - 강조색6 60 3" xfId="4401" xr:uid="{00000000-0005-0000-0000-000039280000}"/>
    <cellStyle name="40% - 강조색6 60 4" xfId="4754" xr:uid="{00000000-0005-0000-0000-00003A280000}"/>
    <cellStyle name="40% - 강조색6 60 5" xfId="5074" xr:uid="{00000000-0005-0000-0000-00003B280000}"/>
    <cellStyle name="40% - 강조색6 60 6" xfId="2162" xr:uid="{00000000-0005-0000-0000-00003C280000}"/>
    <cellStyle name="40% - 강조색6 60 7" xfId="5593" xr:uid="{00000000-0005-0000-0000-00003D280000}"/>
    <cellStyle name="40% - 강조색6 60 8" xfId="3219" xr:uid="{00000000-0005-0000-0000-00003E280000}"/>
    <cellStyle name="40% - 강조색6 60 9" xfId="6597" xr:uid="{00000000-0005-0000-0000-00003F280000}"/>
    <cellStyle name="40% - 강조색6 61" xfId="3971" xr:uid="{00000000-0005-0000-0000-000040280000}"/>
    <cellStyle name="40% - 강조색6 61 10" xfId="2001" xr:uid="{00000000-0005-0000-0000-000041280000}"/>
    <cellStyle name="40% - 강조색6 61 11" xfId="7773" xr:uid="{00000000-0005-0000-0000-000042280000}"/>
    <cellStyle name="40% - 강조색6 61 12" xfId="8235" xr:uid="{00000000-0005-0000-0000-000043280000}"/>
    <cellStyle name="40% - 강조색6 61 13" xfId="8410" xr:uid="{00000000-0005-0000-0000-000044280000}"/>
    <cellStyle name="40% - 강조색6 61 14" xfId="4542" xr:uid="{00000000-0005-0000-0000-000045280000}"/>
    <cellStyle name="40% - 강조색6 61 15" xfId="7500" xr:uid="{00000000-0005-0000-0000-000046280000}"/>
    <cellStyle name="40% - 강조색6 61 16" xfId="9707" xr:uid="{00000000-0005-0000-0000-000047280000}"/>
    <cellStyle name="40% - 강조색6 61 17" xfId="9105" xr:uid="{00000000-0005-0000-0000-000048280000}"/>
    <cellStyle name="40% - 강조색6 61 18" xfId="9816" xr:uid="{00000000-0005-0000-0000-000049280000}"/>
    <cellStyle name="40% - 강조색6 61 19" xfId="2781" xr:uid="{00000000-0005-0000-0000-00004A280000}"/>
    <cellStyle name="40% - 강조색6 61 2" xfId="4410" xr:uid="{00000000-0005-0000-0000-00004B280000}"/>
    <cellStyle name="40% - 강조색6 61 20" xfId="10882" xr:uid="{00000000-0005-0000-0000-00004C280000}"/>
    <cellStyle name="40% - 강조색6 61 21" xfId="11051" xr:uid="{00000000-0005-0000-0000-00004D280000}"/>
    <cellStyle name="40% - 강조색6 61 3" xfId="4764" xr:uid="{00000000-0005-0000-0000-00004E280000}"/>
    <cellStyle name="40% - 강조색6 61 4" xfId="5678" xr:uid="{00000000-0005-0000-0000-00004F280000}"/>
    <cellStyle name="40% - 강조색6 61 5" xfId="5529" xr:uid="{00000000-0005-0000-0000-000050280000}"/>
    <cellStyle name="40% - 강조색6 61 6" xfId="5297" xr:uid="{00000000-0005-0000-0000-000051280000}"/>
    <cellStyle name="40% - 강조색6 61 7" xfId="1825" xr:uid="{00000000-0005-0000-0000-000052280000}"/>
    <cellStyle name="40% - 강조색6 61 8" xfId="6622" xr:uid="{00000000-0005-0000-0000-000053280000}"/>
    <cellStyle name="40% - 강조색6 61 9" xfId="7129" xr:uid="{00000000-0005-0000-0000-000054280000}"/>
    <cellStyle name="40% - 강조색6 62" xfId="4325" xr:uid="{00000000-0005-0000-0000-000055280000}"/>
    <cellStyle name="40% - 강조색6 62 10" xfId="7726" xr:uid="{00000000-0005-0000-0000-000056280000}"/>
    <cellStyle name="40% - 강조색6 62 11" xfId="8129" xr:uid="{00000000-0005-0000-0000-000057280000}"/>
    <cellStyle name="40% - 강조색6 62 12" xfId="7676" xr:uid="{00000000-0005-0000-0000-000058280000}"/>
    <cellStyle name="40% - 강조색6 62 13" xfId="8317" xr:uid="{00000000-0005-0000-0000-000059280000}"/>
    <cellStyle name="40% - 강조색6 62 14" xfId="9370" xr:uid="{00000000-0005-0000-0000-00005A280000}"/>
    <cellStyle name="40% - 강조색6 62 15" xfId="9710" xr:uid="{00000000-0005-0000-0000-00005B280000}"/>
    <cellStyle name="40% - 강조색6 62 16" xfId="9983" xr:uid="{00000000-0005-0000-0000-00005C280000}"/>
    <cellStyle name="40% - 강조색6 62 17" xfId="10171" xr:uid="{00000000-0005-0000-0000-00005D280000}"/>
    <cellStyle name="40% - 강조색6 62 18" xfId="10454" xr:uid="{00000000-0005-0000-0000-00005E280000}"/>
    <cellStyle name="40% - 강조색6 62 19" xfId="10935" xr:uid="{00000000-0005-0000-0000-00005F280000}"/>
    <cellStyle name="40% - 강조색6 62 2" xfId="4773" xr:uid="{00000000-0005-0000-0000-000060280000}"/>
    <cellStyle name="40% - 강조색6 62 20" xfId="11200" xr:uid="{00000000-0005-0000-0000-000061280000}"/>
    <cellStyle name="40% - 강조색6 62 3" xfId="5744" xr:uid="{00000000-0005-0000-0000-000062280000}"/>
    <cellStyle name="40% - 강조색6 62 4" xfId="5847" xr:uid="{00000000-0005-0000-0000-000063280000}"/>
    <cellStyle name="40% - 강조색6 62 5" xfId="5922" xr:uid="{00000000-0005-0000-0000-000064280000}"/>
    <cellStyle name="40% - 강조색6 62 6" xfId="5972" xr:uid="{00000000-0005-0000-0000-000065280000}"/>
    <cellStyle name="40% - 강조색6 62 7" xfId="6631" xr:uid="{00000000-0005-0000-0000-000066280000}"/>
    <cellStyle name="40% - 강조색6 62 8" xfId="7052" xr:uid="{00000000-0005-0000-0000-000067280000}"/>
    <cellStyle name="40% - 강조색6 62 9" xfId="7297" xr:uid="{00000000-0005-0000-0000-000068280000}"/>
    <cellStyle name="40% - 강조색6 63" xfId="2453" xr:uid="{00000000-0005-0000-0000-000069280000}"/>
    <cellStyle name="40% - 강조색6 63 10" xfId="8148" xr:uid="{00000000-0005-0000-0000-00006A280000}"/>
    <cellStyle name="40% - 강조색6 63 11" xfId="7961" xr:uid="{00000000-0005-0000-0000-00006B280000}"/>
    <cellStyle name="40% - 강조색6 63 12" xfId="7493" xr:uid="{00000000-0005-0000-0000-00006C280000}"/>
    <cellStyle name="40% - 강조색6 63 13" xfId="9306" xr:uid="{00000000-0005-0000-0000-00006D280000}"/>
    <cellStyle name="40% - 강조색6 63 14" xfId="9488" xr:uid="{00000000-0005-0000-0000-00006E280000}"/>
    <cellStyle name="40% - 강조색6 63 15" xfId="9840" xr:uid="{00000000-0005-0000-0000-00006F280000}"/>
    <cellStyle name="40% - 강조색6 63 16" xfId="8345" xr:uid="{00000000-0005-0000-0000-000070280000}"/>
    <cellStyle name="40% - 강조색6 63 17" xfId="10466" xr:uid="{00000000-0005-0000-0000-000071280000}"/>
    <cellStyle name="40% - 강조색6 63 18" xfId="10812" xr:uid="{00000000-0005-0000-0000-000072280000}"/>
    <cellStyle name="40% - 강조색6 63 19" xfId="8559" xr:uid="{00000000-0005-0000-0000-000073280000}"/>
    <cellStyle name="40% - 강조색6 63 2" xfId="4613" xr:uid="{00000000-0005-0000-0000-000074280000}"/>
    <cellStyle name="40% - 강조색6 63 3" xfId="5778" xr:uid="{00000000-0005-0000-0000-000075280000}"/>
    <cellStyle name="40% - 강조색6 63 4" xfId="5870" xr:uid="{00000000-0005-0000-0000-000076280000}"/>
    <cellStyle name="40% - 강조색6 63 5" xfId="5937" xr:uid="{00000000-0005-0000-0000-000077280000}"/>
    <cellStyle name="40% - 강조색6 63 6" xfId="6614" xr:uid="{00000000-0005-0000-0000-000078280000}"/>
    <cellStyle name="40% - 강조색6 63 7" xfId="7280" xr:uid="{00000000-0005-0000-0000-000079280000}"/>
    <cellStyle name="40% - 강조색6 63 8" xfId="7085" xr:uid="{00000000-0005-0000-0000-00007A280000}"/>
    <cellStyle name="40% - 강조색6 63 9" xfId="6456" xr:uid="{00000000-0005-0000-0000-00007B280000}"/>
    <cellStyle name="40% - 강조색6 64" xfId="5011" xr:uid="{00000000-0005-0000-0000-00007C280000}"/>
    <cellStyle name="40% - 강조색6 64 10" xfId="9541" xr:uid="{00000000-0005-0000-0000-00007D280000}"/>
    <cellStyle name="40% - 강조색6 64 11" xfId="9856" xr:uid="{00000000-0005-0000-0000-00007E280000}"/>
    <cellStyle name="40% - 강조색6 64 12" xfId="8714" xr:uid="{00000000-0005-0000-0000-00007F280000}"/>
    <cellStyle name="40% - 강조색6 64 13" xfId="814" xr:uid="{00000000-0005-0000-0000-000080280000}"/>
    <cellStyle name="40% - 강조색6 64 14" xfId="10800" xr:uid="{00000000-0005-0000-0000-000081280000}"/>
    <cellStyle name="40% - 강조색6 64 15" xfId="11222" xr:uid="{00000000-0005-0000-0000-000082280000}"/>
    <cellStyle name="40% - 강조색6 64 2" xfId="6655" xr:uid="{00000000-0005-0000-0000-000083280000}"/>
    <cellStyle name="40% - 강조색6 64 3" xfId="2443" xr:uid="{00000000-0005-0000-0000-000084280000}"/>
    <cellStyle name="40% - 강조색6 64 4" xfId="6866" xr:uid="{00000000-0005-0000-0000-000085280000}"/>
    <cellStyle name="40% - 강조색6 64 5" xfId="1905" xr:uid="{00000000-0005-0000-0000-000086280000}"/>
    <cellStyle name="40% - 강조색6 64 6" xfId="6052" xr:uid="{00000000-0005-0000-0000-000087280000}"/>
    <cellStyle name="40% - 강조색6 64 7" xfId="4888" xr:uid="{00000000-0005-0000-0000-000088280000}"/>
    <cellStyle name="40% - 강조색6 64 8" xfId="8818" xr:uid="{00000000-0005-0000-0000-000089280000}"/>
    <cellStyle name="40% - 강조색6 64 9" xfId="9358" xr:uid="{00000000-0005-0000-0000-00008A280000}"/>
    <cellStyle name="40% - 강조색6 65" xfId="2411" xr:uid="{00000000-0005-0000-0000-00008B280000}"/>
    <cellStyle name="40% - 강조색6 65 10" xfId="9680" xr:uid="{00000000-0005-0000-0000-00008C280000}"/>
    <cellStyle name="40% - 강조색6 65 11" xfId="8883" xr:uid="{00000000-0005-0000-0000-00008D280000}"/>
    <cellStyle name="40% - 강조색6 65 12" xfId="9828" xr:uid="{00000000-0005-0000-0000-00008E280000}"/>
    <cellStyle name="40% - 강조색6 65 13" xfId="10628" xr:uid="{00000000-0005-0000-0000-00008F280000}"/>
    <cellStyle name="40% - 강조색6 65 14" xfId="7820" xr:uid="{00000000-0005-0000-0000-000090280000}"/>
    <cellStyle name="40% - 강조색6 65 15" xfId="7626" xr:uid="{00000000-0005-0000-0000-000091280000}"/>
    <cellStyle name="40% - 강조색6 65 2" xfId="6510" xr:uid="{00000000-0005-0000-0000-000092280000}"/>
    <cellStyle name="40% - 강조색6 65 3" xfId="3402" xr:uid="{00000000-0005-0000-0000-000093280000}"/>
    <cellStyle name="40% - 강조색6 65 4" xfId="7167" xr:uid="{00000000-0005-0000-0000-000094280000}"/>
    <cellStyle name="40% - 강조색6 65 5" xfId="7612" xr:uid="{00000000-0005-0000-0000-000095280000}"/>
    <cellStyle name="40% - 강조색6 65 6" xfId="8258" xr:uid="{00000000-0005-0000-0000-000096280000}"/>
    <cellStyle name="40% - 강조색6 65 7" xfId="8382" xr:uid="{00000000-0005-0000-0000-000097280000}"/>
    <cellStyle name="40% - 강조색6 65 8" xfId="6851" xr:uid="{00000000-0005-0000-0000-000098280000}"/>
    <cellStyle name="40% - 강조색6 65 9" xfId="6734" xr:uid="{00000000-0005-0000-0000-000099280000}"/>
    <cellStyle name="40% - 강조색6 66" xfId="5519" xr:uid="{00000000-0005-0000-0000-00009A280000}"/>
    <cellStyle name="40% - 강조색6 66 10" xfId="8679" xr:uid="{00000000-0005-0000-0000-00009B280000}"/>
    <cellStyle name="40% - 강조색6 66 11" xfId="9869" xr:uid="{00000000-0005-0000-0000-00009C280000}"/>
    <cellStyle name="40% - 강조색6 66 12" xfId="10263" xr:uid="{00000000-0005-0000-0000-00009D280000}"/>
    <cellStyle name="40% - 강조색6 66 13" xfId="7631" xr:uid="{00000000-0005-0000-0000-00009E280000}"/>
    <cellStyle name="40% - 강조색6 66 14" xfId="3894" xr:uid="{00000000-0005-0000-0000-00009F280000}"/>
    <cellStyle name="40% - 강조색6 66 15" xfId="11217" xr:uid="{00000000-0005-0000-0000-0000A0280000}"/>
    <cellStyle name="40% - 강조색6 66 2" xfId="6675" xr:uid="{00000000-0005-0000-0000-0000A1280000}"/>
    <cellStyle name="40% - 강조색6 66 3" xfId="698" xr:uid="{00000000-0005-0000-0000-0000A2280000}"/>
    <cellStyle name="40% - 강조색6 66 4" xfId="2399" xr:uid="{00000000-0005-0000-0000-0000A3280000}"/>
    <cellStyle name="40% - 강조색6 66 5" xfId="7833" xr:uid="{00000000-0005-0000-0000-0000A4280000}"/>
    <cellStyle name="40% - 강조색6 66 6" xfId="7397" xr:uid="{00000000-0005-0000-0000-0000A5280000}"/>
    <cellStyle name="40% - 강조색6 66 7" xfId="8477" xr:uid="{00000000-0005-0000-0000-0000A6280000}"/>
    <cellStyle name="40% - 강조색6 66 8" xfId="4544" xr:uid="{00000000-0005-0000-0000-0000A7280000}"/>
    <cellStyle name="40% - 강조색6 66 9" xfId="9113" xr:uid="{00000000-0005-0000-0000-0000A8280000}"/>
    <cellStyle name="40% - 강조색6 67" xfId="5805" xr:uid="{00000000-0005-0000-0000-0000A9280000}"/>
    <cellStyle name="40% - 강조색6 67 10" xfId="9191" xr:uid="{00000000-0005-0000-0000-0000AA280000}"/>
    <cellStyle name="40% - 강조색6 67 11" xfId="9851" xr:uid="{00000000-0005-0000-0000-0000AB280000}"/>
    <cellStyle name="40% - 강조색6 67 12" xfId="8800" xr:uid="{00000000-0005-0000-0000-0000AC280000}"/>
    <cellStyle name="40% - 강조색6 67 13" xfId="3129" xr:uid="{00000000-0005-0000-0000-0000AD280000}"/>
    <cellStyle name="40% - 강조색6 67 14" xfId="10750" xr:uid="{00000000-0005-0000-0000-0000AE280000}"/>
    <cellStyle name="40% - 강조색6 67 15" xfId="3983" xr:uid="{00000000-0005-0000-0000-0000AF280000}"/>
    <cellStyle name="40% - 강조색6 67 2" xfId="6690" xr:uid="{00000000-0005-0000-0000-0000B0280000}"/>
    <cellStyle name="40% - 강조색6 67 3" xfId="7313" xr:uid="{00000000-0005-0000-0000-0000B1280000}"/>
    <cellStyle name="40% - 강조색6 67 4" xfId="7231" xr:uid="{00000000-0005-0000-0000-0000B2280000}"/>
    <cellStyle name="40% - 강조색6 67 5" xfId="7858" xr:uid="{00000000-0005-0000-0000-0000B3280000}"/>
    <cellStyle name="40% - 강조색6 67 6" xfId="7980" xr:uid="{00000000-0005-0000-0000-0000B4280000}"/>
    <cellStyle name="40% - 강조색6 67 7" xfId="8579" xr:uid="{00000000-0005-0000-0000-0000B5280000}"/>
    <cellStyle name="40% - 강조색6 67 8" xfId="6903" xr:uid="{00000000-0005-0000-0000-0000B6280000}"/>
    <cellStyle name="40% - 강조색6 67 9" xfId="9344" xr:uid="{00000000-0005-0000-0000-0000B7280000}"/>
    <cellStyle name="40% - 강조색6 68" xfId="6511" xr:uid="{00000000-0005-0000-0000-0000B8280000}"/>
    <cellStyle name="40% - 강조색6 68 10" xfId="9474" xr:uid="{00000000-0005-0000-0000-0000B9280000}"/>
    <cellStyle name="40% - 강조색6 68 11" xfId="6900" xr:uid="{00000000-0005-0000-0000-0000BA280000}"/>
    <cellStyle name="40% - 강조색6 68 12" xfId="10657" xr:uid="{00000000-0005-0000-0000-0000BB280000}"/>
    <cellStyle name="40% - 강조색6 68 13" xfId="8379" xr:uid="{00000000-0005-0000-0000-0000BC280000}"/>
    <cellStyle name="40% - 강조색6 68 14" xfId="7574" xr:uid="{00000000-0005-0000-0000-0000BD280000}"/>
    <cellStyle name="40% - 강조색6 68 2" xfId="7357" xr:uid="{00000000-0005-0000-0000-0000BE280000}"/>
    <cellStyle name="40% - 강조색6 68 3" xfId="7384" xr:uid="{00000000-0005-0000-0000-0000BF280000}"/>
    <cellStyle name="40% - 강조색6 68 4" xfId="7873" xr:uid="{00000000-0005-0000-0000-0000C0280000}"/>
    <cellStyle name="40% - 강조색6 68 5" xfId="8142" xr:uid="{00000000-0005-0000-0000-0000C1280000}"/>
    <cellStyle name="40% - 강조색6 68 6" xfId="7956" xr:uid="{00000000-0005-0000-0000-0000C2280000}"/>
    <cellStyle name="40% - 강조색6 68 7" xfId="8839" xr:uid="{00000000-0005-0000-0000-0000C3280000}"/>
    <cellStyle name="40% - 강조색6 68 8" xfId="9240" xr:uid="{00000000-0005-0000-0000-0000C4280000}"/>
    <cellStyle name="40% - 강조색6 68 9" xfId="9697" xr:uid="{00000000-0005-0000-0000-0000C5280000}"/>
    <cellStyle name="40% - 강조색6 69" xfId="7219" xr:uid="{00000000-0005-0000-0000-0000C6280000}"/>
    <cellStyle name="40% - 강조색6 69 10" xfId="10448" xr:uid="{00000000-0005-0000-0000-0000C7280000}"/>
    <cellStyle name="40% - 강조색6 69 11" xfId="10166" xr:uid="{00000000-0005-0000-0000-0000C8280000}"/>
    <cellStyle name="40% - 강조색6 69 12" xfId="7515" xr:uid="{00000000-0005-0000-0000-0000C9280000}"/>
    <cellStyle name="40% - 강조색6 69 2" xfId="7889" xr:uid="{00000000-0005-0000-0000-0000CA280000}"/>
    <cellStyle name="40% - 강조색6 69 3" xfId="8283" xr:uid="{00000000-0005-0000-0000-0000CB280000}"/>
    <cellStyle name="40% - 강조색6 69 4" xfId="8645" xr:uid="{00000000-0005-0000-0000-0000CC280000}"/>
    <cellStyle name="40% - 강조색6 69 5" xfId="8947" xr:uid="{00000000-0005-0000-0000-0000CD280000}"/>
    <cellStyle name="40% - 강조색6 69 6" xfId="9143" xr:uid="{00000000-0005-0000-0000-0000CE280000}"/>
    <cellStyle name="40% - 강조색6 69 7" xfId="6278" xr:uid="{00000000-0005-0000-0000-0000CF280000}"/>
    <cellStyle name="40% - 강조색6 69 8" xfId="2153" xr:uid="{00000000-0005-0000-0000-0000D0280000}"/>
    <cellStyle name="40% - 강조색6 69 9" xfId="10123" xr:uid="{00000000-0005-0000-0000-0000D1280000}"/>
    <cellStyle name="40% - 강조색6 7" xfId="138" xr:uid="{00000000-0005-0000-0000-0000D2280000}"/>
    <cellStyle name="40% - 강조색6 70" xfId="7183" xr:uid="{00000000-0005-0000-0000-0000D3280000}"/>
    <cellStyle name="40% - 강조색6 70 10" xfId="6113" xr:uid="{00000000-0005-0000-0000-0000D4280000}"/>
    <cellStyle name="40% - 강조색6 70 11" xfId="9421" xr:uid="{00000000-0005-0000-0000-0000D5280000}"/>
    <cellStyle name="40% - 강조색6 70 12" xfId="11077" xr:uid="{00000000-0005-0000-0000-0000D6280000}"/>
    <cellStyle name="40% - 강조색6 70 2" xfId="7888" xr:uid="{00000000-0005-0000-0000-0000D7280000}"/>
    <cellStyle name="40% - 강조색6 70 3" xfId="8282" xr:uid="{00000000-0005-0000-0000-0000D8280000}"/>
    <cellStyle name="40% - 강조색6 70 4" xfId="8644" xr:uid="{00000000-0005-0000-0000-0000D9280000}"/>
    <cellStyle name="40% - 강조색6 70 5" xfId="8956" xr:uid="{00000000-0005-0000-0000-0000DA280000}"/>
    <cellStyle name="40% - 강조색6 70 6" xfId="3128" xr:uid="{00000000-0005-0000-0000-0000DB280000}"/>
    <cellStyle name="40% - 강조색6 70 7" xfId="1435" xr:uid="{00000000-0005-0000-0000-0000DC280000}"/>
    <cellStyle name="40% - 강조색6 70 8" xfId="9872" xr:uid="{00000000-0005-0000-0000-0000DD280000}"/>
    <cellStyle name="40% - 강조색6 70 9" xfId="10169" xr:uid="{00000000-0005-0000-0000-0000DE280000}"/>
    <cellStyle name="40% - 강조색6 71" xfId="7655" xr:uid="{00000000-0005-0000-0000-0000DF280000}"/>
    <cellStyle name="40% - 강조색6 71 10" xfId="10770" xr:uid="{00000000-0005-0000-0000-0000E0280000}"/>
    <cellStyle name="40% - 강조색6 71 11" xfId="4432" xr:uid="{00000000-0005-0000-0000-0000E1280000}"/>
    <cellStyle name="40% - 강조색6 71 2" xfId="8296" xr:uid="{00000000-0005-0000-0000-0000E2280000}"/>
    <cellStyle name="40% - 강조색6 71 3" xfId="8658" xr:uid="{00000000-0005-0000-0000-0000E3280000}"/>
    <cellStyle name="40% - 강조색6 71 4" xfId="9022" xr:uid="{00000000-0005-0000-0000-0000E4280000}"/>
    <cellStyle name="40% - 강조색6 71 5" xfId="9203" xr:uid="{00000000-0005-0000-0000-0000E5280000}"/>
    <cellStyle name="40% - 강조색6 71 6" xfId="6464" xr:uid="{00000000-0005-0000-0000-0000E6280000}"/>
    <cellStyle name="40% - 강조색6 71 7" xfId="1912" xr:uid="{00000000-0005-0000-0000-0000E7280000}"/>
    <cellStyle name="40% - 강조색6 71 8" xfId="1416" xr:uid="{00000000-0005-0000-0000-0000E8280000}"/>
    <cellStyle name="40% - 강조색6 71 9" xfId="10461" xr:uid="{00000000-0005-0000-0000-0000E9280000}"/>
    <cellStyle name="40% - 강조색6 72" xfId="8187" xr:uid="{00000000-0005-0000-0000-0000EA280000}"/>
    <cellStyle name="40% - 강조색6 72 10" xfId="1831" xr:uid="{00000000-0005-0000-0000-0000EB280000}"/>
    <cellStyle name="40% - 강조색6 72 2" xfId="8670" xr:uid="{00000000-0005-0000-0000-0000EC280000}"/>
    <cellStyle name="40% - 강조색6 72 3" xfId="9034" xr:uid="{00000000-0005-0000-0000-0000ED280000}"/>
    <cellStyle name="40% - 강조색6 72 4" xfId="9393" xr:uid="{00000000-0005-0000-0000-0000EE280000}"/>
    <cellStyle name="40% - 강조색6 72 5" xfId="9725" xr:uid="{00000000-0005-0000-0000-0000EF280000}"/>
    <cellStyle name="40% - 강조색6 72 6" xfId="9867" xr:uid="{00000000-0005-0000-0000-0000F0280000}"/>
    <cellStyle name="40% - 강조색6 72 7" xfId="10179" xr:uid="{00000000-0005-0000-0000-0000F1280000}"/>
    <cellStyle name="40% - 강조색6 72 8" xfId="6033" xr:uid="{00000000-0005-0000-0000-0000F2280000}"/>
    <cellStyle name="40% - 강조색6 72 9" xfId="10852" xr:uid="{00000000-0005-0000-0000-0000F3280000}"/>
    <cellStyle name="40% - 강조색6 73" xfId="8602" xr:uid="{00000000-0005-0000-0000-0000F4280000}"/>
    <cellStyle name="40% - 강조색6 73 2" xfId="9042" xr:uid="{00000000-0005-0000-0000-0000F5280000}"/>
    <cellStyle name="40% - 강조색6 73 3" xfId="9401" xr:uid="{00000000-0005-0000-0000-0000F6280000}"/>
    <cellStyle name="40% - 강조색6 73 4" xfId="9733" xr:uid="{00000000-0005-0000-0000-0000F7280000}"/>
    <cellStyle name="40% - 강조색6 73 5" xfId="10059" xr:uid="{00000000-0005-0000-0000-0000F8280000}"/>
    <cellStyle name="40% - 강조색6 73 6" xfId="10178" xr:uid="{00000000-0005-0000-0000-0000F9280000}"/>
    <cellStyle name="40% - 강조색6 73 7" xfId="1644" xr:uid="{00000000-0005-0000-0000-0000FA280000}"/>
    <cellStyle name="40% - 강조색6 73 8" xfId="10742" xr:uid="{00000000-0005-0000-0000-0000FB280000}"/>
    <cellStyle name="40% - 강조색6 73 9" xfId="4600" xr:uid="{00000000-0005-0000-0000-0000FC280000}"/>
    <cellStyle name="40% - 강조색6 74" xfId="2089" xr:uid="{00000000-0005-0000-0000-0000FD280000}"/>
    <cellStyle name="40% - 강조색6 74 2" xfId="4852" xr:uid="{00000000-0005-0000-0000-0000FE280000}"/>
    <cellStyle name="40% - 강조색6 74 3" xfId="3774" xr:uid="{00000000-0005-0000-0000-0000FF280000}"/>
    <cellStyle name="40% - 강조색6 74 4" xfId="6288" xr:uid="{00000000-0005-0000-0000-000000290000}"/>
    <cellStyle name="40% - 강조색6 74 5" xfId="10200" xr:uid="{00000000-0005-0000-0000-000001290000}"/>
    <cellStyle name="40% - 강조색6 74 6" xfId="8790" xr:uid="{00000000-0005-0000-0000-000002290000}"/>
    <cellStyle name="40% - 강조색6 74 7" xfId="883" xr:uid="{00000000-0005-0000-0000-000003290000}"/>
    <cellStyle name="40% - 강조색6 74 8" xfId="8305" xr:uid="{00000000-0005-0000-0000-000004290000}"/>
    <cellStyle name="40% - 강조색6 75" xfId="9266" xr:uid="{00000000-0005-0000-0000-000005290000}"/>
    <cellStyle name="40% - 강조색6 75 2" xfId="9752" xr:uid="{00000000-0005-0000-0000-000006290000}"/>
    <cellStyle name="40% - 강조색6 75 3" xfId="10078" xr:uid="{00000000-0005-0000-0000-000007290000}"/>
    <cellStyle name="40% - 강조색6 75 4" xfId="10391" xr:uid="{00000000-0005-0000-0000-000008290000}"/>
    <cellStyle name="40% - 강조색6 75 5" xfId="10700" xr:uid="{00000000-0005-0000-0000-000009290000}"/>
    <cellStyle name="40% - 강조색6 75 6" xfId="10873" xr:uid="{00000000-0005-0000-0000-00000A290000}"/>
    <cellStyle name="40% - 강조색6 75 7" xfId="11240" xr:uid="{00000000-0005-0000-0000-00000B290000}"/>
    <cellStyle name="40% - 강조색6 76" xfId="9463" xr:uid="{00000000-0005-0000-0000-00000C290000}"/>
    <cellStyle name="40% - 강조색6 76 2" xfId="10085" xr:uid="{00000000-0005-0000-0000-00000D290000}"/>
    <cellStyle name="40% - 강조색6 76 3" xfId="10398" xr:uid="{00000000-0005-0000-0000-00000E290000}"/>
    <cellStyle name="40% - 강조색6 76 4" xfId="10707" xr:uid="{00000000-0005-0000-0000-00000F290000}"/>
    <cellStyle name="40% - 강조색6 76 5" xfId="9896" xr:uid="{00000000-0005-0000-0000-000010290000}"/>
    <cellStyle name="40% - 강조색6 76 6" xfId="10189" xr:uid="{00000000-0005-0000-0000-000011290000}"/>
    <cellStyle name="40% - 강조색6 77" xfId="10001" xr:uid="{00000000-0005-0000-0000-000012290000}"/>
    <cellStyle name="40% - 강조색6 77 2" xfId="10412" xr:uid="{00000000-0005-0000-0000-000013290000}"/>
    <cellStyle name="40% - 강조색6 77 3" xfId="10723" xr:uid="{00000000-0005-0000-0000-000014290000}"/>
    <cellStyle name="40% - 강조색6 77 4" xfId="11007" xr:uid="{00000000-0005-0000-0000-000015290000}"/>
    <cellStyle name="40% - 강조색6 77 5" xfId="11283" xr:uid="{00000000-0005-0000-0000-000016290000}"/>
    <cellStyle name="40% - 강조색6 78" xfId="10272" xr:uid="{00000000-0005-0000-0000-000017290000}"/>
    <cellStyle name="40% - 강조색6 78 2" xfId="10726" xr:uid="{00000000-0005-0000-0000-000018290000}"/>
    <cellStyle name="40% - 강조색6 78 3" xfId="11010" xr:uid="{00000000-0005-0000-0000-000019290000}"/>
    <cellStyle name="40% - 강조색6 78 4" xfId="11287" xr:uid="{00000000-0005-0000-0000-00001A290000}"/>
    <cellStyle name="40% - 강조색6 79" xfId="10598" xr:uid="{00000000-0005-0000-0000-00001B290000}"/>
    <cellStyle name="40% - 강조색6 79 2" xfId="11018" xr:uid="{00000000-0005-0000-0000-00001C290000}"/>
    <cellStyle name="40% - 강조색6 79 3" xfId="11296" xr:uid="{00000000-0005-0000-0000-00001D290000}"/>
    <cellStyle name="40% - 강조색6 8" xfId="151" xr:uid="{00000000-0005-0000-0000-00001E290000}"/>
    <cellStyle name="40% - 강조색6 80" xfId="10101" xr:uid="{00000000-0005-0000-0000-00001F290000}"/>
    <cellStyle name="40% - 강조색6 80 2" xfId="11285" xr:uid="{00000000-0005-0000-0000-000020290000}"/>
    <cellStyle name="40% - 강조색6 81" xfId="11187" xr:uid="{00000000-0005-0000-0000-000021290000}"/>
    <cellStyle name="40% - 강조색6 82" xfId="569" xr:uid="{00000000-0005-0000-0000-000022290000}"/>
    <cellStyle name="40% - 강조색6 83" xfId="11417" xr:uid="{00000000-0005-0000-0000-000023290000}"/>
    <cellStyle name="40% - 강조색6 84" xfId="11399" xr:uid="{00000000-0005-0000-0000-000024290000}"/>
    <cellStyle name="40% - 강조색6 85" xfId="11350" xr:uid="{00000000-0005-0000-0000-000025290000}"/>
    <cellStyle name="40% - 강조색6 86" xfId="11449" xr:uid="{00000000-0005-0000-0000-000026290000}"/>
    <cellStyle name="40% - 강조색6 9" xfId="164" xr:uid="{00000000-0005-0000-0000-000027290000}"/>
    <cellStyle name="60% - 강조색1" xfId="23" builtinId="32" customBuiltin="1"/>
    <cellStyle name="60% - 강조색2" xfId="27" builtinId="36" customBuiltin="1"/>
    <cellStyle name="60% - 강조색3" xfId="31" builtinId="40" customBuiltin="1"/>
    <cellStyle name="60% - 강조색4" xfId="35" builtinId="44" customBuiltin="1"/>
    <cellStyle name="60% - 강조색5" xfId="39" builtinId="48" customBuiltin="1"/>
    <cellStyle name="60% - 강조색6" xfId="43" builtinId="52" customBuiltin="1"/>
    <cellStyle name="강조색1" xfId="20" builtinId="29" customBuiltin="1"/>
    <cellStyle name="강조색2" xfId="24" builtinId="33" customBuiltin="1"/>
    <cellStyle name="강조색3" xfId="28" builtinId="37" customBuiltin="1"/>
    <cellStyle name="강조색4" xfId="32" builtinId="41" customBuiltin="1"/>
    <cellStyle name="강조색5" xfId="36" builtinId="45" customBuiltin="1"/>
    <cellStyle name="강조색6" xfId="40" builtinId="49" customBuiltin="1"/>
    <cellStyle name="경고문" xfId="16" builtinId="11" customBuiltin="1"/>
    <cellStyle name="계산" xfId="13" builtinId="22" customBuiltin="1"/>
    <cellStyle name="나쁨" xfId="9" builtinId="27" customBuiltin="1"/>
    <cellStyle name="메모" xfId="17" builtinId="10" customBuiltin="1"/>
    <cellStyle name="메모 10" xfId="183" xr:uid="{00000000-0005-0000-0000-000038290000}"/>
    <cellStyle name="메모 11" xfId="196" xr:uid="{00000000-0005-0000-0000-000039290000}"/>
    <cellStyle name="메모 12" xfId="209" xr:uid="{00000000-0005-0000-0000-00003A290000}"/>
    <cellStyle name="메모 13" xfId="222" xr:uid="{00000000-0005-0000-0000-00003B290000}"/>
    <cellStyle name="메모 14" xfId="235" xr:uid="{00000000-0005-0000-0000-00003C290000}"/>
    <cellStyle name="메모 15" xfId="248" xr:uid="{00000000-0005-0000-0000-00003D290000}"/>
    <cellStyle name="메모 16" xfId="261" xr:uid="{00000000-0005-0000-0000-00003E290000}"/>
    <cellStyle name="메모 17" xfId="274" xr:uid="{00000000-0005-0000-0000-00003F290000}"/>
    <cellStyle name="메모 18" xfId="287" xr:uid="{00000000-0005-0000-0000-000040290000}"/>
    <cellStyle name="메모 19" xfId="300" xr:uid="{00000000-0005-0000-0000-000041290000}"/>
    <cellStyle name="메모 2" xfId="45" xr:uid="{00000000-0005-0000-0000-000042290000}"/>
    <cellStyle name="메모 20" xfId="313" xr:uid="{00000000-0005-0000-0000-000043290000}"/>
    <cellStyle name="메모 21" xfId="326" xr:uid="{00000000-0005-0000-0000-000044290000}"/>
    <cellStyle name="메모 22" xfId="339" xr:uid="{00000000-0005-0000-0000-000045290000}"/>
    <cellStyle name="메모 23" xfId="352" xr:uid="{00000000-0005-0000-0000-000046290000}"/>
    <cellStyle name="메모 24" xfId="365" xr:uid="{00000000-0005-0000-0000-000047290000}"/>
    <cellStyle name="메모 25" xfId="378" xr:uid="{00000000-0005-0000-0000-000048290000}"/>
    <cellStyle name="메모 26" xfId="391" xr:uid="{00000000-0005-0000-0000-000049290000}"/>
    <cellStyle name="메모 27" xfId="404" xr:uid="{00000000-0005-0000-0000-00004A290000}"/>
    <cellStyle name="메모 28" xfId="417" xr:uid="{00000000-0005-0000-0000-00004B290000}"/>
    <cellStyle name="메모 29" xfId="430" xr:uid="{00000000-0005-0000-0000-00004C290000}"/>
    <cellStyle name="메모 3" xfId="66" xr:uid="{00000000-0005-0000-0000-00004D290000}"/>
    <cellStyle name="메모 30" xfId="443" xr:uid="{00000000-0005-0000-0000-00004E290000}"/>
    <cellStyle name="메모 31" xfId="455" xr:uid="{00000000-0005-0000-0000-00004F290000}"/>
    <cellStyle name="메모 32" xfId="467" xr:uid="{00000000-0005-0000-0000-000050290000}"/>
    <cellStyle name="메모 33" xfId="479" xr:uid="{00000000-0005-0000-0000-000051290000}"/>
    <cellStyle name="메모 34" xfId="491" xr:uid="{00000000-0005-0000-0000-000052290000}"/>
    <cellStyle name="메모 35" xfId="502" xr:uid="{00000000-0005-0000-0000-000053290000}"/>
    <cellStyle name="메모 36" xfId="513" xr:uid="{00000000-0005-0000-0000-000054290000}"/>
    <cellStyle name="메모 37" xfId="524" xr:uid="{00000000-0005-0000-0000-000055290000}"/>
    <cellStyle name="메모 38" xfId="533" xr:uid="{00000000-0005-0000-0000-000056290000}"/>
    <cellStyle name="메모 39" xfId="539" xr:uid="{00000000-0005-0000-0000-000057290000}"/>
    <cellStyle name="메모 4" xfId="105" xr:uid="{00000000-0005-0000-0000-000058290000}"/>
    <cellStyle name="메모 40" xfId="543" xr:uid="{00000000-0005-0000-0000-000059290000}"/>
    <cellStyle name="메모 40 10" xfId="3300" xr:uid="{00000000-0005-0000-0000-00005A290000}"/>
    <cellStyle name="메모 40 11" xfId="3440" xr:uid="{00000000-0005-0000-0000-00005B290000}"/>
    <cellStyle name="메모 40 12" xfId="1455" xr:uid="{00000000-0005-0000-0000-00005C290000}"/>
    <cellStyle name="메모 40 13" xfId="1622" xr:uid="{00000000-0005-0000-0000-00005D290000}"/>
    <cellStyle name="메모 40 14" xfId="4566" xr:uid="{00000000-0005-0000-0000-00005E290000}"/>
    <cellStyle name="메모 40 15" xfId="5295" xr:uid="{00000000-0005-0000-0000-00005F290000}"/>
    <cellStyle name="메모 40 16" xfId="5279" xr:uid="{00000000-0005-0000-0000-000060290000}"/>
    <cellStyle name="메모 40 17" xfId="4428" xr:uid="{00000000-0005-0000-0000-000061290000}"/>
    <cellStyle name="메모 40 18" xfId="5566" xr:uid="{00000000-0005-0000-0000-000062290000}"/>
    <cellStyle name="메모 40 19" xfId="3580" xr:uid="{00000000-0005-0000-0000-000063290000}"/>
    <cellStyle name="메모 40 2" xfId="591" xr:uid="{00000000-0005-0000-0000-000064290000}"/>
    <cellStyle name="메모 40 20" xfId="7186" xr:uid="{00000000-0005-0000-0000-000065290000}"/>
    <cellStyle name="메모 40 21" xfId="7028" xr:uid="{00000000-0005-0000-0000-000066290000}"/>
    <cellStyle name="메모 40 22" xfId="7490" xr:uid="{00000000-0005-0000-0000-000067290000}"/>
    <cellStyle name="메모 40 23" xfId="8176" xr:uid="{00000000-0005-0000-0000-000068290000}"/>
    <cellStyle name="메모 40 24" xfId="6009" xr:uid="{00000000-0005-0000-0000-000069290000}"/>
    <cellStyle name="메모 40 25" xfId="7589" xr:uid="{00000000-0005-0000-0000-00006A290000}"/>
    <cellStyle name="메모 40 26" xfId="8713" xr:uid="{00000000-0005-0000-0000-00006B290000}"/>
    <cellStyle name="메모 40 27" xfId="8807" xr:uid="{00000000-0005-0000-0000-00006C290000}"/>
    <cellStyle name="메모 40 28" xfId="9953" xr:uid="{00000000-0005-0000-0000-00006D290000}"/>
    <cellStyle name="메모 40 29" xfId="9479" xr:uid="{00000000-0005-0000-0000-00006E290000}"/>
    <cellStyle name="메모 40 3" xfId="1003" xr:uid="{00000000-0005-0000-0000-00006F290000}"/>
    <cellStyle name="메모 40 30" xfId="10582" xr:uid="{00000000-0005-0000-0000-000070290000}"/>
    <cellStyle name="메모 40 31" xfId="3055" xr:uid="{00000000-0005-0000-0000-000071290000}"/>
    <cellStyle name="메모 40 32" xfId="11029" xr:uid="{00000000-0005-0000-0000-000072290000}"/>
    <cellStyle name="메모 40 33" xfId="11314" xr:uid="{00000000-0005-0000-0000-000073290000}"/>
    <cellStyle name="메모 40 34" xfId="1690" xr:uid="{00000000-0005-0000-0000-000074290000}"/>
    <cellStyle name="메모 40 35" xfId="11381" xr:uid="{00000000-0005-0000-0000-000075290000}"/>
    <cellStyle name="메모 40 36" xfId="11403" xr:uid="{00000000-0005-0000-0000-000076290000}"/>
    <cellStyle name="메모 40 4" xfId="1266" xr:uid="{00000000-0005-0000-0000-000077290000}"/>
    <cellStyle name="메모 40 5" xfId="1653" xr:uid="{00000000-0005-0000-0000-000078290000}"/>
    <cellStyle name="메모 40 6" xfId="871" xr:uid="{00000000-0005-0000-0000-000079290000}"/>
    <cellStyle name="메모 40 7" xfId="2234" xr:uid="{00000000-0005-0000-0000-00007A290000}"/>
    <cellStyle name="메모 40 8" xfId="2571" xr:uid="{00000000-0005-0000-0000-00007B290000}"/>
    <cellStyle name="메모 40 9" xfId="1638" xr:uid="{00000000-0005-0000-0000-00007C290000}"/>
    <cellStyle name="메모 41" xfId="614" xr:uid="{00000000-0005-0000-0000-00007D290000}"/>
    <cellStyle name="메모 41 10" xfId="3309" xr:uid="{00000000-0005-0000-0000-00007E290000}"/>
    <cellStyle name="메모 41 11" xfId="2121" xr:uid="{00000000-0005-0000-0000-00007F290000}"/>
    <cellStyle name="메모 41 12" xfId="3997" xr:uid="{00000000-0005-0000-0000-000080290000}"/>
    <cellStyle name="메모 41 13" xfId="2416" xr:uid="{00000000-0005-0000-0000-000081290000}"/>
    <cellStyle name="메모 41 14" xfId="4616" xr:uid="{00000000-0005-0000-0000-000082290000}"/>
    <cellStyle name="메모 41 15" xfId="911" xr:uid="{00000000-0005-0000-0000-000083290000}"/>
    <cellStyle name="메모 41 16" xfId="5385" xr:uid="{00000000-0005-0000-0000-000084290000}"/>
    <cellStyle name="메모 41 17" xfId="3513" xr:uid="{00000000-0005-0000-0000-000085290000}"/>
    <cellStyle name="메모 41 18" xfId="5603" xr:uid="{00000000-0005-0000-0000-000086290000}"/>
    <cellStyle name="메모 41 19" xfId="6570" xr:uid="{00000000-0005-0000-0000-000087290000}"/>
    <cellStyle name="메모 41 2" xfId="1117" xr:uid="{00000000-0005-0000-0000-000088290000}"/>
    <cellStyle name="메모 41 20" xfId="3662" xr:uid="{00000000-0005-0000-0000-000089290000}"/>
    <cellStyle name="메모 41 21" xfId="7054" xr:uid="{00000000-0005-0000-0000-00008A290000}"/>
    <cellStyle name="메모 41 22" xfId="7847" xr:uid="{00000000-0005-0000-0000-00008B290000}"/>
    <cellStyle name="메모 41 23" xfId="8200" xr:uid="{00000000-0005-0000-0000-00008C290000}"/>
    <cellStyle name="메모 41 24" xfId="8320" xr:uid="{00000000-0005-0000-0000-00008D290000}"/>
    <cellStyle name="메모 41 25" xfId="8983" xr:uid="{00000000-0005-0000-0000-00008E290000}"/>
    <cellStyle name="메모 41 26" xfId="9217" xr:uid="{00000000-0005-0000-0000-00008F290000}"/>
    <cellStyle name="메모 41 27" xfId="7227" xr:uid="{00000000-0005-0000-0000-000090290000}"/>
    <cellStyle name="메모 41 28" xfId="7528" xr:uid="{00000000-0005-0000-0000-000091290000}"/>
    <cellStyle name="메모 41 29" xfId="8987" xr:uid="{00000000-0005-0000-0000-000092290000}"/>
    <cellStyle name="메모 41 3" xfId="1197" xr:uid="{00000000-0005-0000-0000-000093290000}"/>
    <cellStyle name="메모 41 30" xfId="10601" xr:uid="{00000000-0005-0000-0000-000094290000}"/>
    <cellStyle name="메모 41 31" xfId="10885" xr:uid="{00000000-0005-0000-0000-000095290000}"/>
    <cellStyle name="메모 41 32" xfId="11126" xr:uid="{00000000-0005-0000-0000-000096290000}"/>
    <cellStyle name="메모 41 4" xfId="1289" xr:uid="{00000000-0005-0000-0000-000097290000}"/>
    <cellStyle name="메모 41 5" xfId="1650" xr:uid="{00000000-0005-0000-0000-000098290000}"/>
    <cellStyle name="메모 41 6" xfId="1532" xr:uid="{00000000-0005-0000-0000-000099290000}"/>
    <cellStyle name="메모 41 7" xfId="1456" xr:uid="{00000000-0005-0000-0000-00009A290000}"/>
    <cellStyle name="메모 41 8" xfId="2172" xr:uid="{00000000-0005-0000-0000-00009B290000}"/>
    <cellStyle name="메모 41 9" xfId="2871" xr:uid="{00000000-0005-0000-0000-00009C290000}"/>
    <cellStyle name="메모 42" xfId="592" xr:uid="{00000000-0005-0000-0000-00009D290000}"/>
    <cellStyle name="메모 42 10" xfId="3318" xr:uid="{00000000-0005-0000-0000-00009E290000}"/>
    <cellStyle name="메모 42 11" xfId="2109" xr:uid="{00000000-0005-0000-0000-00009F290000}"/>
    <cellStyle name="메모 42 12" xfId="3745" xr:uid="{00000000-0005-0000-0000-0000A0290000}"/>
    <cellStyle name="메모 42 13" xfId="2595" xr:uid="{00000000-0005-0000-0000-0000A1290000}"/>
    <cellStyle name="메모 42 14" xfId="4706" xr:uid="{00000000-0005-0000-0000-0000A2290000}"/>
    <cellStyle name="메모 42 15" xfId="5592" xr:uid="{00000000-0005-0000-0000-0000A3290000}"/>
    <cellStyle name="메모 42 16" xfId="3931" xr:uid="{00000000-0005-0000-0000-0000A4290000}"/>
    <cellStyle name="메모 42 17" xfId="5115" xr:uid="{00000000-0005-0000-0000-0000A5290000}"/>
    <cellStyle name="메모 42 18" xfId="5130" xr:uid="{00000000-0005-0000-0000-0000A6290000}"/>
    <cellStyle name="메모 42 19" xfId="6320" xr:uid="{00000000-0005-0000-0000-0000A7290000}"/>
    <cellStyle name="메모 42 2" xfId="1106" xr:uid="{00000000-0005-0000-0000-0000A8290000}"/>
    <cellStyle name="메모 42 20" xfId="7131" xr:uid="{00000000-0005-0000-0000-0000A9290000}"/>
    <cellStyle name="메모 42 21" xfId="6748" xr:uid="{00000000-0005-0000-0000-0000AA290000}"/>
    <cellStyle name="메모 42 22" xfId="7725" xr:uid="{00000000-0005-0000-0000-0000AB290000}"/>
    <cellStyle name="메모 42 23" xfId="8011" xr:uid="{00000000-0005-0000-0000-0000AC290000}"/>
    <cellStyle name="메모 42 24" xfId="8014" xr:uid="{00000000-0005-0000-0000-0000AD290000}"/>
    <cellStyle name="메모 42 25" xfId="2676" xr:uid="{00000000-0005-0000-0000-0000AE290000}"/>
    <cellStyle name="메모 42 26" xfId="9255" xr:uid="{00000000-0005-0000-0000-0000AF290000}"/>
    <cellStyle name="메모 42 27" xfId="5045" xr:uid="{00000000-0005-0000-0000-0000B0290000}"/>
    <cellStyle name="메모 42 28" xfId="9989" xr:uid="{00000000-0005-0000-0000-0000B1290000}"/>
    <cellStyle name="메모 42 29" xfId="5400" xr:uid="{00000000-0005-0000-0000-0000B2290000}"/>
    <cellStyle name="메모 42 3" xfId="1187" xr:uid="{00000000-0005-0000-0000-0000B3290000}"/>
    <cellStyle name="메모 42 30" xfId="5146" xr:uid="{00000000-0005-0000-0000-0000B4290000}"/>
    <cellStyle name="메모 42 31" xfId="10801" xr:uid="{00000000-0005-0000-0000-0000B5290000}"/>
    <cellStyle name="메모 42 32" xfId="11143" xr:uid="{00000000-0005-0000-0000-0000B6290000}"/>
    <cellStyle name="메모 42 4" xfId="1267" xr:uid="{00000000-0005-0000-0000-0000B7290000}"/>
    <cellStyle name="메모 42 5" xfId="1654" xr:uid="{00000000-0005-0000-0000-0000B8290000}"/>
    <cellStyle name="메모 42 6" xfId="1384" xr:uid="{00000000-0005-0000-0000-0000B9290000}"/>
    <cellStyle name="메모 42 7" xfId="2256" xr:uid="{00000000-0005-0000-0000-0000BA290000}"/>
    <cellStyle name="메모 42 8" xfId="2468" xr:uid="{00000000-0005-0000-0000-0000BB290000}"/>
    <cellStyle name="메모 42 9" xfId="2999" xr:uid="{00000000-0005-0000-0000-0000BC290000}"/>
    <cellStyle name="메모 43" xfId="673" xr:uid="{00000000-0005-0000-0000-0000BD290000}"/>
    <cellStyle name="메모 43 10" xfId="3259" xr:uid="{00000000-0005-0000-0000-0000BE290000}"/>
    <cellStyle name="메모 43 11" xfId="2308" xr:uid="{00000000-0005-0000-0000-0000BF290000}"/>
    <cellStyle name="메모 43 12" xfId="3569" xr:uid="{00000000-0005-0000-0000-0000C0290000}"/>
    <cellStyle name="메모 43 13" xfId="2195" xr:uid="{00000000-0005-0000-0000-0000C1290000}"/>
    <cellStyle name="메모 43 14" xfId="4745" xr:uid="{00000000-0005-0000-0000-0000C2290000}"/>
    <cellStyle name="메모 43 15" xfId="5327" xr:uid="{00000000-0005-0000-0000-0000C3290000}"/>
    <cellStyle name="메모 43 16" xfId="5168" xr:uid="{00000000-0005-0000-0000-0000C4290000}"/>
    <cellStyle name="메모 43 17" xfId="5602" xr:uid="{00000000-0005-0000-0000-0000C5290000}"/>
    <cellStyle name="메모 43 18" xfId="875" xr:uid="{00000000-0005-0000-0000-0000C6290000}"/>
    <cellStyle name="메모 43 19" xfId="6134" xr:uid="{00000000-0005-0000-0000-0000C7290000}"/>
    <cellStyle name="메모 43 2" xfId="1176" xr:uid="{00000000-0005-0000-0000-0000C8290000}"/>
    <cellStyle name="메모 43 20" xfId="5581" xr:uid="{00000000-0005-0000-0000-0000C9290000}"/>
    <cellStyle name="메모 43 21" xfId="7251" xr:uid="{00000000-0005-0000-0000-0000CA290000}"/>
    <cellStyle name="메모 43 22" xfId="7844" xr:uid="{00000000-0005-0000-0000-0000CB290000}"/>
    <cellStyle name="메모 43 23" xfId="8069" xr:uid="{00000000-0005-0000-0000-0000CC290000}"/>
    <cellStyle name="메모 43 24" xfId="6486" xr:uid="{00000000-0005-0000-0000-0000CD290000}"/>
    <cellStyle name="메모 43 25" xfId="8954" xr:uid="{00000000-0005-0000-0000-0000CE290000}"/>
    <cellStyle name="메모 43 26" xfId="9257" xr:uid="{00000000-0005-0000-0000-0000CF290000}"/>
    <cellStyle name="메모 43 27" xfId="9609" xr:uid="{00000000-0005-0000-0000-0000D0290000}"/>
    <cellStyle name="메모 43 28" xfId="9233" xr:uid="{00000000-0005-0000-0000-0000D1290000}"/>
    <cellStyle name="메모 43 29" xfId="6231" xr:uid="{00000000-0005-0000-0000-0000D2290000}"/>
    <cellStyle name="메모 43 3" xfId="1256" xr:uid="{00000000-0005-0000-0000-0000D3290000}"/>
    <cellStyle name="메모 43 30" xfId="6485" xr:uid="{00000000-0005-0000-0000-0000D4290000}"/>
    <cellStyle name="메모 43 31" xfId="10821" xr:uid="{00000000-0005-0000-0000-0000D5290000}"/>
    <cellStyle name="메모 43 32" xfId="11232" xr:uid="{00000000-0005-0000-0000-0000D6290000}"/>
    <cellStyle name="메모 43 4" xfId="1348" xr:uid="{00000000-0005-0000-0000-0000D7290000}"/>
    <cellStyle name="메모 43 5" xfId="1696" xr:uid="{00000000-0005-0000-0000-0000D8290000}"/>
    <cellStyle name="메모 43 6" xfId="1378" xr:uid="{00000000-0005-0000-0000-0000D9290000}"/>
    <cellStyle name="메모 43 7" xfId="690" xr:uid="{00000000-0005-0000-0000-0000DA290000}"/>
    <cellStyle name="메모 43 8" xfId="2634" xr:uid="{00000000-0005-0000-0000-0000DB290000}"/>
    <cellStyle name="메모 43 9" xfId="2976" xr:uid="{00000000-0005-0000-0000-0000DC290000}"/>
    <cellStyle name="메모 44" xfId="611" xr:uid="{00000000-0005-0000-0000-0000DD290000}"/>
    <cellStyle name="메모 44 10" xfId="3328" xr:uid="{00000000-0005-0000-0000-0000DE290000}"/>
    <cellStyle name="메모 44 11" xfId="3579" xr:uid="{00000000-0005-0000-0000-0000DF290000}"/>
    <cellStyle name="메모 44 12" xfId="2763" xr:uid="{00000000-0005-0000-0000-0000E0290000}"/>
    <cellStyle name="메모 44 13" xfId="3263" xr:uid="{00000000-0005-0000-0000-0000E1290000}"/>
    <cellStyle name="메모 44 14" xfId="4700" xr:uid="{00000000-0005-0000-0000-0000E2290000}"/>
    <cellStyle name="메모 44 15" xfId="5433" xr:uid="{00000000-0005-0000-0000-0000E3290000}"/>
    <cellStyle name="메모 44 16" xfId="5782" xr:uid="{00000000-0005-0000-0000-0000E4290000}"/>
    <cellStyle name="메모 44 17" xfId="5872" xr:uid="{00000000-0005-0000-0000-0000E5290000}"/>
    <cellStyle name="메모 44 18" xfId="5939" xr:uid="{00000000-0005-0000-0000-0000E6290000}"/>
    <cellStyle name="메모 44 19" xfId="6523" xr:uid="{00000000-0005-0000-0000-0000E7290000}"/>
    <cellStyle name="메모 44 2" xfId="1114" xr:uid="{00000000-0005-0000-0000-0000E8290000}"/>
    <cellStyle name="메모 44 20" xfId="7123" xr:uid="{00000000-0005-0000-0000-0000E9290000}"/>
    <cellStyle name="메모 44 21" xfId="6173" xr:uid="{00000000-0005-0000-0000-0000EA290000}"/>
    <cellStyle name="메모 44 22" xfId="7440" xr:uid="{00000000-0005-0000-0000-0000EB290000}"/>
    <cellStyle name="메모 44 23" xfId="8191" xr:uid="{00000000-0005-0000-0000-0000EC290000}"/>
    <cellStyle name="메모 44 24" xfId="8406" xr:uid="{00000000-0005-0000-0000-0000ED290000}"/>
    <cellStyle name="메모 44 25" xfId="9012" xr:uid="{00000000-0005-0000-0000-0000EE290000}"/>
    <cellStyle name="메모 44 26" xfId="949" xr:uid="{00000000-0005-0000-0000-0000EF290000}"/>
    <cellStyle name="메모 44 27" xfId="9577" xr:uid="{00000000-0005-0000-0000-0000F0290000}"/>
    <cellStyle name="메모 44 28" xfId="9881" xr:uid="{00000000-0005-0000-0000-0000F1290000}"/>
    <cellStyle name="메모 44 29" xfId="7594" xr:uid="{00000000-0005-0000-0000-0000F2290000}"/>
    <cellStyle name="메모 44 3" xfId="1194" xr:uid="{00000000-0005-0000-0000-0000F3290000}"/>
    <cellStyle name="메모 44 30" xfId="10621" xr:uid="{00000000-0005-0000-0000-0000F4290000}"/>
    <cellStyle name="메모 44 31" xfId="10950" xr:uid="{00000000-0005-0000-0000-0000F5290000}"/>
    <cellStyle name="메모 44 32" xfId="10744" xr:uid="{00000000-0005-0000-0000-0000F6290000}"/>
    <cellStyle name="메모 44 4" xfId="1286" xr:uid="{00000000-0005-0000-0000-0000F7290000}"/>
    <cellStyle name="메모 44 5" xfId="1747" xr:uid="{00000000-0005-0000-0000-0000F8290000}"/>
    <cellStyle name="메모 44 6" xfId="773" xr:uid="{00000000-0005-0000-0000-0000F9290000}"/>
    <cellStyle name="메모 44 7" xfId="2278" xr:uid="{00000000-0005-0000-0000-0000FA290000}"/>
    <cellStyle name="메모 44 8" xfId="2628" xr:uid="{00000000-0005-0000-0000-0000FB290000}"/>
    <cellStyle name="메모 44 9" xfId="2716" xr:uid="{00000000-0005-0000-0000-0000FC290000}"/>
    <cellStyle name="메모 45" xfId="677" xr:uid="{00000000-0005-0000-0000-0000FD290000}"/>
    <cellStyle name="메모 45 10" xfId="3086" xr:uid="{00000000-0005-0000-0000-0000FE290000}"/>
    <cellStyle name="메모 45 11" xfId="2625" xr:uid="{00000000-0005-0000-0000-0000FF290000}"/>
    <cellStyle name="메모 45 12" xfId="2133" xr:uid="{00000000-0005-0000-0000-0000002A0000}"/>
    <cellStyle name="메모 45 13" xfId="2558" xr:uid="{00000000-0005-0000-0000-0000012A0000}"/>
    <cellStyle name="메모 45 14" xfId="3922" xr:uid="{00000000-0005-0000-0000-0000022A0000}"/>
    <cellStyle name="메모 45 15" xfId="5189" xr:uid="{00000000-0005-0000-0000-0000032A0000}"/>
    <cellStyle name="메모 45 16" xfId="2124" xr:uid="{00000000-0005-0000-0000-0000042A0000}"/>
    <cellStyle name="메모 45 17" xfId="5588" xr:uid="{00000000-0005-0000-0000-0000052A0000}"/>
    <cellStyle name="메모 45 18" xfId="5570" xr:uid="{00000000-0005-0000-0000-0000062A0000}"/>
    <cellStyle name="메모 45 19" xfId="6605" xr:uid="{00000000-0005-0000-0000-0000072A0000}"/>
    <cellStyle name="메모 45 2" xfId="1180" xr:uid="{00000000-0005-0000-0000-0000082A0000}"/>
    <cellStyle name="메모 45 20" xfId="7273" xr:uid="{00000000-0005-0000-0000-0000092A0000}"/>
    <cellStyle name="메모 45 21" xfId="6740" xr:uid="{00000000-0005-0000-0000-00000A2A0000}"/>
    <cellStyle name="메모 45 22" xfId="7845" xr:uid="{00000000-0005-0000-0000-00000B2A0000}"/>
    <cellStyle name="메모 45 23" xfId="8271" xr:uid="{00000000-0005-0000-0000-00000C2A0000}"/>
    <cellStyle name="메모 45 24" xfId="3383" xr:uid="{00000000-0005-0000-0000-00000D2A0000}"/>
    <cellStyle name="메모 45 25" xfId="6371" xr:uid="{00000000-0005-0000-0000-00000E2A0000}"/>
    <cellStyle name="메모 45 26" xfId="7640" xr:uid="{00000000-0005-0000-0000-00000F2A0000}"/>
    <cellStyle name="메모 45 27" xfId="1564" xr:uid="{00000000-0005-0000-0000-0000102A0000}"/>
    <cellStyle name="메모 45 28" xfId="10020" xr:uid="{00000000-0005-0000-0000-0000112A0000}"/>
    <cellStyle name="메모 45 29" xfId="10137" xr:uid="{00000000-0005-0000-0000-0000122A0000}"/>
    <cellStyle name="메모 45 3" xfId="1260" xr:uid="{00000000-0005-0000-0000-0000132A0000}"/>
    <cellStyle name="메모 45 30" xfId="10482" xr:uid="{00000000-0005-0000-0000-0000142A0000}"/>
    <cellStyle name="메모 45 31" xfId="6058" xr:uid="{00000000-0005-0000-0000-0000152A0000}"/>
    <cellStyle name="메모 45 32" xfId="10262" xr:uid="{00000000-0005-0000-0000-0000162A0000}"/>
    <cellStyle name="메모 45 4" xfId="1352" xr:uid="{00000000-0005-0000-0000-0000172A0000}"/>
    <cellStyle name="메모 45 5" xfId="1733" xr:uid="{00000000-0005-0000-0000-0000182A0000}"/>
    <cellStyle name="메모 45 6" xfId="2032" xr:uid="{00000000-0005-0000-0000-0000192A0000}"/>
    <cellStyle name="메모 45 7" xfId="2329" xr:uid="{00000000-0005-0000-0000-00001A2A0000}"/>
    <cellStyle name="메모 45 8" xfId="2181" xr:uid="{00000000-0005-0000-0000-00001B2A0000}"/>
    <cellStyle name="메모 45 9" xfId="1392" xr:uid="{00000000-0005-0000-0000-00001C2A0000}"/>
    <cellStyle name="메모 46" xfId="618" xr:uid="{00000000-0005-0000-0000-00001D2A0000}"/>
    <cellStyle name="메모 46 10" xfId="3250" xr:uid="{00000000-0005-0000-0000-00001E2A0000}"/>
    <cellStyle name="메모 46 11" xfId="3550" xr:uid="{00000000-0005-0000-0000-00001F2A0000}"/>
    <cellStyle name="메모 46 12" xfId="748" xr:uid="{00000000-0005-0000-0000-0000202A0000}"/>
    <cellStyle name="메모 46 13" xfId="4339" xr:uid="{00000000-0005-0000-0000-0000212A0000}"/>
    <cellStyle name="메모 46 14" xfId="4203" xr:uid="{00000000-0005-0000-0000-0000222A0000}"/>
    <cellStyle name="메모 46 15" xfId="3047" xr:uid="{00000000-0005-0000-0000-0000232A0000}"/>
    <cellStyle name="메모 46 16" xfId="5466" xr:uid="{00000000-0005-0000-0000-0000242A0000}"/>
    <cellStyle name="메모 46 17" xfId="5419" xr:uid="{00000000-0005-0000-0000-0000252A0000}"/>
    <cellStyle name="메모 46 18" xfId="5610" xr:uid="{00000000-0005-0000-0000-0000262A0000}"/>
    <cellStyle name="메모 46 19" xfId="6408" xr:uid="{00000000-0005-0000-0000-0000272A0000}"/>
    <cellStyle name="메모 46 2" xfId="1121" xr:uid="{00000000-0005-0000-0000-0000282A0000}"/>
    <cellStyle name="메모 46 20" xfId="6857" xr:uid="{00000000-0005-0000-0000-0000292A0000}"/>
    <cellStyle name="메모 46 21" xfId="7255" xr:uid="{00000000-0005-0000-0000-00002A2A0000}"/>
    <cellStyle name="메모 46 22" xfId="7552" xr:uid="{00000000-0005-0000-0000-00002B2A0000}"/>
    <cellStyle name="메모 46 23" xfId="6029" xr:uid="{00000000-0005-0000-0000-00002C2A0000}"/>
    <cellStyle name="메모 46 24" xfId="8609" xr:uid="{00000000-0005-0000-0000-00002D2A0000}"/>
    <cellStyle name="메모 46 25" xfId="8859" xr:uid="{00000000-0005-0000-0000-00002E2A0000}"/>
    <cellStyle name="메모 46 26" xfId="9299" xr:uid="{00000000-0005-0000-0000-00002F2A0000}"/>
    <cellStyle name="메모 46 27" xfId="8458" xr:uid="{00000000-0005-0000-0000-0000302A0000}"/>
    <cellStyle name="메모 46 28" xfId="6233" xr:uid="{00000000-0005-0000-0000-0000312A0000}"/>
    <cellStyle name="메모 46 29" xfId="10337" xr:uid="{00000000-0005-0000-0000-0000322A0000}"/>
    <cellStyle name="메모 46 3" xfId="1201" xr:uid="{00000000-0005-0000-0000-0000332A0000}"/>
    <cellStyle name="메모 46 30" xfId="10531" xr:uid="{00000000-0005-0000-0000-0000342A0000}"/>
    <cellStyle name="메모 46 31" xfId="10802" xr:uid="{00000000-0005-0000-0000-0000352A0000}"/>
    <cellStyle name="메모 46 32" xfId="3426" xr:uid="{00000000-0005-0000-0000-0000362A0000}"/>
    <cellStyle name="메모 46 4" xfId="1293" xr:uid="{00000000-0005-0000-0000-0000372A0000}"/>
    <cellStyle name="메모 46 5" xfId="1789" xr:uid="{00000000-0005-0000-0000-0000382A0000}"/>
    <cellStyle name="메모 46 6" xfId="2066" xr:uid="{00000000-0005-0000-0000-0000392A0000}"/>
    <cellStyle name="메모 46 7" xfId="2264" xr:uid="{00000000-0005-0000-0000-00003A2A0000}"/>
    <cellStyle name="메모 46 8" xfId="901" xr:uid="{00000000-0005-0000-0000-00003B2A0000}"/>
    <cellStyle name="메모 46 9" xfId="2929" xr:uid="{00000000-0005-0000-0000-00003C2A0000}"/>
    <cellStyle name="메모 47" xfId="544" xr:uid="{00000000-0005-0000-0000-00003D2A0000}"/>
    <cellStyle name="메모 47 10" xfId="2183" xr:uid="{00000000-0005-0000-0000-00003E2A0000}"/>
    <cellStyle name="메모 47 11" xfId="4524" xr:uid="{00000000-0005-0000-0000-00003F2A0000}"/>
    <cellStyle name="메모 47 12" xfId="2422" xr:uid="{00000000-0005-0000-0000-0000402A0000}"/>
    <cellStyle name="메모 47 13" xfId="4994" xr:uid="{00000000-0005-0000-0000-0000412A0000}"/>
    <cellStyle name="메모 47 14" xfId="5528" xr:uid="{00000000-0005-0000-0000-0000422A0000}"/>
    <cellStyle name="메모 47 15" xfId="3232" xr:uid="{00000000-0005-0000-0000-0000432A0000}"/>
    <cellStyle name="메모 47 16" xfId="6403" xr:uid="{00000000-0005-0000-0000-0000442A0000}"/>
    <cellStyle name="메모 47 17" xfId="3823" xr:uid="{00000000-0005-0000-0000-0000452A0000}"/>
    <cellStyle name="메모 47 18" xfId="7036" xr:uid="{00000000-0005-0000-0000-0000462A0000}"/>
    <cellStyle name="메모 47 19" xfId="7815" xr:uid="{00000000-0005-0000-0000-0000472A0000}"/>
    <cellStyle name="메모 47 2" xfId="1087" xr:uid="{00000000-0005-0000-0000-0000482A0000}"/>
    <cellStyle name="메모 47 20" xfId="2126" xr:uid="{00000000-0005-0000-0000-0000492A0000}"/>
    <cellStyle name="메모 47 21" xfId="5369" xr:uid="{00000000-0005-0000-0000-00004A2A0000}"/>
    <cellStyle name="메모 47 22" xfId="1919" xr:uid="{00000000-0005-0000-0000-00004B2A0000}"/>
    <cellStyle name="메모 47 23" xfId="9132" xr:uid="{00000000-0005-0000-0000-00004C2A0000}"/>
    <cellStyle name="메모 47 24" xfId="968" xr:uid="{00000000-0005-0000-0000-00004D2A0000}"/>
    <cellStyle name="메모 47 25" xfId="10041" xr:uid="{00000000-0005-0000-0000-00004E2A0000}"/>
    <cellStyle name="메모 47 26" xfId="1391" xr:uid="{00000000-0005-0000-0000-00004F2A0000}"/>
    <cellStyle name="메모 47 27" xfId="10544" xr:uid="{00000000-0005-0000-0000-0000502A0000}"/>
    <cellStyle name="메모 47 28" xfId="963" xr:uid="{00000000-0005-0000-0000-0000512A0000}"/>
    <cellStyle name="메모 47 29" xfId="11069" xr:uid="{00000000-0005-0000-0000-0000522A0000}"/>
    <cellStyle name="메모 47 3" xfId="2017" xr:uid="{00000000-0005-0000-0000-0000532A0000}"/>
    <cellStyle name="메모 47 30" xfId="11337" xr:uid="{00000000-0005-0000-0000-0000542A0000}"/>
    <cellStyle name="메모 47 31" xfId="11383" xr:uid="{00000000-0005-0000-0000-0000552A0000}"/>
    <cellStyle name="메모 47 32" xfId="11385" xr:uid="{00000000-0005-0000-0000-0000562A0000}"/>
    <cellStyle name="메모 47 33" xfId="11363" xr:uid="{00000000-0005-0000-0000-0000572A0000}"/>
    <cellStyle name="메모 47 4" xfId="2257" xr:uid="{00000000-0005-0000-0000-0000582A0000}"/>
    <cellStyle name="메모 47 5" xfId="1967" xr:uid="{00000000-0005-0000-0000-0000592A0000}"/>
    <cellStyle name="메모 47 6" xfId="2860" xr:uid="{00000000-0005-0000-0000-00005A2A0000}"/>
    <cellStyle name="메모 47 7" xfId="3339" xr:uid="{00000000-0005-0000-0000-00005B2A0000}"/>
    <cellStyle name="메모 47 8" xfId="3581" xr:uid="{00000000-0005-0000-0000-00005C2A0000}"/>
    <cellStyle name="메모 47 9" xfId="3985" xr:uid="{00000000-0005-0000-0000-00005D2A0000}"/>
    <cellStyle name="메모 48" xfId="1089" xr:uid="{00000000-0005-0000-0000-00005E2A0000}"/>
    <cellStyle name="메모 48 10" xfId="2812" xr:uid="{00000000-0005-0000-0000-00005F2A0000}"/>
    <cellStyle name="메모 48 11" xfId="4657" xr:uid="{00000000-0005-0000-0000-0000602A0000}"/>
    <cellStyle name="메모 48 12" xfId="2743" xr:uid="{00000000-0005-0000-0000-0000612A0000}"/>
    <cellStyle name="메모 48 13" xfId="5478" xr:uid="{00000000-0005-0000-0000-0000622A0000}"/>
    <cellStyle name="메모 48 14" xfId="5834" xr:uid="{00000000-0005-0000-0000-0000632A0000}"/>
    <cellStyle name="메모 48 15" xfId="5911" xr:uid="{00000000-0005-0000-0000-0000642A0000}"/>
    <cellStyle name="메모 48 16" xfId="1449" xr:uid="{00000000-0005-0000-0000-0000652A0000}"/>
    <cellStyle name="메모 48 17" xfId="6797" xr:uid="{00000000-0005-0000-0000-0000662A0000}"/>
    <cellStyle name="메모 48 18" xfId="7017" xr:uid="{00000000-0005-0000-0000-0000672A0000}"/>
    <cellStyle name="메모 48 19" xfId="7563" xr:uid="{00000000-0005-0000-0000-0000682A0000}"/>
    <cellStyle name="메모 48 2" xfId="1797" xr:uid="{00000000-0005-0000-0000-0000692A0000}"/>
    <cellStyle name="메모 48 20" xfId="8044" xr:uid="{00000000-0005-0000-0000-00006A2A0000}"/>
    <cellStyle name="메모 48 21" xfId="1877" xr:uid="{00000000-0005-0000-0000-00006B2A0000}"/>
    <cellStyle name="메모 48 22" xfId="4581" xr:uid="{00000000-0005-0000-0000-00006C2A0000}"/>
    <cellStyle name="메모 48 23" xfId="9262" xr:uid="{00000000-0005-0000-0000-00006D2A0000}"/>
    <cellStyle name="메모 48 24" xfId="6022" xr:uid="{00000000-0005-0000-0000-00006E2A0000}"/>
    <cellStyle name="메모 48 25" xfId="9833" xr:uid="{00000000-0005-0000-0000-00006F2A0000}"/>
    <cellStyle name="메모 48 26" xfId="10134" xr:uid="{00000000-0005-0000-0000-0000702A0000}"/>
    <cellStyle name="메모 48 27" xfId="8816" xr:uid="{00000000-0005-0000-0000-0000712A0000}"/>
    <cellStyle name="메모 48 28" xfId="10781" xr:uid="{00000000-0005-0000-0000-0000722A0000}"/>
    <cellStyle name="메모 48 29" xfId="11271" xr:uid="{00000000-0005-0000-0000-0000732A0000}"/>
    <cellStyle name="메모 48 3" xfId="2074" xr:uid="{00000000-0005-0000-0000-0000742A0000}"/>
    <cellStyle name="메모 48 4" xfId="2192" xr:uid="{00000000-0005-0000-0000-0000752A0000}"/>
    <cellStyle name="메모 48 5" xfId="1628" xr:uid="{00000000-0005-0000-0000-0000762A0000}"/>
    <cellStyle name="메모 48 6" xfId="2739" xr:uid="{00000000-0005-0000-0000-0000772A0000}"/>
    <cellStyle name="메모 48 7" xfId="716" xr:uid="{00000000-0005-0000-0000-0000782A0000}"/>
    <cellStyle name="메모 48 8" xfId="3527" xr:uid="{00000000-0005-0000-0000-0000792A0000}"/>
    <cellStyle name="메모 48 9" xfId="1947" xr:uid="{00000000-0005-0000-0000-00007A2A0000}"/>
    <cellStyle name="메모 49" xfId="1091" xr:uid="{00000000-0005-0000-0000-00007B2A0000}"/>
    <cellStyle name="메모 49 10" xfId="2448" xr:uid="{00000000-0005-0000-0000-00007C2A0000}"/>
    <cellStyle name="메모 49 11" xfId="4712" xr:uid="{00000000-0005-0000-0000-00007D2A0000}"/>
    <cellStyle name="메모 49 12" xfId="2237" xr:uid="{00000000-0005-0000-0000-00007E2A0000}"/>
    <cellStyle name="메모 49 13" xfId="4801" xr:uid="{00000000-0005-0000-0000-00007F2A0000}"/>
    <cellStyle name="메모 49 14" xfId="5387" xr:uid="{00000000-0005-0000-0000-0000802A0000}"/>
    <cellStyle name="메모 49 15" xfId="5338" xr:uid="{00000000-0005-0000-0000-0000812A0000}"/>
    <cellStyle name="메모 49 16" xfId="6250" xr:uid="{00000000-0005-0000-0000-0000822A0000}"/>
    <cellStyle name="메모 49 17" xfId="6195" xr:uid="{00000000-0005-0000-0000-0000832A0000}"/>
    <cellStyle name="메모 49 18" xfId="7331" xr:uid="{00000000-0005-0000-0000-0000842A0000}"/>
    <cellStyle name="메모 49 19" xfId="7522" xr:uid="{00000000-0005-0000-0000-0000852A0000}"/>
    <cellStyle name="메모 49 2" xfId="1801" xr:uid="{00000000-0005-0000-0000-0000862A0000}"/>
    <cellStyle name="메모 49 20" xfId="3589" xr:uid="{00000000-0005-0000-0000-0000872A0000}"/>
    <cellStyle name="메모 49 21" xfId="8338" xr:uid="{00000000-0005-0000-0000-0000882A0000}"/>
    <cellStyle name="메모 49 22" xfId="8949" xr:uid="{00000000-0005-0000-0000-0000892A0000}"/>
    <cellStyle name="메모 49 23" xfId="9058" xr:uid="{00000000-0005-0000-0000-00008A2A0000}"/>
    <cellStyle name="메모 49 24" xfId="9627" xr:uid="{00000000-0005-0000-0000-00008B2A0000}"/>
    <cellStyle name="메모 49 25" xfId="8792" xr:uid="{00000000-0005-0000-0000-00008C2A0000}"/>
    <cellStyle name="메모 49 26" xfId="10110" xr:uid="{00000000-0005-0000-0000-00008D2A0000}"/>
    <cellStyle name="메모 49 27" xfId="10571" xr:uid="{00000000-0005-0000-0000-00008E2A0000}"/>
    <cellStyle name="메모 49 28" xfId="10556" xr:uid="{00000000-0005-0000-0000-00008F2A0000}"/>
    <cellStyle name="메모 49 29" xfId="6305" xr:uid="{00000000-0005-0000-0000-0000902A0000}"/>
    <cellStyle name="메모 49 3" xfId="2028" xr:uid="{00000000-0005-0000-0000-0000912A0000}"/>
    <cellStyle name="메모 49 4" xfId="2326" xr:uid="{00000000-0005-0000-0000-0000922A0000}"/>
    <cellStyle name="메모 49 5" xfId="1370" xr:uid="{00000000-0005-0000-0000-0000932A0000}"/>
    <cellStyle name="메모 49 6" xfId="2801" xr:uid="{00000000-0005-0000-0000-0000942A0000}"/>
    <cellStyle name="메모 49 7" xfId="3190" xr:uid="{00000000-0005-0000-0000-0000952A0000}"/>
    <cellStyle name="메모 49 8" xfId="3533" xr:uid="{00000000-0005-0000-0000-0000962A0000}"/>
    <cellStyle name="메모 49 9" xfId="3920" xr:uid="{00000000-0005-0000-0000-0000972A0000}"/>
    <cellStyle name="메모 5" xfId="118" xr:uid="{00000000-0005-0000-0000-0000982A0000}"/>
    <cellStyle name="메모 50" xfId="1001" xr:uid="{00000000-0005-0000-0000-0000992A0000}"/>
    <cellStyle name="메모 50 10" xfId="4140" xr:uid="{00000000-0005-0000-0000-00009A2A0000}"/>
    <cellStyle name="메모 50 11" xfId="4449" xr:uid="{00000000-0005-0000-0000-00009B2A0000}"/>
    <cellStyle name="메모 50 12" xfId="5103" xr:uid="{00000000-0005-0000-0000-00009C2A0000}"/>
    <cellStyle name="메모 50 13" xfId="1470" xr:uid="{00000000-0005-0000-0000-00009D2A0000}"/>
    <cellStyle name="메모 50 14" xfId="5290" xr:uid="{00000000-0005-0000-0000-00009E2A0000}"/>
    <cellStyle name="메모 50 15" xfId="3512" xr:uid="{00000000-0005-0000-0000-00009F2A0000}"/>
    <cellStyle name="메모 50 16" xfId="6312" xr:uid="{00000000-0005-0000-0000-0000A02A0000}"/>
    <cellStyle name="메모 50 17" xfId="6749" xr:uid="{00000000-0005-0000-0000-0000A12A0000}"/>
    <cellStyle name="메모 50 18" xfId="5991" xr:uid="{00000000-0005-0000-0000-0000A22A0000}"/>
    <cellStyle name="메모 50 19" xfId="7580" xr:uid="{00000000-0005-0000-0000-0000A32A0000}"/>
    <cellStyle name="메모 50 2" xfId="1651" xr:uid="{00000000-0005-0000-0000-0000A42A0000}"/>
    <cellStyle name="메모 50 20" xfId="8186" xr:uid="{00000000-0005-0000-0000-0000A52A0000}"/>
    <cellStyle name="메모 50 21" xfId="6007" xr:uid="{00000000-0005-0000-0000-0000A62A0000}"/>
    <cellStyle name="메모 50 22" xfId="4975" xr:uid="{00000000-0005-0000-0000-0000A72A0000}"/>
    <cellStyle name="메모 50 23" xfId="7717" xr:uid="{00000000-0005-0000-0000-0000A82A0000}"/>
    <cellStyle name="메모 50 24" xfId="8022" xr:uid="{00000000-0005-0000-0000-0000A92A0000}"/>
    <cellStyle name="메모 50 25" xfId="9909" xr:uid="{00000000-0005-0000-0000-0000AA2A0000}"/>
    <cellStyle name="메모 50 26" xfId="10105" xr:uid="{00000000-0005-0000-0000-0000AB2A0000}"/>
    <cellStyle name="메모 50 27" xfId="9583" xr:uid="{00000000-0005-0000-0000-0000AC2A0000}"/>
    <cellStyle name="메모 50 28" xfId="10755" xr:uid="{00000000-0005-0000-0000-0000AD2A0000}"/>
    <cellStyle name="메모 50 29" xfId="11053" xr:uid="{00000000-0005-0000-0000-0000AE2A0000}"/>
    <cellStyle name="메모 50 3" xfId="1451" xr:uid="{00000000-0005-0000-0000-0000AF2A0000}"/>
    <cellStyle name="메모 50 4" xfId="1488" xr:uid="{00000000-0005-0000-0000-0000B02A0000}"/>
    <cellStyle name="메모 50 5" xfId="2503" xr:uid="{00000000-0005-0000-0000-0000B12A0000}"/>
    <cellStyle name="메모 50 6" xfId="2884" xr:uid="{00000000-0005-0000-0000-0000B22A0000}"/>
    <cellStyle name="메모 50 7" xfId="694" xr:uid="{00000000-0005-0000-0000-0000B32A0000}"/>
    <cellStyle name="메모 50 8" xfId="3600" xr:uid="{00000000-0005-0000-0000-0000B42A0000}"/>
    <cellStyle name="메모 50 9" xfId="3984" xr:uid="{00000000-0005-0000-0000-0000B52A0000}"/>
    <cellStyle name="메모 51" xfId="1000" xr:uid="{00000000-0005-0000-0000-0000B62A0000}"/>
    <cellStyle name="메모 51 10" xfId="4133" xr:uid="{00000000-0005-0000-0000-0000B72A0000}"/>
    <cellStyle name="메모 51 11" xfId="4568" xr:uid="{00000000-0005-0000-0000-0000B82A0000}"/>
    <cellStyle name="메모 51 12" xfId="4746" xr:uid="{00000000-0005-0000-0000-0000B92A0000}"/>
    <cellStyle name="메모 51 13" xfId="5621" xr:uid="{00000000-0005-0000-0000-0000BA2A0000}"/>
    <cellStyle name="메모 51 14" xfId="3786" xr:uid="{00000000-0005-0000-0000-0000BB2A0000}"/>
    <cellStyle name="메모 51 15" xfId="5284" xr:uid="{00000000-0005-0000-0000-0000BC2A0000}"/>
    <cellStyle name="메모 51 16" xfId="6594" xr:uid="{00000000-0005-0000-0000-0000BD2A0000}"/>
    <cellStyle name="메모 51 17" xfId="1605" xr:uid="{00000000-0005-0000-0000-0000BE2A0000}"/>
    <cellStyle name="메모 51 18" xfId="2435" xr:uid="{00000000-0005-0000-0000-0000BF2A0000}"/>
    <cellStyle name="메모 51 19" xfId="7596" xr:uid="{00000000-0005-0000-0000-0000C02A0000}"/>
    <cellStyle name="메모 51 2" xfId="1649" xr:uid="{00000000-0005-0000-0000-0000C12A0000}"/>
    <cellStyle name="메모 51 20" xfId="4293" xr:uid="{00000000-0005-0000-0000-0000C22A0000}"/>
    <cellStyle name="메모 51 21" xfId="4535" xr:uid="{00000000-0005-0000-0000-0000C32A0000}"/>
    <cellStyle name="메모 51 22" xfId="722" xr:uid="{00000000-0005-0000-0000-0000C42A0000}"/>
    <cellStyle name="메모 51 23" xfId="7489" xr:uid="{00000000-0005-0000-0000-0000C52A0000}"/>
    <cellStyle name="메모 51 24" xfId="8407" xr:uid="{00000000-0005-0000-0000-0000C62A0000}"/>
    <cellStyle name="메모 51 25" xfId="10029" xr:uid="{00000000-0005-0000-0000-0000C72A0000}"/>
    <cellStyle name="메모 51 26" xfId="4164" xr:uid="{00000000-0005-0000-0000-0000C82A0000}"/>
    <cellStyle name="메모 51 27" xfId="10522" xr:uid="{00000000-0005-0000-0000-0000C92A0000}"/>
    <cellStyle name="메모 51 28" xfId="10933" xr:uid="{00000000-0005-0000-0000-0000CA2A0000}"/>
    <cellStyle name="메모 51 29" xfId="11234" xr:uid="{00000000-0005-0000-0000-0000CB2A0000}"/>
    <cellStyle name="메모 51 3" xfId="941" xr:uid="{00000000-0005-0000-0000-0000CC2A0000}"/>
    <cellStyle name="메모 51 4" xfId="2258" xr:uid="{00000000-0005-0000-0000-0000CD2A0000}"/>
    <cellStyle name="메모 51 5" xfId="2459" xr:uid="{00000000-0005-0000-0000-0000CE2A0000}"/>
    <cellStyle name="메모 51 6" xfId="1412" xr:uid="{00000000-0005-0000-0000-0000CF2A0000}"/>
    <cellStyle name="메모 51 7" xfId="3334" xr:uid="{00000000-0005-0000-0000-0000D02A0000}"/>
    <cellStyle name="메모 51 8" xfId="938" xr:uid="{00000000-0005-0000-0000-0000D12A0000}"/>
    <cellStyle name="메모 51 9" xfId="3934" xr:uid="{00000000-0005-0000-0000-0000D22A0000}"/>
    <cellStyle name="메모 52" xfId="1069" xr:uid="{00000000-0005-0000-0000-0000D32A0000}"/>
    <cellStyle name="메모 52 10" xfId="3899" xr:uid="{00000000-0005-0000-0000-0000D42A0000}"/>
    <cellStyle name="메모 52 11" xfId="4696" xr:uid="{00000000-0005-0000-0000-0000D52A0000}"/>
    <cellStyle name="메모 52 12" xfId="5337" xr:uid="{00000000-0005-0000-0000-0000D62A0000}"/>
    <cellStyle name="메모 52 13" xfId="1978" xr:uid="{00000000-0005-0000-0000-0000D72A0000}"/>
    <cellStyle name="메모 52 14" xfId="5525" xr:uid="{00000000-0005-0000-0000-0000D82A0000}"/>
    <cellStyle name="메모 52 15" xfId="4918" xr:uid="{00000000-0005-0000-0000-0000D92A0000}"/>
    <cellStyle name="메모 52 16" xfId="6583" xr:uid="{00000000-0005-0000-0000-0000DA2A0000}"/>
    <cellStyle name="메모 52 17" xfId="2974" xr:uid="{00000000-0005-0000-0000-0000DB2A0000}"/>
    <cellStyle name="메모 52 18" xfId="3606" xr:uid="{00000000-0005-0000-0000-0000DC2A0000}"/>
    <cellStyle name="메모 52 19" xfId="7569" xr:uid="{00000000-0005-0000-0000-0000DD2A0000}"/>
    <cellStyle name="메모 52 2" xfId="1753" xr:uid="{00000000-0005-0000-0000-0000DE2A0000}"/>
    <cellStyle name="메모 52 20" xfId="7971" xr:uid="{00000000-0005-0000-0000-0000DF2A0000}"/>
    <cellStyle name="메모 52 21" xfId="8408" xr:uid="{00000000-0005-0000-0000-0000E02A0000}"/>
    <cellStyle name="메모 52 22" xfId="8926" xr:uid="{00000000-0005-0000-0000-0000E12A0000}"/>
    <cellStyle name="메모 52 23" xfId="9130" xr:uid="{00000000-0005-0000-0000-0000E22A0000}"/>
    <cellStyle name="메모 52 24" xfId="9461" xr:uid="{00000000-0005-0000-0000-0000E32A0000}"/>
    <cellStyle name="메모 52 25" xfId="10013" xr:uid="{00000000-0005-0000-0000-0000E42A0000}"/>
    <cellStyle name="메모 52 26" xfId="10308" xr:uid="{00000000-0005-0000-0000-0000E52A0000}"/>
    <cellStyle name="메모 52 27" xfId="9206" xr:uid="{00000000-0005-0000-0000-0000E62A0000}"/>
    <cellStyle name="메모 52 28" xfId="10754" xr:uid="{00000000-0005-0000-0000-0000E72A0000}"/>
    <cellStyle name="메모 52 29" xfId="11132" xr:uid="{00000000-0005-0000-0000-0000E82A0000}"/>
    <cellStyle name="메모 52 3" xfId="1408" xr:uid="{00000000-0005-0000-0000-0000E92A0000}"/>
    <cellStyle name="메모 52 4" xfId="2300" xr:uid="{00000000-0005-0000-0000-0000EA2A0000}"/>
    <cellStyle name="메모 52 5" xfId="1883" xr:uid="{00000000-0005-0000-0000-0000EB2A0000}"/>
    <cellStyle name="메모 52 6" xfId="2968" xr:uid="{00000000-0005-0000-0000-0000EC2A0000}"/>
    <cellStyle name="메모 52 7" xfId="3138" xr:uid="{00000000-0005-0000-0000-0000ED2A0000}"/>
    <cellStyle name="메모 52 8" xfId="2777" xr:uid="{00000000-0005-0000-0000-0000EE2A0000}"/>
    <cellStyle name="메모 52 9" xfId="3633" xr:uid="{00000000-0005-0000-0000-0000EF2A0000}"/>
    <cellStyle name="메모 53" xfId="1051" xr:uid="{00000000-0005-0000-0000-0000F02A0000}"/>
    <cellStyle name="메모 53 10" xfId="2405" xr:uid="{00000000-0005-0000-0000-0000F12A0000}"/>
    <cellStyle name="메모 53 11" xfId="4645" xr:uid="{00000000-0005-0000-0000-0000F22A0000}"/>
    <cellStyle name="메모 53 12" xfId="2432" xr:uid="{00000000-0005-0000-0000-0000F32A0000}"/>
    <cellStyle name="메모 53 13" xfId="5482" xr:uid="{00000000-0005-0000-0000-0000F42A0000}"/>
    <cellStyle name="메모 53 14" xfId="1975" xr:uid="{00000000-0005-0000-0000-0000F52A0000}"/>
    <cellStyle name="메모 53 15" xfId="4806" xr:uid="{00000000-0005-0000-0000-0000F62A0000}"/>
    <cellStyle name="메모 53 16" xfId="6412" xr:uid="{00000000-0005-0000-0000-0000F72A0000}"/>
    <cellStyle name="메모 53 17" xfId="6758" xr:uid="{00000000-0005-0000-0000-0000F82A0000}"/>
    <cellStyle name="메모 53 18" xfId="6910" xr:uid="{00000000-0005-0000-0000-0000F92A0000}"/>
    <cellStyle name="메모 53 19" xfId="4238" xr:uid="{00000000-0005-0000-0000-0000FA2A0000}"/>
    <cellStyle name="메모 53 2" xfId="1728" xr:uid="{00000000-0005-0000-0000-0000FB2A0000}"/>
    <cellStyle name="메모 53 20" xfId="6015" xr:uid="{00000000-0005-0000-0000-0000FC2A0000}"/>
    <cellStyle name="메모 53 21" xfId="8525" xr:uid="{00000000-0005-0000-0000-0000FD2A0000}"/>
    <cellStyle name="메모 53 22" xfId="8030" xr:uid="{00000000-0005-0000-0000-0000FE2A0000}"/>
    <cellStyle name="메모 53 23" xfId="9086" xr:uid="{00000000-0005-0000-0000-0000FF2A0000}"/>
    <cellStyle name="메모 53 24" xfId="8270" xr:uid="{00000000-0005-0000-0000-0000002B0000}"/>
    <cellStyle name="메모 53 25" xfId="4214" xr:uid="{00000000-0005-0000-0000-0000012B0000}"/>
    <cellStyle name="메모 53 26" xfId="9640" xr:uid="{00000000-0005-0000-0000-0000022B0000}"/>
    <cellStyle name="메모 53 27" xfId="6555" xr:uid="{00000000-0005-0000-0000-0000032B0000}"/>
    <cellStyle name="메모 53 28" xfId="10738" xr:uid="{00000000-0005-0000-0000-0000042B0000}"/>
    <cellStyle name="메모 53 29" xfId="9496" xr:uid="{00000000-0005-0000-0000-0000052B0000}"/>
    <cellStyle name="메모 53 3" xfId="932" xr:uid="{00000000-0005-0000-0000-0000062B0000}"/>
    <cellStyle name="메모 53 4" xfId="2206" xr:uid="{00000000-0005-0000-0000-0000072B0000}"/>
    <cellStyle name="메모 53 5" xfId="2552" xr:uid="{00000000-0005-0000-0000-0000082B0000}"/>
    <cellStyle name="메모 53 6" xfId="726" xr:uid="{00000000-0005-0000-0000-0000092B0000}"/>
    <cellStyle name="메모 53 7" xfId="3091" xr:uid="{00000000-0005-0000-0000-00000A2B0000}"/>
    <cellStyle name="메모 53 8" xfId="3624" xr:uid="{00000000-0005-0000-0000-00000B2B0000}"/>
    <cellStyle name="메모 53 9" xfId="1939" xr:uid="{00000000-0005-0000-0000-00000C2B0000}"/>
    <cellStyle name="메모 54" xfId="792" xr:uid="{00000000-0005-0000-0000-00000D2B0000}"/>
    <cellStyle name="메모 54 10" xfId="4520" xr:uid="{00000000-0005-0000-0000-00000E2B0000}"/>
    <cellStyle name="메모 54 11" xfId="5304" xr:uid="{00000000-0005-0000-0000-00000F2B0000}"/>
    <cellStyle name="메모 54 12" xfId="5166" xr:uid="{00000000-0005-0000-0000-0000102B0000}"/>
    <cellStyle name="메모 54 13" xfId="2441" xr:uid="{00000000-0005-0000-0000-0000112B0000}"/>
    <cellStyle name="메모 54 14" xfId="4983" xr:uid="{00000000-0005-0000-0000-0000122B0000}"/>
    <cellStyle name="메모 54 15" xfId="6172" xr:uid="{00000000-0005-0000-0000-0000132B0000}"/>
    <cellStyle name="메모 54 16" xfId="7146" xr:uid="{00000000-0005-0000-0000-0000142B0000}"/>
    <cellStyle name="메모 54 17" xfId="6969" xr:uid="{00000000-0005-0000-0000-0000152B0000}"/>
    <cellStyle name="메모 54 18" xfId="7600" xr:uid="{00000000-0005-0000-0000-0000162B0000}"/>
    <cellStyle name="메모 54 19" xfId="8168" xr:uid="{00000000-0005-0000-0000-0000172B0000}"/>
    <cellStyle name="메모 54 2" xfId="1571" xr:uid="{00000000-0005-0000-0000-0000182B0000}"/>
    <cellStyle name="메모 54 20" xfId="8564" xr:uid="{00000000-0005-0000-0000-0000192B0000}"/>
    <cellStyle name="메모 54 21" xfId="939" xr:uid="{00000000-0005-0000-0000-00001A2B0000}"/>
    <cellStyle name="메모 54 22" xfId="9275" xr:uid="{00000000-0005-0000-0000-00001B2B0000}"/>
    <cellStyle name="메모 54 23" xfId="9581" xr:uid="{00000000-0005-0000-0000-00001C2B0000}"/>
    <cellStyle name="메모 54 24" xfId="10019" xr:uid="{00000000-0005-0000-0000-00001D2B0000}"/>
    <cellStyle name="메모 54 25" xfId="6995" xr:uid="{00000000-0005-0000-0000-00001E2B0000}"/>
    <cellStyle name="메모 54 26" xfId="10549" xr:uid="{00000000-0005-0000-0000-00001F2B0000}"/>
    <cellStyle name="메모 54 27" xfId="10868" xr:uid="{00000000-0005-0000-0000-0000202B0000}"/>
    <cellStyle name="메모 54 28" xfId="3407" xr:uid="{00000000-0005-0000-0000-0000212B0000}"/>
    <cellStyle name="메모 54 3" xfId="2325" xr:uid="{00000000-0005-0000-0000-0000222B0000}"/>
    <cellStyle name="메모 54 4" xfId="2534" xr:uid="{00000000-0005-0000-0000-0000232B0000}"/>
    <cellStyle name="메모 54 5" xfId="2994" xr:uid="{00000000-0005-0000-0000-0000242B0000}"/>
    <cellStyle name="메모 54 6" xfId="3171" xr:uid="{00000000-0005-0000-0000-0000252B0000}"/>
    <cellStyle name="메모 54 7" xfId="3692" xr:uid="{00000000-0005-0000-0000-0000262B0000}"/>
    <cellStyle name="메모 54 8" xfId="3977" xr:uid="{00000000-0005-0000-0000-0000272B0000}"/>
    <cellStyle name="메모 54 9" xfId="4376" xr:uid="{00000000-0005-0000-0000-0000282B0000}"/>
    <cellStyle name="메모 55" xfId="1897" xr:uid="{00000000-0005-0000-0000-0000292B0000}"/>
    <cellStyle name="메모 55 10" xfId="5496" xr:uid="{00000000-0005-0000-0000-00002A2B0000}"/>
    <cellStyle name="메모 55 11" xfId="5664" xr:uid="{00000000-0005-0000-0000-00002B2B0000}"/>
    <cellStyle name="메모 55 12" xfId="5462" xr:uid="{00000000-0005-0000-0000-00002C2B0000}"/>
    <cellStyle name="메모 55 13" xfId="5698" xr:uid="{00000000-0005-0000-0000-00002D2B0000}"/>
    <cellStyle name="메모 55 14" xfId="6488" xr:uid="{00000000-0005-0000-0000-00002E2B0000}"/>
    <cellStyle name="메모 55 15" xfId="7014" xr:uid="{00000000-0005-0000-0000-00002F2B0000}"/>
    <cellStyle name="메모 55 16" xfId="7076" xr:uid="{00000000-0005-0000-0000-0000302B0000}"/>
    <cellStyle name="메모 55 17" xfId="6773" xr:uid="{00000000-0005-0000-0000-0000312B0000}"/>
    <cellStyle name="메모 55 18" xfId="8097" xr:uid="{00000000-0005-0000-0000-0000322B0000}"/>
    <cellStyle name="메모 55 19" xfId="2254" xr:uid="{00000000-0005-0000-0000-0000332B0000}"/>
    <cellStyle name="메모 55 2" xfId="2372" xr:uid="{00000000-0005-0000-0000-0000342B0000}"/>
    <cellStyle name="메모 55 20" xfId="6932" xr:uid="{00000000-0005-0000-0000-0000352B0000}"/>
    <cellStyle name="메모 55 21" xfId="9193" xr:uid="{00000000-0005-0000-0000-0000362B0000}"/>
    <cellStyle name="메모 55 22" xfId="9655" xr:uid="{00000000-0005-0000-0000-0000372B0000}"/>
    <cellStyle name="메모 55 23" xfId="10058" xr:uid="{00000000-0005-0000-0000-0000382B0000}"/>
    <cellStyle name="메모 55 24" xfId="9877" xr:uid="{00000000-0005-0000-0000-0000392B0000}"/>
    <cellStyle name="메모 55 25" xfId="3939" xr:uid="{00000000-0005-0000-0000-00003A2B0000}"/>
    <cellStyle name="메모 55 26" xfId="10640" xr:uid="{00000000-0005-0000-0000-00003B2B0000}"/>
    <cellStyle name="메모 55 27" xfId="11120" xr:uid="{00000000-0005-0000-0000-00003C2B0000}"/>
    <cellStyle name="메모 55 3" xfId="2691" xr:uid="{00000000-0005-0000-0000-00003D2B0000}"/>
    <cellStyle name="메모 55 4" xfId="3005" xr:uid="{00000000-0005-0000-0000-00003E2B0000}"/>
    <cellStyle name="메모 55 5" xfId="3061" xr:uid="{00000000-0005-0000-0000-00003F2B0000}"/>
    <cellStyle name="메모 55 6" xfId="3486" xr:uid="{00000000-0005-0000-0000-0000402B0000}"/>
    <cellStyle name="메모 55 7" xfId="2186" xr:uid="{00000000-0005-0000-0000-0000412B0000}"/>
    <cellStyle name="메모 55 8" xfId="4211" xr:uid="{00000000-0005-0000-0000-0000422B0000}"/>
    <cellStyle name="메모 55 9" xfId="967" xr:uid="{00000000-0005-0000-0000-0000432B0000}"/>
    <cellStyle name="메모 56" xfId="2098" xr:uid="{00000000-0005-0000-0000-0000442B0000}"/>
    <cellStyle name="메모 56 10" xfId="5840" xr:uid="{00000000-0005-0000-0000-0000452B0000}"/>
    <cellStyle name="메모 56 11" xfId="5916" xr:uid="{00000000-0005-0000-0000-0000462B0000}"/>
    <cellStyle name="메모 56 12" xfId="5971" xr:uid="{00000000-0005-0000-0000-0000472B0000}"/>
    <cellStyle name="메모 56 13" xfId="6561" xr:uid="{00000000-0005-0000-0000-0000482B0000}"/>
    <cellStyle name="메모 56 14" xfId="6996" xr:uid="{00000000-0005-0000-0000-0000492B0000}"/>
    <cellStyle name="메모 56 15" xfId="7281" xr:uid="{00000000-0005-0000-0000-00004A2B0000}"/>
    <cellStyle name="메모 56 16" xfId="7822" xr:uid="{00000000-0005-0000-0000-00004B2B0000}"/>
    <cellStyle name="메모 56 17" xfId="8082" xr:uid="{00000000-0005-0000-0000-00004C2B0000}"/>
    <cellStyle name="메모 56 18" xfId="6742" xr:uid="{00000000-0005-0000-0000-00004D2B0000}"/>
    <cellStyle name="메모 56 19" xfId="8847" xr:uid="{00000000-0005-0000-0000-00004E2B0000}"/>
    <cellStyle name="메모 56 2" xfId="2701" xr:uid="{00000000-0005-0000-0000-00004F2B0000}"/>
    <cellStyle name="메모 56 20" xfId="8711" xr:uid="{00000000-0005-0000-0000-0000502B0000}"/>
    <cellStyle name="메모 56 21" xfId="9632" xr:uid="{00000000-0005-0000-0000-0000512B0000}"/>
    <cellStyle name="메모 56 22" xfId="10039" xr:uid="{00000000-0005-0000-0000-0000522B0000}"/>
    <cellStyle name="메모 56 23" xfId="10162" xr:uid="{00000000-0005-0000-0000-0000532B0000}"/>
    <cellStyle name="메모 56 24" xfId="10595" xr:uid="{00000000-0005-0000-0000-0000542B0000}"/>
    <cellStyle name="메모 56 25" xfId="10884" xr:uid="{00000000-0005-0000-0000-0000552B0000}"/>
    <cellStyle name="메모 56 26" xfId="7604" xr:uid="{00000000-0005-0000-0000-0000562B0000}"/>
    <cellStyle name="메모 56 3" xfId="3016" xr:uid="{00000000-0005-0000-0000-0000572B0000}"/>
    <cellStyle name="메모 56 4" xfId="3308" xr:uid="{00000000-0005-0000-0000-0000582B0000}"/>
    <cellStyle name="메모 56 5" xfId="1484" xr:uid="{00000000-0005-0000-0000-0000592B0000}"/>
    <cellStyle name="메모 56 6" xfId="4036" xr:uid="{00000000-0005-0000-0000-00005A2B0000}"/>
    <cellStyle name="메모 56 7" xfId="4311" xr:uid="{00000000-0005-0000-0000-00005B2B0000}"/>
    <cellStyle name="메모 56 8" xfId="4151" xr:uid="{00000000-0005-0000-0000-00005C2B0000}"/>
    <cellStyle name="메모 56 9" xfId="947" xr:uid="{00000000-0005-0000-0000-00005D2B0000}"/>
    <cellStyle name="메모 57" xfId="1562" xr:uid="{00000000-0005-0000-0000-00005E2B0000}"/>
    <cellStyle name="메모 57 10" xfId="5547" xr:uid="{00000000-0005-0000-0000-00005F2B0000}"/>
    <cellStyle name="메모 57 11" xfId="5083" xr:uid="{00000000-0005-0000-0000-0000602B0000}"/>
    <cellStyle name="메모 57 12" xfId="4668" xr:uid="{00000000-0005-0000-0000-0000612B0000}"/>
    <cellStyle name="메모 57 13" xfId="7009" xr:uid="{00000000-0005-0000-0000-0000622B0000}"/>
    <cellStyle name="메모 57 14" xfId="4594" xr:uid="{00000000-0005-0000-0000-0000632B0000}"/>
    <cellStyle name="메모 57 15" xfId="7389" xr:uid="{00000000-0005-0000-0000-0000642B0000}"/>
    <cellStyle name="메모 57 16" xfId="3422" xr:uid="{00000000-0005-0000-0000-0000652B0000}"/>
    <cellStyle name="메모 57 17" xfId="8627" xr:uid="{00000000-0005-0000-0000-0000662B0000}"/>
    <cellStyle name="메모 57 18" xfId="3043" xr:uid="{00000000-0005-0000-0000-0000672B0000}"/>
    <cellStyle name="메모 57 19" xfId="6066" xr:uid="{00000000-0005-0000-0000-0000682B0000}"/>
    <cellStyle name="메모 57 2" xfId="918" xr:uid="{00000000-0005-0000-0000-0000692B0000}"/>
    <cellStyle name="메모 57 20" xfId="9693" xr:uid="{00000000-0005-0000-0000-00006A2B0000}"/>
    <cellStyle name="메모 57 21" xfId="7968" xr:uid="{00000000-0005-0000-0000-00006B2B0000}"/>
    <cellStyle name="메모 57 22" xfId="8917" xr:uid="{00000000-0005-0000-0000-00006C2B0000}"/>
    <cellStyle name="메모 57 23" xfId="10533" xr:uid="{00000000-0005-0000-0000-00006D2B0000}"/>
    <cellStyle name="메모 57 24" xfId="849" xr:uid="{00000000-0005-0000-0000-00006E2B0000}"/>
    <cellStyle name="메모 57 25" xfId="10784" xr:uid="{00000000-0005-0000-0000-00006F2B0000}"/>
    <cellStyle name="메모 57 3" xfId="3174" xr:uid="{00000000-0005-0000-0000-0000702B0000}"/>
    <cellStyle name="메모 57 4" xfId="927" xr:uid="{00000000-0005-0000-0000-0000712B0000}"/>
    <cellStyle name="메모 57 5" xfId="1368" xr:uid="{00000000-0005-0000-0000-0000722B0000}"/>
    <cellStyle name="메모 57 6" xfId="4343" xr:uid="{00000000-0005-0000-0000-0000732B0000}"/>
    <cellStyle name="메모 57 7" xfId="4565" xr:uid="{00000000-0005-0000-0000-0000742B0000}"/>
    <cellStyle name="메모 57 8" xfId="2401" xr:uid="{00000000-0005-0000-0000-0000752B0000}"/>
    <cellStyle name="메모 57 9" xfId="5335" xr:uid="{00000000-0005-0000-0000-0000762B0000}"/>
    <cellStyle name="메모 58" xfId="2717" xr:uid="{00000000-0005-0000-0000-0000772B0000}"/>
    <cellStyle name="메모 58 10" xfId="5230" xr:uid="{00000000-0005-0000-0000-0000782B0000}"/>
    <cellStyle name="메모 58 11" xfId="6369" xr:uid="{00000000-0005-0000-0000-0000792B0000}"/>
    <cellStyle name="메모 58 12" xfId="7086" xr:uid="{00000000-0005-0000-0000-00007A2B0000}"/>
    <cellStyle name="메모 58 13" xfId="6807" xr:uid="{00000000-0005-0000-0000-00007B2B0000}"/>
    <cellStyle name="메모 58 14" xfId="3687" xr:uid="{00000000-0005-0000-0000-00007C2B0000}"/>
    <cellStyle name="메모 58 15" xfId="6906" xr:uid="{00000000-0005-0000-0000-00007D2B0000}"/>
    <cellStyle name="메모 58 16" xfId="3496" xr:uid="{00000000-0005-0000-0000-00007E2B0000}"/>
    <cellStyle name="메모 58 17" xfId="8988" xr:uid="{00000000-0005-0000-0000-00007F2B0000}"/>
    <cellStyle name="메모 58 18" xfId="6012" xr:uid="{00000000-0005-0000-0000-0000802B0000}"/>
    <cellStyle name="메모 58 19" xfId="9440" xr:uid="{00000000-0005-0000-0000-0000812B0000}"/>
    <cellStyle name="메모 58 2" xfId="3370" xr:uid="{00000000-0005-0000-0000-0000822B0000}"/>
    <cellStyle name="메모 58 20" xfId="6933" xr:uid="{00000000-0005-0000-0000-0000832B0000}"/>
    <cellStyle name="메모 58 21" xfId="8127" xr:uid="{00000000-0005-0000-0000-0000842B0000}"/>
    <cellStyle name="메모 58 22" xfId="10499" xr:uid="{00000000-0005-0000-0000-0000852B0000}"/>
    <cellStyle name="메모 58 23" xfId="10835" xr:uid="{00000000-0005-0000-0000-0000862B0000}"/>
    <cellStyle name="메모 58 24" xfId="11238" xr:uid="{00000000-0005-0000-0000-0000872B0000}"/>
    <cellStyle name="메모 58 3" xfId="3702" xr:uid="{00000000-0005-0000-0000-0000882B0000}"/>
    <cellStyle name="메모 58 4" xfId="3502" xr:uid="{00000000-0005-0000-0000-0000892B0000}"/>
    <cellStyle name="메모 58 5" xfId="4345" xr:uid="{00000000-0005-0000-0000-00008A2B0000}"/>
    <cellStyle name="메모 58 6" xfId="2243" xr:uid="{00000000-0005-0000-0000-00008B2B0000}"/>
    <cellStyle name="메모 58 7" xfId="5630" xr:uid="{00000000-0005-0000-0000-00008C2B0000}"/>
    <cellStyle name="메모 58 8" xfId="5542" xr:uid="{00000000-0005-0000-0000-00008D2B0000}"/>
    <cellStyle name="메모 58 9" xfId="855" xr:uid="{00000000-0005-0000-0000-00008E2B0000}"/>
    <cellStyle name="메모 59" xfId="2791" xr:uid="{00000000-0005-0000-0000-00008F2B0000}"/>
    <cellStyle name="메모 59 10" xfId="3479" xr:uid="{00000000-0005-0000-0000-0000902B0000}"/>
    <cellStyle name="메모 59 11" xfId="6956" xr:uid="{00000000-0005-0000-0000-0000912B0000}"/>
    <cellStyle name="메모 59 12" xfId="6920" xr:uid="{00000000-0005-0000-0000-0000922B0000}"/>
    <cellStyle name="메모 59 13" xfId="7401" xr:uid="{00000000-0005-0000-0000-0000932B0000}"/>
    <cellStyle name="메모 59 14" xfId="7402" xr:uid="{00000000-0005-0000-0000-0000942B0000}"/>
    <cellStyle name="메모 59 15" xfId="6041" xr:uid="{00000000-0005-0000-0000-0000952B0000}"/>
    <cellStyle name="메모 59 16" xfId="7496" xr:uid="{00000000-0005-0000-0000-0000962B0000}"/>
    <cellStyle name="메모 59 17" xfId="9314" xr:uid="{00000000-0005-0000-0000-0000972B0000}"/>
    <cellStyle name="메모 59 18" xfId="9605" xr:uid="{00000000-0005-0000-0000-0000982B0000}"/>
    <cellStyle name="메모 59 19" xfId="974" xr:uid="{00000000-0005-0000-0000-0000992B0000}"/>
    <cellStyle name="메모 59 2" xfId="3703" xr:uid="{00000000-0005-0000-0000-00009A2B0000}"/>
    <cellStyle name="메모 59 20" xfId="5386" xr:uid="{00000000-0005-0000-0000-00009B2B0000}"/>
    <cellStyle name="메모 59 21" xfId="10547" xr:uid="{00000000-0005-0000-0000-00009C2B0000}"/>
    <cellStyle name="메모 59 22" xfId="10516" xr:uid="{00000000-0005-0000-0000-00009D2B0000}"/>
    <cellStyle name="메모 59 23" xfId="10586" xr:uid="{00000000-0005-0000-0000-00009E2B0000}"/>
    <cellStyle name="메모 59 3" xfId="3869" xr:uid="{00000000-0005-0000-0000-00009F2B0000}"/>
    <cellStyle name="메모 59 4" xfId="4276" xr:uid="{00000000-0005-0000-0000-0000A02B0000}"/>
    <cellStyle name="메모 59 5" xfId="2259" xr:uid="{00000000-0005-0000-0000-0000A12B0000}"/>
    <cellStyle name="메모 59 6" xfId="5033" xr:uid="{00000000-0005-0000-0000-0000A22B0000}"/>
    <cellStyle name="메모 59 7" xfId="5833" xr:uid="{00000000-0005-0000-0000-0000A32B0000}"/>
    <cellStyle name="메모 59 8" xfId="5910" xr:uid="{00000000-0005-0000-0000-0000A42B0000}"/>
    <cellStyle name="메모 59 9" xfId="5967" xr:uid="{00000000-0005-0000-0000-0000A52B0000}"/>
    <cellStyle name="메모 6" xfId="131" xr:uid="{00000000-0005-0000-0000-0000A62B0000}"/>
    <cellStyle name="메모 60" xfId="987" xr:uid="{00000000-0005-0000-0000-0000A72B0000}"/>
    <cellStyle name="메모 60 10" xfId="3037" xr:uid="{00000000-0005-0000-0000-0000A82B0000}"/>
    <cellStyle name="메모 60 11" xfId="7177" xr:uid="{00000000-0005-0000-0000-0000A92B0000}"/>
    <cellStyle name="메모 60 12" xfId="7710" xr:uid="{00000000-0005-0000-0000-0000AA2B0000}"/>
    <cellStyle name="메모 60 13" xfId="7958" xr:uid="{00000000-0005-0000-0000-0000AB2B0000}"/>
    <cellStyle name="메모 60 14" xfId="8572" xr:uid="{00000000-0005-0000-0000-0000AC2B0000}"/>
    <cellStyle name="메모 60 15" xfId="8911" xr:uid="{00000000-0005-0000-0000-0000AD2B0000}"/>
    <cellStyle name="메모 60 16" xfId="9188" xr:uid="{00000000-0005-0000-0000-0000AE2B0000}"/>
    <cellStyle name="메모 60 17" xfId="9546" xr:uid="{00000000-0005-0000-0000-0000AF2B0000}"/>
    <cellStyle name="메모 60 18" xfId="3782" xr:uid="{00000000-0005-0000-0000-0000B02B0000}"/>
    <cellStyle name="메모 60 19" xfId="10210" xr:uid="{00000000-0005-0000-0000-0000B12B0000}"/>
    <cellStyle name="메모 60 2" xfId="3943" xr:uid="{00000000-0005-0000-0000-0000B22B0000}"/>
    <cellStyle name="메모 60 20" xfId="8894" xr:uid="{00000000-0005-0000-0000-0000B32B0000}"/>
    <cellStyle name="메모 60 21" xfId="10962" xr:uid="{00000000-0005-0000-0000-0000B42B0000}"/>
    <cellStyle name="메모 60 22" xfId="11274" xr:uid="{00000000-0005-0000-0000-0000B52B0000}"/>
    <cellStyle name="메모 60 3" xfId="4363" xr:uid="{00000000-0005-0000-0000-0000B62B0000}"/>
    <cellStyle name="메모 60 4" xfId="4652" xr:uid="{00000000-0005-0000-0000-0000B72B0000}"/>
    <cellStyle name="메모 60 5" xfId="5522" xr:uid="{00000000-0005-0000-0000-0000B82B0000}"/>
    <cellStyle name="메모 60 6" xfId="5005" xr:uid="{00000000-0005-0000-0000-0000B92B0000}"/>
    <cellStyle name="메모 60 7" xfId="3516" xr:uid="{00000000-0005-0000-0000-0000BA2B0000}"/>
    <cellStyle name="메모 60 8" xfId="4695" xr:uid="{00000000-0005-0000-0000-0000BB2B0000}"/>
    <cellStyle name="메모 60 9" xfId="6298" xr:uid="{00000000-0005-0000-0000-0000BC2B0000}"/>
    <cellStyle name="메모 61" xfId="1567" xr:uid="{00000000-0005-0000-0000-0000BD2B0000}"/>
    <cellStyle name="메모 61 10" xfId="7092" xr:uid="{00000000-0005-0000-0000-0000BE2B0000}"/>
    <cellStyle name="메모 61 11" xfId="2753" xr:uid="{00000000-0005-0000-0000-0000BF2B0000}"/>
    <cellStyle name="메모 61 12" xfId="8234" xr:uid="{00000000-0005-0000-0000-0000C02B0000}"/>
    <cellStyle name="메모 61 13" xfId="8361" xr:uid="{00000000-0005-0000-0000-0000C12B0000}"/>
    <cellStyle name="메모 61 14" xfId="7797" xr:uid="{00000000-0005-0000-0000-0000C22B0000}"/>
    <cellStyle name="메모 61 15" xfId="9186" xr:uid="{00000000-0005-0000-0000-0000C32B0000}"/>
    <cellStyle name="메모 61 16" xfId="5092" xr:uid="{00000000-0005-0000-0000-0000C42B0000}"/>
    <cellStyle name="메모 61 17" xfId="7442" xr:uid="{00000000-0005-0000-0000-0000C52B0000}"/>
    <cellStyle name="메모 61 18" xfId="9284" xr:uid="{00000000-0005-0000-0000-0000C62B0000}"/>
    <cellStyle name="메모 61 19" xfId="4141" xr:uid="{00000000-0005-0000-0000-0000C72B0000}"/>
    <cellStyle name="메모 61 2" xfId="4381" xr:uid="{00000000-0005-0000-0000-0000C82B0000}"/>
    <cellStyle name="메모 61 20" xfId="10979" xr:uid="{00000000-0005-0000-0000-0000C92B0000}"/>
    <cellStyle name="메모 61 21" xfId="10539" xr:uid="{00000000-0005-0000-0000-0000CA2B0000}"/>
    <cellStyle name="메모 61 3" xfId="2956" xr:uid="{00000000-0005-0000-0000-0000CB2B0000}"/>
    <cellStyle name="메모 61 4" xfId="5207" xr:uid="{00000000-0005-0000-0000-0000CC2B0000}"/>
    <cellStyle name="메모 61 5" xfId="4076" xr:uid="{00000000-0005-0000-0000-0000CD2B0000}"/>
    <cellStyle name="메모 61 6" xfId="5027" xr:uid="{00000000-0005-0000-0000-0000CE2B0000}"/>
    <cellStyle name="메모 61 7" xfId="3951" xr:uid="{00000000-0005-0000-0000-0000CF2B0000}"/>
    <cellStyle name="메모 61 8" xfId="5054" xr:uid="{00000000-0005-0000-0000-0000D02B0000}"/>
    <cellStyle name="메모 61 9" xfId="1983" xr:uid="{00000000-0005-0000-0000-0000D12B0000}"/>
    <cellStyle name="메모 62" xfId="4093" xr:uid="{00000000-0005-0000-0000-0000D22B0000}"/>
    <cellStyle name="메모 62 10" xfId="7599" xr:uid="{00000000-0005-0000-0000-0000D32B0000}"/>
    <cellStyle name="메모 62 11" xfId="6338" xr:uid="{00000000-0005-0000-0000-0000D42B0000}"/>
    <cellStyle name="메모 62 12" xfId="8315" xr:uid="{00000000-0005-0000-0000-0000D52B0000}"/>
    <cellStyle name="메모 62 13" xfId="8864" xr:uid="{00000000-0005-0000-0000-0000D62B0000}"/>
    <cellStyle name="메모 62 14" xfId="4701" xr:uid="{00000000-0005-0000-0000-0000D72B0000}"/>
    <cellStyle name="메모 62 15" xfId="9642" xr:uid="{00000000-0005-0000-0000-0000D82B0000}"/>
    <cellStyle name="메모 62 16" xfId="9766" xr:uid="{00000000-0005-0000-0000-0000D92B0000}"/>
    <cellStyle name="메모 62 17" xfId="10331" xr:uid="{00000000-0005-0000-0000-0000DA2B0000}"/>
    <cellStyle name="메모 62 18" xfId="6468" xr:uid="{00000000-0005-0000-0000-0000DB2B0000}"/>
    <cellStyle name="메모 62 19" xfId="10881" xr:uid="{00000000-0005-0000-0000-0000DC2B0000}"/>
    <cellStyle name="메모 62 2" xfId="4770" xr:uid="{00000000-0005-0000-0000-0000DD2B0000}"/>
    <cellStyle name="메모 62 20" xfId="6039" xr:uid="{00000000-0005-0000-0000-0000DE2B0000}"/>
    <cellStyle name="메모 62 3" xfId="5709" xr:uid="{00000000-0005-0000-0000-0000DF2B0000}"/>
    <cellStyle name="메모 62 4" xfId="4935" xr:uid="{00000000-0005-0000-0000-0000E02B0000}"/>
    <cellStyle name="메모 62 5" xfId="5829" xr:uid="{00000000-0005-0000-0000-0000E12B0000}"/>
    <cellStyle name="메모 62 6" xfId="5907" xr:uid="{00000000-0005-0000-0000-0000E22B0000}"/>
    <cellStyle name="메모 62 7" xfId="6628" xr:uid="{00000000-0005-0000-0000-0000E32B0000}"/>
    <cellStyle name="메모 62 8" xfId="6783" xr:uid="{00000000-0005-0000-0000-0000E42B0000}"/>
    <cellStyle name="메모 62 9" xfId="4506" xr:uid="{00000000-0005-0000-0000-0000E52B0000}"/>
    <cellStyle name="메모 63" xfId="4575" xr:uid="{00000000-0005-0000-0000-0000E62B0000}"/>
    <cellStyle name="메모 63 10" xfId="8205" xr:uid="{00000000-0005-0000-0000-0000E72B0000}"/>
    <cellStyle name="메모 63 11" xfId="8491" xr:uid="{00000000-0005-0000-0000-0000E82B0000}"/>
    <cellStyle name="메모 63 12" xfId="1942" xr:uid="{00000000-0005-0000-0000-0000E92B0000}"/>
    <cellStyle name="메모 63 13" xfId="9252" xr:uid="{00000000-0005-0000-0000-0000EA2B0000}"/>
    <cellStyle name="메모 63 14" xfId="2727" xr:uid="{00000000-0005-0000-0000-0000EB2B0000}"/>
    <cellStyle name="메모 63 15" xfId="9784" xr:uid="{00000000-0005-0000-0000-0000EC2B0000}"/>
    <cellStyle name="메모 63 16" xfId="6170" xr:uid="{00000000-0005-0000-0000-0000ED2B0000}"/>
    <cellStyle name="메모 63 17" xfId="7543" xr:uid="{00000000-0005-0000-0000-0000EE2B0000}"/>
    <cellStyle name="메모 63 18" xfId="1381" xr:uid="{00000000-0005-0000-0000-0000EF2B0000}"/>
    <cellStyle name="메모 63 19" xfId="11275" xr:uid="{00000000-0005-0000-0000-0000F02B0000}"/>
    <cellStyle name="메모 63 2" xfId="5796" xr:uid="{00000000-0005-0000-0000-0000F12B0000}"/>
    <cellStyle name="메모 63 3" xfId="5883" xr:uid="{00000000-0005-0000-0000-0000F22B0000}"/>
    <cellStyle name="메모 63 4" xfId="5946" xr:uid="{00000000-0005-0000-0000-0000F32B0000}"/>
    <cellStyle name="메모 63 5" xfId="5981" xr:uid="{00000000-0005-0000-0000-0000F42B0000}"/>
    <cellStyle name="메모 63 6" xfId="6641" xr:uid="{00000000-0005-0000-0000-0000F52B0000}"/>
    <cellStyle name="메모 63 7" xfId="6732" xr:uid="{00000000-0005-0000-0000-0000F62B0000}"/>
    <cellStyle name="메모 63 8" xfId="7334" xr:uid="{00000000-0005-0000-0000-0000F72B0000}"/>
    <cellStyle name="메모 63 9" xfId="7573" xr:uid="{00000000-0005-0000-0000-0000F82B0000}"/>
    <cellStyle name="메모 64" xfId="3850" xr:uid="{00000000-0005-0000-0000-0000F92B0000}"/>
    <cellStyle name="메모 64 10" xfId="6087" xr:uid="{00000000-0005-0000-0000-0000FA2B0000}"/>
    <cellStyle name="메모 64 11" xfId="9817" xr:uid="{00000000-0005-0000-0000-0000FB2B0000}"/>
    <cellStyle name="메모 64 12" xfId="10130" xr:uid="{00000000-0005-0000-0000-0000FC2B0000}"/>
    <cellStyle name="메모 64 13" xfId="10495" xr:uid="{00000000-0005-0000-0000-0000FD2B0000}"/>
    <cellStyle name="메모 64 14" xfId="9205" xr:uid="{00000000-0005-0000-0000-0000FE2B0000}"/>
    <cellStyle name="메모 64 15" xfId="11082" xr:uid="{00000000-0005-0000-0000-0000FF2B0000}"/>
    <cellStyle name="메모 64 2" xfId="3762" xr:uid="{00000000-0005-0000-0000-0000002C0000}"/>
    <cellStyle name="메모 64 3" xfId="7140" xr:uid="{00000000-0005-0000-0000-0000012C0000}"/>
    <cellStyle name="메모 64 4" xfId="7238" xr:uid="{00000000-0005-0000-0000-0000022C0000}"/>
    <cellStyle name="메모 64 5" xfId="7480" xr:uid="{00000000-0005-0000-0000-0000032C0000}"/>
    <cellStyle name="메모 64 6" xfId="8141" xr:uid="{00000000-0005-0000-0000-0000042C0000}"/>
    <cellStyle name="메모 64 7" xfId="8544" xr:uid="{00000000-0005-0000-0000-0000052C0000}"/>
    <cellStyle name="메모 64 8" xfId="9017" xr:uid="{00000000-0005-0000-0000-0000062C0000}"/>
    <cellStyle name="메모 64 9" xfId="1458" xr:uid="{00000000-0005-0000-0000-0000072C0000}"/>
    <cellStyle name="메모 65" xfId="5179" xr:uid="{00000000-0005-0000-0000-0000082C0000}"/>
    <cellStyle name="메모 65 10" xfId="9572" xr:uid="{00000000-0005-0000-0000-0000092C0000}"/>
    <cellStyle name="메모 65 11" xfId="9779" xr:uid="{00000000-0005-0000-0000-00000A2C0000}"/>
    <cellStyle name="메모 65 12" xfId="8524" xr:uid="{00000000-0005-0000-0000-00000B2C0000}"/>
    <cellStyle name="메모 65 13" xfId="868" xr:uid="{00000000-0005-0000-0000-00000C2C0000}"/>
    <cellStyle name="메모 65 14" xfId="10903" xr:uid="{00000000-0005-0000-0000-00000D2C0000}"/>
    <cellStyle name="메모 65 15" xfId="6239" xr:uid="{00000000-0005-0000-0000-00000E2C0000}"/>
    <cellStyle name="메모 65 2" xfId="6663" xr:uid="{00000000-0005-0000-0000-00000F2C0000}"/>
    <cellStyle name="메모 65 3" xfId="3915" xr:uid="{00000000-0005-0000-0000-0000102C0000}"/>
    <cellStyle name="메모 65 4" xfId="7351" xr:uid="{00000000-0005-0000-0000-0000112C0000}"/>
    <cellStyle name="메모 65 5" xfId="7681" xr:uid="{00000000-0005-0000-0000-0000122C0000}"/>
    <cellStyle name="메모 65 6" xfId="8147" xr:uid="{00000000-0005-0000-0000-0000132C0000}"/>
    <cellStyle name="메모 65 7" xfId="8585" xr:uid="{00000000-0005-0000-0000-0000142C0000}"/>
    <cellStyle name="메모 65 8" xfId="5195" xr:uid="{00000000-0005-0000-0000-0000152C0000}"/>
    <cellStyle name="메모 65 9" xfId="9134" xr:uid="{00000000-0005-0000-0000-0000162C0000}"/>
    <cellStyle name="메모 66" xfId="5343" xr:uid="{00000000-0005-0000-0000-0000172C0000}"/>
    <cellStyle name="메모 66 10" xfId="9623" xr:uid="{00000000-0005-0000-0000-0000182C0000}"/>
    <cellStyle name="메모 66 11" xfId="10050" xr:uid="{00000000-0005-0000-0000-0000192C0000}"/>
    <cellStyle name="메모 66 12" xfId="10365" xr:uid="{00000000-0005-0000-0000-00001A2C0000}"/>
    <cellStyle name="메모 66 13" xfId="10504" xr:uid="{00000000-0005-0000-0000-00001B2C0000}"/>
    <cellStyle name="메모 66 14" xfId="8221" xr:uid="{00000000-0005-0000-0000-00001C2C0000}"/>
    <cellStyle name="메모 66 15" xfId="11042" xr:uid="{00000000-0005-0000-0000-00001D2C0000}"/>
    <cellStyle name="메모 66 2" xfId="6667" xr:uid="{00000000-0005-0000-0000-00001E2C0000}"/>
    <cellStyle name="메모 66 3" xfId="7217" xr:uid="{00000000-0005-0000-0000-00001F2C0000}"/>
    <cellStyle name="메모 66 4" xfId="3594" xr:uid="{00000000-0005-0000-0000-0000202C0000}"/>
    <cellStyle name="메모 66 5" xfId="7834" xr:uid="{00000000-0005-0000-0000-0000212C0000}"/>
    <cellStyle name="메모 66 6" xfId="8077" xr:uid="{00000000-0005-0000-0000-0000222C0000}"/>
    <cellStyle name="메모 66 7" xfId="8401" xr:uid="{00000000-0005-0000-0000-0000232C0000}"/>
    <cellStyle name="메모 66 8" xfId="1956" xr:uid="{00000000-0005-0000-0000-0000242C0000}"/>
    <cellStyle name="메모 66 9" xfId="7786" xr:uid="{00000000-0005-0000-0000-0000252C0000}"/>
    <cellStyle name="메모 67" xfId="5278" xr:uid="{00000000-0005-0000-0000-0000262C0000}"/>
    <cellStyle name="메모 67 10" xfId="2569" xr:uid="{00000000-0005-0000-0000-0000272C0000}"/>
    <cellStyle name="메모 67 11" xfId="7653" xr:uid="{00000000-0005-0000-0000-0000282C0000}"/>
    <cellStyle name="메모 67 12" xfId="7501" xr:uid="{00000000-0005-0000-0000-0000292C0000}"/>
    <cellStyle name="메모 67 13" xfId="10559" xr:uid="{00000000-0005-0000-0000-00002A2C0000}"/>
    <cellStyle name="메모 67 14" xfId="9289" xr:uid="{00000000-0005-0000-0000-00002B2C0000}"/>
    <cellStyle name="메모 67 15" xfId="10429" xr:uid="{00000000-0005-0000-0000-00002C2C0000}"/>
    <cellStyle name="메모 67 2" xfId="6664" xr:uid="{00000000-0005-0000-0000-00002D2C0000}"/>
    <cellStyle name="메모 67 3" xfId="7153" xr:uid="{00000000-0005-0000-0000-00002E2C0000}"/>
    <cellStyle name="메모 67 4" xfId="7291" xr:uid="{00000000-0005-0000-0000-00002F2C0000}"/>
    <cellStyle name="메모 67 5" xfId="4838" xr:uid="{00000000-0005-0000-0000-0000302C0000}"/>
    <cellStyle name="메모 67 6" xfId="8003" xr:uid="{00000000-0005-0000-0000-0000312C0000}"/>
    <cellStyle name="메모 67 7" xfId="8558" xr:uid="{00000000-0005-0000-0000-0000322C0000}"/>
    <cellStyle name="메모 67 8" xfId="8875" xr:uid="{00000000-0005-0000-0000-0000332C0000}"/>
    <cellStyle name="메모 67 9" xfId="7743" xr:uid="{00000000-0005-0000-0000-0000342C0000}"/>
    <cellStyle name="메모 68" xfId="6479" xr:uid="{00000000-0005-0000-0000-0000352C0000}"/>
    <cellStyle name="메모 68 10" xfId="9844" xr:uid="{00000000-0005-0000-0000-0000362C0000}"/>
    <cellStyle name="메모 68 11" xfId="9249" xr:uid="{00000000-0005-0000-0000-0000372C0000}"/>
    <cellStyle name="메모 68 12" xfId="1493" xr:uid="{00000000-0005-0000-0000-0000382C0000}"/>
    <cellStyle name="메모 68 13" xfId="10823" xr:uid="{00000000-0005-0000-0000-0000392C0000}"/>
    <cellStyle name="메모 68 14" xfId="11179" xr:uid="{00000000-0005-0000-0000-00003A2C0000}"/>
    <cellStyle name="메모 68 2" xfId="7353" xr:uid="{00000000-0005-0000-0000-00003B2C0000}"/>
    <cellStyle name="메모 68 3" xfId="7382" xr:uid="{00000000-0005-0000-0000-00003C2C0000}"/>
    <cellStyle name="메모 68 4" xfId="7871" xr:uid="{00000000-0005-0000-0000-00003D2C0000}"/>
    <cellStyle name="메모 68 5" xfId="4900" xr:uid="{00000000-0005-0000-0000-00003E2C0000}"/>
    <cellStyle name="메모 68 6" xfId="8522" xr:uid="{00000000-0005-0000-0000-00003F2C0000}"/>
    <cellStyle name="메모 68 7" xfId="8970" xr:uid="{00000000-0005-0000-0000-0000402C0000}"/>
    <cellStyle name="메모 68 8" xfId="8702" xr:uid="{00000000-0005-0000-0000-0000412C0000}"/>
    <cellStyle name="메모 68 9" xfId="9163" xr:uid="{00000000-0005-0000-0000-0000422C0000}"/>
    <cellStyle name="메모 69" xfId="6892" xr:uid="{00000000-0005-0000-0000-0000432C0000}"/>
    <cellStyle name="메모 69 10" xfId="10641" xr:uid="{00000000-0005-0000-0000-0000442C0000}"/>
    <cellStyle name="메모 69 11" xfId="10233" xr:uid="{00000000-0005-0000-0000-0000452C0000}"/>
    <cellStyle name="메모 69 12" xfId="9438" xr:uid="{00000000-0005-0000-0000-0000462C0000}"/>
    <cellStyle name="메모 69 2" xfId="7878" xr:uid="{00000000-0005-0000-0000-0000472C0000}"/>
    <cellStyle name="메모 69 3" xfId="8272" xr:uid="{00000000-0005-0000-0000-0000482C0000}"/>
    <cellStyle name="메모 69 4" xfId="8085" xr:uid="{00000000-0005-0000-0000-0000492C0000}"/>
    <cellStyle name="메모 69 5" xfId="6393" xr:uid="{00000000-0005-0000-0000-00004A2C0000}"/>
    <cellStyle name="메모 69 6" xfId="8009" xr:uid="{00000000-0005-0000-0000-00004B2C0000}"/>
    <cellStyle name="메모 69 7" xfId="9475" xr:uid="{00000000-0005-0000-0000-00004C2C0000}"/>
    <cellStyle name="메모 69 8" xfId="9469" xr:uid="{00000000-0005-0000-0000-00004D2C0000}"/>
    <cellStyle name="메모 69 9" xfId="5990" xr:uid="{00000000-0005-0000-0000-00004E2C0000}"/>
    <cellStyle name="메모 7" xfId="144" xr:uid="{00000000-0005-0000-0000-00004F2C0000}"/>
    <cellStyle name="메모 70" xfId="6955" xr:uid="{00000000-0005-0000-0000-0000502C0000}"/>
    <cellStyle name="메모 70 10" xfId="2176" xr:uid="{00000000-0005-0000-0000-0000512C0000}"/>
    <cellStyle name="메모 70 11" xfId="10919" xr:uid="{00000000-0005-0000-0000-0000522C0000}"/>
    <cellStyle name="메모 70 12" xfId="10739" xr:uid="{00000000-0005-0000-0000-0000532C0000}"/>
    <cellStyle name="메모 70 2" xfId="7879" xr:uid="{00000000-0005-0000-0000-0000542C0000}"/>
    <cellStyle name="메모 70 3" xfId="8273" xr:uid="{00000000-0005-0000-0000-0000552C0000}"/>
    <cellStyle name="메모 70 4" xfId="3080" xr:uid="{00000000-0005-0000-0000-0000562C0000}"/>
    <cellStyle name="메모 70 5" xfId="2577" xr:uid="{00000000-0005-0000-0000-0000572C0000}"/>
    <cellStyle name="메모 70 6" xfId="6821" xr:uid="{00000000-0005-0000-0000-0000582C0000}"/>
    <cellStyle name="메모 70 7" xfId="1908" xr:uid="{00000000-0005-0000-0000-0000592C0000}"/>
    <cellStyle name="메모 70 8" xfId="9952" xr:uid="{00000000-0005-0000-0000-00005A2C0000}"/>
    <cellStyle name="메모 70 9" xfId="8874" xr:uid="{00000000-0005-0000-0000-00005B2C0000}"/>
    <cellStyle name="메모 71" xfId="5001" xr:uid="{00000000-0005-0000-0000-00005C2C0000}"/>
    <cellStyle name="메모 71 10" xfId="3808" xr:uid="{00000000-0005-0000-0000-00005D2C0000}"/>
    <cellStyle name="메모 71 11" xfId="11114" xr:uid="{00000000-0005-0000-0000-00005E2C0000}"/>
    <cellStyle name="메모 71 2" xfId="8098" xr:uid="{00000000-0005-0000-0000-00005F2C0000}"/>
    <cellStyle name="메모 71 3" xfId="8352" xr:uid="{00000000-0005-0000-0000-0000602C0000}"/>
    <cellStyle name="메모 71 4" xfId="6529" xr:uid="{00000000-0005-0000-0000-0000612C0000}"/>
    <cellStyle name="메모 71 5" xfId="7540" xr:uid="{00000000-0005-0000-0000-0000622C0000}"/>
    <cellStyle name="메모 71 6" xfId="9631" xr:uid="{00000000-0005-0000-0000-0000632C0000}"/>
    <cellStyle name="메모 71 7" xfId="9819" xr:uid="{00000000-0005-0000-0000-0000642C0000}"/>
    <cellStyle name="메모 71 8" xfId="10163" xr:uid="{00000000-0005-0000-0000-0000652C0000}"/>
    <cellStyle name="메모 71 9" xfId="2788" xr:uid="{00000000-0005-0000-0000-0000662C0000}"/>
    <cellStyle name="메모 72" xfId="7918" xr:uid="{00000000-0005-0000-0000-0000672C0000}"/>
    <cellStyle name="메모 72 10" xfId="10436" xr:uid="{00000000-0005-0000-0000-0000682C0000}"/>
    <cellStyle name="메모 72 2" xfId="8667" xr:uid="{00000000-0005-0000-0000-0000692C0000}"/>
    <cellStyle name="메모 72 3" xfId="9031" xr:uid="{00000000-0005-0000-0000-00006A2C0000}"/>
    <cellStyle name="메모 72 4" xfId="9390" xr:uid="{00000000-0005-0000-0000-00006B2C0000}"/>
    <cellStyle name="메모 72 5" xfId="7613" xr:uid="{00000000-0005-0000-0000-00006C2C0000}"/>
    <cellStyle name="메모 72 6" xfId="9826" xr:uid="{00000000-0005-0000-0000-00006D2C0000}"/>
    <cellStyle name="메모 72 7" xfId="10305" xr:uid="{00000000-0005-0000-0000-00006E2C0000}"/>
    <cellStyle name="메모 72 8" xfId="10536" xr:uid="{00000000-0005-0000-0000-00006F2C0000}"/>
    <cellStyle name="메모 72 9" xfId="2786" xr:uid="{00000000-0005-0000-0000-0000702C0000}"/>
    <cellStyle name="메모 73" xfId="6724" xr:uid="{00000000-0005-0000-0000-0000712C0000}"/>
    <cellStyle name="메모 73 2" xfId="6744" xr:uid="{00000000-0005-0000-0000-0000722C0000}"/>
    <cellStyle name="메모 73 3" xfId="2406" xr:uid="{00000000-0005-0000-0000-0000732C0000}"/>
    <cellStyle name="메모 73 4" xfId="9556" xr:uid="{00000000-0005-0000-0000-0000742C0000}"/>
    <cellStyle name="메모 73 5" xfId="6020" xr:uid="{00000000-0005-0000-0000-0000752C0000}"/>
    <cellStyle name="메모 73 6" xfId="10316" xr:uid="{00000000-0005-0000-0000-0000762C0000}"/>
    <cellStyle name="메모 73 7" xfId="10551" xr:uid="{00000000-0005-0000-0000-0000772C0000}"/>
    <cellStyle name="메모 73 8" xfId="10972" xr:uid="{00000000-0005-0000-0000-0000782C0000}"/>
    <cellStyle name="메모 73 9" xfId="11192" xr:uid="{00000000-0005-0000-0000-0000792C0000}"/>
    <cellStyle name="메모 74" xfId="7913" xr:uid="{00000000-0005-0000-0000-00007A2C0000}"/>
    <cellStyle name="메모 74 2" xfId="9389" xr:uid="{00000000-0005-0000-0000-00007B2C0000}"/>
    <cellStyle name="메모 74 3" xfId="9698" xr:uid="{00000000-0005-0000-0000-00007C2C0000}"/>
    <cellStyle name="메모 74 4" xfId="9864" xr:uid="{00000000-0005-0000-0000-00007D2C0000}"/>
    <cellStyle name="메모 74 5" xfId="10160" xr:uid="{00000000-0005-0000-0000-00007E2C0000}"/>
    <cellStyle name="메모 74 6" xfId="10625" xr:uid="{00000000-0005-0000-0000-00007F2C0000}"/>
    <cellStyle name="메모 74 7" xfId="10444" xr:uid="{00000000-0005-0000-0000-0000802C0000}"/>
    <cellStyle name="메모 74 8" xfId="8355" xr:uid="{00000000-0005-0000-0000-0000812C0000}"/>
    <cellStyle name="메모 75" xfId="2511" xr:uid="{00000000-0005-0000-0000-0000822C0000}"/>
    <cellStyle name="메모 75 2" xfId="9441" xr:uid="{00000000-0005-0000-0000-0000832C0000}"/>
    <cellStyle name="메모 75 3" xfId="9837" xr:uid="{00000000-0005-0000-0000-0000842C0000}"/>
    <cellStyle name="메모 75 4" xfId="10257" xr:uid="{00000000-0005-0000-0000-0000852C0000}"/>
    <cellStyle name="메모 75 5" xfId="4836" xr:uid="{00000000-0005-0000-0000-0000862C0000}"/>
    <cellStyle name="메모 75 6" xfId="10922" xr:uid="{00000000-0005-0000-0000-0000872C0000}"/>
    <cellStyle name="메모 75 7" xfId="11162" xr:uid="{00000000-0005-0000-0000-0000882C0000}"/>
    <cellStyle name="메모 76" xfId="9542" xr:uid="{00000000-0005-0000-0000-0000892C0000}"/>
    <cellStyle name="메모 76 2" xfId="10086" xr:uid="{00000000-0005-0000-0000-00008A2C0000}"/>
    <cellStyle name="메모 76 3" xfId="10399" xr:uid="{00000000-0005-0000-0000-00008B2C0000}"/>
    <cellStyle name="메모 76 4" xfId="10708" xr:uid="{00000000-0005-0000-0000-00008C2C0000}"/>
    <cellStyle name="메모 76 5" xfId="6354" xr:uid="{00000000-0005-0000-0000-00008D2C0000}"/>
    <cellStyle name="메모 76 6" xfId="1367" xr:uid="{00000000-0005-0000-0000-00008E2C0000}"/>
    <cellStyle name="메모 77" xfId="4179" xr:uid="{00000000-0005-0000-0000-00008F2C0000}"/>
    <cellStyle name="메모 77 2" xfId="9518" xr:uid="{00000000-0005-0000-0000-0000902C0000}"/>
    <cellStyle name="메모 77 3" xfId="10497" xr:uid="{00000000-0005-0000-0000-0000912C0000}"/>
    <cellStyle name="메모 77 4" xfId="10930" xr:uid="{00000000-0005-0000-0000-0000922C0000}"/>
    <cellStyle name="메모 77 5" xfId="3809" xr:uid="{00000000-0005-0000-0000-0000932C0000}"/>
    <cellStyle name="메모 78" xfId="3490" xr:uid="{00000000-0005-0000-0000-0000942C0000}"/>
    <cellStyle name="메모 78 2" xfId="10562" xr:uid="{00000000-0005-0000-0000-0000952C0000}"/>
    <cellStyle name="메모 78 3" xfId="9770" xr:uid="{00000000-0005-0000-0000-0000962C0000}"/>
    <cellStyle name="메모 78 4" xfId="11052" xr:uid="{00000000-0005-0000-0000-0000972C0000}"/>
    <cellStyle name="메모 79" xfId="9464" xr:uid="{00000000-0005-0000-0000-0000982C0000}"/>
    <cellStyle name="메모 79 2" xfId="9659" xr:uid="{00000000-0005-0000-0000-0000992C0000}"/>
    <cellStyle name="메모 79 3" xfId="11078" xr:uid="{00000000-0005-0000-0000-00009A2C0000}"/>
    <cellStyle name="메모 8" xfId="157" xr:uid="{00000000-0005-0000-0000-00009B2C0000}"/>
    <cellStyle name="메모 80" xfId="10808" xr:uid="{00000000-0005-0000-0000-00009C2C0000}"/>
    <cellStyle name="메모 80 2" xfId="11303" xr:uid="{00000000-0005-0000-0000-00009D2C0000}"/>
    <cellStyle name="메모 81" xfId="9787" xr:uid="{00000000-0005-0000-0000-00009E2C0000}"/>
    <cellStyle name="메모 82" xfId="590" xr:uid="{00000000-0005-0000-0000-00009F2C0000}"/>
    <cellStyle name="메모 83" xfId="683" xr:uid="{00000000-0005-0000-0000-0000A02C0000}"/>
    <cellStyle name="메모 84" xfId="571" xr:uid="{00000000-0005-0000-0000-0000A12C0000}"/>
    <cellStyle name="메모 85" xfId="11361" xr:uid="{00000000-0005-0000-0000-0000A22C0000}"/>
    <cellStyle name="메모 86" xfId="11437" xr:uid="{00000000-0005-0000-0000-0000A32C0000}"/>
    <cellStyle name="메모 9" xfId="170" xr:uid="{00000000-0005-0000-0000-0000A42C0000}"/>
    <cellStyle name="백분율" xfId="2" builtinId="5"/>
    <cellStyle name="백분율 2" xfId="58" xr:uid="{00000000-0005-0000-0000-0000A62C0000}"/>
    <cellStyle name="보통" xfId="10" builtinId="28" customBuiltin="1"/>
    <cellStyle name="설명 텍스트" xfId="18" builtinId="53" customBuiltin="1"/>
    <cellStyle name="셀 확인" xfId="15" builtinId="23" customBuiltin="1"/>
    <cellStyle name="쉼표 [0]" xfId="1" builtinId="6"/>
    <cellStyle name="쉼표 [0] 2" xfId="540" xr:uid="{00000000-0005-0000-0000-0000AB2C0000}"/>
    <cellStyle name="쉼표 [0] 3" xfId="541" xr:uid="{00000000-0005-0000-0000-0000AC2C0000}"/>
    <cellStyle name="연결된 셀" xfId="14" builtinId="24" customBuiltin="1"/>
    <cellStyle name="요약" xfId="19" builtinId="25" customBuiltin="1"/>
    <cellStyle name="입력" xfId="11" builtinId="20" customBuiltin="1"/>
    <cellStyle name="제목" xfId="3" builtinId="15" customBuiltin="1"/>
    <cellStyle name="제목 1" xfId="4" builtinId="16" customBuiltin="1"/>
    <cellStyle name="제목 2" xfId="5" builtinId="17" customBuiltin="1"/>
    <cellStyle name="제목 3" xfId="6" builtinId="18" customBuiltin="1"/>
    <cellStyle name="제목 4" xfId="7" builtinId="19" customBuiltin="1"/>
    <cellStyle name="좋음" xfId="8" builtinId="26" customBuiltin="1"/>
    <cellStyle name="출력" xfId="12" builtinId="21" customBuiltin="1"/>
    <cellStyle name="표준" xfId="0" builtinId="0"/>
    <cellStyle name="표준 2" xfId="44" xr:uid="{00000000-0005-0000-0000-0000B82C0000}"/>
    <cellStyle name="표준 3" xfId="542" xr:uid="{00000000-0005-0000-0000-0000B92C0000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66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1659850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4" name="모서리가 둥근 직사각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7011650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DB217"/>
  <sheetViews>
    <sheetView topLeftCell="A4" zoomScale="70" zoomScaleNormal="70" workbookViewId="0">
      <pane ySplit="7790" topLeftCell="A100"/>
      <selection activeCell="I7" sqref="I7"/>
      <selection pane="bottomLeft" activeCell="AY33" sqref="AY33"/>
    </sheetView>
  </sheetViews>
  <sheetFormatPr defaultColWidth="9" defaultRowHeight="17"/>
  <cols>
    <col min="1" max="1" width="11.83203125" style="1" customWidth="1"/>
    <col min="2" max="2" width="15.58203125" style="1" customWidth="1"/>
    <col min="3" max="3" width="5.58203125" style="53" customWidth="1"/>
    <col min="4" max="16" width="5.58203125" style="1" customWidth="1"/>
    <col min="17" max="17" width="5.75" style="1" customWidth="1"/>
    <col min="18" max="50" width="5.58203125" style="1" hidden="1" customWidth="1"/>
    <col min="51" max="51" width="5.58203125" style="1" customWidth="1"/>
    <col min="52" max="58" width="5.58203125" style="53" customWidth="1"/>
    <col min="59" max="103" width="5.58203125" style="1" customWidth="1"/>
    <col min="104" max="16384" width="9" style="1"/>
  </cols>
  <sheetData>
    <row r="1" spans="1:103" ht="22">
      <c r="A1" s="56" t="s">
        <v>701</v>
      </c>
      <c r="C1" s="78"/>
      <c r="D1" s="2"/>
      <c r="E1" s="2"/>
      <c r="F1" s="2"/>
      <c r="G1" s="148" t="s">
        <v>829</v>
      </c>
      <c r="H1" s="2"/>
      <c r="I1" s="2"/>
      <c r="J1" s="2"/>
      <c r="K1" s="2"/>
      <c r="L1" s="2"/>
      <c r="M1" s="2"/>
      <c r="N1" s="2" t="s">
        <v>876</v>
      </c>
      <c r="O1" s="2"/>
      <c r="P1" s="2"/>
      <c r="Q1" s="2"/>
      <c r="R1" s="2"/>
      <c r="S1" s="2" t="s">
        <v>893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 t="s">
        <v>847</v>
      </c>
      <c r="BS1" s="1" t="s">
        <v>850</v>
      </c>
      <c r="BY1" s="1" t="s">
        <v>852</v>
      </c>
    </row>
    <row r="2" spans="1:103">
      <c r="A2" s="3" t="s">
        <v>542</v>
      </c>
      <c r="B2" s="50">
        <f ca="1">TODAY()</f>
        <v>46232</v>
      </c>
      <c r="C2" s="78"/>
      <c r="D2" s="2">
        <f>MAX(집계!B5:B1014)</f>
        <v>722</v>
      </c>
      <c r="E2" s="2">
        <f>집계!T2</f>
        <v>139.163179916318</v>
      </c>
      <c r="F2" s="2"/>
      <c r="G2" s="2"/>
      <c r="H2" s="2"/>
      <c r="I2" s="273" t="s">
        <v>661</v>
      </c>
      <c r="J2" s="274"/>
      <c r="K2" s="274"/>
      <c r="L2" s="274"/>
      <c r="M2" s="2"/>
      <c r="N2" s="2" t="s">
        <v>853</v>
      </c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</row>
    <row r="3" spans="1:103" ht="5.25" customHeight="1">
      <c r="A3" s="3"/>
      <c r="B3" s="50"/>
      <c r="C3" s="78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</row>
    <row r="4" spans="1:103">
      <c r="A4" s="45" t="s">
        <v>543</v>
      </c>
      <c r="B4" s="45">
        <f>$J$34+$L$34</f>
        <v>45</v>
      </c>
      <c r="C4" s="251" t="s">
        <v>544</v>
      </c>
      <c r="D4" s="251"/>
      <c r="E4" s="277">
        <f>$J$34/$B$34</f>
        <v>0.48888888888888887</v>
      </c>
      <c r="F4" s="277"/>
      <c r="G4" s="277">
        <f>$L$34/$B$34</f>
        <v>0.51111111111111107</v>
      </c>
      <c r="H4" s="277"/>
      <c r="I4" s="54" t="s">
        <v>545</v>
      </c>
      <c r="J4" s="54">
        <f>COUNTIFS(당첨,"당첨",홀짝수,"홀수")</f>
        <v>22</v>
      </c>
      <c r="K4" s="54" t="s">
        <v>546</v>
      </c>
      <c r="L4" s="54">
        <f>COUNTIFS(당첨,"당첨",홀짝수,"짝수")</f>
        <v>23</v>
      </c>
      <c r="M4" s="2"/>
      <c r="N4" s="2">
        <v>14</v>
      </c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</row>
    <row r="5" spans="1:103" ht="5.25" customHeight="1" thickBot="1">
      <c r="A5" s="3"/>
      <c r="B5" s="19"/>
      <c r="C5" s="78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</row>
    <row r="6" spans="1:103" ht="18" thickTop="1" thickBot="1">
      <c r="A6" s="6" t="s">
        <v>547</v>
      </c>
      <c r="B6" s="7" t="s">
        <v>548</v>
      </c>
      <c r="C6" s="20" t="s">
        <v>549</v>
      </c>
      <c r="D6" s="21" t="s">
        <v>5</v>
      </c>
      <c r="E6" s="21" t="s">
        <v>6</v>
      </c>
      <c r="F6" s="21" t="s">
        <v>7</v>
      </c>
      <c r="G6" s="21" t="s">
        <v>8</v>
      </c>
      <c r="H6" s="21" t="s">
        <v>9</v>
      </c>
      <c r="I6" s="21" t="s">
        <v>10</v>
      </c>
      <c r="J6" s="21" t="s">
        <v>11</v>
      </c>
      <c r="K6" s="21" t="s">
        <v>12</v>
      </c>
      <c r="L6" s="21" t="s">
        <v>13</v>
      </c>
      <c r="M6" s="21" t="s">
        <v>14</v>
      </c>
      <c r="N6" s="21" t="s">
        <v>15</v>
      </c>
      <c r="O6" s="21" t="s">
        <v>16</v>
      </c>
      <c r="P6" s="21" t="s">
        <v>17</v>
      </c>
      <c r="Q6" s="21" t="s">
        <v>471</v>
      </c>
      <c r="R6" s="21" t="s">
        <v>856</v>
      </c>
      <c r="S6" s="21" t="s">
        <v>857</v>
      </c>
      <c r="T6" s="21" t="s">
        <v>858</v>
      </c>
      <c r="U6" s="21" t="s">
        <v>859</v>
      </c>
      <c r="V6" s="21" t="s">
        <v>860</v>
      </c>
      <c r="W6" s="21" t="s">
        <v>861</v>
      </c>
      <c r="X6" s="21" t="s">
        <v>862</v>
      </c>
      <c r="Y6" s="21" t="s">
        <v>863</v>
      </c>
      <c r="Z6" s="21" t="s">
        <v>864</v>
      </c>
      <c r="AA6" s="21" t="s">
        <v>865</v>
      </c>
      <c r="AB6" s="21" t="s">
        <v>866</v>
      </c>
      <c r="AC6" s="21" t="s">
        <v>867</v>
      </c>
      <c r="AD6" s="21" t="s">
        <v>868</v>
      </c>
      <c r="AE6" s="21" t="s">
        <v>869</v>
      </c>
      <c r="AF6" s="21" t="s">
        <v>870</v>
      </c>
      <c r="AG6" s="21" t="s">
        <v>871</v>
      </c>
      <c r="AH6" s="21" t="s">
        <v>872</v>
      </c>
      <c r="AI6" s="21" t="s">
        <v>873</v>
      </c>
      <c r="AJ6" s="21" t="s">
        <v>874</v>
      </c>
      <c r="AK6" s="21" t="s">
        <v>875</v>
      </c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165"/>
      <c r="AW6" s="165"/>
      <c r="AX6" s="165"/>
      <c r="AZ6" s="54">
        <v>1</v>
      </c>
      <c r="BA6" s="54">
        <v>2</v>
      </c>
      <c r="BB6" s="54">
        <v>3</v>
      </c>
      <c r="BC6" s="54">
        <v>4</v>
      </c>
      <c r="BD6" s="54">
        <v>5</v>
      </c>
      <c r="BE6" s="54">
        <v>6</v>
      </c>
      <c r="BF6" s="54">
        <v>7</v>
      </c>
    </row>
    <row r="7" spans="1:103" ht="17.5" thickTop="1">
      <c r="A7" s="8" t="s">
        <v>550</v>
      </c>
      <c r="B7" s="9" t="s">
        <v>572</v>
      </c>
      <c r="C7" s="161">
        <f ca="1">INDEX($C38:$AM38,RANK(C44,$C44:$AM44))</f>
        <v>17</v>
      </c>
      <c r="D7" s="161">
        <f ca="1">INDEX($C38:$AM38,RANK(D44,$C44:$AM44))</f>
        <v>1</v>
      </c>
      <c r="E7" s="161">
        <f t="shared" ref="E7:Q7" ca="1" si="0">INDEX($C38:$AM38,RANK(E44,$C44:$AM44))</f>
        <v>24</v>
      </c>
      <c r="F7" s="161">
        <f t="shared" ca="1" si="0"/>
        <v>2</v>
      </c>
      <c r="G7" s="161">
        <f t="shared" ref="G7" ca="1" si="1">INDEX($C38:$AM38,RANK(G44,$C44:$AM44))</f>
        <v>35</v>
      </c>
      <c r="H7" s="161">
        <f t="shared" ca="1" si="0"/>
        <v>33</v>
      </c>
      <c r="I7" s="161">
        <f t="shared" ca="1" si="0"/>
        <v>27</v>
      </c>
      <c r="J7" s="161">
        <f t="shared" ca="1" si="0"/>
        <v>25</v>
      </c>
      <c r="K7" s="161">
        <f t="shared" ca="1" si="0"/>
        <v>31</v>
      </c>
      <c r="L7" s="161">
        <f t="shared" ca="1" si="0"/>
        <v>23</v>
      </c>
      <c r="M7" s="161">
        <f t="shared" ca="1" si="0"/>
        <v>6</v>
      </c>
      <c r="N7" s="161">
        <f t="shared" ca="1" si="0"/>
        <v>32</v>
      </c>
      <c r="O7" s="161">
        <f ca="1">INDEX($C38:$AM38,RANK(O44,$C44:$AM44))</f>
        <v>29</v>
      </c>
      <c r="P7" s="161">
        <f t="shared" ca="1" si="0"/>
        <v>18</v>
      </c>
      <c r="Q7" s="161">
        <f t="shared" ca="1" si="0"/>
        <v>3</v>
      </c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6"/>
      <c r="AW7" s="166"/>
      <c r="AX7" s="166"/>
      <c r="AZ7" s="54">
        <f t="shared" ref="AZ7:AZ12" si="2">BF6+1</f>
        <v>8</v>
      </c>
      <c r="BA7" s="54">
        <v>9</v>
      </c>
      <c r="BB7" s="54">
        <f>BA7+1</f>
        <v>10</v>
      </c>
      <c r="BC7" s="54">
        <f>BB7+1</f>
        <v>11</v>
      </c>
      <c r="BD7" s="54">
        <f>BC7+1</f>
        <v>12</v>
      </c>
      <c r="BE7" s="54">
        <f>BD7+1</f>
        <v>13</v>
      </c>
      <c r="BF7" s="54">
        <f>BE7+1</f>
        <v>14</v>
      </c>
    </row>
    <row r="8" spans="1:103">
      <c r="A8" s="10" t="s">
        <v>0</v>
      </c>
      <c r="B8" s="11" t="s">
        <v>573</v>
      </c>
      <c r="C8" s="161">
        <f ca="1">INDEX($C39:$AM39,RANK(C45,$C45:$AM45))</f>
        <v>14</v>
      </c>
      <c r="D8" s="161">
        <f t="shared" ref="D8:Q8" ca="1" si="3">INDEX($C39:$AM39,RANK(D45,$C45:$AM45))</f>
        <v>12</v>
      </c>
      <c r="E8" s="161">
        <f t="shared" ca="1" si="3"/>
        <v>11</v>
      </c>
      <c r="F8" s="161">
        <f t="shared" ca="1" si="3"/>
        <v>27</v>
      </c>
      <c r="G8" s="161">
        <f t="shared" ref="G8" ca="1" si="4">INDEX($C39:$AM39,RANK(G45,$C45:$AM45))</f>
        <v>17</v>
      </c>
      <c r="H8" s="161">
        <f t="shared" ca="1" si="3"/>
        <v>34</v>
      </c>
      <c r="I8" s="161">
        <f t="shared" ca="1" si="3"/>
        <v>33</v>
      </c>
      <c r="J8" s="161">
        <f t="shared" ca="1" si="3"/>
        <v>15</v>
      </c>
      <c r="K8" s="161">
        <f t="shared" ca="1" si="3"/>
        <v>37</v>
      </c>
      <c r="L8" s="161">
        <f t="shared" ca="1" si="3"/>
        <v>23</v>
      </c>
      <c r="M8" s="161">
        <f t="shared" ca="1" si="3"/>
        <v>2</v>
      </c>
      <c r="N8" s="161">
        <f t="shared" ca="1" si="3"/>
        <v>6</v>
      </c>
      <c r="O8" s="161">
        <f t="shared" ca="1" si="3"/>
        <v>19</v>
      </c>
      <c r="P8" s="161">
        <f t="shared" ca="1" si="3"/>
        <v>25</v>
      </c>
      <c r="Q8" s="161">
        <f t="shared" ca="1" si="3"/>
        <v>18</v>
      </c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  <c r="AK8" s="162"/>
      <c r="AL8" s="162"/>
      <c r="AM8" s="162"/>
      <c r="AN8" s="162"/>
      <c r="AO8" s="162"/>
      <c r="AP8" s="162"/>
      <c r="AQ8" s="162"/>
      <c r="AR8" s="162"/>
      <c r="AS8" s="162"/>
      <c r="AT8" s="162"/>
      <c r="AU8" s="162"/>
      <c r="AV8" s="166"/>
      <c r="AW8" s="166"/>
      <c r="AX8" s="166"/>
      <c r="AZ8" s="54">
        <f t="shared" si="2"/>
        <v>15</v>
      </c>
      <c r="BA8" s="54">
        <f t="shared" ref="BA8:BF8" si="5">AZ8+1</f>
        <v>16</v>
      </c>
      <c r="BB8" s="54">
        <f t="shared" si="5"/>
        <v>17</v>
      </c>
      <c r="BC8" s="54">
        <f t="shared" si="5"/>
        <v>18</v>
      </c>
      <c r="BD8" s="54">
        <f t="shared" si="5"/>
        <v>19</v>
      </c>
      <c r="BE8" s="54">
        <f t="shared" si="5"/>
        <v>20</v>
      </c>
      <c r="BF8" s="54">
        <f t="shared" si="5"/>
        <v>21</v>
      </c>
    </row>
    <row r="9" spans="1:103">
      <c r="A9" s="10" t="s">
        <v>1</v>
      </c>
      <c r="B9" s="11" t="s">
        <v>574</v>
      </c>
      <c r="C9" s="161">
        <f ca="1">INDEX($C40:$AM40,RANK(C46,$C46:$AM46))</f>
        <v>37</v>
      </c>
      <c r="D9" s="161">
        <f t="shared" ref="D9:Q9" ca="1" si="6">INDEX($C40:$AM40,RANK(D46,$C46:$AM46))</f>
        <v>2</v>
      </c>
      <c r="E9" s="161">
        <f t="shared" ca="1" si="6"/>
        <v>28</v>
      </c>
      <c r="F9" s="161">
        <f t="shared" ca="1" si="6"/>
        <v>18</v>
      </c>
      <c r="G9" s="161">
        <f t="shared" ref="G9" ca="1" si="7">INDEX($C40:$AM40,RANK(G46,$C46:$AM46))</f>
        <v>1</v>
      </c>
      <c r="H9" s="161">
        <f t="shared" ca="1" si="6"/>
        <v>5</v>
      </c>
      <c r="I9" s="161">
        <f t="shared" ca="1" si="6"/>
        <v>31</v>
      </c>
      <c r="J9" s="161">
        <f t="shared" ca="1" si="6"/>
        <v>7</v>
      </c>
      <c r="K9" s="161">
        <f t="shared" ca="1" si="6"/>
        <v>30</v>
      </c>
      <c r="L9" s="161">
        <f t="shared" ca="1" si="6"/>
        <v>36</v>
      </c>
      <c r="M9" s="161">
        <f t="shared" ca="1" si="6"/>
        <v>15</v>
      </c>
      <c r="N9" s="161">
        <f t="shared" ca="1" si="6"/>
        <v>26</v>
      </c>
      <c r="O9" s="161">
        <f t="shared" ca="1" si="6"/>
        <v>34</v>
      </c>
      <c r="P9" s="161">
        <f t="shared" ca="1" si="6"/>
        <v>10</v>
      </c>
      <c r="Q9" s="161">
        <f t="shared" ca="1" si="6"/>
        <v>22</v>
      </c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62"/>
      <c r="AG9" s="162"/>
      <c r="AH9" s="162"/>
      <c r="AI9" s="162"/>
      <c r="AJ9" s="162"/>
      <c r="AK9" s="162"/>
      <c r="AL9" s="162"/>
      <c r="AM9" s="162"/>
      <c r="AN9" s="162"/>
      <c r="AO9" s="162"/>
      <c r="AP9" s="162"/>
      <c r="AQ9" s="162"/>
      <c r="AR9" s="162"/>
      <c r="AS9" s="162"/>
      <c r="AT9" s="162"/>
      <c r="AU9" s="162"/>
      <c r="AV9" s="166"/>
      <c r="AW9" s="166"/>
      <c r="AX9" s="166"/>
      <c r="AZ9" s="54">
        <f t="shared" si="2"/>
        <v>22</v>
      </c>
      <c r="BA9" s="54">
        <f t="shared" ref="BA9:BF9" si="8">AZ9+1</f>
        <v>23</v>
      </c>
      <c r="BB9" s="54">
        <f t="shared" si="8"/>
        <v>24</v>
      </c>
      <c r="BC9" s="54">
        <f t="shared" si="8"/>
        <v>25</v>
      </c>
      <c r="BD9" s="54">
        <f t="shared" si="8"/>
        <v>26</v>
      </c>
      <c r="BE9" s="54">
        <f t="shared" si="8"/>
        <v>27</v>
      </c>
      <c r="BF9" s="54">
        <f t="shared" si="8"/>
        <v>28</v>
      </c>
    </row>
    <row r="10" spans="1:103">
      <c r="A10" s="10" t="s">
        <v>2</v>
      </c>
      <c r="B10" s="11" t="s">
        <v>575</v>
      </c>
      <c r="C10" s="161">
        <f ca="1">INDEX($C41:$AM41,RANK(C47,$C47:$AM47))</f>
        <v>17</v>
      </c>
      <c r="D10" s="161">
        <f t="shared" ref="D10:Q10" ca="1" si="9">INDEX($C41:$AM41,RANK(D47,$C47:$AM47))</f>
        <v>8</v>
      </c>
      <c r="E10" s="161">
        <f t="shared" ca="1" si="9"/>
        <v>25</v>
      </c>
      <c r="F10" s="161">
        <f t="shared" ca="1" si="9"/>
        <v>7</v>
      </c>
      <c r="G10" s="161">
        <f t="shared" ref="G10" ca="1" si="10">INDEX($C41:$AM41,RANK(G47,$C47:$AM47))</f>
        <v>37</v>
      </c>
      <c r="H10" s="161">
        <f t="shared" ca="1" si="9"/>
        <v>22</v>
      </c>
      <c r="I10" s="161">
        <f t="shared" ca="1" si="9"/>
        <v>31</v>
      </c>
      <c r="J10" s="161">
        <f t="shared" ca="1" si="9"/>
        <v>6</v>
      </c>
      <c r="K10" s="161">
        <f t="shared" ca="1" si="9"/>
        <v>36</v>
      </c>
      <c r="L10" s="161">
        <f t="shared" ca="1" si="9"/>
        <v>27</v>
      </c>
      <c r="M10" s="161">
        <f t="shared" ca="1" si="9"/>
        <v>20</v>
      </c>
      <c r="N10" s="161">
        <f t="shared" ca="1" si="9"/>
        <v>18</v>
      </c>
      <c r="O10" s="161">
        <f t="shared" ca="1" si="9"/>
        <v>2</v>
      </c>
      <c r="P10" s="161">
        <f t="shared" ca="1" si="9"/>
        <v>33</v>
      </c>
      <c r="Q10" s="161">
        <f t="shared" ca="1" si="9"/>
        <v>21</v>
      </c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2"/>
      <c r="AJ10" s="162"/>
      <c r="AK10" s="162"/>
      <c r="AL10" s="162"/>
      <c r="AM10" s="162"/>
      <c r="AN10" s="162"/>
      <c r="AO10" s="162"/>
      <c r="AP10" s="162"/>
      <c r="AQ10" s="162"/>
      <c r="AR10" s="162"/>
      <c r="AS10" s="162"/>
      <c r="AT10" s="162"/>
      <c r="AU10" s="162"/>
      <c r="AV10" s="166"/>
      <c r="AW10" s="166"/>
      <c r="AX10" s="166"/>
      <c r="AZ10" s="54">
        <f t="shared" si="2"/>
        <v>29</v>
      </c>
      <c r="BA10" s="54">
        <f t="shared" ref="BA10:BF10" si="11">AZ10+1</f>
        <v>30</v>
      </c>
      <c r="BB10" s="54">
        <f t="shared" si="11"/>
        <v>31</v>
      </c>
      <c r="BC10" s="54">
        <f t="shared" si="11"/>
        <v>32</v>
      </c>
      <c r="BD10" s="54">
        <f t="shared" si="11"/>
        <v>33</v>
      </c>
      <c r="BE10" s="54">
        <f t="shared" si="11"/>
        <v>34</v>
      </c>
      <c r="BF10" s="54">
        <f t="shared" si="11"/>
        <v>35</v>
      </c>
    </row>
    <row r="11" spans="1:103">
      <c r="A11" s="10" t="s">
        <v>3</v>
      </c>
      <c r="B11" s="11" t="s">
        <v>576</v>
      </c>
      <c r="C11" s="161">
        <f ca="1">INDEX($C42:$AM42,RANK(C48,$C48:$AM48))</f>
        <v>14</v>
      </c>
      <c r="D11" s="161">
        <f t="shared" ref="D11:Q11" ca="1" si="12">INDEX($C42:$AM42,RANK(D48,$C48:$AM48))</f>
        <v>36</v>
      </c>
      <c r="E11" s="161">
        <f t="shared" ca="1" si="12"/>
        <v>17</v>
      </c>
      <c r="F11" s="161">
        <f t="shared" ca="1" si="12"/>
        <v>19</v>
      </c>
      <c r="G11" s="161">
        <f t="shared" ref="G11" ca="1" si="13">INDEX($C42:$AM42,RANK(G48,$C48:$AM48))</f>
        <v>12</v>
      </c>
      <c r="H11" s="161">
        <f t="shared" ca="1" si="12"/>
        <v>31</v>
      </c>
      <c r="I11" s="161">
        <f t="shared" ca="1" si="12"/>
        <v>18</v>
      </c>
      <c r="J11" s="161">
        <f t="shared" ca="1" si="12"/>
        <v>22</v>
      </c>
      <c r="K11" s="161">
        <f t="shared" ca="1" si="12"/>
        <v>7</v>
      </c>
      <c r="L11" s="161">
        <f t="shared" ca="1" si="12"/>
        <v>6</v>
      </c>
      <c r="M11" s="161">
        <f t="shared" ca="1" si="12"/>
        <v>13</v>
      </c>
      <c r="N11" s="161">
        <f t="shared" ca="1" si="12"/>
        <v>26</v>
      </c>
      <c r="O11" s="161">
        <f t="shared" ca="1" si="12"/>
        <v>34</v>
      </c>
      <c r="P11" s="161">
        <f t="shared" ca="1" si="12"/>
        <v>27</v>
      </c>
      <c r="Q11" s="161">
        <f t="shared" ca="1" si="12"/>
        <v>21</v>
      </c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2"/>
      <c r="AJ11" s="162"/>
      <c r="AK11" s="162"/>
      <c r="AL11" s="162"/>
      <c r="AM11" s="162"/>
      <c r="AN11" s="162"/>
      <c r="AO11" s="162"/>
      <c r="AP11" s="162"/>
      <c r="AQ11" s="162"/>
      <c r="AR11" s="162"/>
      <c r="AS11" s="162"/>
      <c r="AT11" s="162"/>
      <c r="AU11" s="162"/>
      <c r="AV11" s="166"/>
      <c r="AW11" s="166"/>
      <c r="AX11" s="166"/>
      <c r="AZ11" s="54">
        <f t="shared" si="2"/>
        <v>36</v>
      </c>
      <c r="BA11" s="54">
        <f t="shared" ref="BA11:BF11" si="14">AZ11+1</f>
        <v>37</v>
      </c>
      <c r="BB11" s="54">
        <f t="shared" si="14"/>
        <v>38</v>
      </c>
      <c r="BC11" s="54">
        <f t="shared" si="14"/>
        <v>39</v>
      </c>
      <c r="BD11" s="54">
        <f t="shared" si="14"/>
        <v>40</v>
      </c>
      <c r="BE11" s="54">
        <f t="shared" si="14"/>
        <v>41</v>
      </c>
      <c r="BF11" s="54">
        <f t="shared" si="14"/>
        <v>42</v>
      </c>
    </row>
    <row r="12" spans="1:103" ht="17.5" thickBot="1">
      <c r="A12" s="12" t="s">
        <v>4</v>
      </c>
      <c r="B12" s="18" t="s">
        <v>577</v>
      </c>
      <c r="C12" s="161">
        <f ca="1">INDEX($C43:$AM43,RANK(C49,$C49:$AM49))</f>
        <v>8</v>
      </c>
      <c r="D12" s="161">
        <f t="shared" ref="D12:Q12" ca="1" si="15">INDEX($C43:$AM43,RANK(D49,$C49:$AM49))</f>
        <v>28</v>
      </c>
      <c r="E12" s="161">
        <f t="shared" ca="1" si="15"/>
        <v>30</v>
      </c>
      <c r="F12" s="161">
        <f t="shared" ca="1" si="15"/>
        <v>29</v>
      </c>
      <c r="G12" s="161">
        <f t="shared" ref="G12" ca="1" si="16">INDEX($C43:$AM43,RANK(G49,$C49:$AM49))</f>
        <v>9</v>
      </c>
      <c r="H12" s="161">
        <f t="shared" ca="1" si="15"/>
        <v>21</v>
      </c>
      <c r="I12" s="161">
        <f t="shared" ca="1" si="15"/>
        <v>37</v>
      </c>
      <c r="J12" s="161">
        <f t="shared" ca="1" si="15"/>
        <v>35</v>
      </c>
      <c r="K12" s="161">
        <f t="shared" ca="1" si="15"/>
        <v>17</v>
      </c>
      <c r="L12" s="161">
        <f t="shared" ca="1" si="15"/>
        <v>26</v>
      </c>
      <c r="M12" s="161">
        <f t="shared" ca="1" si="15"/>
        <v>32</v>
      </c>
      <c r="N12" s="161">
        <f t="shared" ca="1" si="15"/>
        <v>33</v>
      </c>
      <c r="O12" s="161">
        <f t="shared" ca="1" si="15"/>
        <v>31</v>
      </c>
      <c r="P12" s="161">
        <f t="shared" ca="1" si="15"/>
        <v>1</v>
      </c>
      <c r="Q12" s="161">
        <f t="shared" ca="1" si="15"/>
        <v>11</v>
      </c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6"/>
      <c r="AW12" s="166"/>
      <c r="AX12" s="166"/>
      <c r="AZ12" s="54">
        <f t="shared" si="2"/>
        <v>43</v>
      </c>
      <c r="BA12" s="54">
        <f>AZ12+1</f>
        <v>44</v>
      </c>
      <c r="BB12" s="54">
        <f>BA12+1</f>
        <v>45</v>
      </c>
      <c r="BC12" s="54"/>
      <c r="BD12" s="54"/>
      <c r="BE12" s="54"/>
      <c r="BF12" s="54"/>
    </row>
    <row r="13" spans="1:103" ht="3.75" customHeight="1" thickTop="1" thickBot="1">
      <c r="A13" s="5"/>
      <c r="B13" s="5"/>
      <c r="C13" s="1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</row>
    <row r="14" spans="1:103" ht="18" thickTop="1" thickBot="1">
      <c r="A14" s="259" t="s">
        <v>551</v>
      </c>
      <c r="B14" s="260"/>
      <c r="C14" s="207">
        <f ca="1">SUM(C7:C13)</f>
        <v>107</v>
      </c>
      <c r="D14" s="208">
        <f t="shared" ref="D14:Q14" ca="1" si="17">SUM(D7:D13)</f>
        <v>87</v>
      </c>
      <c r="E14" s="208">
        <f t="shared" ca="1" si="17"/>
        <v>135</v>
      </c>
      <c r="F14" s="208">
        <f t="shared" ca="1" si="17"/>
        <v>102</v>
      </c>
      <c r="G14" s="208">
        <f t="shared" ca="1" si="17"/>
        <v>111</v>
      </c>
      <c r="H14" s="208">
        <f t="shared" ca="1" si="17"/>
        <v>146</v>
      </c>
      <c r="I14" s="208">
        <f t="shared" ca="1" si="17"/>
        <v>177</v>
      </c>
      <c r="J14" s="208">
        <f t="shared" ca="1" si="17"/>
        <v>110</v>
      </c>
      <c r="K14" s="208">
        <f t="shared" ca="1" si="17"/>
        <v>158</v>
      </c>
      <c r="L14" s="208">
        <f t="shared" ca="1" si="17"/>
        <v>141</v>
      </c>
      <c r="M14" s="208">
        <f t="shared" ca="1" si="17"/>
        <v>88</v>
      </c>
      <c r="N14" s="208">
        <f t="shared" ca="1" si="17"/>
        <v>141</v>
      </c>
      <c r="O14" s="208">
        <f t="shared" ca="1" si="17"/>
        <v>149</v>
      </c>
      <c r="P14" s="208">
        <f t="shared" ca="1" si="17"/>
        <v>114</v>
      </c>
      <c r="Q14" s="208">
        <f t="shared" ca="1" si="17"/>
        <v>96</v>
      </c>
      <c r="R14" s="13">
        <f t="shared" ref="R14:AU14" si="18">SUM(R7:R13)</f>
        <v>0</v>
      </c>
      <c r="S14" s="13">
        <f t="shared" si="18"/>
        <v>0</v>
      </c>
      <c r="T14" s="13">
        <f t="shared" si="18"/>
        <v>0</v>
      </c>
      <c r="U14" s="13">
        <f t="shared" si="18"/>
        <v>0</v>
      </c>
      <c r="V14" s="13">
        <f t="shared" si="18"/>
        <v>0</v>
      </c>
      <c r="W14" s="13">
        <f t="shared" si="18"/>
        <v>0</v>
      </c>
      <c r="X14" s="13">
        <f t="shared" si="18"/>
        <v>0</v>
      </c>
      <c r="Y14" s="13">
        <f t="shared" si="18"/>
        <v>0</v>
      </c>
      <c r="Z14" s="13">
        <f t="shared" si="18"/>
        <v>0</v>
      </c>
      <c r="AA14" s="13">
        <f t="shared" si="18"/>
        <v>0</v>
      </c>
      <c r="AB14" s="13">
        <f t="shared" si="18"/>
        <v>0</v>
      </c>
      <c r="AC14" s="13">
        <f t="shared" si="18"/>
        <v>0</v>
      </c>
      <c r="AD14" s="13">
        <f t="shared" si="18"/>
        <v>0</v>
      </c>
      <c r="AE14" s="13">
        <f t="shared" si="18"/>
        <v>0</v>
      </c>
      <c r="AF14" s="13">
        <f t="shared" si="18"/>
        <v>0</v>
      </c>
      <c r="AG14" s="13">
        <f t="shared" si="18"/>
        <v>0</v>
      </c>
      <c r="AH14" s="13">
        <f t="shared" si="18"/>
        <v>0</v>
      </c>
      <c r="AI14" s="13">
        <f t="shared" si="18"/>
        <v>0</v>
      </c>
      <c r="AJ14" s="13">
        <f t="shared" si="18"/>
        <v>0</v>
      </c>
      <c r="AK14" s="13">
        <f t="shared" si="18"/>
        <v>0</v>
      </c>
      <c r="AL14" s="13">
        <f t="shared" si="18"/>
        <v>0</v>
      </c>
      <c r="AM14" s="13">
        <f t="shared" si="18"/>
        <v>0</v>
      </c>
      <c r="AN14" s="13">
        <f t="shared" si="18"/>
        <v>0</v>
      </c>
      <c r="AO14" s="13">
        <f t="shared" si="18"/>
        <v>0</v>
      </c>
      <c r="AP14" s="13">
        <f t="shared" si="18"/>
        <v>0</v>
      </c>
      <c r="AQ14" s="13">
        <f t="shared" si="18"/>
        <v>0</v>
      </c>
      <c r="AR14" s="13">
        <f t="shared" si="18"/>
        <v>0</v>
      </c>
      <c r="AS14" s="13">
        <f t="shared" si="18"/>
        <v>0</v>
      </c>
      <c r="AT14" s="13">
        <f t="shared" si="18"/>
        <v>0</v>
      </c>
      <c r="AU14" s="13">
        <f t="shared" si="18"/>
        <v>0</v>
      </c>
      <c r="AV14" s="167"/>
      <c r="AW14" s="167"/>
      <c r="AX14" s="167"/>
      <c r="AZ14" s="270" t="s">
        <v>704</v>
      </c>
      <c r="BA14" s="271"/>
      <c r="BB14" s="272"/>
      <c r="BC14" s="90" t="s">
        <v>681</v>
      </c>
      <c r="BD14" s="90" t="s">
        <v>682</v>
      </c>
      <c r="BE14" s="90" t="s">
        <v>683</v>
      </c>
      <c r="BF14" s="90" t="s">
        <v>684</v>
      </c>
      <c r="BG14" s="90" t="s">
        <v>685</v>
      </c>
      <c r="BH14" s="90" t="s">
        <v>686</v>
      </c>
      <c r="BI14" s="90" t="s">
        <v>687</v>
      </c>
      <c r="BJ14" s="90" t="s">
        <v>688</v>
      </c>
      <c r="BK14" s="90" t="s">
        <v>689</v>
      </c>
      <c r="BL14" s="90" t="s">
        <v>690</v>
      </c>
      <c r="BM14" s="90" t="s">
        <v>691</v>
      </c>
      <c r="BN14" s="90" t="s">
        <v>692</v>
      </c>
      <c r="BO14" s="90" t="s">
        <v>693</v>
      </c>
      <c r="BP14" s="90" t="s">
        <v>694</v>
      </c>
      <c r="BQ14" s="90" t="s">
        <v>803</v>
      </c>
      <c r="BR14" s="90" t="s">
        <v>804</v>
      </c>
      <c r="BS14" s="90" t="s">
        <v>805</v>
      </c>
      <c r="BT14" s="90" t="s">
        <v>806</v>
      </c>
      <c r="BU14" s="90" t="s">
        <v>807</v>
      </c>
      <c r="BV14" s="90" t="s">
        <v>808</v>
      </c>
      <c r="BW14" s="90" t="s">
        <v>809</v>
      </c>
      <c r="BX14" s="90" t="s">
        <v>810</v>
      </c>
      <c r="BY14" s="90" t="s">
        <v>814</v>
      </c>
      <c r="BZ14" s="90" t="s">
        <v>815</v>
      </c>
      <c r="CA14" s="90" t="s">
        <v>816</v>
      </c>
      <c r="CB14" s="90" t="s">
        <v>817</v>
      </c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 t="s">
        <v>693</v>
      </c>
      <c r="CV14" s="90" t="s">
        <v>694</v>
      </c>
      <c r="CW14" s="90" t="s">
        <v>811</v>
      </c>
      <c r="CX14" s="90" t="s">
        <v>812</v>
      </c>
    </row>
    <row r="15" spans="1:103" ht="19.5" customHeight="1" thickTop="1">
      <c r="A15" s="203" t="s">
        <v>748</v>
      </c>
      <c r="B15" s="211" t="s">
        <v>894</v>
      </c>
      <c r="C15" s="212" t="str">
        <f ca="1">IF(C$14&lt;$BC$15,"낙첨",IF(C$14&gt;$BD$15,"낙첨","당첨"))</f>
        <v>당첨</v>
      </c>
      <c r="D15" s="212" t="str">
        <f t="shared" ref="D15:Q15" ca="1" si="19">IF(D$14&lt;$BC$15,"낙첨",IF(D$14&gt;$BD$15,"낙첨","당첨"))</f>
        <v>낙첨</v>
      </c>
      <c r="E15" s="212" t="str">
        <f t="shared" ca="1" si="19"/>
        <v>당첨</v>
      </c>
      <c r="F15" s="212" t="str">
        <f t="shared" ca="1" si="19"/>
        <v>당첨</v>
      </c>
      <c r="G15" s="212" t="str">
        <f t="shared" ca="1" si="19"/>
        <v>당첨</v>
      </c>
      <c r="H15" s="212" t="str">
        <f t="shared" ca="1" si="19"/>
        <v>당첨</v>
      </c>
      <c r="I15" s="212" t="str">
        <f t="shared" ca="1" si="19"/>
        <v>당첨</v>
      </c>
      <c r="J15" s="212" t="str">
        <f t="shared" ca="1" si="19"/>
        <v>당첨</v>
      </c>
      <c r="K15" s="212" t="str">
        <f t="shared" ca="1" si="19"/>
        <v>당첨</v>
      </c>
      <c r="L15" s="212" t="str">
        <f t="shared" ca="1" si="19"/>
        <v>당첨</v>
      </c>
      <c r="M15" s="212" t="str">
        <f t="shared" ca="1" si="19"/>
        <v>낙첨</v>
      </c>
      <c r="N15" s="212" t="str">
        <f t="shared" ca="1" si="19"/>
        <v>당첨</v>
      </c>
      <c r="O15" s="212" t="str">
        <f t="shared" ca="1" si="19"/>
        <v>당첨</v>
      </c>
      <c r="P15" s="212" t="str">
        <f t="shared" ca="1" si="19"/>
        <v>당첨</v>
      </c>
      <c r="Q15" s="213" t="str">
        <f t="shared" ca="1" si="19"/>
        <v>당첨</v>
      </c>
      <c r="R15" s="205" t="str">
        <f t="shared" ref="R15:AU15" si="20">IF(R$14&lt;$BC$15,"낙첨",IF(R$14&gt;$BD$15,"낙첨","당첨"))</f>
        <v>낙첨</v>
      </c>
      <c r="S15" s="151" t="str">
        <f t="shared" si="20"/>
        <v>낙첨</v>
      </c>
      <c r="T15" s="151" t="str">
        <f t="shared" si="20"/>
        <v>낙첨</v>
      </c>
      <c r="U15" s="151" t="str">
        <f t="shared" si="20"/>
        <v>낙첨</v>
      </c>
      <c r="V15" s="151" t="str">
        <f t="shared" si="20"/>
        <v>낙첨</v>
      </c>
      <c r="W15" s="151" t="str">
        <f t="shared" si="20"/>
        <v>낙첨</v>
      </c>
      <c r="X15" s="151" t="str">
        <f t="shared" si="20"/>
        <v>낙첨</v>
      </c>
      <c r="Y15" s="151" t="str">
        <f t="shared" si="20"/>
        <v>낙첨</v>
      </c>
      <c r="Z15" s="151" t="str">
        <f t="shared" si="20"/>
        <v>낙첨</v>
      </c>
      <c r="AA15" s="151" t="str">
        <f t="shared" si="20"/>
        <v>낙첨</v>
      </c>
      <c r="AB15" s="151" t="str">
        <f t="shared" si="20"/>
        <v>낙첨</v>
      </c>
      <c r="AC15" s="151" t="str">
        <f t="shared" si="20"/>
        <v>낙첨</v>
      </c>
      <c r="AD15" s="151" t="str">
        <f t="shared" si="20"/>
        <v>낙첨</v>
      </c>
      <c r="AE15" s="151" t="str">
        <f t="shared" si="20"/>
        <v>낙첨</v>
      </c>
      <c r="AF15" s="151" t="str">
        <f t="shared" si="20"/>
        <v>낙첨</v>
      </c>
      <c r="AG15" s="151" t="str">
        <f t="shared" si="20"/>
        <v>낙첨</v>
      </c>
      <c r="AH15" s="151" t="str">
        <f t="shared" si="20"/>
        <v>낙첨</v>
      </c>
      <c r="AI15" s="151" t="str">
        <f t="shared" si="20"/>
        <v>낙첨</v>
      </c>
      <c r="AJ15" s="151" t="str">
        <f t="shared" si="20"/>
        <v>낙첨</v>
      </c>
      <c r="AK15" s="151" t="str">
        <f t="shared" si="20"/>
        <v>낙첨</v>
      </c>
      <c r="AL15" s="151" t="str">
        <f t="shared" si="20"/>
        <v>낙첨</v>
      </c>
      <c r="AM15" s="151" t="str">
        <f t="shared" si="20"/>
        <v>낙첨</v>
      </c>
      <c r="AN15" s="151" t="str">
        <f t="shared" si="20"/>
        <v>낙첨</v>
      </c>
      <c r="AO15" s="151" t="str">
        <f t="shared" si="20"/>
        <v>낙첨</v>
      </c>
      <c r="AP15" s="151" t="str">
        <f t="shared" si="20"/>
        <v>낙첨</v>
      </c>
      <c r="AQ15" s="151" t="str">
        <f t="shared" si="20"/>
        <v>낙첨</v>
      </c>
      <c r="AR15" s="151" t="str">
        <f t="shared" si="20"/>
        <v>낙첨</v>
      </c>
      <c r="AS15" s="151" t="str">
        <f t="shared" si="20"/>
        <v>낙첨</v>
      </c>
      <c r="AT15" s="151" t="str">
        <f t="shared" si="20"/>
        <v>낙첨</v>
      </c>
      <c r="AU15" s="151" t="str">
        <f t="shared" si="20"/>
        <v>낙첨</v>
      </c>
      <c r="AV15" s="168"/>
      <c r="AW15" s="168"/>
      <c r="AX15" s="168"/>
      <c r="AY15" s="220" t="s">
        <v>1025</v>
      </c>
      <c r="AZ15" s="185">
        <v>1</v>
      </c>
      <c r="BA15" s="266" t="s">
        <v>903</v>
      </c>
      <c r="BB15" s="267"/>
      <c r="BC15" s="124">
        <v>90</v>
      </c>
      <c r="BD15" s="124">
        <v>180</v>
      </c>
      <c r="BE15" s="91"/>
      <c r="BF15" s="91"/>
      <c r="BG15" s="91"/>
      <c r="BH15" s="91"/>
      <c r="BI15" s="91"/>
      <c r="BJ15" s="91"/>
      <c r="BK15" s="91"/>
      <c r="BL15" s="91"/>
      <c r="BM15" s="187"/>
      <c r="BN15" s="187"/>
      <c r="BO15" s="187"/>
      <c r="BP15" s="187"/>
      <c r="BQ15" s="187"/>
      <c r="BR15" s="187"/>
      <c r="BS15" s="187"/>
      <c r="BT15" s="187"/>
      <c r="BU15" s="187"/>
      <c r="BV15" s="187"/>
      <c r="BW15" s="187"/>
      <c r="BX15" s="187"/>
      <c r="BY15" s="187"/>
      <c r="BZ15" s="187"/>
      <c r="CA15" s="187"/>
      <c r="CB15" s="187"/>
      <c r="CC15" s="187"/>
      <c r="CD15" s="187"/>
      <c r="CE15" s="187"/>
      <c r="CF15" s="187"/>
      <c r="CG15" s="187"/>
      <c r="CH15" s="187"/>
      <c r="CI15" s="187"/>
      <c r="CJ15" s="187"/>
      <c r="CK15" s="187"/>
      <c r="CL15" s="187"/>
      <c r="CM15" s="187"/>
      <c r="CN15" s="187"/>
      <c r="CO15" s="187"/>
      <c r="CP15" s="187"/>
      <c r="CQ15" s="187"/>
      <c r="CR15" s="187"/>
      <c r="CS15" s="187"/>
      <c r="CT15" s="187"/>
      <c r="CU15" s="187"/>
      <c r="CV15" s="187"/>
      <c r="CW15" s="187"/>
      <c r="CX15" s="187"/>
      <c r="CY15" s="53"/>
    </row>
    <row r="16" spans="1:103" ht="19.5" customHeight="1">
      <c r="A16" s="204" t="s">
        <v>18</v>
      </c>
      <c r="B16" s="214" t="s">
        <v>631</v>
      </c>
      <c r="C16" s="152" t="str">
        <f ca="1">IF(C58="2:4","당첨",IF(C58="3:3","당첨",IF(C58="4:2","당첨","낙첨")))</f>
        <v>당첨</v>
      </c>
      <c r="D16" s="152" t="str">
        <f t="shared" ref="D16:Q16" ca="1" si="21">IF(D58="2:4","당첨",IF(D58="3:3","당첨",IF(D58="4:2","당첨","낙첨")))</f>
        <v>낙첨</v>
      </c>
      <c r="E16" s="152" t="str">
        <f t="shared" ca="1" si="21"/>
        <v>당첨</v>
      </c>
      <c r="F16" s="152" t="str">
        <f t="shared" ca="1" si="21"/>
        <v>당첨</v>
      </c>
      <c r="G16" s="152" t="str">
        <f t="shared" ca="1" si="21"/>
        <v>낙첨</v>
      </c>
      <c r="H16" s="152" t="str">
        <f t="shared" ca="1" si="21"/>
        <v>당첨</v>
      </c>
      <c r="I16" s="152" t="str">
        <f t="shared" ca="1" si="21"/>
        <v>낙첨</v>
      </c>
      <c r="J16" s="152" t="str">
        <f t="shared" ca="1" si="21"/>
        <v>당첨</v>
      </c>
      <c r="K16" s="152" t="str">
        <f t="shared" ca="1" si="21"/>
        <v>당첨</v>
      </c>
      <c r="L16" s="152" t="str">
        <f t="shared" ca="1" si="21"/>
        <v>당첨</v>
      </c>
      <c r="M16" s="152" t="str">
        <f t="shared" ca="1" si="21"/>
        <v>당첨</v>
      </c>
      <c r="N16" s="152" t="str">
        <f t="shared" ca="1" si="21"/>
        <v>낙첨</v>
      </c>
      <c r="O16" s="152" t="str">
        <f t="shared" ca="1" si="21"/>
        <v>당첨</v>
      </c>
      <c r="P16" s="152" t="str">
        <f t="shared" ca="1" si="21"/>
        <v>당첨</v>
      </c>
      <c r="Q16" s="215" t="str">
        <f t="shared" ca="1" si="21"/>
        <v>당첨</v>
      </c>
      <c r="R16" s="206" t="str">
        <f t="shared" ref="R16:AU16" si="22">IF(R58="2:4","당첨",IF(R58="3:3","당첨",IF(R58="4:2","당첨","낙첨")))</f>
        <v>낙첨</v>
      </c>
      <c r="S16" s="152" t="str">
        <f t="shared" si="22"/>
        <v>낙첨</v>
      </c>
      <c r="T16" s="152" t="str">
        <f t="shared" si="22"/>
        <v>낙첨</v>
      </c>
      <c r="U16" s="152" t="str">
        <f t="shared" si="22"/>
        <v>낙첨</v>
      </c>
      <c r="V16" s="152" t="str">
        <f t="shared" si="22"/>
        <v>낙첨</v>
      </c>
      <c r="W16" s="152" t="str">
        <f t="shared" si="22"/>
        <v>낙첨</v>
      </c>
      <c r="X16" s="152" t="str">
        <f t="shared" si="22"/>
        <v>낙첨</v>
      </c>
      <c r="Y16" s="152" t="str">
        <f t="shared" si="22"/>
        <v>낙첨</v>
      </c>
      <c r="Z16" s="152" t="str">
        <f t="shared" si="22"/>
        <v>낙첨</v>
      </c>
      <c r="AA16" s="152" t="str">
        <f t="shared" si="22"/>
        <v>낙첨</v>
      </c>
      <c r="AB16" s="152" t="str">
        <f t="shared" si="22"/>
        <v>낙첨</v>
      </c>
      <c r="AC16" s="152" t="str">
        <f t="shared" si="22"/>
        <v>낙첨</v>
      </c>
      <c r="AD16" s="152" t="str">
        <f t="shared" si="22"/>
        <v>낙첨</v>
      </c>
      <c r="AE16" s="152" t="str">
        <f t="shared" si="22"/>
        <v>낙첨</v>
      </c>
      <c r="AF16" s="152" t="str">
        <f t="shared" si="22"/>
        <v>낙첨</v>
      </c>
      <c r="AG16" s="152" t="str">
        <f t="shared" si="22"/>
        <v>낙첨</v>
      </c>
      <c r="AH16" s="152" t="str">
        <f t="shared" si="22"/>
        <v>낙첨</v>
      </c>
      <c r="AI16" s="152" t="str">
        <f t="shared" si="22"/>
        <v>낙첨</v>
      </c>
      <c r="AJ16" s="152" t="str">
        <f t="shared" si="22"/>
        <v>낙첨</v>
      </c>
      <c r="AK16" s="152" t="str">
        <f t="shared" si="22"/>
        <v>낙첨</v>
      </c>
      <c r="AL16" s="152" t="str">
        <f t="shared" si="22"/>
        <v>낙첨</v>
      </c>
      <c r="AM16" s="152" t="str">
        <f t="shared" si="22"/>
        <v>낙첨</v>
      </c>
      <c r="AN16" s="152" t="str">
        <f t="shared" si="22"/>
        <v>낙첨</v>
      </c>
      <c r="AO16" s="152" t="str">
        <f t="shared" si="22"/>
        <v>낙첨</v>
      </c>
      <c r="AP16" s="152" t="str">
        <f t="shared" si="22"/>
        <v>낙첨</v>
      </c>
      <c r="AQ16" s="152" t="str">
        <f t="shared" si="22"/>
        <v>낙첨</v>
      </c>
      <c r="AR16" s="152" t="str">
        <f t="shared" si="22"/>
        <v>낙첨</v>
      </c>
      <c r="AS16" s="152" t="str">
        <f t="shared" si="22"/>
        <v>낙첨</v>
      </c>
      <c r="AT16" s="152" t="str">
        <f t="shared" si="22"/>
        <v>낙첨</v>
      </c>
      <c r="AU16" s="152" t="str">
        <f t="shared" si="22"/>
        <v>낙첨</v>
      </c>
      <c r="AV16" s="168"/>
      <c r="AW16" s="168"/>
      <c r="AX16" s="168"/>
      <c r="AZ16" s="185">
        <v>2</v>
      </c>
      <c r="BA16" s="266" t="s">
        <v>904</v>
      </c>
      <c r="BB16" s="267"/>
      <c r="BC16" s="125"/>
      <c r="BD16" s="125"/>
      <c r="BE16" s="126" t="s">
        <v>834</v>
      </c>
      <c r="BF16" s="126" t="s">
        <v>835</v>
      </c>
      <c r="BG16" s="126" t="s">
        <v>836</v>
      </c>
      <c r="BH16" s="126"/>
      <c r="BI16" s="126"/>
      <c r="BJ16" s="91"/>
      <c r="BK16" s="91"/>
      <c r="BL16" s="91"/>
      <c r="BM16" s="187"/>
      <c r="BN16" s="187"/>
      <c r="BO16" s="187"/>
      <c r="BP16" s="187"/>
      <c r="BQ16" s="187"/>
      <c r="BR16" s="187"/>
      <c r="BS16" s="187"/>
      <c r="BT16" s="187"/>
      <c r="BU16" s="187"/>
      <c r="BV16" s="187"/>
      <c r="BW16" s="187"/>
      <c r="BX16" s="187"/>
      <c r="BY16" s="187"/>
      <c r="BZ16" s="187"/>
      <c r="CA16" s="187"/>
      <c r="CB16" s="187"/>
      <c r="CC16" s="187"/>
      <c r="CD16" s="187"/>
      <c r="CE16" s="187"/>
      <c r="CF16" s="187"/>
      <c r="CG16" s="187"/>
      <c r="CH16" s="187"/>
      <c r="CI16" s="187"/>
      <c r="CJ16" s="187"/>
      <c r="CK16" s="187"/>
      <c r="CL16" s="187"/>
      <c r="CM16" s="187"/>
      <c r="CN16" s="187"/>
      <c r="CO16" s="187"/>
      <c r="CP16" s="187"/>
      <c r="CQ16" s="187"/>
      <c r="CR16" s="187"/>
      <c r="CS16" s="187"/>
      <c r="CT16" s="187"/>
      <c r="CU16" s="187"/>
      <c r="CV16" s="187"/>
      <c r="CW16" s="187"/>
      <c r="CX16" s="187"/>
      <c r="CY16" s="53"/>
    </row>
    <row r="17" spans="1:106" ht="19.5" customHeight="1">
      <c r="A17" s="204" t="s">
        <v>19</v>
      </c>
      <c r="B17" s="216" t="s">
        <v>630</v>
      </c>
      <c r="C17" s="152" t="str">
        <f ca="1">IF(C87="4:2","당첨",IF(C87="2:4","당첨",IF(C87="3:3","당첨",IF(C87="1:5","당첨","낙첨"))))</f>
        <v>낙첨</v>
      </c>
      <c r="D17" s="152" t="str">
        <f t="shared" ref="D17:Q17" ca="1" si="23">IF(D87="4:2","당첨",IF(D87="2:4","당첨",IF(D87="3:3","당첨",IF(D87="1:5","당첨","낙첨"))))</f>
        <v>당첨</v>
      </c>
      <c r="E17" s="152" t="str">
        <f t="shared" ca="1" si="23"/>
        <v>당첨</v>
      </c>
      <c r="F17" s="152" t="str">
        <f t="shared" ca="1" si="23"/>
        <v>당첨</v>
      </c>
      <c r="G17" s="152" t="str">
        <f t="shared" ca="1" si="23"/>
        <v>당첨</v>
      </c>
      <c r="H17" s="152" t="str">
        <f t="shared" ca="1" si="23"/>
        <v>당첨</v>
      </c>
      <c r="I17" s="152" t="str">
        <f t="shared" ca="1" si="23"/>
        <v>당첨</v>
      </c>
      <c r="J17" s="152" t="str">
        <f t="shared" ca="1" si="23"/>
        <v>당첨</v>
      </c>
      <c r="K17" s="152" t="str">
        <f t="shared" ca="1" si="23"/>
        <v>당첨</v>
      </c>
      <c r="L17" s="152" t="str">
        <f t="shared" ca="1" si="23"/>
        <v>당첨</v>
      </c>
      <c r="M17" s="152" t="str">
        <f t="shared" ca="1" si="23"/>
        <v>낙첨</v>
      </c>
      <c r="N17" s="152" t="str">
        <f t="shared" ca="1" si="23"/>
        <v>당첨</v>
      </c>
      <c r="O17" s="152" t="str">
        <f t="shared" ca="1" si="23"/>
        <v>당첨</v>
      </c>
      <c r="P17" s="152" t="str">
        <f t="shared" ca="1" si="23"/>
        <v>당첨</v>
      </c>
      <c r="Q17" s="215" t="str">
        <f t="shared" ca="1" si="23"/>
        <v>낙첨</v>
      </c>
      <c r="R17" s="206" t="str">
        <f t="shared" ref="R17:AU17" si="24">IF(R87="4:2","당첨",IF(R87="2:4","당첨",IF(R87="3:3","당첨",IF(R87="1:5","당첨","낙첨"))))</f>
        <v>낙첨</v>
      </c>
      <c r="S17" s="152" t="str">
        <f t="shared" si="24"/>
        <v>낙첨</v>
      </c>
      <c r="T17" s="152" t="str">
        <f t="shared" si="24"/>
        <v>낙첨</v>
      </c>
      <c r="U17" s="152" t="str">
        <f t="shared" si="24"/>
        <v>낙첨</v>
      </c>
      <c r="V17" s="152" t="str">
        <f t="shared" si="24"/>
        <v>낙첨</v>
      </c>
      <c r="W17" s="152" t="str">
        <f t="shared" si="24"/>
        <v>낙첨</v>
      </c>
      <c r="X17" s="152" t="str">
        <f t="shared" si="24"/>
        <v>낙첨</v>
      </c>
      <c r="Y17" s="152" t="str">
        <f t="shared" si="24"/>
        <v>낙첨</v>
      </c>
      <c r="Z17" s="152" t="str">
        <f t="shared" si="24"/>
        <v>낙첨</v>
      </c>
      <c r="AA17" s="152" t="str">
        <f t="shared" si="24"/>
        <v>낙첨</v>
      </c>
      <c r="AB17" s="152" t="str">
        <f t="shared" si="24"/>
        <v>낙첨</v>
      </c>
      <c r="AC17" s="152" t="str">
        <f t="shared" si="24"/>
        <v>낙첨</v>
      </c>
      <c r="AD17" s="152" t="str">
        <f t="shared" si="24"/>
        <v>낙첨</v>
      </c>
      <c r="AE17" s="152" t="str">
        <f t="shared" si="24"/>
        <v>낙첨</v>
      </c>
      <c r="AF17" s="152" t="str">
        <f t="shared" si="24"/>
        <v>낙첨</v>
      </c>
      <c r="AG17" s="152" t="str">
        <f t="shared" si="24"/>
        <v>낙첨</v>
      </c>
      <c r="AH17" s="152" t="str">
        <f t="shared" si="24"/>
        <v>낙첨</v>
      </c>
      <c r="AI17" s="152" t="str">
        <f t="shared" si="24"/>
        <v>낙첨</v>
      </c>
      <c r="AJ17" s="152" t="str">
        <f t="shared" si="24"/>
        <v>낙첨</v>
      </c>
      <c r="AK17" s="152" t="str">
        <f t="shared" si="24"/>
        <v>낙첨</v>
      </c>
      <c r="AL17" s="152" t="str">
        <f t="shared" si="24"/>
        <v>낙첨</v>
      </c>
      <c r="AM17" s="152" t="str">
        <f t="shared" si="24"/>
        <v>낙첨</v>
      </c>
      <c r="AN17" s="152" t="str">
        <f t="shared" si="24"/>
        <v>낙첨</v>
      </c>
      <c r="AO17" s="152" t="str">
        <f t="shared" si="24"/>
        <v>낙첨</v>
      </c>
      <c r="AP17" s="152" t="str">
        <f t="shared" si="24"/>
        <v>낙첨</v>
      </c>
      <c r="AQ17" s="152" t="str">
        <f t="shared" si="24"/>
        <v>낙첨</v>
      </c>
      <c r="AR17" s="152" t="str">
        <f t="shared" si="24"/>
        <v>낙첨</v>
      </c>
      <c r="AS17" s="152" t="str">
        <f t="shared" si="24"/>
        <v>낙첨</v>
      </c>
      <c r="AT17" s="152" t="str">
        <f t="shared" si="24"/>
        <v>낙첨</v>
      </c>
      <c r="AU17" s="152" t="str">
        <f t="shared" si="24"/>
        <v>낙첨</v>
      </c>
      <c r="AV17" s="168"/>
      <c r="AW17" s="168"/>
      <c r="AX17" s="168"/>
      <c r="AZ17" s="185">
        <v>3</v>
      </c>
      <c r="BA17" s="266" t="s">
        <v>905</v>
      </c>
      <c r="BB17" s="267"/>
      <c r="BC17" s="126" t="s">
        <v>848</v>
      </c>
      <c r="BD17" s="126" t="s">
        <v>834</v>
      </c>
      <c r="BE17" s="126" t="s">
        <v>835</v>
      </c>
      <c r="BF17" s="126" t="s">
        <v>851</v>
      </c>
      <c r="BG17" s="126"/>
      <c r="BH17" s="91"/>
      <c r="BI17" s="91"/>
      <c r="BJ17" s="91"/>
      <c r="BK17" s="91"/>
      <c r="BL17" s="91"/>
      <c r="BM17" s="187"/>
      <c r="BN17" s="187"/>
      <c r="BO17" s="187"/>
      <c r="BP17" s="187"/>
      <c r="BQ17" s="187"/>
      <c r="BR17" s="187"/>
      <c r="BS17" s="187"/>
      <c r="BT17" s="187"/>
      <c r="BU17" s="187"/>
      <c r="BV17" s="187"/>
      <c r="BW17" s="187"/>
      <c r="BX17" s="187"/>
      <c r="BY17" s="187"/>
      <c r="BZ17" s="187"/>
      <c r="CA17" s="187"/>
      <c r="CB17" s="187"/>
      <c r="CC17" s="187"/>
      <c r="CD17" s="187"/>
      <c r="CE17" s="187"/>
      <c r="CF17" s="187"/>
      <c r="CG17" s="187"/>
      <c r="CH17" s="187"/>
      <c r="CI17" s="187"/>
      <c r="CJ17" s="187"/>
      <c r="CK17" s="187"/>
      <c r="CL17" s="187"/>
      <c r="CM17" s="187"/>
      <c r="CN17" s="187"/>
      <c r="CO17" s="187"/>
      <c r="CP17" s="187"/>
      <c r="CQ17" s="187"/>
      <c r="CR17" s="187"/>
      <c r="CS17" s="187"/>
      <c r="CT17" s="187"/>
      <c r="CU17" s="187"/>
      <c r="CV17" s="187"/>
      <c r="CW17" s="187"/>
      <c r="CX17" s="187"/>
      <c r="CY17" s="53"/>
    </row>
    <row r="18" spans="1:106" ht="19.5" customHeight="1">
      <c r="A18" s="204" t="s">
        <v>571</v>
      </c>
      <c r="B18" s="214" t="s">
        <v>678</v>
      </c>
      <c r="C18" s="152" t="str">
        <f ca="1">IF(C$210&gt;=1,"당첨","낙첨")</f>
        <v>낙첨</v>
      </c>
      <c r="D18" s="152" t="str">
        <f t="shared" ref="D18:Q18" ca="1" si="25">IF(D$210&gt;=1,"당첨","낙첨")</f>
        <v>당첨</v>
      </c>
      <c r="E18" s="152" t="str">
        <f t="shared" ca="1" si="25"/>
        <v>당첨</v>
      </c>
      <c r="F18" s="152" t="str">
        <f t="shared" ca="1" si="25"/>
        <v>낙첨</v>
      </c>
      <c r="G18" s="152" t="str">
        <f t="shared" ca="1" si="25"/>
        <v>당첨</v>
      </c>
      <c r="H18" s="152" t="str">
        <f t="shared" ca="1" si="25"/>
        <v>당첨</v>
      </c>
      <c r="I18" s="152" t="str">
        <f t="shared" ca="1" si="25"/>
        <v>당첨</v>
      </c>
      <c r="J18" s="152" t="str">
        <f t="shared" ca="1" si="25"/>
        <v>당첨</v>
      </c>
      <c r="K18" s="152" t="str">
        <f t="shared" ca="1" si="25"/>
        <v>당첨</v>
      </c>
      <c r="L18" s="152" t="str">
        <f t="shared" ca="1" si="25"/>
        <v>당첨</v>
      </c>
      <c r="M18" s="152" t="str">
        <f t="shared" ca="1" si="25"/>
        <v>당첨</v>
      </c>
      <c r="N18" s="152" t="str">
        <f t="shared" ca="1" si="25"/>
        <v>당첨</v>
      </c>
      <c r="O18" s="152" t="str">
        <f t="shared" ca="1" si="25"/>
        <v>당첨</v>
      </c>
      <c r="P18" s="152" t="str">
        <f t="shared" ca="1" si="25"/>
        <v>당첨</v>
      </c>
      <c r="Q18" s="215" t="str">
        <f t="shared" ca="1" si="25"/>
        <v>당첨</v>
      </c>
      <c r="R18" s="206" t="str">
        <f t="shared" ref="R18:AU18" si="26">IF(R$210&gt;=1,"당첨","낙첨")</f>
        <v>낙첨</v>
      </c>
      <c r="S18" s="152" t="str">
        <f t="shared" si="26"/>
        <v>낙첨</v>
      </c>
      <c r="T18" s="152" t="str">
        <f t="shared" si="26"/>
        <v>낙첨</v>
      </c>
      <c r="U18" s="152" t="str">
        <f t="shared" si="26"/>
        <v>낙첨</v>
      </c>
      <c r="V18" s="152" t="str">
        <f t="shared" si="26"/>
        <v>낙첨</v>
      </c>
      <c r="W18" s="152" t="str">
        <f t="shared" si="26"/>
        <v>낙첨</v>
      </c>
      <c r="X18" s="152" t="str">
        <f t="shared" si="26"/>
        <v>낙첨</v>
      </c>
      <c r="Y18" s="152" t="str">
        <f t="shared" si="26"/>
        <v>낙첨</v>
      </c>
      <c r="Z18" s="152" t="str">
        <f t="shared" si="26"/>
        <v>낙첨</v>
      </c>
      <c r="AA18" s="152" t="str">
        <f t="shared" si="26"/>
        <v>낙첨</v>
      </c>
      <c r="AB18" s="152" t="str">
        <f t="shared" si="26"/>
        <v>낙첨</v>
      </c>
      <c r="AC18" s="152" t="str">
        <f t="shared" si="26"/>
        <v>낙첨</v>
      </c>
      <c r="AD18" s="152" t="str">
        <f t="shared" si="26"/>
        <v>낙첨</v>
      </c>
      <c r="AE18" s="152" t="str">
        <f t="shared" si="26"/>
        <v>낙첨</v>
      </c>
      <c r="AF18" s="152" t="str">
        <f t="shared" si="26"/>
        <v>낙첨</v>
      </c>
      <c r="AG18" s="152" t="str">
        <f t="shared" si="26"/>
        <v>낙첨</v>
      </c>
      <c r="AH18" s="152" t="str">
        <f t="shared" si="26"/>
        <v>낙첨</v>
      </c>
      <c r="AI18" s="152" t="str">
        <f t="shared" si="26"/>
        <v>낙첨</v>
      </c>
      <c r="AJ18" s="152" t="str">
        <f t="shared" si="26"/>
        <v>낙첨</v>
      </c>
      <c r="AK18" s="152" t="str">
        <f t="shared" si="26"/>
        <v>낙첨</v>
      </c>
      <c r="AL18" s="152" t="str">
        <f t="shared" si="26"/>
        <v>낙첨</v>
      </c>
      <c r="AM18" s="152" t="str">
        <f t="shared" si="26"/>
        <v>낙첨</v>
      </c>
      <c r="AN18" s="152" t="str">
        <f t="shared" si="26"/>
        <v>낙첨</v>
      </c>
      <c r="AO18" s="152" t="str">
        <f t="shared" si="26"/>
        <v>낙첨</v>
      </c>
      <c r="AP18" s="152" t="str">
        <f t="shared" si="26"/>
        <v>낙첨</v>
      </c>
      <c r="AQ18" s="152" t="str">
        <f t="shared" si="26"/>
        <v>낙첨</v>
      </c>
      <c r="AR18" s="152" t="str">
        <f t="shared" si="26"/>
        <v>낙첨</v>
      </c>
      <c r="AS18" s="152" t="str">
        <f t="shared" si="26"/>
        <v>낙첨</v>
      </c>
      <c r="AT18" s="152" t="str">
        <f t="shared" si="26"/>
        <v>낙첨</v>
      </c>
      <c r="AU18" s="152" t="str">
        <f t="shared" si="26"/>
        <v>낙첨</v>
      </c>
      <c r="AV18" s="168"/>
      <c r="AW18" s="168"/>
      <c r="AX18" s="168"/>
      <c r="AZ18" s="185">
        <v>4</v>
      </c>
      <c r="BA18" s="266" t="s">
        <v>906</v>
      </c>
      <c r="BB18" s="267"/>
      <c r="BC18" s="122">
        <v>16</v>
      </c>
      <c r="BD18" s="122">
        <v>18</v>
      </c>
      <c r="BE18" s="122">
        <v>19</v>
      </c>
      <c r="BF18" s="122">
        <v>20</v>
      </c>
      <c r="BG18" s="122">
        <v>21</v>
      </c>
      <c r="BH18" s="122">
        <v>22</v>
      </c>
      <c r="BI18" s="122">
        <v>23</v>
      </c>
      <c r="BJ18" s="122">
        <v>24</v>
      </c>
      <c r="BK18" s="122">
        <v>25</v>
      </c>
      <c r="BL18" s="122">
        <v>26</v>
      </c>
      <c r="BM18" s="133">
        <v>27</v>
      </c>
      <c r="BN18" s="133">
        <v>28</v>
      </c>
      <c r="BO18" s="133">
        <v>29</v>
      </c>
      <c r="BP18" s="133">
        <v>30</v>
      </c>
      <c r="BQ18" s="133">
        <v>31</v>
      </c>
      <c r="BR18" s="133">
        <v>32</v>
      </c>
      <c r="BS18" s="133">
        <v>33</v>
      </c>
      <c r="BT18" s="133">
        <v>34</v>
      </c>
      <c r="BU18" s="133">
        <v>35</v>
      </c>
      <c r="BV18" s="133">
        <v>36</v>
      </c>
      <c r="BW18" s="187"/>
      <c r="BX18" s="187"/>
      <c r="BY18" s="187"/>
      <c r="BZ18" s="187"/>
      <c r="CA18" s="187"/>
      <c r="CB18" s="187"/>
      <c r="CC18" s="187"/>
      <c r="CD18" s="187"/>
      <c r="CE18" s="187"/>
      <c r="CF18" s="187"/>
      <c r="CG18" s="187"/>
      <c r="CH18" s="187"/>
      <c r="CI18" s="187"/>
      <c r="CJ18" s="187"/>
      <c r="CK18" s="187"/>
      <c r="CL18" s="187"/>
      <c r="CM18" s="187"/>
      <c r="CN18" s="187"/>
      <c r="CO18" s="187"/>
      <c r="CP18" s="187"/>
      <c r="CQ18" s="187"/>
      <c r="CR18" s="187"/>
      <c r="CS18" s="187"/>
      <c r="CT18" s="187"/>
      <c r="CU18" s="187"/>
      <c r="CV18" s="187"/>
      <c r="CW18" s="187"/>
      <c r="CX18" s="187"/>
      <c r="CY18" s="53"/>
    </row>
    <row r="19" spans="1:106" ht="19.5" customHeight="1" thickBot="1">
      <c r="A19" s="204" t="s">
        <v>580</v>
      </c>
      <c r="B19" s="217" t="s">
        <v>677</v>
      </c>
      <c r="C19" s="218" t="str">
        <f t="shared" ref="C19:Q19" ca="1" si="27">IF(C101=$BC$19,"당첨",IF(C101=$BD$19,"당첨",IF(C101=$BE$19,"당첨",IF(C101=$BF$19,"당첨",IF(C101=$BG$19,"당첨","낙첨")))))</f>
        <v>당첨</v>
      </c>
      <c r="D19" s="218" t="str">
        <f t="shared" ca="1" si="27"/>
        <v>당첨</v>
      </c>
      <c r="E19" s="218" t="str">
        <f t="shared" ca="1" si="27"/>
        <v>당첨</v>
      </c>
      <c r="F19" s="218" t="str">
        <f t="shared" ca="1" si="27"/>
        <v>낙첨</v>
      </c>
      <c r="G19" s="218" t="str">
        <f t="shared" ca="1" si="27"/>
        <v>당첨</v>
      </c>
      <c r="H19" s="218" t="str">
        <f t="shared" ca="1" si="27"/>
        <v>당첨</v>
      </c>
      <c r="I19" s="218" t="str">
        <f t="shared" ca="1" si="27"/>
        <v>당첨</v>
      </c>
      <c r="J19" s="218" t="str">
        <f t="shared" ca="1" si="27"/>
        <v>당첨</v>
      </c>
      <c r="K19" s="218" t="str">
        <f t="shared" ca="1" si="27"/>
        <v>낙첨</v>
      </c>
      <c r="L19" s="218" t="str">
        <f t="shared" ca="1" si="27"/>
        <v>당첨</v>
      </c>
      <c r="M19" s="218" t="str">
        <f t="shared" ca="1" si="27"/>
        <v>당첨</v>
      </c>
      <c r="N19" s="218" t="str">
        <f t="shared" ca="1" si="27"/>
        <v>낙첨</v>
      </c>
      <c r="O19" s="218" t="str">
        <f t="shared" ca="1" si="27"/>
        <v>낙첨</v>
      </c>
      <c r="P19" s="218" t="str">
        <f t="shared" ca="1" si="27"/>
        <v>낙첨</v>
      </c>
      <c r="Q19" s="219" t="str">
        <f t="shared" ca="1" si="27"/>
        <v>당첨</v>
      </c>
      <c r="R19" s="206" t="str">
        <f t="shared" ref="R19:AU19" si="28">IF(R101=$BC$19,"당첨",IF(R101=$BD$19,"당첨",IF(R101=$BE$19,"당첨",IF(R101=$BF$19,"당첨","낙첨"))))</f>
        <v>낙첨</v>
      </c>
      <c r="S19" s="152" t="str">
        <f t="shared" si="28"/>
        <v>낙첨</v>
      </c>
      <c r="T19" s="152" t="str">
        <f t="shared" si="28"/>
        <v>낙첨</v>
      </c>
      <c r="U19" s="152" t="str">
        <f t="shared" si="28"/>
        <v>낙첨</v>
      </c>
      <c r="V19" s="152" t="str">
        <f t="shared" si="28"/>
        <v>낙첨</v>
      </c>
      <c r="W19" s="152" t="str">
        <f t="shared" si="28"/>
        <v>낙첨</v>
      </c>
      <c r="X19" s="152" t="str">
        <f t="shared" si="28"/>
        <v>낙첨</v>
      </c>
      <c r="Y19" s="152" t="str">
        <f t="shared" si="28"/>
        <v>낙첨</v>
      </c>
      <c r="Z19" s="152" t="str">
        <f t="shared" si="28"/>
        <v>낙첨</v>
      </c>
      <c r="AA19" s="152" t="str">
        <f t="shared" si="28"/>
        <v>낙첨</v>
      </c>
      <c r="AB19" s="152" t="str">
        <f t="shared" si="28"/>
        <v>낙첨</v>
      </c>
      <c r="AC19" s="152" t="str">
        <f t="shared" si="28"/>
        <v>낙첨</v>
      </c>
      <c r="AD19" s="152" t="str">
        <f t="shared" si="28"/>
        <v>낙첨</v>
      </c>
      <c r="AE19" s="152" t="str">
        <f t="shared" si="28"/>
        <v>낙첨</v>
      </c>
      <c r="AF19" s="152" t="str">
        <f t="shared" si="28"/>
        <v>낙첨</v>
      </c>
      <c r="AG19" s="152" t="str">
        <f t="shared" si="28"/>
        <v>낙첨</v>
      </c>
      <c r="AH19" s="152" t="str">
        <f t="shared" si="28"/>
        <v>낙첨</v>
      </c>
      <c r="AI19" s="152" t="str">
        <f t="shared" si="28"/>
        <v>낙첨</v>
      </c>
      <c r="AJ19" s="152" t="str">
        <f t="shared" si="28"/>
        <v>낙첨</v>
      </c>
      <c r="AK19" s="152" t="str">
        <f t="shared" si="28"/>
        <v>낙첨</v>
      </c>
      <c r="AL19" s="152" t="str">
        <f t="shared" si="28"/>
        <v>낙첨</v>
      </c>
      <c r="AM19" s="152" t="str">
        <f t="shared" si="28"/>
        <v>낙첨</v>
      </c>
      <c r="AN19" s="152" t="str">
        <f t="shared" si="28"/>
        <v>낙첨</v>
      </c>
      <c r="AO19" s="152" t="str">
        <f t="shared" si="28"/>
        <v>낙첨</v>
      </c>
      <c r="AP19" s="152" t="str">
        <f t="shared" si="28"/>
        <v>낙첨</v>
      </c>
      <c r="AQ19" s="152" t="str">
        <f t="shared" si="28"/>
        <v>낙첨</v>
      </c>
      <c r="AR19" s="152" t="str">
        <f t="shared" si="28"/>
        <v>낙첨</v>
      </c>
      <c r="AS19" s="152" t="str">
        <f t="shared" si="28"/>
        <v>낙첨</v>
      </c>
      <c r="AT19" s="152" t="str">
        <f t="shared" si="28"/>
        <v>낙첨</v>
      </c>
      <c r="AU19" s="152" t="str">
        <f t="shared" si="28"/>
        <v>낙첨</v>
      </c>
      <c r="AV19" s="168"/>
      <c r="AW19" s="168"/>
      <c r="AX19" s="168"/>
      <c r="AZ19" s="185">
        <v>5</v>
      </c>
      <c r="BA19" s="266" t="s">
        <v>907</v>
      </c>
      <c r="BB19" s="267"/>
      <c r="BC19" s="122">
        <v>1</v>
      </c>
      <c r="BD19" s="122">
        <v>1</v>
      </c>
      <c r="BE19" s="122">
        <v>2</v>
      </c>
      <c r="BF19" s="122">
        <v>3</v>
      </c>
      <c r="BG19" s="122">
        <v>3</v>
      </c>
      <c r="BH19" s="122"/>
      <c r="BI19" s="91"/>
      <c r="BJ19" s="91"/>
      <c r="BK19" s="91"/>
      <c r="BL19" s="91"/>
      <c r="BM19" s="187"/>
      <c r="BN19" s="187"/>
      <c r="BO19" s="187"/>
      <c r="BP19" s="187"/>
      <c r="BQ19" s="187"/>
      <c r="BR19" s="187"/>
      <c r="BS19" s="187"/>
      <c r="BT19" s="187"/>
      <c r="BU19" s="187"/>
      <c r="BV19" s="187"/>
      <c r="BW19" s="187"/>
      <c r="BX19" s="187"/>
      <c r="BY19" s="187"/>
      <c r="BZ19" s="187"/>
      <c r="CA19" s="187"/>
      <c r="CB19" s="187"/>
      <c r="CC19" s="187"/>
      <c r="CD19" s="187"/>
      <c r="CE19" s="187"/>
      <c r="CF19" s="187"/>
      <c r="CG19" s="187"/>
      <c r="CH19" s="187"/>
      <c r="CI19" s="187"/>
      <c r="CJ19" s="187"/>
      <c r="CK19" s="187"/>
      <c r="CL19" s="187"/>
      <c r="CM19" s="187"/>
      <c r="CN19" s="187"/>
      <c r="CO19" s="187"/>
      <c r="CP19" s="187"/>
      <c r="CQ19" s="187"/>
      <c r="CR19" s="187"/>
      <c r="CS19" s="187"/>
      <c r="CT19" s="187"/>
      <c r="CU19" s="187"/>
      <c r="CV19" s="187"/>
      <c r="CW19" s="187"/>
      <c r="CX19" s="187"/>
      <c r="CY19" s="53"/>
    </row>
    <row r="20" spans="1:106">
      <c r="A20" s="153" t="s">
        <v>629</v>
      </c>
      <c r="B20" s="209" t="s">
        <v>926</v>
      </c>
      <c r="C20" s="210" t="str">
        <f t="shared" ref="C20:P20" ca="1" si="29">IF(C108=$CU$20,"당첨",IF(C108=$CV$20,"당첨",IF(C108=$CW$20,"당첨",IF(C108=$CX$20,"당첨",IF(C108=$CY$20,"당첨","낙첨")))))</f>
        <v>당첨</v>
      </c>
      <c r="D20" s="210" t="str">
        <f t="shared" ca="1" si="29"/>
        <v>당첨</v>
      </c>
      <c r="E20" s="210" t="str">
        <f t="shared" ca="1" si="29"/>
        <v>당첨</v>
      </c>
      <c r="F20" s="210" t="str">
        <f t="shared" ca="1" si="29"/>
        <v>당첨</v>
      </c>
      <c r="G20" s="210" t="str">
        <f t="shared" ca="1" si="29"/>
        <v>당첨</v>
      </c>
      <c r="H20" s="210" t="str">
        <f t="shared" ca="1" si="29"/>
        <v>당첨</v>
      </c>
      <c r="I20" s="210" t="str">
        <f t="shared" ca="1" si="29"/>
        <v>당첨</v>
      </c>
      <c r="J20" s="210" t="str">
        <f t="shared" ca="1" si="29"/>
        <v>당첨</v>
      </c>
      <c r="K20" s="210" t="str">
        <f t="shared" ca="1" si="29"/>
        <v>당첨</v>
      </c>
      <c r="L20" s="210" t="str">
        <f t="shared" ca="1" si="29"/>
        <v>당첨</v>
      </c>
      <c r="M20" s="210" t="str">
        <f t="shared" ca="1" si="29"/>
        <v>당첨</v>
      </c>
      <c r="N20" s="210" t="str">
        <f t="shared" ca="1" si="29"/>
        <v>당첨</v>
      </c>
      <c r="O20" s="210" t="str">
        <f t="shared" ca="1" si="29"/>
        <v>당첨</v>
      </c>
      <c r="P20" s="210" t="str">
        <f t="shared" ca="1" si="29"/>
        <v>당첨</v>
      </c>
      <c r="Q20" s="210" t="str">
        <f ca="1">IF(Q108=$CU$20,"당첨",IF(Q108=$CV$20,"당첨",IF(Q108=$CW$20,"당첨",IF(Q108=$CX$20,"당첨",IF(Q108=$CY$20,"당첨","낙첨")))))</f>
        <v>당첨</v>
      </c>
      <c r="R20" s="152" t="str">
        <f t="shared" ref="R20:AU20" si="30">IF(R108=$CU$20,"당첨",IF(R108=$CV$20,"당첨",IF(R108=$CW$20,"당첨",IF(R108=$CX$20,"당첨","낙첨"))))</f>
        <v>낙첨</v>
      </c>
      <c r="S20" s="152" t="str">
        <f t="shared" si="30"/>
        <v>낙첨</v>
      </c>
      <c r="T20" s="152" t="str">
        <f t="shared" si="30"/>
        <v>낙첨</v>
      </c>
      <c r="U20" s="152" t="str">
        <f t="shared" si="30"/>
        <v>낙첨</v>
      </c>
      <c r="V20" s="152" t="str">
        <f t="shared" si="30"/>
        <v>낙첨</v>
      </c>
      <c r="W20" s="152" t="str">
        <f t="shared" si="30"/>
        <v>낙첨</v>
      </c>
      <c r="X20" s="152" t="str">
        <f t="shared" si="30"/>
        <v>낙첨</v>
      </c>
      <c r="Y20" s="152" t="str">
        <f t="shared" si="30"/>
        <v>낙첨</v>
      </c>
      <c r="Z20" s="152" t="str">
        <f t="shared" si="30"/>
        <v>낙첨</v>
      </c>
      <c r="AA20" s="152" t="str">
        <f t="shared" si="30"/>
        <v>낙첨</v>
      </c>
      <c r="AB20" s="152" t="str">
        <f t="shared" si="30"/>
        <v>낙첨</v>
      </c>
      <c r="AC20" s="152" t="str">
        <f t="shared" si="30"/>
        <v>낙첨</v>
      </c>
      <c r="AD20" s="152" t="str">
        <f t="shared" si="30"/>
        <v>낙첨</v>
      </c>
      <c r="AE20" s="152" t="str">
        <f t="shared" si="30"/>
        <v>낙첨</v>
      </c>
      <c r="AF20" s="152" t="str">
        <f t="shared" si="30"/>
        <v>낙첨</v>
      </c>
      <c r="AG20" s="152" t="str">
        <f t="shared" si="30"/>
        <v>낙첨</v>
      </c>
      <c r="AH20" s="152" t="str">
        <f t="shared" si="30"/>
        <v>낙첨</v>
      </c>
      <c r="AI20" s="152" t="str">
        <f t="shared" si="30"/>
        <v>낙첨</v>
      </c>
      <c r="AJ20" s="152" t="str">
        <f t="shared" si="30"/>
        <v>낙첨</v>
      </c>
      <c r="AK20" s="152" t="str">
        <f t="shared" si="30"/>
        <v>낙첨</v>
      </c>
      <c r="AL20" s="152" t="str">
        <f t="shared" si="30"/>
        <v>낙첨</v>
      </c>
      <c r="AM20" s="152" t="str">
        <f t="shared" si="30"/>
        <v>낙첨</v>
      </c>
      <c r="AN20" s="152" t="str">
        <f t="shared" si="30"/>
        <v>낙첨</v>
      </c>
      <c r="AO20" s="152" t="str">
        <f t="shared" si="30"/>
        <v>낙첨</v>
      </c>
      <c r="AP20" s="152" t="str">
        <f t="shared" si="30"/>
        <v>낙첨</v>
      </c>
      <c r="AQ20" s="152" t="str">
        <f t="shared" si="30"/>
        <v>낙첨</v>
      </c>
      <c r="AR20" s="152" t="str">
        <f t="shared" si="30"/>
        <v>낙첨</v>
      </c>
      <c r="AS20" s="152" t="str">
        <f t="shared" si="30"/>
        <v>낙첨</v>
      </c>
      <c r="AT20" s="152" t="str">
        <f t="shared" si="30"/>
        <v>낙첨</v>
      </c>
      <c r="AU20" s="152" t="str">
        <f t="shared" si="30"/>
        <v>낙첨</v>
      </c>
      <c r="AV20" s="168"/>
      <c r="AW20" s="168"/>
      <c r="AX20" s="168"/>
      <c r="AZ20" s="221">
        <v>6</v>
      </c>
      <c r="BA20" s="244" t="s">
        <v>977</v>
      </c>
      <c r="BB20" s="245"/>
      <c r="BC20" s="223">
        <v>1</v>
      </c>
      <c r="BD20" s="223">
        <v>2</v>
      </c>
      <c r="BE20" s="223">
        <v>3</v>
      </c>
      <c r="BF20" s="223">
        <v>4</v>
      </c>
      <c r="BG20" s="223">
        <v>7</v>
      </c>
      <c r="BH20" s="223">
        <v>8</v>
      </c>
      <c r="BI20" s="223">
        <v>9</v>
      </c>
      <c r="BJ20" s="223">
        <v>10</v>
      </c>
      <c r="BK20" s="223">
        <v>12</v>
      </c>
      <c r="BL20" s="226">
        <v>15</v>
      </c>
      <c r="BM20" s="223">
        <v>16</v>
      </c>
      <c r="BN20" s="226">
        <v>17</v>
      </c>
      <c r="BO20" s="223">
        <v>18</v>
      </c>
      <c r="BP20" s="223">
        <v>19</v>
      </c>
      <c r="BQ20" s="223">
        <v>22</v>
      </c>
      <c r="BR20" s="223">
        <v>23</v>
      </c>
      <c r="BS20" s="223">
        <v>24</v>
      </c>
      <c r="BT20" s="223">
        <v>26</v>
      </c>
      <c r="BU20" s="223">
        <v>27</v>
      </c>
      <c r="BV20" s="223">
        <v>28</v>
      </c>
      <c r="BW20" s="223">
        <v>29</v>
      </c>
      <c r="BX20" s="223">
        <v>31</v>
      </c>
      <c r="BY20" s="223">
        <v>32</v>
      </c>
      <c r="BZ20" s="223">
        <v>33</v>
      </c>
      <c r="CA20" s="223">
        <v>34</v>
      </c>
      <c r="CB20" s="223">
        <v>35</v>
      </c>
      <c r="CC20" s="223">
        <v>36</v>
      </c>
      <c r="CD20" s="223">
        <v>37</v>
      </c>
      <c r="CE20" s="223">
        <v>38</v>
      </c>
      <c r="CF20" s="223">
        <v>41</v>
      </c>
      <c r="CG20" s="223">
        <v>43</v>
      </c>
      <c r="CH20" s="223">
        <v>44</v>
      </c>
      <c r="CI20" s="223">
        <v>45</v>
      </c>
      <c r="CJ20" s="223">
        <v>46</v>
      </c>
      <c r="CK20" s="223">
        <v>46</v>
      </c>
      <c r="CL20" s="223">
        <v>46</v>
      </c>
      <c r="CM20" s="223">
        <v>46</v>
      </c>
      <c r="CN20" s="223">
        <v>46</v>
      </c>
      <c r="CO20" s="223">
        <v>46</v>
      </c>
      <c r="CP20" s="223">
        <v>46</v>
      </c>
      <c r="CQ20" s="222"/>
      <c r="CR20" s="222"/>
      <c r="CS20" s="222"/>
      <c r="CT20" s="222"/>
      <c r="CU20" s="223">
        <v>2</v>
      </c>
      <c r="CV20" s="223">
        <v>3</v>
      </c>
      <c r="CW20" s="223">
        <v>4</v>
      </c>
      <c r="CX20" s="223">
        <v>5</v>
      </c>
      <c r="CY20" s="223">
        <v>6</v>
      </c>
      <c r="CZ20" s="102"/>
      <c r="DA20" s="102"/>
    </row>
    <row r="21" spans="1:106">
      <c r="A21" s="153" t="s">
        <v>679</v>
      </c>
      <c r="B21" s="182" t="s">
        <v>925</v>
      </c>
      <c r="C21" s="152" t="str">
        <f t="shared" ref="C21:AU21" ca="1" si="31">IF(C115=$CU$21,"당첨",IF(C115=$CV$21,"당첨",IF(C115=$CW$21,"당첨",IF(C115=$CX$21,"당첨","낙첨"))))</f>
        <v>당첨</v>
      </c>
      <c r="D21" s="152" t="str">
        <f t="shared" ca="1" si="31"/>
        <v>당첨</v>
      </c>
      <c r="E21" s="152" t="str">
        <f t="shared" ca="1" si="31"/>
        <v>당첨</v>
      </c>
      <c r="F21" s="152" t="str">
        <f t="shared" ca="1" si="31"/>
        <v>당첨</v>
      </c>
      <c r="G21" s="152" t="str">
        <f t="shared" ca="1" si="31"/>
        <v>당첨</v>
      </c>
      <c r="H21" s="152" t="str">
        <f t="shared" ca="1" si="31"/>
        <v>당첨</v>
      </c>
      <c r="I21" s="152" t="str">
        <f t="shared" ca="1" si="31"/>
        <v>당첨</v>
      </c>
      <c r="J21" s="152" t="str">
        <f t="shared" ca="1" si="31"/>
        <v>당첨</v>
      </c>
      <c r="K21" s="152" t="str">
        <f t="shared" ca="1" si="31"/>
        <v>당첨</v>
      </c>
      <c r="L21" s="152" t="str">
        <f t="shared" ca="1" si="31"/>
        <v>당첨</v>
      </c>
      <c r="M21" s="152" t="str">
        <f t="shared" ca="1" si="31"/>
        <v>당첨</v>
      </c>
      <c r="N21" s="152" t="str">
        <f t="shared" ca="1" si="31"/>
        <v>당첨</v>
      </c>
      <c r="O21" s="152" t="str">
        <f t="shared" ca="1" si="31"/>
        <v>당첨</v>
      </c>
      <c r="P21" s="152" t="str">
        <f t="shared" ca="1" si="31"/>
        <v>당첨</v>
      </c>
      <c r="Q21" s="152" t="str">
        <f ca="1">IF(Q115=$CU$21,"당첨",IF(Q115=$CV$21,"당첨",IF(Q115=$CW$21,"당첨",IF(Q115=$CX$21,"당첨","낙첨"))))</f>
        <v>당첨</v>
      </c>
      <c r="R21" s="152" t="str">
        <f t="shared" si="31"/>
        <v>낙첨</v>
      </c>
      <c r="S21" s="152" t="str">
        <f t="shared" si="31"/>
        <v>낙첨</v>
      </c>
      <c r="T21" s="152" t="str">
        <f t="shared" si="31"/>
        <v>낙첨</v>
      </c>
      <c r="U21" s="152" t="str">
        <f t="shared" si="31"/>
        <v>낙첨</v>
      </c>
      <c r="V21" s="152" t="str">
        <f t="shared" si="31"/>
        <v>낙첨</v>
      </c>
      <c r="W21" s="152" t="str">
        <f t="shared" si="31"/>
        <v>낙첨</v>
      </c>
      <c r="X21" s="152" t="str">
        <f t="shared" si="31"/>
        <v>낙첨</v>
      </c>
      <c r="Y21" s="152" t="str">
        <f t="shared" si="31"/>
        <v>낙첨</v>
      </c>
      <c r="Z21" s="152" t="str">
        <f t="shared" si="31"/>
        <v>낙첨</v>
      </c>
      <c r="AA21" s="152" t="str">
        <f t="shared" si="31"/>
        <v>낙첨</v>
      </c>
      <c r="AB21" s="152" t="str">
        <f t="shared" si="31"/>
        <v>낙첨</v>
      </c>
      <c r="AC21" s="152" t="str">
        <f t="shared" si="31"/>
        <v>낙첨</v>
      </c>
      <c r="AD21" s="152" t="str">
        <f t="shared" si="31"/>
        <v>낙첨</v>
      </c>
      <c r="AE21" s="152" t="str">
        <f t="shared" si="31"/>
        <v>낙첨</v>
      </c>
      <c r="AF21" s="152" t="str">
        <f t="shared" si="31"/>
        <v>낙첨</v>
      </c>
      <c r="AG21" s="152" t="str">
        <f t="shared" si="31"/>
        <v>낙첨</v>
      </c>
      <c r="AH21" s="152" t="str">
        <f t="shared" si="31"/>
        <v>낙첨</v>
      </c>
      <c r="AI21" s="152" t="str">
        <f t="shared" si="31"/>
        <v>낙첨</v>
      </c>
      <c r="AJ21" s="152" t="str">
        <f t="shared" si="31"/>
        <v>낙첨</v>
      </c>
      <c r="AK21" s="152" t="str">
        <f t="shared" si="31"/>
        <v>낙첨</v>
      </c>
      <c r="AL21" s="152" t="str">
        <f t="shared" si="31"/>
        <v>낙첨</v>
      </c>
      <c r="AM21" s="152" t="str">
        <f t="shared" si="31"/>
        <v>낙첨</v>
      </c>
      <c r="AN21" s="152" t="str">
        <f t="shared" si="31"/>
        <v>낙첨</v>
      </c>
      <c r="AO21" s="152" t="str">
        <f t="shared" si="31"/>
        <v>낙첨</v>
      </c>
      <c r="AP21" s="152" t="str">
        <f t="shared" si="31"/>
        <v>낙첨</v>
      </c>
      <c r="AQ21" s="152" t="str">
        <f t="shared" si="31"/>
        <v>낙첨</v>
      </c>
      <c r="AR21" s="152" t="str">
        <f t="shared" si="31"/>
        <v>낙첨</v>
      </c>
      <c r="AS21" s="152" t="str">
        <f t="shared" si="31"/>
        <v>낙첨</v>
      </c>
      <c r="AT21" s="152" t="str">
        <f t="shared" si="31"/>
        <v>낙첨</v>
      </c>
      <c r="AU21" s="152" t="str">
        <f t="shared" si="31"/>
        <v>낙첨</v>
      </c>
      <c r="AV21" s="168"/>
      <c r="AW21" s="168"/>
      <c r="AX21" s="168"/>
      <c r="AZ21" s="221">
        <v>7</v>
      </c>
      <c r="BA21" s="244" t="s">
        <v>978</v>
      </c>
      <c r="BB21" s="245"/>
      <c r="BC21" s="223">
        <v>1</v>
      </c>
      <c r="BD21" s="223">
        <v>2</v>
      </c>
      <c r="BE21" s="223">
        <v>3</v>
      </c>
      <c r="BF21" s="223">
        <v>4</v>
      </c>
      <c r="BG21" s="223">
        <v>5</v>
      </c>
      <c r="BH21" s="223">
        <v>7</v>
      </c>
      <c r="BI21" s="223">
        <v>8</v>
      </c>
      <c r="BJ21" s="223">
        <v>9</v>
      </c>
      <c r="BK21" s="223">
        <v>10</v>
      </c>
      <c r="BL21" s="223">
        <v>11</v>
      </c>
      <c r="BM21" s="223">
        <v>13</v>
      </c>
      <c r="BN21" s="223">
        <v>14</v>
      </c>
      <c r="BO21" s="223">
        <v>15</v>
      </c>
      <c r="BP21" s="223">
        <v>16</v>
      </c>
      <c r="BQ21" s="223">
        <v>17</v>
      </c>
      <c r="BR21" s="223">
        <v>18</v>
      </c>
      <c r="BS21" s="223">
        <v>19</v>
      </c>
      <c r="BT21" s="223">
        <v>22</v>
      </c>
      <c r="BU21" s="223">
        <v>23</v>
      </c>
      <c r="BV21" s="223">
        <v>26</v>
      </c>
      <c r="BW21" s="223">
        <v>27</v>
      </c>
      <c r="BX21" s="223">
        <v>28</v>
      </c>
      <c r="BY21" s="223">
        <v>29</v>
      </c>
      <c r="BZ21" s="223">
        <v>31</v>
      </c>
      <c r="CA21" s="223">
        <v>32</v>
      </c>
      <c r="CB21" s="223">
        <v>33</v>
      </c>
      <c r="CC21" s="223">
        <v>35</v>
      </c>
      <c r="CD21" s="223">
        <v>36</v>
      </c>
      <c r="CE21" s="223">
        <v>37</v>
      </c>
      <c r="CF21" s="223">
        <v>38</v>
      </c>
      <c r="CG21" s="223">
        <v>40</v>
      </c>
      <c r="CH21" s="223">
        <v>41</v>
      </c>
      <c r="CI21" s="223">
        <v>43</v>
      </c>
      <c r="CJ21" s="223">
        <v>44</v>
      </c>
      <c r="CK21" s="223">
        <v>45</v>
      </c>
      <c r="CL21" s="223">
        <v>46</v>
      </c>
      <c r="CM21" s="223">
        <v>46</v>
      </c>
      <c r="CN21" s="223">
        <v>46</v>
      </c>
      <c r="CO21" s="223">
        <v>46</v>
      </c>
      <c r="CP21" s="223">
        <v>46</v>
      </c>
      <c r="CQ21" s="223">
        <v>46</v>
      </c>
      <c r="CR21" s="223">
        <v>46</v>
      </c>
      <c r="CS21" s="223">
        <v>46</v>
      </c>
      <c r="CT21" s="223">
        <v>46</v>
      </c>
      <c r="CU21" s="223">
        <v>3</v>
      </c>
      <c r="CV21" s="223">
        <v>4</v>
      </c>
      <c r="CW21" s="223">
        <v>5</v>
      </c>
      <c r="CX21" s="223">
        <v>6</v>
      </c>
      <c r="CY21" s="222"/>
      <c r="CZ21" s="102"/>
      <c r="DA21" s="102"/>
    </row>
    <row r="22" spans="1:106">
      <c r="A22" s="153" t="s">
        <v>742</v>
      </c>
      <c r="B22" s="182" t="s">
        <v>927</v>
      </c>
      <c r="C22" s="152" t="str">
        <f t="shared" ref="C22:P22" ca="1" si="32">IF(C122=$CU$22,"당첨",IF(C122=$CV$22,"당첨",IF(C122=$CW$22,"당첨",IF(C122=$CX$22,"당첨",IF(C122=$CY$22,"당첨",IF(C122=$CZ$22,"당첨",IF(C122=$DA$22,"당첨","낙첨")))))))</f>
        <v>당첨</v>
      </c>
      <c r="D22" s="152" t="str">
        <f t="shared" ca="1" si="32"/>
        <v>당첨</v>
      </c>
      <c r="E22" s="152" t="str">
        <f t="shared" ca="1" si="32"/>
        <v>당첨</v>
      </c>
      <c r="F22" s="152" t="str">
        <f t="shared" ca="1" si="32"/>
        <v>당첨</v>
      </c>
      <c r="G22" s="152" t="str">
        <f t="shared" ca="1" si="32"/>
        <v>당첨</v>
      </c>
      <c r="H22" s="152" t="str">
        <f t="shared" ca="1" si="32"/>
        <v>당첨</v>
      </c>
      <c r="I22" s="152" t="str">
        <f t="shared" ca="1" si="32"/>
        <v>당첨</v>
      </c>
      <c r="J22" s="152" t="str">
        <f t="shared" ca="1" si="32"/>
        <v>당첨</v>
      </c>
      <c r="K22" s="152" t="str">
        <f t="shared" ca="1" si="32"/>
        <v>당첨</v>
      </c>
      <c r="L22" s="152" t="str">
        <f t="shared" ca="1" si="32"/>
        <v>당첨</v>
      </c>
      <c r="M22" s="152" t="str">
        <f t="shared" ca="1" si="32"/>
        <v>당첨</v>
      </c>
      <c r="N22" s="152" t="str">
        <f t="shared" ca="1" si="32"/>
        <v>당첨</v>
      </c>
      <c r="O22" s="152" t="str">
        <f t="shared" ca="1" si="32"/>
        <v>당첨</v>
      </c>
      <c r="P22" s="152" t="str">
        <f t="shared" ca="1" si="32"/>
        <v>당첨</v>
      </c>
      <c r="Q22" s="152" t="str">
        <f ca="1">IF(Q122=$CU$22,"당첨",IF(Q122=$CV$22,"당첨",IF(Q122=$CW$22,"당첨",IF(Q122=$CX$22,"당첨",IF(Q122=$CY$22,"당첨",IF(Q122=$CZ$22,"당첨",IF(Q122=$DA$22,"당첨","낙첨")))))))</f>
        <v>당첨</v>
      </c>
      <c r="R22" s="152" t="str">
        <f t="shared" ref="R22:AU22" si="33">IF(R122=$CU$22,"당첨",IF(R122=$CV$22,"당첨",IF(R122=$CW$22,"당첨",IF(R122=$CX$22,"당첨","낙첨"))))</f>
        <v>낙첨</v>
      </c>
      <c r="S22" s="152" t="str">
        <f t="shared" si="33"/>
        <v>낙첨</v>
      </c>
      <c r="T22" s="152" t="str">
        <f t="shared" si="33"/>
        <v>낙첨</v>
      </c>
      <c r="U22" s="152" t="str">
        <f t="shared" si="33"/>
        <v>낙첨</v>
      </c>
      <c r="V22" s="152" t="str">
        <f t="shared" si="33"/>
        <v>낙첨</v>
      </c>
      <c r="W22" s="152" t="str">
        <f t="shared" si="33"/>
        <v>낙첨</v>
      </c>
      <c r="X22" s="152" t="str">
        <f t="shared" si="33"/>
        <v>낙첨</v>
      </c>
      <c r="Y22" s="152" t="str">
        <f t="shared" si="33"/>
        <v>낙첨</v>
      </c>
      <c r="Z22" s="152" t="str">
        <f t="shared" si="33"/>
        <v>낙첨</v>
      </c>
      <c r="AA22" s="152" t="str">
        <f t="shared" si="33"/>
        <v>낙첨</v>
      </c>
      <c r="AB22" s="152" t="str">
        <f t="shared" si="33"/>
        <v>낙첨</v>
      </c>
      <c r="AC22" s="152" t="str">
        <f t="shared" si="33"/>
        <v>낙첨</v>
      </c>
      <c r="AD22" s="152" t="str">
        <f t="shared" si="33"/>
        <v>낙첨</v>
      </c>
      <c r="AE22" s="152" t="str">
        <f t="shared" si="33"/>
        <v>낙첨</v>
      </c>
      <c r="AF22" s="152" t="str">
        <f t="shared" si="33"/>
        <v>낙첨</v>
      </c>
      <c r="AG22" s="152" t="str">
        <f t="shared" si="33"/>
        <v>낙첨</v>
      </c>
      <c r="AH22" s="152" t="str">
        <f t="shared" si="33"/>
        <v>낙첨</v>
      </c>
      <c r="AI22" s="152" t="str">
        <f t="shared" si="33"/>
        <v>낙첨</v>
      </c>
      <c r="AJ22" s="152" t="str">
        <f t="shared" si="33"/>
        <v>낙첨</v>
      </c>
      <c r="AK22" s="152" t="str">
        <f t="shared" si="33"/>
        <v>낙첨</v>
      </c>
      <c r="AL22" s="152" t="str">
        <f t="shared" si="33"/>
        <v>낙첨</v>
      </c>
      <c r="AM22" s="152" t="str">
        <f t="shared" si="33"/>
        <v>낙첨</v>
      </c>
      <c r="AN22" s="152" t="str">
        <f t="shared" si="33"/>
        <v>낙첨</v>
      </c>
      <c r="AO22" s="152" t="str">
        <f t="shared" si="33"/>
        <v>낙첨</v>
      </c>
      <c r="AP22" s="152" t="str">
        <f t="shared" si="33"/>
        <v>낙첨</v>
      </c>
      <c r="AQ22" s="152" t="str">
        <f t="shared" si="33"/>
        <v>낙첨</v>
      </c>
      <c r="AR22" s="152" t="str">
        <f t="shared" si="33"/>
        <v>낙첨</v>
      </c>
      <c r="AS22" s="152" t="str">
        <f t="shared" si="33"/>
        <v>낙첨</v>
      </c>
      <c r="AT22" s="152" t="str">
        <f t="shared" si="33"/>
        <v>낙첨</v>
      </c>
      <c r="AU22" s="152" t="str">
        <f t="shared" si="33"/>
        <v>낙첨</v>
      </c>
      <c r="AV22" s="168"/>
      <c r="AW22" s="168"/>
      <c r="AX22" s="168"/>
      <c r="AZ22" s="221">
        <v>8</v>
      </c>
      <c r="BA22" s="244" t="s">
        <v>990</v>
      </c>
      <c r="BB22" s="245"/>
      <c r="BC22" s="223">
        <v>1</v>
      </c>
      <c r="BD22" s="227">
        <v>2</v>
      </c>
      <c r="BE22" s="223">
        <v>3</v>
      </c>
      <c r="BF22" s="223">
        <v>4</v>
      </c>
      <c r="BG22" s="227">
        <v>5</v>
      </c>
      <c r="BH22" s="223">
        <v>7</v>
      </c>
      <c r="BI22" s="223">
        <v>8</v>
      </c>
      <c r="BJ22" s="223">
        <v>10</v>
      </c>
      <c r="BK22" s="223">
        <v>11</v>
      </c>
      <c r="BL22" s="223">
        <v>13</v>
      </c>
      <c r="BM22" s="223">
        <v>14</v>
      </c>
      <c r="BN22" s="223">
        <v>15</v>
      </c>
      <c r="BO22" s="223">
        <v>17</v>
      </c>
      <c r="BP22" s="223">
        <v>19</v>
      </c>
      <c r="BQ22" s="223">
        <v>20</v>
      </c>
      <c r="BR22" s="223">
        <v>24</v>
      </c>
      <c r="BS22" s="223">
        <v>25</v>
      </c>
      <c r="BT22" s="223">
        <v>26</v>
      </c>
      <c r="BU22" s="223">
        <v>27</v>
      </c>
      <c r="BV22" s="223">
        <v>31</v>
      </c>
      <c r="BW22" s="223">
        <v>33</v>
      </c>
      <c r="BX22" s="223">
        <v>34</v>
      </c>
      <c r="BY22" s="223">
        <v>35</v>
      </c>
      <c r="BZ22" s="223">
        <v>37</v>
      </c>
      <c r="CA22" s="223">
        <v>39</v>
      </c>
      <c r="CB22" s="223">
        <v>40</v>
      </c>
      <c r="CC22" s="223">
        <v>43</v>
      </c>
      <c r="CD22" s="223">
        <v>44</v>
      </c>
      <c r="CE22" s="223">
        <v>46</v>
      </c>
      <c r="CF22" s="223">
        <v>46</v>
      </c>
      <c r="CG22" s="223">
        <v>46</v>
      </c>
      <c r="CH22" s="223">
        <v>46</v>
      </c>
      <c r="CI22" s="223">
        <v>46</v>
      </c>
      <c r="CJ22" s="223">
        <v>46</v>
      </c>
      <c r="CK22" s="223">
        <v>46</v>
      </c>
      <c r="CL22" s="223">
        <v>46</v>
      </c>
      <c r="CM22" s="223">
        <v>46</v>
      </c>
      <c r="CN22" s="223">
        <v>46</v>
      </c>
      <c r="CO22" s="223">
        <v>46</v>
      </c>
      <c r="CP22" s="223">
        <v>46</v>
      </c>
      <c r="CQ22" s="222"/>
      <c r="CR22" s="222"/>
      <c r="CS22" s="222"/>
      <c r="CT22" s="222"/>
      <c r="CU22" s="223">
        <v>2</v>
      </c>
      <c r="CV22" s="223">
        <v>3</v>
      </c>
      <c r="CW22" s="223">
        <v>4</v>
      </c>
      <c r="CX22" s="223">
        <v>5</v>
      </c>
      <c r="CY22" s="223">
        <v>6</v>
      </c>
      <c r="CZ22" s="223">
        <v>5</v>
      </c>
      <c r="DA22" s="223">
        <v>6</v>
      </c>
    </row>
    <row r="23" spans="1:106">
      <c r="A23" s="153" t="s">
        <v>752</v>
      </c>
      <c r="B23" s="182" t="s">
        <v>928</v>
      </c>
      <c r="C23" s="152" t="str">
        <f t="shared" ref="C23:P23" ca="1" si="34">IF(C129=$CU$23,"당첨",IF(C129=$CV$23,"당첨",IF(C129=$CW$23,"당첨",IF(C129=$CX$23,"당첨",IF(C129=$CY$23,"당첨",IF(C129=$CZ$23,"당첨","낙첨"))))))</f>
        <v>당첨</v>
      </c>
      <c r="D23" s="152" t="str">
        <f t="shared" ca="1" si="34"/>
        <v>당첨</v>
      </c>
      <c r="E23" s="152" t="str">
        <f t="shared" ca="1" si="34"/>
        <v>당첨</v>
      </c>
      <c r="F23" s="152" t="str">
        <f t="shared" ca="1" si="34"/>
        <v>당첨</v>
      </c>
      <c r="G23" s="152" t="str">
        <f t="shared" ca="1" si="34"/>
        <v>당첨</v>
      </c>
      <c r="H23" s="152" t="str">
        <f t="shared" ca="1" si="34"/>
        <v>당첨</v>
      </c>
      <c r="I23" s="152" t="str">
        <f t="shared" ca="1" si="34"/>
        <v>당첨</v>
      </c>
      <c r="J23" s="152" t="str">
        <f t="shared" ca="1" si="34"/>
        <v>당첨</v>
      </c>
      <c r="K23" s="152" t="str">
        <f t="shared" ca="1" si="34"/>
        <v>당첨</v>
      </c>
      <c r="L23" s="152" t="str">
        <f t="shared" ca="1" si="34"/>
        <v>당첨</v>
      </c>
      <c r="M23" s="152" t="str">
        <f t="shared" ca="1" si="34"/>
        <v>당첨</v>
      </c>
      <c r="N23" s="152" t="str">
        <f t="shared" ca="1" si="34"/>
        <v>당첨</v>
      </c>
      <c r="O23" s="152" t="str">
        <f t="shared" ca="1" si="34"/>
        <v>당첨</v>
      </c>
      <c r="P23" s="152" t="str">
        <f t="shared" ca="1" si="34"/>
        <v>당첨</v>
      </c>
      <c r="Q23" s="152" t="str">
        <f ca="1">IF(Q129=$CU$23,"당첨",IF(Q129=$CV$23,"당첨",IF(Q129=$CW$23,"당첨",IF(Q129=$CX$23,"당첨",IF(Q129=$CY$23,"당첨",IF(Q129=$CZ$23,"당첨","낙첨"))))))</f>
        <v>당첨</v>
      </c>
      <c r="R23" s="152" t="str">
        <f t="shared" ref="R23:AU23" si="35">IF(R129=$CU$23,"당첨",IF(R129=$CV$23,"당첨",IF(R129=$CW$23,"당첨",IF(R129=$CX$23,"당첨",IF(R129=$CP$23,"당첨","낙첨")))))</f>
        <v>낙첨</v>
      </c>
      <c r="S23" s="152" t="str">
        <f t="shared" si="35"/>
        <v>낙첨</v>
      </c>
      <c r="T23" s="152" t="str">
        <f t="shared" si="35"/>
        <v>낙첨</v>
      </c>
      <c r="U23" s="152" t="str">
        <f t="shared" si="35"/>
        <v>낙첨</v>
      </c>
      <c r="V23" s="152" t="str">
        <f t="shared" si="35"/>
        <v>낙첨</v>
      </c>
      <c r="W23" s="152" t="str">
        <f t="shared" si="35"/>
        <v>낙첨</v>
      </c>
      <c r="X23" s="152" t="str">
        <f t="shared" si="35"/>
        <v>낙첨</v>
      </c>
      <c r="Y23" s="152" t="str">
        <f t="shared" si="35"/>
        <v>낙첨</v>
      </c>
      <c r="Z23" s="152" t="str">
        <f t="shared" si="35"/>
        <v>낙첨</v>
      </c>
      <c r="AA23" s="152" t="str">
        <f t="shared" si="35"/>
        <v>낙첨</v>
      </c>
      <c r="AB23" s="152" t="str">
        <f t="shared" si="35"/>
        <v>낙첨</v>
      </c>
      <c r="AC23" s="152" t="str">
        <f t="shared" si="35"/>
        <v>낙첨</v>
      </c>
      <c r="AD23" s="152" t="str">
        <f t="shared" si="35"/>
        <v>낙첨</v>
      </c>
      <c r="AE23" s="152" t="str">
        <f t="shared" si="35"/>
        <v>낙첨</v>
      </c>
      <c r="AF23" s="152" t="str">
        <f t="shared" si="35"/>
        <v>낙첨</v>
      </c>
      <c r="AG23" s="152" t="str">
        <f t="shared" si="35"/>
        <v>낙첨</v>
      </c>
      <c r="AH23" s="152" t="str">
        <f t="shared" si="35"/>
        <v>낙첨</v>
      </c>
      <c r="AI23" s="152" t="str">
        <f t="shared" si="35"/>
        <v>낙첨</v>
      </c>
      <c r="AJ23" s="152" t="str">
        <f t="shared" si="35"/>
        <v>낙첨</v>
      </c>
      <c r="AK23" s="152" t="str">
        <f t="shared" si="35"/>
        <v>낙첨</v>
      </c>
      <c r="AL23" s="152" t="str">
        <f t="shared" si="35"/>
        <v>낙첨</v>
      </c>
      <c r="AM23" s="152" t="str">
        <f t="shared" si="35"/>
        <v>낙첨</v>
      </c>
      <c r="AN23" s="152" t="str">
        <f t="shared" si="35"/>
        <v>낙첨</v>
      </c>
      <c r="AO23" s="152" t="str">
        <f t="shared" si="35"/>
        <v>낙첨</v>
      </c>
      <c r="AP23" s="152" t="str">
        <f t="shared" si="35"/>
        <v>낙첨</v>
      </c>
      <c r="AQ23" s="152" t="str">
        <f t="shared" si="35"/>
        <v>낙첨</v>
      </c>
      <c r="AR23" s="152" t="str">
        <f t="shared" si="35"/>
        <v>낙첨</v>
      </c>
      <c r="AS23" s="152" t="str">
        <f t="shared" si="35"/>
        <v>낙첨</v>
      </c>
      <c r="AT23" s="152" t="str">
        <f t="shared" si="35"/>
        <v>낙첨</v>
      </c>
      <c r="AU23" s="152" t="str">
        <f t="shared" si="35"/>
        <v>낙첨</v>
      </c>
      <c r="AV23" s="168"/>
      <c r="AW23" s="168"/>
      <c r="AX23" s="168"/>
      <c r="AZ23" s="221">
        <v>9</v>
      </c>
      <c r="BA23" s="244" t="s">
        <v>979</v>
      </c>
      <c r="BB23" s="245"/>
      <c r="BC23" s="223">
        <v>1</v>
      </c>
      <c r="BD23" s="223">
        <v>28</v>
      </c>
      <c r="BE23" s="223">
        <v>35</v>
      </c>
      <c r="BF23" s="223">
        <v>41</v>
      </c>
      <c r="BG23" s="223">
        <v>43</v>
      </c>
      <c r="BH23" s="223">
        <v>44</v>
      </c>
      <c r="BI23" s="223">
        <v>1</v>
      </c>
      <c r="BJ23" s="223">
        <v>12</v>
      </c>
      <c r="BK23" s="223">
        <v>29</v>
      </c>
      <c r="BL23" s="223">
        <v>34</v>
      </c>
      <c r="BM23" s="223">
        <v>36</v>
      </c>
      <c r="BN23" s="223">
        <v>37</v>
      </c>
      <c r="BO23" s="223">
        <v>4</v>
      </c>
      <c r="BP23" s="223">
        <v>8</v>
      </c>
      <c r="BQ23" s="223">
        <v>13</v>
      </c>
      <c r="BR23" s="223">
        <v>19</v>
      </c>
      <c r="BS23" s="223">
        <v>20</v>
      </c>
      <c r="BT23" s="223">
        <v>43</v>
      </c>
      <c r="BU23" s="223">
        <v>4</v>
      </c>
      <c r="BV23" s="223">
        <v>11</v>
      </c>
      <c r="BW23" s="223">
        <v>20</v>
      </c>
      <c r="BX23" s="223">
        <v>23</v>
      </c>
      <c r="BY23" s="223">
        <v>32</v>
      </c>
      <c r="BZ23" s="223">
        <v>39</v>
      </c>
      <c r="CA23" s="223">
        <v>46</v>
      </c>
      <c r="CB23" s="223">
        <v>46</v>
      </c>
      <c r="CC23" s="223">
        <v>46</v>
      </c>
      <c r="CD23" s="223">
        <v>46</v>
      </c>
      <c r="CE23" s="223">
        <v>46</v>
      </c>
      <c r="CF23" s="223">
        <v>46</v>
      </c>
      <c r="CG23" s="223">
        <v>46</v>
      </c>
      <c r="CH23" s="223">
        <v>46</v>
      </c>
      <c r="CI23" s="223">
        <v>46</v>
      </c>
      <c r="CJ23" s="223">
        <v>46</v>
      </c>
      <c r="CK23" s="223">
        <v>46</v>
      </c>
      <c r="CL23" s="223">
        <v>46</v>
      </c>
      <c r="CM23" s="223">
        <v>46</v>
      </c>
      <c r="CN23" s="223">
        <v>46</v>
      </c>
      <c r="CO23" s="223">
        <v>46</v>
      </c>
      <c r="CP23" s="223">
        <v>46</v>
      </c>
      <c r="CQ23" s="222"/>
      <c r="CR23" s="222"/>
      <c r="CS23" s="222"/>
      <c r="CT23" s="222"/>
      <c r="CU23" s="223">
        <v>1</v>
      </c>
      <c r="CV23" s="223">
        <v>2</v>
      </c>
      <c r="CW23" s="223">
        <v>3</v>
      </c>
      <c r="CX23" s="223">
        <v>4</v>
      </c>
      <c r="CY23" s="223">
        <v>5</v>
      </c>
      <c r="CZ23" s="223">
        <v>2</v>
      </c>
      <c r="DA23" s="102"/>
    </row>
    <row r="24" spans="1:106">
      <c r="A24" s="153" t="s">
        <v>818</v>
      </c>
      <c r="B24" s="182" t="s">
        <v>929</v>
      </c>
      <c r="C24" s="152" t="str">
        <f t="shared" ref="C24:P24" ca="1" si="36">IF(C136=$CU$24,"당첨",IF(C136=$CV$24,"당첨",IF(C136=$CW$24,"당첨",IF(C136=$CX$24,"당첨",IF(C136=$CY$24,"당첨","낙첨")))))</f>
        <v>당첨</v>
      </c>
      <c r="D24" s="152" t="str">
        <f t="shared" ca="1" si="36"/>
        <v>당첨</v>
      </c>
      <c r="E24" s="152" t="str">
        <f t="shared" ca="1" si="36"/>
        <v>당첨</v>
      </c>
      <c r="F24" s="152" t="str">
        <f t="shared" ca="1" si="36"/>
        <v>당첨</v>
      </c>
      <c r="G24" s="152" t="str">
        <f t="shared" ca="1" si="36"/>
        <v>당첨</v>
      </c>
      <c r="H24" s="152" t="str">
        <f t="shared" ca="1" si="36"/>
        <v>당첨</v>
      </c>
      <c r="I24" s="152" t="str">
        <f t="shared" ca="1" si="36"/>
        <v>당첨</v>
      </c>
      <c r="J24" s="152" t="str">
        <f t="shared" ca="1" si="36"/>
        <v>낙첨</v>
      </c>
      <c r="K24" s="152" t="str">
        <f t="shared" ca="1" si="36"/>
        <v>당첨</v>
      </c>
      <c r="L24" s="152" t="str">
        <f t="shared" ca="1" si="36"/>
        <v>당첨</v>
      </c>
      <c r="M24" s="152" t="str">
        <f t="shared" ca="1" si="36"/>
        <v>당첨</v>
      </c>
      <c r="N24" s="152" t="str">
        <f t="shared" ca="1" si="36"/>
        <v>당첨</v>
      </c>
      <c r="O24" s="152" t="str">
        <f t="shared" ca="1" si="36"/>
        <v>당첨</v>
      </c>
      <c r="P24" s="152" t="str">
        <f t="shared" ca="1" si="36"/>
        <v>당첨</v>
      </c>
      <c r="Q24" s="152" t="str">
        <f ca="1">IF(Q136=$CU$24,"당첨",IF(Q136=$CV$24,"당첨",IF(Q136=$CW$24,"당첨",IF(Q136=$CX$24,"당첨",IF(Q136=$CY$24,"당첨","낙첨")))))</f>
        <v>당첨</v>
      </c>
      <c r="R24" s="152" t="str">
        <f t="shared" ref="R24:AU24" si="37">IF(R136=$CU$24,"당첨",IF(R136=$CV$24,"당첨",IF(R136=$CW$24,"당첨",IF(R136=$CX$24,"당첨","낙첨"))))</f>
        <v>낙첨</v>
      </c>
      <c r="S24" s="152" t="str">
        <f t="shared" si="37"/>
        <v>낙첨</v>
      </c>
      <c r="T24" s="152" t="str">
        <f t="shared" si="37"/>
        <v>낙첨</v>
      </c>
      <c r="U24" s="152" t="str">
        <f t="shared" si="37"/>
        <v>낙첨</v>
      </c>
      <c r="V24" s="152" t="str">
        <f t="shared" si="37"/>
        <v>낙첨</v>
      </c>
      <c r="W24" s="152" t="str">
        <f t="shared" si="37"/>
        <v>낙첨</v>
      </c>
      <c r="X24" s="152" t="str">
        <f t="shared" si="37"/>
        <v>낙첨</v>
      </c>
      <c r="Y24" s="152" t="str">
        <f t="shared" si="37"/>
        <v>낙첨</v>
      </c>
      <c r="Z24" s="152" t="str">
        <f t="shared" si="37"/>
        <v>낙첨</v>
      </c>
      <c r="AA24" s="152" t="str">
        <f t="shared" si="37"/>
        <v>낙첨</v>
      </c>
      <c r="AB24" s="152" t="str">
        <f t="shared" si="37"/>
        <v>낙첨</v>
      </c>
      <c r="AC24" s="152" t="str">
        <f t="shared" si="37"/>
        <v>낙첨</v>
      </c>
      <c r="AD24" s="152" t="str">
        <f t="shared" si="37"/>
        <v>낙첨</v>
      </c>
      <c r="AE24" s="152" t="str">
        <f t="shared" si="37"/>
        <v>낙첨</v>
      </c>
      <c r="AF24" s="152" t="str">
        <f t="shared" si="37"/>
        <v>낙첨</v>
      </c>
      <c r="AG24" s="152" t="str">
        <f t="shared" si="37"/>
        <v>낙첨</v>
      </c>
      <c r="AH24" s="152" t="str">
        <f t="shared" si="37"/>
        <v>낙첨</v>
      </c>
      <c r="AI24" s="152" t="str">
        <f t="shared" si="37"/>
        <v>낙첨</v>
      </c>
      <c r="AJ24" s="152" t="str">
        <f t="shared" si="37"/>
        <v>낙첨</v>
      </c>
      <c r="AK24" s="152" t="str">
        <f t="shared" si="37"/>
        <v>낙첨</v>
      </c>
      <c r="AL24" s="152" t="str">
        <f t="shared" si="37"/>
        <v>낙첨</v>
      </c>
      <c r="AM24" s="152" t="str">
        <f t="shared" si="37"/>
        <v>낙첨</v>
      </c>
      <c r="AN24" s="152" t="str">
        <f t="shared" si="37"/>
        <v>낙첨</v>
      </c>
      <c r="AO24" s="152" t="str">
        <f t="shared" si="37"/>
        <v>낙첨</v>
      </c>
      <c r="AP24" s="152" t="str">
        <f t="shared" si="37"/>
        <v>낙첨</v>
      </c>
      <c r="AQ24" s="152" t="str">
        <f t="shared" si="37"/>
        <v>낙첨</v>
      </c>
      <c r="AR24" s="152" t="str">
        <f t="shared" si="37"/>
        <v>낙첨</v>
      </c>
      <c r="AS24" s="152" t="str">
        <f t="shared" si="37"/>
        <v>낙첨</v>
      </c>
      <c r="AT24" s="152" t="str">
        <f t="shared" si="37"/>
        <v>낙첨</v>
      </c>
      <c r="AU24" s="152" t="str">
        <f t="shared" si="37"/>
        <v>낙첨</v>
      </c>
      <c r="AV24" s="168"/>
      <c r="AW24" s="168"/>
      <c r="AX24" s="168"/>
      <c r="AZ24" s="221">
        <v>10</v>
      </c>
      <c r="BA24" s="244" t="s">
        <v>980</v>
      </c>
      <c r="BB24" s="245"/>
      <c r="BC24" s="223">
        <v>1</v>
      </c>
      <c r="BD24" s="223">
        <v>2</v>
      </c>
      <c r="BE24" s="223">
        <v>3</v>
      </c>
      <c r="BF24" s="223">
        <v>4</v>
      </c>
      <c r="BG24" s="223">
        <v>8</v>
      </c>
      <c r="BH24" s="223">
        <v>10</v>
      </c>
      <c r="BI24" s="223">
        <v>11</v>
      </c>
      <c r="BJ24" s="223">
        <v>13</v>
      </c>
      <c r="BK24" s="223">
        <v>16</v>
      </c>
      <c r="BL24" s="223">
        <v>18</v>
      </c>
      <c r="BM24" s="223">
        <v>19</v>
      </c>
      <c r="BN24" s="223">
        <v>20</v>
      </c>
      <c r="BO24" s="223">
        <v>21</v>
      </c>
      <c r="BP24" s="223">
        <v>23</v>
      </c>
      <c r="BQ24" s="223">
        <v>24</v>
      </c>
      <c r="BR24" s="223">
        <v>28</v>
      </c>
      <c r="BS24" s="223">
        <v>29</v>
      </c>
      <c r="BT24" s="223">
        <v>30</v>
      </c>
      <c r="BU24" s="223">
        <v>31</v>
      </c>
      <c r="BV24" s="223">
        <v>33</v>
      </c>
      <c r="BW24" s="223">
        <v>34</v>
      </c>
      <c r="BX24" s="223">
        <v>35</v>
      </c>
      <c r="BY24" s="223">
        <v>37</v>
      </c>
      <c r="BZ24" s="223">
        <v>39</v>
      </c>
      <c r="CA24" s="223">
        <v>41</v>
      </c>
      <c r="CB24" s="223">
        <v>44</v>
      </c>
      <c r="CC24" s="223">
        <v>45</v>
      </c>
      <c r="CD24" s="223">
        <v>46</v>
      </c>
      <c r="CE24" s="223">
        <v>46</v>
      </c>
      <c r="CF24" s="223">
        <v>46</v>
      </c>
      <c r="CG24" s="223">
        <v>46</v>
      </c>
      <c r="CH24" s="223">
        <v>46</v>
      </c>
      <c r="CI24" s="223">
        <v>46</v>
      </c>
      <c r="CJ24" s="223">
        <v>46</v>
      </c>
      <c r="CK24" s="223">
        <v>46</v>
      </c>
      <c r="CL24" s="223">
        <v>46</v>
      </c>
      <c r="CM24" s="223">
        <v>46</v>
      </c>
      <c r="CN24" s="223">
        <v>46</v>
      </c>
      <c r="CO24" s="223">
        <v>46</v>
      </c>
      <c r="CP24" s="223">
        <v>46</v>
      </c>
      <c r="CQ24" s="222"/>
      <c r="CR24" s="222"/>
      <c r="CS24" s="222"/>
      <c r="CT24" s="222"/>
      <c r="CU24" s="223">
        <v>2</v>
      </c>
      <c r="CV24" s="223">
        <v>3</v>
      </c>
      <c r="CW24" s="223">
        <v>4</v>
      </c>
      <c r="CX24" s="223">
        <v>5</v>
      </c>
      <c r="CY24" s="223">
        <v>6</v>
      </c>
      <c r="CZ24" s="102"/>
      <c r="DA24" s="102"/>
    </row>
    <row r="25" spans="1:106">
      <c r="A25" s="153" t="s">
        <v>819</v>
      </c>
      <c r="B25" s="182" t="s">
        <v>930</v>
      </c>
      <c r="C25" s="152" t="str">
        <f t="shared" ref="C25:P25" ca="1" si="38">IF(C143=$CU$25,"당첨",IF(C143=$CV$25,"당첨",IF(C143=$CW$25,"당첨",IF(C143=$CX$25,"당첨",IF(C143=$CY$25,"당첨","낙첨")))))</f>
        <v>낙첨</v>
      </c>
      <c r="D25" s="152" t="str">
        <f t="shared" ca="1" si="38"/>
        <v>당첨</v>
      </c>
      <c r="E25" s="152" t="str">
        <f t="shared" ca="1" si="38"/>
        <v>당첨</v>
      </c>
      <c r="F25" s="152" t="str">
        <f t="shared" ca="1" si="38"/>
        <v>당첨</v>
      </c>
      <c r="G25" s="152" t="str">
        <f t="shared" ca="1" si="38"/>
        <v>당첨</v>
      </c>
      <c r="H25" s="152" t="str">
        <f t="shared" ca="1" si="38"/>
        <v>당첨</v>
      </c>
      <c r="I25" s="152" t="str">
        <f t="shared" ca="1" si="38"/>
        <v>당첨</v>
      </c>
      <c r="J25" s="152" t="str">
        <f t="shared" ca="1" si="38"/>
        <v>당첨</v>
      </c>
      <c r="K25" s="152" t="str">
        <f t="shared" ca="1" si="38"/>
        <v>당첨</v>
      </c>
      <c r="L25" s="152" t="str">
        <f t="shared" ca="1" si="38"/>
        <v>당첨</v>
      </c>
      <c r="M25" s="152" t="str">
        <f t="shared" ca="1" si="38"/>
        <v>당첨</v>
      </c>
      <c r="N25" s="152" t="str">
        <f t="shared" ca="1" si="38"/>
        <v>당첨</v>
      </c>
      <c r="O25" s="152" t="str">
        <f t="shared" ca="1" si="38"/>
        <v>당첨</v>
      </c>
      <c r="P25" s="152" t="str">
        <f t="shared" ca="1" si="38"/>
        <v>당첨</v>
      </c>
      <c r="Q25" s="152" t="str">
        <f ca="1">IF(Q143=$CU$25,"당첨",IF(Q143=$CV$25,"당첨",IF(Q143=$CW$25,"당첨",IF(Q143=$CX$25,"당첨",IF(Q143=$CY$25,"당첨","낙첨")))))</f>
        <v>당첨</v>
      </c>
      <c r="R25" s="152" t="str">
        <f t="shared" ref="R25:AU25" si="39">IF(R143=$CU$25,"당첨",IF(R143=$CV$25,"당첨",IF(R143=$CW$25,"당첨",IF(R143=$CX$25,"당첨","낙첨"))))</f>
        <v>낙첨</v>
      </c>
      <c r="S25" s="152" t="str">
        <f t="shared" si="39"/>
        <v>낙첨</v>
      </c>
      <c r="T25" s="152" t="str">
        <f t="shared" si="39"/>
        <v>낙첨</v>
      </c>
      <c r="U25" s="152" t="str">
        <f t="shared" si="39"/>
        <v>낙첨</v>
      </c>
      <c r="V25" s="152" t="str">
        <f t="shared" si="39"/>
        <v>낙첨</v>
      </c>
      <c r="W25" s="152" t="str">
        <f t="shared" si="39"/>
        <v>낙첨</v>
      </c>
      <c r="X25" s="152" t="str">
        <f t="shared" si="39"/>
        <v>낙첨</v>
      </c>
      <c r="Y25" s="152" t="str">
        <f t="shared" si="39"/>
        <v>낙첨</v>
      </c>
      <c r="Z25" s="152" t="str">
        <f t="shared" si="39"/>
        <v>낙첨</v>
      </c>
      <c r="AA25" s="152" t="str">
        <f t="shared" si="39"/>
        <v>낙첨</v>
      </c>
      <c r="AB25" s="152" t="str">
        <f t="shared" si="39"/>
        <v>낙첨</v>
      </c>
      <c r="AC25" s="152" t="str">
        <f t="shared" si="39"/>
        <v>낙첨</v>
      </c>
      <c r="AD25" s="152" t="str">
        <f t="shared" si="39"/>
        <v>낙첨</v>
      </c>
      <c r="AE25" s="152" t="str">
        <f t="shared" si="39"/>
        <v>낙첨</v>
      </c>
      <c r="AF25" s="152" t="str">
        <f t="shared" si="39"/>
        <v>낙첨</v>
      </c>
      <c r="AG25" s="152" t="str">
        <f t="shared" si="39"/>
        <v>낙첨</v>
      </c>
      <c r="AH25" s="152" t="str">
        <f t="shared" si="39"/>
        <v>낙첨</v>
      </c>
      <c r="AI25" s="152" t="str">
        <f t="shared" si="39"/>
        <v>낙첨</v>
      </c>
      <c r="AJ25" s="152" t="str">
        <f t="shared" si="39"/>
        <v>낙첨</v>
      </c>
      <c r="AK25" s="152" t="str">
        <f t="shared" si="39"/>
        <v>낙첨</v>
      </c>
      <c r="AL25" s="152" t="str">
        <f t="shared" si="39"/>
        <v>낙첨</v>
      </c>
      <c r="AM25" s="152" t="str">
        <f t="shared" si="39"/>
        <v>낙첨</v>
      </c>
      <c r="AN25" s="152" t="str">
        <f t="shared" si="39"/>
        <v>낙첨</v>
      </c>
      <c r="AO25" s="152" t="str">
        <f t="shared" si="39"/>
        <v>낙첨</v>
      </c>
      <c r="AP25" s="152" t="str">
        <f t="shared" si="39"/>
        <v>낙첨</v>
      </c>
      <c r="AQ25" s="152" t="str">
        <f t="shared" si="39"/>
        <v>낙첨</v>
      </c>
      <c r="AR25" s="152" t="str">
        <f t="shared" si="39"/>
        <v>낙첨</v>
      </c>
      <c r="AS25" s="152" t="str">
        <f t="shared" si="39"/>
        <v>낙첨</v>
      </c>
      <c r="AT25" s="152" t="str">
        <f t="shared" si="39"/>
        <v>낙첨</v>
      </c>
      <c r="AU25" s="152" t="str">
        <f t="shared" si="39"/>
        <v>낙첨</v>
      </c>
      <c r="AV25" s="168"/>
      <c r="AW25" s="168"/>
      <c r="AX25" s="168"/>
      <c r="AZ25" s="221">
        <v>11</v>
      </c>
      <c r="BA25" s="244" t="s">
        <v>981</v>
      </c>
      <c r="BB25" s="245"/>
      <c r="BC25" s="223">
        <v>10</v>
      </c>
      <c r="BD25" s="223">
        <v>1</v>
      </c>
      <c r="BE25" s="223">
        <v>2</v>
      </c>
      <c r="BF25" s="223">
        <v>3</v>
      </c>
      <c r="BG25" s="223">
        <v>4</v>
      </c>
      <c r="BH25" s="223">
        <v>6</v>
      </c>
      <c r="BI25" s="223">
        <v>11</v>
      </c>
      <c r="BJ25" s="223">
        <v>13</v>
      </c>
      <c r="BK25" s="223">
        <v>16</v>
      </c>
      <c r="BL25" s="223">
        <v>19</v>
      </c>
      <c r="BM25" s="223">
        <v>20</v>
      </c>
      <c r="BN25" s="223">
        <v>23</v>
      </c>
      <c r="BO25" s="223">
        <v>24</v>
      </c>
      <c r="BP25" s="223">
        <v>28</v>
      </c>
      <c r="BQ25" s="223">
        <v>29</v>
      </c>
      <c r="BR25" s="223">
        <v>30</v>
      </c>
      <c r="BS25" s="223">
        <v>31</v>
      </c>
      <c r="BT25" s="223">
        <v>32</v>
      </c>
      <c r="BU25" s="223">
        <v>33</v>
      </c>
      <c r="BV25" s="223">
        <v>35</v>
      </c>
      <c r="BW25" s="223">
        <v>37</v>
      </c>
      <c r="BX25" s="223">
        <v>39</v>
      </c>
      <c r="BY25" s="223">
        <v>41</v>
      </c>
      <c r="BZ25" s="223">
        <v>44</v>
      </c>
      <c r="CA25" s="223">
        <v>45</v>
      </c>
      <c r="CB25" s="223">
        <v>46</v>
      </c>
      <c r="CC25" s="223">
        <v>46</v>
      </c>
      <c r="CD25" s="223">
        <v>46</v>
      </c>
      <c r="CE25" s="223">
        <v>46</v>
      </c>
      <c r="CF25" s="223">
        <v>46</v>
      </c>
      <c r="CG25" s="223">
        <v>46</v>
      </c>
      <c r="CH25" s="223">
        <v>46</v>
      </c>
      <c r="CI25" s="223">
        <v>46</v>
      </c>
      <c r="CJ25" s="223">
        <v>46</v>
      </c>
      <c r="CK25" s="223">
        <v>46</v>
      </c>
      <c r="CL25" s="223">
        <v>46</v>
      </c>
      <c r="CM25" s="223">
        <v>46</v>
      </c>
      <c r="CN25" s="223">
        <v>46</v>
      </c>
      <c r="CO25" s="223">
        <v>46</v>
      </c>
      <c r="CP25" s="223">
        <v>46</v>
      </c>
      <c r="CQ25" s="222"/>
      <c r="CR25" s="222"/>
      <c r="CS25" s="222"/>
      <c r="CT25" s="222"/>
      <c r="CU25" s="223">
        <v>2</v>
      </c>
      <c r="CV25" s="223">
        <v>3</v>
      </c>
      <c r="CW25" s="223">
        <v>4</v>
      </c>
      <c r="CX25" s="223">
        <v>5</v>
      </c>
      <c r="CY25" s="223">
        <v>6</v>
      </c>
      <c r="CZ25" s="102"/>
      <c r="DA25" s="102"/>
    </row>
    <row r="26" spans="1:106">
      <c r="A26" s="153" t="s">
        <v>820</v>
      </c>
      <c r="B26" s="182" t="s">
        <v>931</v>
      </c>
      <c r="C26" s="152" t="str">
        <f t="shared" ref="C26:P26" ca="1" si="40">IF(C150=$CU$26,"당첨",IF(C150=$CV$26,"당첨",IF(C150=$CW$26,"당첨",IF(C150=$CX$26,"당첨",IF(C150=$CY$26,"당첨",IF(C150=$CZ$26,"당첨","낙첨"))))))</f>
        <v>당첨</v>
      </c>
      <c r="D26" s="152" t="str">
        <f t="shared" ca="1" si="40"/>
        <v>낙첨</v>
      </c>
      <c r="E26" s="152" t="str">
        <f t="shared" ca="1" si="40"/>
        <v>당첨</v>
      </c>
      <c r="F26" s="152" t="str">
        <f t="shared" ca="1" si="40"/>
        <v>당첨</v>
      </c>
      <c r="G26" s="152" t="str">
        <f t="shared" ca="1" si="40"/>
        <v>당첨</v>
      </c>
      <c r="H26" s="152" t="str">
        <f t="shared" ca="1" si="40"/>
        <v>당첨</v>
      </c>
      <c r="I26" s="152" t="str">
        <f t="shared" ca="1" si="40"/>
        <v>당첨</v>
      </c>
      <c r="J26" s="152" t="str">
        <f t="shared" ca="1" si="40"/>
        <v>당첨</v>
      </c>
      <c r="K26" s="152" t="str">
        <f t="shared" ca="1" si="40"/>
        <v>당첨</v>
      </c>
      <c r="L26" s="152" t="str">
        <f t="shared" ca="1" si="40"/>
        <v>당첨</v>
      </c>
      <c r="M26" s="152" t="str">
        <f t="shared" ca="1" si="40"/>
        <v>당첨</v>
      </c>
      <c r="N26" s="152" t="str">
        <f t="shared" ca="1" si="40"/>
        <v>낙첨</v>
      </c>
      <c r="O26" s="152" t="str">
        <f t="shared" ca="1" si="40"/>
        <v>당첨</v>
      </c>
      <c r="P26" s="152" t="str">
        <f t="shared" ca="1" si="40"/>
        <v>당첨</v>
      </c>
      <c r="Q26" s="152" t="str">
        <f ca="1">IF(Q150=$CU$26,"당첨",IF(Q150=$CV$26,"당첨",IF(Q150=$CW$26,"당첨",IF(Q150=$CX$26,"당첨",IF(Q150=$CY$26,"당첨",IF(Q150=$CZ$26,"당첨","낙첨"))))))</f>
        <v>낙첨</v>
      </c>
      <c r="R26" s="152" t="str">
        <f t="shared" ref="R26:AU26" si="41">IF(R150=$CU$26,"당첨",IF(R150=$CV$26,"당첨",IF(R150=$CW$26,"당첨",IF(R150=$CX$26,"당첨","낙첨"))))</f>
        <v>낙첨</v>
      </c>
      <c r="S26" s="152" t="str">
        <f t="shared" si="41"/>
        <v>낙첨</v>
      </c>
      <c r="T26" s="152" t="str">
        <f t="shared" si="41"/>
        <v>낙첨</v>
      </c>
      <c r="U26" s="152" t="str">
        <f t="shared" si="41"/>
        <v>낙첨</v>
      </c>
      <c r="V26" s="152" t="str">
        <f t="shared" si="41"/>
        <v>낙첨</v>
      </c>
      <c r="W26" s="152" t="str">
        <f t="shared" si="41"/>
        <v>낙첨</v>
      </c>
      <c r="X26" s="152" t="str">
        <f t="shared" si="41"/>
        <v>낙첨</v>
      </c>
      <c r="Y26" s="152" t="str">
        <f t="shared" si="41"/>
        <v>낙첨</v>
      </c>
      <c r="Z26" s="152" t="str">
        <f t="shared" si="41"/>
        <v>낙첨</v>
      </c>
      <c r="AA26" s="152" t="str">
        <f t="shared" si="41"/>
        <v>낙첨</v>
      </c>
      <c r="AB26" s="152" t="str">
        <f t="shared" si="41"/>
        <v>낙첨</v>
      </c>
      <c r="AC26" s="152" t="str">
        <f t="shared" si="41"/>
        <v>낙첨</v>
      </c>
      <c r="AD26" s="152" t="str">
        <f t="shared" si="41"/>
        <v>낙첨</v>
      </c>
      <c r="AE26" s="152" t="str">
        <f t="shared" si="41"/>
        <v>낙첨</v>
      </c>
      <c r="AF26" s="152" t="str">
        <f t="shared" si="41"/>
        <v>낙첨</v>
      </c>
      <c r="AG26" s="152" t="str">
        <f t="shared" si="41"/>
        <v>낙첨</v>
      </c>
      <c r="AH26" s="152" t="str">
        <f t="shared" si="41"/>
        <v>낙첨</v>
      </c>
      <c r="AI26" s="152" t="str">
        <f t="shared" si="41"/>
        <v>낙첨</v>
      </c>
      <c r="AJ26" s="152" t="str">
        <f t="shared" si="41"/>
        <v>낙첨</v>
      </c>
      <c r="AK26" s="152" t="str">
        <f t="shared" si="41"/>
        <v>낙첨</v>
      </c>
      <c r="AL26" s="152" t="str">
        <f t="shared" si="41"/>
        <v>낙첨</v>
      </c>
      <c r="AM26" s="152" t="str">
        <f t="shared" si="41"/>
        <v>낙첨</v>
      </c>
      <c r="AN26" s="152" t="str">
        <f t="shared" si="41"/>
        <v>낙첨</v>
      </c>
      <c r="AO26" s="152" t="str">
        <f t="shared" si="41"/>
        <v>낙첨</v>
      </c>
      <c r="AP26" s="152" t="str">
        <f t="shared" si="41"/>
        <v>낙첨</v>
      </c>
      <c r="AQ26" s="152" t="str">
        <f t="shared" si="41"/>
        <v>낙첨</v>
      </c>
      <c r="AR26" s="152" t="str">
        <f t="shared" si="41"/>
        <v>낙첨</v>
      </c>
      <c r="AS26" s="152" t="str">
        <f t="shared" si="41"/>
        <v>낙첨</v>
      </c>
      <c r="AT26" s="152" t="str">
        <f t="shared" si="41"/>
        <v>낙첨</v>
      </c>
      <c r="AU26" s="152" t="str">
        <f t="shared" si="41"/>
        <v>낙첨</v>
      </c>
      <c r="AV26" s="168"/>
      <c r="AW26" s="168"/>
      <c r="AX26" s="168"/>
      <c r="AZ26" s="221">
        <v>12</v>
      </c>
      <c r="BA26" s="244" t="s">
        <v>982</v>
      </c>
      <c r="BB26" s="245"/>
      <c r="BC26" s="223">
        <v>1</v>
      </c>
      <c r="BD26" s="223">
        <v>28</v>
      </c>
      <c r="BE26" s="223">
        <v>35</v>
      </c>
      <c r="BF26" s="223">
        <v>41</v>
      </c>
      <c r="BG26" s="223">
        <v>43</v>
      </c>
      <c r="BH26" s="223">
        <v>44</v>
      </c>
      <c r="BI26" s="223">
        <v>1</v>
      </c>
      <c r="BJ26" s="223">
        <v>12</v>
      </c>
      <c r="BK26" s="223">
        <v>29</v>
      </c>
      <c r="BL26" s="223">
        <v>34</v>
      </c>
      <c r="BM26" s="223">
        <v>36</v>
      </c>
      <c r="BN26" s="223">
        <v>37</v>
      </c>
      <c r="BO26" s="223">
        <v>4</v>
      </c>
      <c r="BP26" s="223">
        <v>8</v>
      </c>
      <c r="BQ26" s="223">
        <v>13</v>
      </c>
      <c r="BR26" s="223">
        <v>19</v>
      </c>
      <c r="BS26" s="223">
        <v>20</v>
      </c>
      <c r="BT26" s="223">
        <v>43</v>
      </c>
      <c r="BU26" s="223">
        <v>46</v>
      </c>
      <c r="BV26" s="223">
        <v>46</v>
      </c>
      <c r="BW26" s="223">
        <v>46</v>
      </c>
      <c r="BX26" s="223">
        <v>46</v>
      </c>
      <c r="BY26" s="223">
        <v>46</v>
      </c>
      <c r="BZ26" s="223">
        <v>46</v>
      </c>
      <c r="CA26" s="223">
        <v>46</v>
      </c>
      <c r="CB26" s="223">
        <v>46</v>
      </c>
      <c r="CC26" s="225"/>
      <c r="CD26" s="225"/>
      <c r="CE26" s="225"/>
      <c r="CF26" s="225"/>
      <c r="CG26" s="225"/>
      <c r="CH26" s="225"/>
      <c r="CI26" s="225"/>
      <c r="CJ26" s="225"/>
      <c r="CK26" s="225"/>
      <c r="CL26" s="225"/>
      <c r="CM26" s="222"/>
      <c r="CN26" s="222"/>
      <c r="CO26" s="222"/>
      <c r="CP26" s="222"/>
      <c r="CQ26" s="222"/>
      <c r="CR26" s="222"/>
      <c r="CS26" s="222"/>
      <c r="CT26" s="222"/>
      <c r="CU26" s="223">
        <v>1</v>
      </c>
      <c r="CV26" s="223">
        <v>2</v>
      </c>
      <c r="CW26" s="223">
        <v>3</v>
      </c>
      <c r="CX26" s="223">
        <v>4</v>
      </c>
      <c r="CY26" s="223">
        <v>1</v>
      </c>
      <c r="CZ26" s="223">
        <v>1</v>
      </c>
      <c r="DA26" s="102"/>
    </row>
    <row r="27" spans="1:106">
      <c r="A27" s="153" t="s">
        <v>821</v>
      </c>
      <c r="B27" s="182" t="s">
        <v>932</v>
      </c>
      <c r="C27" s="152" t="str">
        <f t="shared" ref="C27:AU27" ca="1" si="42">IF(C157=$CU$27,"당첨",IF(C157=$CV$27,"당첨",IF(C157=$CW$27,"당첨",IF(C157=$CX$27,"당첨",IF(C157=$CY$27,"당첨","낙첨")))))</f>
        <v>당첨</v>
      </c>
      <c r="D27" s="152" t="str">
        <f t="shared" ca="1" si="42"/>
        <v>당첨</v>
      </c>
      <c r="E27" s="152" t="str">
        <f t="shared" ca="1" si="42"/>
        <v>당첨</v>
      </c>
      <c r="F27" s="152" t="str">
        <f t="shared" ca="1" si="42"/>
        <v>당첨</v>
      </c>
      <c r="G27" s="152" t="str">
        <f t="shared" ca="1" si="42"/>
        <v>당첨</v>
      </c>
      <c r="H27" s="152" t="str">
        <f t="shared" ca="1" si="42"/>
        <v>당첨</v>
      </c>
      <c r="I27" s="152" t="str">
        <f t="shared" ca="1" si="42"/>
        <v>당첨</v>
      </c>
      <c r="J27" s="152" t="str">
        <f t="shared" ca="1" si="42"/>
        <v>당첨</v>
      </c>
      <c r="K27" s="152" t="str">
        <f t="shared" ca="1" si="42"/>
        <v>당첨</v>
      </c>
      <c r="L27" s="152" t="str">
        <f t="shared" ca="1" si="42"/>
        <v>당첨</v>
      </c>
      <c r="M27" s="152" t="str">
        <f t="shared" ca="1" si="42"/>
        <v>당첨</v>
      </c>
      <c r="N27" s="152" t="str">
        <f t="shared" ca="1" si="42"/>
        <v>당첨</v>
      </c>
      <c r="O27" s="152" t="str">
        <f t="shared" ca="1" si="42"/>
        <v>당첨</v>
      </c>
      <c r="P27" s="152" t="str">
        <f t="shared" ca="1" si="42"/>
        <v>당첨</v>
      </c>
      <c r="Q27" s="152" t="str">
        <f ca="1">IF(Q157=$CU$27,"당첨",IF(Q157=$CV$27,"당첨",IF(Q157=$CW$27,"당첨",IF(Q157=$CX$27,"당첨",IF(Q157=$CY$27,"당첨","낙첨")))))</f>
        <v>당첨</v>
      </c>
      <c r="R27" s="152" t="str">
        <f t="shared" si="42"/>
        <v>당첨</v>
      </c>
      <c r="S27" s="152" t="str">
        <f t="shared" si="42"/>
        <v>당첨</v>
      </c>
      <c r="T27" s="152" t="str">
        <f t="shared" si="42"/>
        <v>당첨</v>
      </c>
      <c r="U27" s="152" t="str">
        <f t="shared" si="42"/>
        <v>당첨</v>
      </c>
      <c r="V27" s="152" t="str">
        <f t="shared" si="42"/>
        <v>당첨</v>
      </c>
      <c r="W27" s="152" t="str">
        <f t="shared" si="42"/>
        <v>당첨</v>
      </c>
      <c r="X27" s="152" t="str">
        <f t="shared" si="42"/>
        <v>당첨</v>
      </c>
      <c r="Y27" s="152" t="str">
        <f t="shared" si="42"/>
        <v>당첨</v>
      </c>
      <c r="Z27" s="152" t="str">
        <f t="shared" si="42"/>
        <v>당첨</v>
      </c>
      <c r="AA27" s="152" t="str">
        <f t="shared" si="42"/>
        <v>당첨</v>
      </c>
      <c r="AB27" s="152" t="str">
        <f t="shared" si="42"/>
        <v>당첨</v>
      </c>
      <c r="AC27" s="152" t="str">
        <f t="shared" si="42"/>
        <v>당첨</v>
      </c>
      <c r="AD27" s="152" t="str">
        <f t="shared" si="42"/>
        <v>당첨</v>
      </c>
      <c r="AE27" s="152" t="str">
        <f t="shared" si="42"/>
        <v>당첨</v>
      </c>
      <c r="AF27" s="152" t="str">
        <f t="shared" si="42"/>
        <v>당첨</v>
      </c>
      <c r="AG27" s="152" t="str">
        <f t="shared" si="42"/>
        <v>당첨</v>
      </c>
      <c r="AH27" s="152" t="str">
        <f t="shared" si="42"/>
        <v>당첨</v>
      </c>
      <c r="AI27" s="152" t="str">
        <f t="shared" si="42"/>
        <v>당첨</v>
      </c>
      <c r="AJ27" s="152" t="str">
        <f t="shared" si="42"/>
        <v>당첨</v>
      </c>
      <c r="AK27" s="152" t="str">
        <f t="shared" si="42"/>
        <v>당첨</v>
      </c>
      <c r="AL27" s="152" t="str">
        <f t="shared" si="42"/>
        <v>당첨</v>
      </c>
      <c r="AM27" s="152" t="str">
        <f t="shared" si="42"/>
        <v>당첨</v>
      </c>
      <c r="AN27" s="152" t="str">
        <f t="shared" si="42"/>
        <v>당첨</v>
      </c>
      <c r="AO27" s="152" t="str">
        <f t="shared" si="42"/>
        <v>당첨</v>
      </c>
      <c r="AP27" s="152" t="str">
        <f t="shared" si="42"/>
        <v>당첨</v>
      </c>
      <c r="AQ27" s="152" t="str">
        <f t="shared" si="42"/>
        <v>당첨</v>
      </c>
      <c r="AR27" s="152" t="str">
        <f t="shared" si="42"/>
        <v>당첨</v>
      </c>
      <c r="AS27" s="152" t="str">
        <f t="shared" si="42"/>
        <v>당첨</v>
      </c>
      <c r="AT27" s="152" t="str">
        <f t="shared" si="42"/>
        <v>당첨</v>
      </c>
      <c r="AU27" s="152" t="str">
        <f t="shared" si="42"/>
        <v>당첨</v>
      </c>
      <c r="AV27" s="168"/>
      <c r="AW27" s="168"/>
      <c r="AX27" s="168"/>
      <c r="AZ27" s="221">
        <v>13</v>
      </c>
      <c r="BA27" s="244" t="s">
        <v>983</v>
      </c>
      <c r="BB27" s="245"/>
      <c r="BC27" s="223">
        <v>1</v>
      </c>
      <c r="BD27" s="223">
        <v>28</v>
      </c>
      <c r="BE27" s="223">
        <v>35</v>
      </c>
      <c r="BF27" s="223">
        <v>41</v>
      </c>
      <c r="BG27" s="223">
        <v>43</v>
      </c>
      <c r="BH27" s="223">
        <v>44</v>
      </c>
      <c r="BI27" s="223">
        <v>46</v>
      </c>
      <c r="BJ27" s="223">
        <v>46</v>
      </c>
      <c r="BK27" s="223">
        <v>46</v>
      </c>
      <c r="BL27" s="223">
        <v>46</v>
      </c>
      <c r="BM27" s="223">
        <v>46</v>
      </c>
      <c r="BN27" s="223">
        <v>46</v>
      </c>
      <c r="BO27" s="223">
        <v>46</v>
      </c>
      <c r="BP27" s="223">
        <v>46</v>
      </c>
      <c r="BQ27" s="223">
        <v>46</v>
      </c>
      <c r="BR27" s="223">
        <v>46</v>
      </c>
      <c r="BS27" s="223">
        <v>46</v>
      </c>
      <c r="BT27" s="223">
        <v>46</v>
      </c>
      <c r="BU27" s="223">
        <v>46</v>
      </c>
      <c r="BV27" s="223">
        <v>46</v>
      </c>
      <c r="BW27" s="223">
        <v>46</v>
      </c>
      <c r="BX27" s="223">
        <v>46</v>
      </c>
      <c r="BY27" s="223">
        <v>46</v>
      </c>
      <c r="BZ27" s="223">
        <v>46</v>
      </c>
      <c r="CA27" s="223">
        <v>46</v>
      </c>
      <c r="CB27" s="223">
        <v>46</v>
      </c>
      <c r="CC27" s="225"/>
      <c r="CD27" s="225"/>
      <c r="CE27" s="225"/>
      <c r="CF27" s="225"/>
      <c r="CG27" s="225"/>
      <c r="CH27" s="225"/>
      <c r="CI27" s="225"/>
      <c r="CJ27" s="225"/>
      <c r="CK27" s="225"/>
      <c r="CL27" s="225"/>
      <c r="CM27" s="222"/>
      <c r="CN27" s="222"/>
      <c r="CO27" s="222"/>
      <c r="CP27" s="222"/>
      <c r="CQ27" s="222"/>
      <c r="CR27" s="222"/>
      <c r="CS27" s="222"/>
      <c r="CT27" s="222"/>
      <c r="CU27" s="223">
        <v>0</v>
      </c>
      <c r="CV27" s="223">
        <v>1</v>
      </c>
      <c r="CW27" s="223">
        <v>1</v>
      </c>
      <c r="CX27" s="223">
        <v>1</v>
      </c>
      <c r="CY27" s="223">
        <v>2</v>
      </c>
      <c r="CZ27" s="102"/>
      <c r="DA27" s="102"/>
    </row>
    <row r="28" spans="1:106">
      <c r="A28" s="153" t="s">
        <v>822</v>
      </c>
      <c r="B28" s="182" t="s">
        <v>933</v>
      </c>
      <c r="C28" s="152" t="str">
        <f t="shared" ref="C28:P28" ca="1" si="43">IF(C164=$CU$28,"당첨",IF(C164=$CV$28,"당첨",IF(C164=$CW$28,"당첨",IF(C164=$CX$28,"당첨",IF(C164=$CY$28,"당첨","낙첨")))))</f>
        <v>당첨</v>
      </c>
      <c r="D28" s="152" t="str">
        <f t="shared" ca="1" si="43"/>
        <v>낙첨</v>
      </c>
      <c r="E28" s="152" t="str">
        <f t="shared" ca="1" si="43"/>
        <v>당첨</v>
      </c>
      <c r="F28" s="152" t="str">
        <f t="shared" ca="1" si="43"/>
        <v>당첨</v>
      </c>
      <c r="G28" s="152" t="str">
        <f t="shared" ca="1" si="43"/>
        <v>낙첨</v>
      </c>
      <c r="H28" s="152" t="str">
        <f t="shared" ca="1" si="43"/>
        <v>당첨</v>
      </c>
      <c r="I28" s="152" t="str">
        <f t="shared" ca="1" si="43"/>
        <v>당첨</v>
      </c>
      <c r="J28" s="152" t="str">
        <f t="shared" ca="1" si="43"/>
        <v>당첨</v>
      </c>
      <c r="K28" s="152" t="str">
        <f t="shared" ca="1" si="43"/>
        <v>당첨</v>
      </c>
      <c r="L28" s="152" t="str">
        <f t="shared" ca="1" si="43"/>
        <v>당첨</v>
      </c>
      <c r="M28" s="152" t="str">
        <f t="shared" ca="1" si="43"/>
        <v>당첨</v>
      </c>
      <c r="N28" s="152" t="str">
        <f t="shared" ca="1" si="43"/>
        <v>당첨</v>
      </c>
      <c r="O28" s="152" t="str">
        <f t="shared" ca="1" si="43"/>
        <v>당첨</v>
      </c>
      <c r="P28" s="152" t="str">
        <f t="shared" ca="1" si="43"/>
        <v>당첨</v>
      </c>
      <c r="Q28" s="152" t="str">
        <f ca="1">IF(Q164=$CU$28,"당첨",IF(Q164=$CV$28,"당첨",IF(Q164=$CW$28,"당첨",IF(Q164=$CX$28,"당첨",IF(Q164=$CY$28,"당첨","낙첨")))))</f>
        <v>당첨</v>
      </c>
      <c r="R28" s="152" t="str">
        <f t="shared" ref="R28:AU28" si="44">IF(R164=$CU$28,"당첨",IF(R164=$CV$28,"당첨",IF(R164=$CW$28,"당첨",IF(R164=$CX$28,"당첨","낙첨"))))</f>
        <v>당첨</v>
      </c>
      <c r="S28" s="152" t="str">
        <f t="shared" si="44"/>
        <v>당첨</v>
      </c>
      <c r="T28" s="152" t="str">
        <f t="shared" si="44"/>
        <v>당첨</v>
      </c>
      <c r="U28" s="152" t="str">
        <f t="shared" si="44"/>
        <v>당첨</v>
      </c>
      <c r="V28" s="152" t="str">
        <f t="shared" si="44"/>
        <v>당첨</v>
      </c>
      <c r="W28" s="152" t="str">
        <f t="shared" si="44"/>
        <v>당첨</v>
      </c>
      <c r="X28" s="152" t="str">
        <f t="shared" si="44"/>
        <v>당첨</v>
      </c>
      <c r="Y28" s="152" t="str">
        <f t="shared" si="44"/>
        <v>당첨</v>
      </c>
      <c r="Z28" s="152" t="str">
        <f t="shared" si="44"/>
        <v>당첨</v>
      </c>
      <c r="AA28" s="152" t="str">
        <f t="shared" si="44"/>
        <v>당첨</v>
      </c>
      <c r="AB28" s="152" t="str">
        <f t="shared" si="44"/>
        <v>당첨</v>
      </c>
      <c r="AC28" s="152" t="str">
        <f t="shared" si="44"/>
        <v>당첨</v>
      </c>
      <c r="AD28" s="152" t="str">
        <f t="shared" si="44"/>
        <v>당첨</v>
      </c>
      <c r="AE28" s="152" t="str">
        <f t="shared" si="44"/>
        <v>당첨</v>
      </c>
      <c r="AF28" s="152" t="str">
        <f t="shared" si="44"/>
        <v>당첨</v>
      </c>
      <c r="AG28" s="152" t="str">
        <f t="shared" si="44"/>
        <v>당첨</v>
      </c>
      <c r="AH28" s="152" t="str">
        <f t="shared" si="44"/>
        <v>당첨</v>
      </c>
      <c r="AI28" s="152" t="str">
        <f t="shared" si="44"/>
        <v>당첨</v>
      </c>
      <c r="AJ28" s="152" t="str">
        <f t="shared" si="44"/>
        <v>당첨</v>
      </c>
      <c r="AK28" s="152" t="str">
        <f t="shared" si="44"/>
        <v>당첨</v>
      </c>
      <c r="AL28" s="152" t="str">
        <f t="shared" si="44"/>
        <v>당첨</v>
      </c>
      <c r="AM28" s="152" t="str">
        <f t="shared" si="44"/>
        <v>당첨</v>
      </c>
      <c r="AN28" s="152" t="str">
        <f t="shared" si="44"/>
        <v>당첨</v>
      </c>
      <c r="AO28" s="152" t="str">
        <f t="shared" si="44"/>
        <v>당첨</v>
      </c>
      <c r="AP28" s="152" t="str">
        <f t="shared" si="44"/>
        <v>당첨</v>
      </c>
      <c r="AQ28" s="152" t="str">
        <f t="shared" si="44"/>
        <v>당첨</v>
      </c>
      <c r="AR28" s="152" t="str">
        <f t="shared" si="44"/>
        <v>당첨</v>
      </c>
      <c r="AS28" s="152" t="str">
        <f t="shared" si="44"/>
        <v>당첨</v>
      </c>
      <c r="AT28" s="152" t="str">
        <f t="shared" si="44"/>
        <v>당첨</v>
      </c>
      <c r="AU28" s="152" t="str">
        <f t="shared" si="44"/>
        <v>당첨</v>
      </c>
      <c r="AV28" s="168"/>
      <c r="AW28" s="168"/>
      <c r="AX28" s="168"/>
      <c r="AZ28" s="221">
        <v>14</v>
      </c>
      <c r="BA28" s="244" t="s">
        <v>984</v>
      </c>
      <c r="BB28" s="245"/>
      <c r="BC28" s="223">
        <v>1</v>
      </c>
      <c r="BD28" s="223">
        <v>28</v>
      </c>
      <c r="BE28" s="223">
        <v>35</v>
      </c>
      <c r="BF28" s="223">
        <v>41</v>
      </c>
      <c r="BG28" s="223">
        <v>43</v>
      </c>
      <c r="BH28" s="223">
        <v>44</v>
      </c>
      <c r="BI28" s="223">
        <v>1</v>
      </c>
      <c r="BJ28" s="223">
        <v>12</v>
      </c>
      <c r="BK28" s="223">
        <v>29</v>
      </c>
      <c r="BL28" s="223">
        <v>34</v>
      </c>
      <c r="BM28" s="223">
        <v>36</v>
      </c>
      <c r="BN28" s="223">
        <v>37</v>
      </c>
      <c r="BO28" s="223">
        <v>46</v>
      </c>
      <c r="BP28" s="223">
        <v>46</v>
      </c>
      <c r="BQ28" s="223">
        <v>46</v>
      </c>
      <c r="BR28" s="223">
        <v>46</v>
      </c>
      <c r="BS28" s="223">
        <v>46</v>
      </c>
      <c r="BT28" s="223">
        <v>46</v>
      </c>
      <c r="BU28" s="223">
        <v>46</v>
      </c>
      <c r="BV28" s="223">
        <v>46</v>
      </c>
      <c r="BW28" s="223">
        <v>46</v>
      </c>
      <c r="BX28" s="223">
        <v>46</v>
      </c>
      <c r="BY28" s="223">
        <v>46</v>
      </c>
      <c r="BZ28" s="223">
        <v>46</v>
      </c>
      <c r="CA28" s="223">
        <v>46</v>
      </c>
      <c r="CB28" s="223">
        <v>46</v>
      </c>
      <c r="CC28" s="223">
        <v>46</v>
      </c>
      <c r="CD28" s="223">
        <v>46</v>
      </c>
      <c r="CE28" s="223">
        <v>46</v>
      </c>
      <c r="CF28" s="223">
        <v>46</v>
      </c>
      <c r="CG28" s="223">
        <v>46</v>
      </c>
      <c r="CH28" s="225"/>
      <c r="CI28" s="225"/>
      <c r="CJ28" s="225"/>
      <c r="CK28" s="225"/>
      <c r="CL28" s="225"/>
      <c r="CM28" s="222"/>
      <c r="CN28" s="222"/>
      <c r="CO28" s="222"/>
      <c r="CP28" s="222"/>
      <c r="CQ28" s="222"/>
      <c r="CR28" s="222"/>
      <c r="CS28" s="222"/>
      <c r="CT28" s="222"/>
      <c r="CU28" s="223">
        <v>0</v>
      </c>
      <c r="CV28" s="223">
        <v>1</v>
      </c>
      <c r="CW28" s="223">
        <v>2</v>
      </c>
      <c r="CX28" s="223">
        <v>3</v>
      </c>
      <c r="CY28" s="223">
        <v>3</v>
      </c>
      <c r="CZ28" s="102"/>
      <c r="DA28" s="102"/>
    </row>
    <row r="29" spans="1:106">
      <c r="A29" s="153" t="s">
        <v>823</v>
      </c>
      <c r="B29" s="182" t="s">
        <v>934</v>
      </c>
      <c r="C29" s="152" t="str">
        <f t="shared" ref="C29:P29" ca="1" si="45">IF(C171=$CU$29,"당첨",IF(C171=$CV$29,"당첨",IF(C171=$CW$29,"당첨",IF(C171=$CX$29,"당첨",IF(C171=$CY$29,"당첨",IF(C171=$CZ$29,"당첨","낙첨"))))))</f>
        <v>당첨</v>
      </c>
      <c r="D29" s="152" t="str">
        <f t="shared" ca="1" si="45"/>
        <v>당첨</v>
      </c>
      <c r="E29" s="152" t="str">
        <f t="shared" ca="1" si="45"/>
        <v>당첨</v>
      </c>
      <c r="F29" s="152" t="str">
        <f t="shared" ca="1" si="45"/>
        <v>낙첨</v>
      </c>
      <c r="G29" s="152" t="str">
        <f t="shared" ca="1" si="45"/>
        <v>당첨</v>
      </c>
      <c r="H29" s="152" t="str">
        <f t="shared" ca="1" si="45"/>
        <v>당첨</v>
      </c>
      <c r="I29" s="152" t="str">
        <f t="shared" ca="1" si="45"/>
        <v>낙첨</v>
      </c>
      <c r="J29" s="152" t="str">
        <f t="shared" ca="1" si="45"/>
        <v>당첨</v>
      </c>
      <c r="K29" s="152" t="str">
        <f t="shared" ca="1" si="45"/>
        <v>당첨</v>
      </c>
      <c r="L29" s="152" t="str">
        <f t="shared" ca="1" si="45"/>
        <v>당첨</v>
      </c>
      <c r="M29" s="152" t="str">
        <f t="shared" ca="1" si="45"/>
        <v>당첨</v>
      </c>
      <c r="N29" s="152" t="str">
        <f t="shared" ca="1" si="45"/>
        <v>당첨</v>
      </c>
      <c r="O29" s="152" t="str">
        <f t="shared" ca="1" si="45"/>
        <v>당첨</v>
      </c>
      <c r="P29" s="152" t="str">
        <f t="shared" ca="1" si="45"/>
        <v>당첨</v>
      </c>
      <c r="Q29" s="152" t="str">
        <f ca="1">IF(Q171=$CU$29,"당첨",IF(Q171=$CV$29,"당첨",IF(Q171=$CW$29,"당첨",IF(Q171=$CX$29,"당첨",IF(Q171=$CY$29,"당첨",IF(Q171=$CZ$29,"당첨","낙첨"))))))</f>
        <v>당첨</v>
      </c>
      <c r="R29" s="152" t="str">
        <f t="shared" ref="R29:AU29" si="46">IF(R171=$CU$29,"당첨",IF(R171=$CV$29,"당첨",IF(R171=$CW$29,"당첨",IF(R171=$CX$29,"당첨",IF(R171=$CY$29,"당첨","낙첨")))))</f>
        <v>낙첨</v>
      </c>
      <c r="S29" s="152" t="str">
        <f t="shared" si="46"/>
        <v>낙첨</v>
      </c>
      <c r="T29" s="152" t="str">
        <f t="shared" si="46"/>
        <v>낙첨</v>
      </c>
      <c r="U29" s="152" t="str">
        <f t="shared" si="46"/>
        <v>낙첨</v>
      </c>
      <c r="V29" s="152" t="str">
        <f t="shared" si="46"/>
        <v>낙첨</v>
      </c>
      <c r="W29" s="152" t="str">
        <f t="shared" si="46"/>
        <v>낙첨</v>
      </c>
      <c r="X29" s="152" t="str">
        <f t="shared" si="46"/>
        <v>낙첨</v>
      </c>
      <c r="Y29" s="152" t="str">
        <f t="shared" si="46"/>
        <v>낙첨</v>
      </c>
      <c r="Z29" s="152" t="str">
        <f t="shared" si="46"/>
        <v>낙첨</v>
      </c>
      <c r="AA29" s="152" t="str">
        <f t="shared" si="46"/>
        <v>낙첨</v>
      </c>
      <c r="AB29" s="152" t="str">
        <f t="shared" si="46"/>
        <v>낙첨</v>
      </c>
      <c r="AC29" s="152" t="str">
        <f t="shared" si="46"/>
        <v>낙첨</v>
      </c>
      <c r="AD29" s="152" t="str">
        <f t="shared" si="46"/>
        <v>낙첨</v>
      </c>
      <c r="AE29" s="152" t="str">
        <f t="shared" si="46"/>
        <v>낙첨</v>
      </c>
      <c r="AF29" s="152" t="str">
        <f t="shared" si="46"/>
        <v>낙첨</v>
      </c>
      <c r="AG29" s="152" t="str">
        <f t="shared" si="46"/>
        <v>낙첨</v>
      </c>
      <c r="AH29" s="152" t="str">
        <f t="shared" si="46"/>
        <v>낙첨</v>
      </c>
      <c r="AI29" s="152" t="str">
        <f t="shared" si="46"/>
        <v>낙첨</v>
      </c>
      <c r="AJ29" s="152" t="str">
        <f t="shared" si="46"/>
        <v>낙첨</v>
      </c>
      <c r="AK29" s="152" t="str">
        <f t="shared" si="46"/>
        <v>낙첨</v>
      </c>
      <c r="AL29" s="152" t="str">
        <f t="shared" si="46"/>
        <v>낙첨</v>
      </c>
      <c r="AM29" s="152" t="str">
        <f t="shared" si="46"/>
        <v>낙첨</v>
      </c>
      <c r="AN29" s="152" t="str">
        <f t="shared" si="46"/>
        <v>낙첨</v>
      </c>
      <c r="AO29" s="152" t="str">
        <f t="shared" si="46"/>
        <v>낙첨</v>
      </c>
      <c r="AP29" s="152" t="str">
        <f t="shared" si="46"/>
        <v>낙첨</v>
      </c>
      <c r="AQ29" s="152" t="str">
        <f t="shared" si="46"/>
        <v>낙첨</v>
      </c>
      <c r="AR29" s="152" t="str">
        <f t="shared" si="46"/>
        <v>낙첨</v>
      </c>
      <c r="AS29" s="152" t="str">
        <f t="shared" si="46"/>
        <v>낙첨</v>
      </c>
      <c r="AT29" s="152" t="str">
        <f t="shared" si="46"/>
        <v>낙첨</v>
      </c>
      <c r="AU29" s="152" t="str">
        <f t="shared" si="46"/>
        <v>낙첨</v>
      </c>
      <c r="AV29" s="168"/>
      <c r="AW29" s="168"/>
      <c r="AX29" s="168"/>
      <c r="AZ29" s="221">
        <v>15</v>
      </c>
      <c r="BA29" s="244" t="s">
        <v>985</v>
      </c>
      <c r="BB29" s="245"/>
      <c r="BC29" s="223">
        <v>1</v>
      </c>
      <c r="BD29" s="223">
        <v>2</v>
      </c>
      <c r="BE29" s="223">
        <v>3</v>
      </c>
      <c r="BF29" s="223">
        <v>4</v>
      </c>
      <c r="BG29" s="223">
        <v>7</v>
      </c>
      <c r="BH29" s="223">
        <v>8</v>
      </c>
      <c r="BI29" s="223">
        <v>9</v>
      </c>
      <c r="BJ29" s="223">
        <v>10</v>
      </c>
      <c r="BK29" s="223">
        <v>15</v>
      </c>
      <c r="BL29" s="224">
        <v>16</v>
      </c>
      <c r="BM29" s="223">
        <v>17</v>
      </c>
      <c r="BN29" s="223">
        <v>18</v>
      </c>
      <c r="BO29" s="223">
        <v>19</v>
      </c>
      <c r="BP29" s="223">
        <v>22</v>
      </c>
      <c r="BQ29" s="223">
        <v>23</v>
      </c>
      <c r="BR29" s="223">
        <v>26</v>
      </c>
      <c r="BS29" s="223">
        <v>27</v>
      </c>
      <c r="BT29" s="223">
        <v>28</v>
      </c>
      <c r="BU29" s="223">
        <v>29</v>
      </c>
      <c r="BV29" s="223">
        <v>31</v>
      </c>
      <c r="BW29" s="223">
        <v>32</v>
      </c>
      <c r="BX29" s="223">
        <v>33</v>
      </c>
      <c r="BY29" s="223">
        <v>35</v>
      </c>
      <c r="BZ29" s="223">
        <v>36</v>
      </c>
      <c r="CA29" s="223">
        <v>37</v>
      </c>
      <c r="CB29" s="223">
        <v>38</v>
      </c>
      <c r="CC29" s="223">
        <v>41</v>
      </c>
      <c r="CD29" s="223">
        <v>43</v>
      </c>
      <c r="CE29" s="223">
        <v>44</v>
      </c>
      <c r="CF29" s="223">
        <v>45</v>
      </c>
      <c r="CG29" s="223">
        <v>46</v>
      </c>
      <c r="CH29" s="223">
        <v>46</v>
      </c>
      <c r="CI29" s="223">
        <v>46</v>
      </c>
      <c r="CJ29" s="223">
        <v>46</v>
      </c>
      <c r="CK29" s="223">
        <v>46</v>
      </c>
      <c r="CL29" s="223">
        <v>46</v>
      </c>
      <c r="CM29" s="223">
        <v>46</v>
      </c>
      <c r="CN29" s="222"/>
      <c r="CO29" s="222"/>
      <c r="CP29" s="222"/>
      <c r="CQ29" s="222"/>
      <c r="CR29" s="222"/>
      <c r="CS29" s="222"/>
      <c r="CT29" s="222"/>
      <c r="CU29" s="223">
        <v>1</v>
      </c>
      <c r="CV29" s="223">
        <v>2</v>
      </c>
      <c r="CW29" s="223">
        <v>3</v>
      </c>
      <c r="CX29" s="223">
        <v>4</v>
      </c>
      <c r="CY29" s="223">
        <v>5</v>
      </c>
      <c r="CZ29" s="223">
        <v>5</v>
      </c>
      <c r="DA29" s="102"/>
    </row>
    <row r="30" spans="1:106">
      <c r="A30" s="153"/>
      <c r="B30" s="182" t="s">
        <v>908</v>
      </c>
      <c r="C30" s="152" t="str">
        <f t="shared" ref="C30:P30" ca="1" si="47">IF(C178=$CU$30,"당첨",IF(C178=$CV$30,"당첨",IF(C178=$CW$30,"당첨",IF(C178=$CX$30,"당첨",IF(C178=$CY$30,"당첨","낙첨")))))</f>
        <v>당첨</v>
      </c>
      <c r="D30" s="152" t="str">
        <f t="shared" ca="1" si="47"/>
        <v>낙첨</v>
      </c>
      <c r="E30" s="152" t="str">
        <f t="shared" ca="1" si="47"/>
        <v>당첨</v>
      </c>
      <c r="F30" s="152" t="str">
        <f t="shared" ca="1" si="47"/>
        <v>당첨</v>
      </c>
      <c r="G30" s="152" t="str">
        <f t="shared" ca="1" si="47"/>
        <v>당첨</v>
      </c>
      <c r="H30" s="152" t="str">
        <f t="shared" ca="1" si="47"/>
        <v>당첨</v>
      </c>
      <c r="I30" s="152" t="str">
        <f t="shared" ca="1" si="47"/>
        <v>당첨</v>
      </c>
      <c r="J30" s="152" t="str">
        <f t="shared" ca="1" si="47"/>
        <v>당첨</v>
      </c>
      <c r="K30" s="152" t="str">
        <f t="shared" ca="1" si="47"/>
        <v>당첨</v>
      </c>
      <c r="L30" s="152" t="str">
        <f t="shared" ca="1" si="47"/>
        <v>당첨</v>
      </c>
      <c r="M30" s="152" t="str">
        <f t="shared" ca="1" si="47"/>
        <v>당첨</v>
      </c>
      <c r="N30" s="152" t="str">
        <f t="shared" ca="1" si="47"/>
        <v>당첨</v>
      </c>
      <c r="O30" s="152" t="str">
        <f t="shared" ca="1" si="47"/>
        <v>당첨</v>
      </c>
      <c r="P30" s="152" t="str">
        <f t="shared" ca="1" si="47"/>
        <v>당첨</v>
      </c>
      <c r="Q30" s="152" t="str">
        <f ca="1">IF(Q178=$CU$30,"당첨",IF(Q178=$CV$30,"당첨",IF(Q178=$CW$30,"당첨",IF(Q178=$CX$30,"당첨",IF(Q178=$CY$30,"당첨","낙첨")))))</f>
        <v>당첨</v>
      </c>
      <c r="R30" s="152" t="str">
        <f t="shared" ref="R30:AU30" si="48">IF(R178=$CU$30,"당첨",IF(R178=$CV$30,"당첨",IF(R178=$CW$30,"당첨",IF(R178=$CX$30,"당첨","낙첨"))))</f>
        <v>낙첨</v>
      </c>
      <c r="S30" s="152" t="str">
        <f t="shared" si="48"/>
        <v>낙첨</v>
      </c>
      <c r="T30" s="152" t="str">
        <f t="shared" si="48"/>
        <v>낙첨</v>
      </c>
      <c r="U30" s="152" t="str">
        <f t="shared" si="48"/>
        <v>낙첨</v>
      </c>
      <c r="V30" s="152" t="str">
        <f t="shared" si="48"/>
        <v>낙첨</v>
      </c>
      <c r="W30" s="152" t="str">
        <f t="shared" si="48"/>
        <v>낙첨</v>
      </c>
      <c r="X30" s="152" t="str">
        <f t="shared" si="48"/>
        <v>낙첨</v>
      </c>
      <c r="Y30" s="152" t="str">
        <f t="shared" si="48"/>
        <v>낙첨</v>
      </c>
      <c r="Z30" s="152" t="str">
        <f t="shared" si="48"/>
        <v>낙첨</v>
      </c>
      <c r="AA30" s="152" t="str">
        <f t="shared" si="48"/>
        <v>낙첨</v>
      </c>
      <c r="AB30" s="152" t="str">
        <f t="shared" si="48"/>
        <v>낙첨</v>
      </c>
      <c r="AC30" s="152" t="str">
        <f t="shared" si="48"/>
        <v>낙첨</v>
      </c>
      <c r="AD30" s="152" t="str">
        <f t="shared" si="48"/>
        <v>낙첨</v>
      </c>
      <c r="AE30" s="152" t="str">
        <f t="shared" si="48"/>
        <v>낙첨</v>
      </c>
      <c r="AF30" s="152" t="str">
        <f t="shared" si="48"/>
        <v>낙첨</v>
      </c>
      <c r="AG30" s="152" t="str">
        <f t="shared" si="48"/>
        <v>낙첨</v>
      </c>
      <c r="AH30" s="152" t="str">
        <f t="shared" si="48"/>
        <v>낙첨</v>
      </c>
      <c r="AI30" s="152" t="str">
        <f t="shared" si="48"/>
        <v>낙첨</v>
      </c>
      <c r="AJ30" s="152" t="str">
        <f t="shared" si="48"/>
        <v>낙첨</v>
      </c>
      <c r="AK30" s="152" t="str">
        <f t="shared" si="48"/>
        <v>낙첨</v>
      </c>
      <c r="AL30" s="152" t="str">
        <f t="shared" si="48"/>
        <v>낙첨</v>
      </c>
      <c r="AM30" s="152" t="str">
        <f t="shared" si="48"/>
        <v>낙첨</v>
      </c>
      <c r="AN30" s="152" t="str">
        <f t="shared" si="48"/>
        <v>낙첨</v>
      </c>
      <c r="AO30" s="152" t="str">
        <f t="shared" si="48"/>
        <v>낙첨</v>
      </c>
      <c r="AP30" s="152" t="str">
        <f t="shared" si="48"/>
        <v>낙첨</v>
      </c>
      <c r="AQ30" s="152" t="str">
        <f t="shared" si="48"/>
        <v>낙첨</v>
      </c>
      <c r="AR30" s="152" t="str">
        <f t="shared" si="48"/>
        <v>낙첨</v>
      </c>
      <c r="AS30" s="152" t="str">
        <f t="shared" si="48"/>
        <v>낙첨</v>
      </c>
      <c r="AT30" s="152" t="str">
        <f t="shared" si="48"/>
        <v>낙첨</v>
      </c>
      <c r="AU30" s="152" t="str">
        <f t="shared" si="48"/>
        <v>낙첨</v>
      </c>
      <c r="AV30" s="168"/>
      <c r="AW30" s="168"/>
      <c r="AX30" s="168"/>
      <c r="AZ30" s="221">
        <v>16</v>
      </c>
      <c r="BA30" s="244" t="s">
        <v>986</v>
      </c>
      <c r="BB30" s="245"/>
      <c r="BC30" s="223">
        <v>1</v>
      </c>
      <c r="BD30" s="223">
        <v>2</v>
      </c>
      <c r="BE30" s="223">
        <v>4</v>
      </c>
      <c r="BF30" s="223">
        <v>8</v>
      </c>
      <c r="BG30" s="223">
        <v>11</v>
      </c>
      <c r="BH30" s="223">
        <v>12</v>
      </c>
      <c r="BI30" s="223">
        <v>13</v>
      </c>
      <c r="BJ30" s="223">
        <v>19</v>
      </c>
      <c r="BK30" s="223">
        <v>20</v>
      </c>
      <c r="BL30" s="223">
        <v>23</v>
      </c>
      <c r="BM30" s="223">
        <v>25</v>
      </c>
      <c r="BN30" s="223">
        <v>28</v>
      </c>
      <c r="BO30" s="223">
        <v>29</v>
      </c>
      <c r="BP30" s="223">
        <v>32</v>
      </c>
      <c r="BQ30" s="223">
        <v>34</v>
      </c>
      <c r="BR30" s="223">
        <v>35</v>
      </c>
      <c r="BS30" s="223">
        <v>36</v>
      </c>
      <c r="BT30" s="223">
        <v>37</v>
      </c>
      <c r="BU30" s="223">
        <v>39</v>
      </c>
      <c r="BV30" s="223">
        <v>41</v>
      </c>
      <c r="BW30" s="223">
        <v>43</v>
      </c>
      <c r="BX30" s="223">
        <v>44</v>
      </c>
      <c r="BY30" s="223">
        <v>46</v>
      </c>
      <c r="BZ30" s="223">
        <v>46</v>
      </c>
      <c r="CA30" s="223">
        <v>46</v>
      </c>
      <c r="CB30" s="223">
        <v>46</v>
      </c>
      <c r="CC30" s="223">
        <v>46</v>
      </c>
      <c r="CD30" s="225"/>
      <c r="CE30" s="225"/>
      <c r="CF30" s="225"/>
      <c r="CG30" s="225"/>
      <c r="CH30" s="225"/>
      <c r="CI30" s="225"/>
      <c r="CJ30" s="225"/>
      <c r="CK30" s="225"/>
      <c r="CL30" s="225"/>
      <c r="CM30" s="222"/>
      <c r="CN30" s="222"/>
      <c r="CO30" s="222"/>
      <c r="CP30" s="222"/>
      <c r="CQ30" s="222"/>
      <c r="CR30" s="222"/>
      <c r="CS30" s="222"/>
      <c r="CT30" s="222"/>
      <c r="CU30" s="223">
        <v>1</v>
      </c>
      <c r="CV30" s="223">
        <v>2</v>
      </c>
      <c r="CW30" s="223">
        <v>3</v>
      </c>
      <c r="CX30" s="223">
        <v>4</v>
      </c>
      <c r="CY30" s="223">
        <v>5</v>
      </c>
      <c r="CZ30" s="102"/>
      <c r="DA30" s="102"/>
    </row>
    <row r="31" spans="1:106" s="4" customFormat="1" ht="22.5" thickBot="1">
      <c r="A31" s="144" t="s">
        <v>680</v>
      </c>
      <c r="B31" s="145">
        <f ca="1">COUNTIF(C31:L31,"당첨")</f>
        <v>3</v>
      </c>
      <c r="C31" s="188" t="str">
        <f ca="1">IF(BC31&gt;=16,"당첨","낙첨")</f>
        <v>낙첨</v>
      </c>
      <c r="D31" s="188" t="str">
        <f t="shared" ref="D31:Q31" ca="1" si="49">IF(BD31&gt;=16,"당첨","낙첨")</f>
        <v>낙첨</v>
      </c>
      <c r="E31" s="188" t="str">
        <f t="shared" ca="1" si="49"/>
        <v>당첨</v>
      </c>
      <c r="F31" s="188" t="str">
        <f t="shared" ca="1" si="49"/>
        <v>낙첨</v>
      </c>
      <c r="G31" s="188" t="str">
        <f t="shared" ca="1" si="49"/>
        <v>낙첨</v>
      </c>
      <c r="H31" s="188" t="str">
        <f t="shared" ca="1" si="49"/>
        <v>당첨</v>
      </c>
      <c r="I31" s="188" t="str">
        <f t="shared" ca="1" si="49"/>
        <v>낙첨</v>
      </c>
      <c r="J31" s="188" t="str">
        <f t="shared" ca="1" si="49"/>
        <v>낙첨</v>
      </c>
      <c r="K31" s="188" t="str">
        <f t="shared" ca="1" si="49"/>
        <v>낙첨</v>
      </c>
      <c r="L31" s="188" t="str">
        <f t="shared" ca="1" si="49"/>
        <v>당첨</v>
      </c>
      <c r="M31" s="188" t="str">
        <f t="shared" ca="1" si="49"/>
        <v>낙첨</v>
      </c>
      <c r="N31" s="188" t="str">
        <f t="shared" ca="1" si="49"/>
        <v>낙첨</v>
      </c>
      <c r="O31" s="188" t="str">
        <f t="shared" ca="1" si="49"/>
        <v>낙첨</v>
      </c>
      <c r="P31" s="188" t="str">
        <f t="shared" ca="1" si="49"/>
        <v>낙첨</v>
      </c>
      <c r="Q31" s="188" t="str">
        <f t="shared" ca="1" si="49"/>
        <v>낙첨</v>
      </c>
      <c r="R31" s="146" t="str">
        <f>IF(BR31&gt;=17,"당첨","낙첨")</f>
        <v>낙첨</v>
      </c>
      <c r="S31" s="146" t="str">
        <f>IF(BS31&gt;=17,"당첨","낙첨")</f>
        <v>낙첨</v>
      </c>
      <c r="T31" s="146" t="str">
        <f>IF(BT31&gt;=17,"당첨","낙첨")</f>
        <v>낙첨</v>
      </c>
      <c r="U31" s="146" t="str">
        <f>IF(BU31&gt;=17,"당첨","낙첨")</f>
        <v>낙첨</v>
      </c>
      <c r="V31" s="146" t="str">
        <f t="shared" ref="V31:AC31" si="50">IF(BV31&gt;=17,"당첨","낙첨")</f>
        <v>낙첨</v>
      </c>
      <c r="W31" s="146" t="str">
        <f t="shared" si="50"/>
        <v>낙첨</v>
      </c>
      <c r="X31" s="146" t="str">
        <f t="shared" si="50"/>
        <v>낙첨</v>
      </c>
      <c r="Y31" s="146" t="str">
        <f t="shared" si="50"/>
        <v>낙첨</v>
      </c>
      <c r="Z31" s="146" t="str">
        <f t="shared" si="50"/>
        <v>낙첨</v>
      </c>
      <c r="AA31" s="146" t="str">
        <f t="shared" si="50"/>
        <v>낙첨</v>
      </c>
      <c r="AB31" s="146" t="str">
        <f t="shared" si="50"/>
        <v>낙첨</v>
      </c>
      <c r="AC31" s="146" t="str">
        <f t="shared" si="50"/>
        <v>낙첨</v>
      </c>
      <c r="AD31" s="146" t="str">
        <f>IF(CP31&gt;=17,"당첨","낙첨")</f>
        <v>낙첨</v>
      </c>
      <c r="AE31" s="146" t="str">
        <f t="shared" ref="AE31:AU31" si="51">IF(CU31&gt;=17,"당첨","낙첨")</f>
        <v>낙첨</v>
      </c>
      <c r="AF31" s="146" t="str">
        <f t="shared" si="51"/>
        <v>낙첨</v>
      </c>
      <c r="AG31" s="146" t="str">
        <f t="shared" si="51"/>
        <v>낙첨</v>
      </c>
      <c r="AH31" s="146" t="str">
        <f t="shared" si="51"/>
        <v>낙첨</v>
      </c>
      <c r="AI31" s="146" t="str">
        <f t="shared" si="51"/>
        <v>낙첨</v>
      </c>
      <c r="AJ31" s="146" t="str">
        <f t="shared" si="51"/>
        <v>낙첨</v>
      </c>
      <c r="AK31" s="146" t="str">
        <f t="shared" si="51"/>
        <v>낙첨</v>
      </c>
      <c r="AL31" s="146" t="str">
        <f t="shared" si="51"/>
        <v>낙첨</v>
      </c>
      <c r="AM31" s="146" t="str">
        <f t="shared" si="51"/>
        <v>낙첨</v>
      </c>
      <c r="AN31" s="146" t="str">
        <f t="shared" si="51"/>
        <v>낙첨</v>
      </c>
      <c r="AO31" s="146" t="str">
        <f t="shared" si="51"/>
        <v>낙첨</v>
      </c>
      <c r="AP31" s="146" t="str">
        <f t="shared" si="51"/>
        <v>낙첨</v>
      </c>
      <c r="AQ31" s="146" t="str">
        <f t="shared" si="51"/>
        <v>낙첨</v>
      </c>
      <c r="AR31" s="146" t="str">
        <f t="shared" si="51"/>
        <v>낙첨</v>
      </c>
      <c r="AS31" s="146" t="str">
        <f t="shared" si="51"/>
        <v>낙첨</v>
      </c>
      <c r="AT31" s="146" t="str">
        <f t="shared" si="51"/>
        <v>낙첨</v>
      </c>
      <c r="AU31" s="146" t="str">
        <f t="shared" si="51"/>
        <v>낙첨</v>
      </c>
      <c r="AV31" s="169"/>
      <c r="AW31" s="169"/>
      <c r="AX31" s="169"/>
      <c r="AZ31" s="263" t="s">
        <v>700</v>
      </c>
      <c r="BA31" s="264"/>
      <c r="BB31" s="265"/>
      <c r="BC31" s="94">
        <f t="shared" ref="BC31:CC31" ca="1" si="52">COUNTIF(C15:C30,"당첨")</f>
        <v>13</v>
      </c>
      <c r="BD31" s="94">
        <f t="shared" ca="1" si="52"/>
        <v>11</v>
      </c>
      <c r="BE31" s="94">
        <f t="shared" ca="1" si="52"/>
        <v>16</v>
      </c>
      <c r="BF31" s="94">
        <f t="shared" ca="1" si="52"/>
        <v>13</v>
      </c>
      <c r="BG31" s="94">
        <f t="shared" ca="1" si="52"/>
        <v>14</v>
      </c>
      <c r="BH31" s="94">
        <f t="shared" ca="1" si="52"/>
        <v>16</v>
      </c>
      <c r="BI31" s="94">
        <f t="shared" ca="1" si="52"/>
        <v>14</v>
      </c>
      <c r="BJ31" s="94">
        <f t="shared" ca="1" si="52"/>
        <v>15</v>
      </c>
      <c r="BK31" s="94">
        <f t="shared" ca="1" si="52"/>
        <v>15</v>
      </c>
      <c r="BL31" s="94">
        <f t="shared" ca="1" si="52"/>
        <v>16</v>
      </c>
      <c r="BM31" s="94">
        <f t="shared" ca="1" si="52"/>
        <v>14</v>
      </c>
      <c r="BN31" s="94">
        <f t="shared" ca="1" si="52"/>
        <v>13</v>
      </c>
      <c r="BO31" s="94">
        <f t="shared" ca="1" si="52"/>
        <v>15</v>
      </c>
      <c r="BP31" s="94">
        <f t="shared" ca="1" si="52"/>
        <v>15</v>
      </c>
      <c r="BQ31" s="94">
        <f t="shared" ca="1" si="52"/>
        <v>14</v>
      </c>
      <c r="BR31" s="94">
        <f t="shared" si="52"/>
        <v>2</v>
      </c>
      <c r="BS31" s="94">
        <f t="shared" si="52"/>
        <v>2</v>
      </c>
      <c r="BT31" s="94">
        <f t="shared" si="52"/>
        <v>2</v>
      </c>
      <c r="BU31" s="94">
        <f t="shared" si="52"/>
        <v>2</v>
      </c>
      <c r="BV31" s="94">
        <f t="shared" si="52"/>
        <v>2</v>
      </c>
      <c r="BW31" s="94">
        <f t="shared" si="52"/>
        <v>2</v>
      </c>
      <c r="BX31" s="94">
        <f t="shared" si="52"/>
        <v>2</v>
      </c>
      <c r="BY31" s="94">
        <f t="shared" si="52"/>
        <v>2</v>
      </c>
      <c r="BZ31" s="94">
        <f t="shared" si="52"/>
        <v>2</v>
      </c>
      <c r="CA31" s="94">
        <f t="shared" si="52"/>
        <v>2</v>
      </c>
      <c r="CB31" s="94">
        <f t="shared" si="52"/>
        <v>2</v>
      </c>
      <c r="CC31" s="94">
        <f t="shared" si="52"/>
        <v>2</v>
      </c>
      <c r="CD31" s="94"/>
      <c r="CE31" s="94"/>
      <c r="CF31" s="94"/>
      <c r="CG31" s="94"/>
      <c r="CH31" s="94"/>
      <c r="CI31" s="94"/>
      <c r="CJ31" s="94"/>
      <c r="CK31" s="94"/>
      <c r="CL31" s="94"/>
      <c r="CM31" s="94"/>
      <c r="CN31" s="94"/>
      <c r="CO31" s="94"/>
      <c r="CP31" s="94">
        <f t="shared" ref="CP31" si="53">COUNTIF(AD15:AD30,"당첨")</f>
        <v>2</v>
      </c>
      <c r="CQ31" s="94"/>
      <c r="CR31" s="94"/>
      <c r="CS31" s="94"/>
      <c r="CT31" s="94"/>
      <c r="CU31" s="94">
        <f t="shared" ref="CU31:DA31" si="54">COUNTIF(AE15:AE30,"당첨")</f>
        <v>2</v>
      </c>
      <c r="CV31" s="94">
        <f t="shared" si="54"/>
        <v>2</v>
      </c>
      <c r="CW31" s="94">
        <f t="shared" si="54"/>
        <v>2</v>
      </c>
      <c r="CX31" s="94">
        <f t="shared" si="54"/>
        <v>2</v>
      </c>
      <c r="CY31" s="94">
        <f t="shared" si="54"/>
        <v>2</v>
      </c>
      <c r="CZ31" s="94">
        <f t="shared" si="54"/>
        <v>2</v>
      </c>
      <c r="DA31" s="94">
        <f t="shared" si="54"/>
        <v>2</v>
      </c>
      <c r="DB31" s="94">
        <f>COUNTIF(AX15:AX30,"당첨")</f>
        <v>0</v>
      </c>
    </row>
    <row r="32" spans="1:106" ht="24" customHeight="1">
      <c r="A32" s="53"/>
      <c r="B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</row>
    <row r="33" spans="1:75" ht="24" customHeight="1">
      <c r="A33" s="53"/>
      <c r="B33" s="53"/>
      <c r="D33" s="53">
        <v>9</v>
      </c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</row>
    <row r="34" spans="1:75" ht="17.5" thickBot="1">
      <c r="A34" s="66" t="s">
        <v>552</v>
      </c>
      <c r="B34" s="93">
        <f>$J$34+$L$34</f>
        <v>45</v>
      </c>
      <c r="C34" s="275" t="s">
        <v>553</v>
      </c>
      <c r="D34" s="275"/>
      <c r="E34" s="276">
        <f>$J$34/$B$34</f>
        <v>0.48888888888888887</v>
      </c>
      <c r="F34" s="276"/>
      <c r="G34" s="276">
        <f>$L$34/$B$34</f>
        <v>0.51111111111111107</v>
      </c>
      <c r="H34" s="276"/>
      <c r="I34" s="66" t="s">
        <v>554</v>
      </c>
      <c r="J34" s="66">
        <f>COUNTIFS(당첨,"당첨",홀짝수,"홀수")</f>
        <v>22</v>
      </c>
      <c r="K34" s="66" t="s">
        <v>555</v>
      </c>
      <c r="L34" s="66">
        <f>COUNTIFS(당첨,"당첨",홀짝수,"짝수")</f>
        <v>23</v>
      </c>
    </row>
    <row r="35" spans="1:75" ht="5.25" customHeight="1" thickBot="1">
      <c r="A35" s="84"/>
      <c r="B35" s="86"/>
      <c r="C35" s="87"/>
      <c r="D35" s="88"/>
      <c r="E35" s="88"/>
      <c r="F35" s="88"/>
      <c r="G35" s="88"/>
      <c r="H35" s="88"/>
      <c r="I35" s="87"/>
      <c r="J35" s="87"/>
      <c r="K35" s="87"/>
      <c r="L35" s="87"/>
      <c r="M35" s="85"/>
      <c r="N35" s="85"/>
      <c r="O35" s="85"/>
      <c r="P35" s="85"/>
      <c r="Q35" s="8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BD35"/>
      <c r="BG35"/>
    </row>
    <row r="36" spans="1:75">
      <c r="A36" s="1" t="s">
        <v>570</v>
      </c>
      <c r="C36" s="268" t="s">
        <v>660</v>
      </c>
      <c r="D36" s="269"/>
      <c r="E36" s="269"/>
      <c r="F36" s="269"/>
      <c r="G36" s="269"/>
      <c r="H36" s="261"/>
      <c r="I36" s="261"/>
      <c r="J36" s="261"/>
      <c r="K36" s="261"/>
      <c r="L36" s="261"/>
      <c r="BA36"/>
      <c r="BB36" s="183"/>
      <c r="BC36" s="183"/>
      <c r="BD36"/>
      <c r="BE36"/>
      <c r="BF36" s="22"/>
      <c r="BG36" s="183"/>
      <c r="BH36" s="183"/>
      <c r="BI36"/>
      <c r="BJ36"/>
    </row>
    <row r="37" spans="1:75" ht="17.5">
      <c r="A37" s="48" t="s">
        <v>556</v>
      </c>
      <c r="B37" s="48" t="s">
        <v>557</v>
      </c>
      <c r="C37" s="184">
        <v>6</v>
      </c>
      <c r="D37" s="184">
        <v>5</v>
      </c>
      <c r="E37" s="184">
        <v>4</v>
      </c>
      <c r="F37" s="184">
        <v>3</v>
      </c>
      <c r="G37" s="184">
        <v>6</v>
      </c>
      <c r="H37" s="184">
        <v>5</v>
      </c>
      <c r="I37" s="184">
        <v>4</v>
      </c>
      <c r="J37" s="184">
        <v>3</v>
      </c>
      <c r="K37" s="184">
        <v>6</v>
      </c>
      <c r="L37" s="184">
        <v>5</v>
      </c>
      <c r="M37" s="164">
        <v>4</v>
      </c>
      <c r="N37" s="164">
        <v>3</v>
      </c>
      <c r="O37" s="164">
        <v>6</v>
      </c>
      <c r="P37" s="164">
        <v>5</v>
      </c>
      <c r="Q37" s="164">
        <v>4</v>
      </c>
      <c r="R37" s="164">
        <v>3</v>
      </c>
      <c r="S37" s="164">
        <v>6</v>
      </c>
      <c r="T37" s="164">
        <v>5</v>
      </c>
      <c r="U37" s="164">
        <v>4</v>
      </c>
      <c r="V37" s="164">
        <v>3</v>
      </c>
      <c r="W37" s="164">
        <v>6</v>
      </c>
      <c r="X37" s="164">
        <v>5</v>
      </c>
      <c r="Y37" s="164">
        <v>4</v>
      </c>
      <c r="Z37" s="164">
        <v>3</v>
      </c>
      <c r="AA37" s="164">
        <v>6</v>
      </c>
      <c r="AB37" s="164">
        <v>5</v>
      </c>
      <c r="AC37" s="164">
        <v>4</v>
      </c>
      <c r="AD37" s="164">
        <v>3</v>
      </c>
      <c r="AE37" s="164">
        <v>5</v>
      </c>
      <c r="AF37" s="164">
        <v>5</v>
      </c>
      <c r="AG37" s="164">
        <v>4</v>
      </c>
      <c r="AH37" s="164">
        <v>3</v>
      </c>
      <c r="AI37" s="164">
        <v>5</v>
      </c>
      <c r="AJ37" s="164">
        <v>5</v>
      </c>
      <c r="AK37" s="164">
        <v>5</v>
      </c>
      <c r="AL37" s="164">
        <v>5</v>
      </c>
      <c r="AM37" s="164">
        <v>5</v>
      </c>
      <c r="AN37" s="164">
        <v>5</v>
      </c>
      <c r="AO37" s="164">
        <v>5</v>
      </c>
      <c r="AP37" s="164">
        <v>5</v>
      </c>
      <c r="AQ37" s="164">
        <v>5</v>
      </c>
      <c r="AR37" s="164">
        <v>5</v>
      </c>
      <c r="AS37" s="164">
        <v>5</v>
      </c>
      <c r="AT37" s="164">
        <v>5</v>
      </c>
      <c r="AU37" s="164">
        <v>5</v>
      </c>
      <c r="AV37" s="170"/>
      <c r="AW37" s="170"/>
      <c r="AX37" s="170"/>
      <c r="BA37" s="193"/>
      <c r="BB37" s="150"/>
      <c r="BC37" s="80"/>
      <c r="BD37" s="80"/>
      <c r="BE37" s="183"/>
      <c r="BF37" s="183"/>
      <c r="BG37" s="183"/>
      <c r="BH37" s="183"/>
      <c r="BI37"/>
      <c r="BJ37"/>
      <c r="BK37"/>
      <c r="BL37"/>
      <c r="BN37" s="22"/>
      <c r="BO37" s="22"/>
      <c r="BQ37" s="22"/>
    </row>
    <row r="38" spans="1:75" ht="17.5">
      <c r="A38" s="262" t="s">
        <v>558</v>
      </c>
      <c r="B38" s="48">
        <v>1</v>
      </c>
      <c r="C38" s="192">
        <v>1</v>
      </c>
      <c r="D38" s="192">
        <v>2</v>
      </c>
      <c r="E38" s="192">
        <v>3</v>
      </c>
      <c r="F38" s="192">
        <v>4</v>
      </c>
      <c r="G38" s="192">
        <v>5</v>
      </c>
      <c r="H38" s="192">
        <v>6</v>
      </c>
      <c r="I38" s="192">
        <v>7</v>
      </c>
      <c r="J38" s="192">
        <v>8</v>
      </c>
      <c r="K38" s="192">
        <v>9</v>
      </c>
      <c r="L38" s="143">
        <v>10</v>
      </c>
      <c r="M38" s="143">
        <v>11</v>
      </c>
      <c r="N38" s="143">
        <v>12</v>
      </c>
      <c r="O38" s="143">
        <v>13</v>
      </c>
      <c r="P38" s="143">
        <v>14</v>
      </c>
      <c r="Q38" s="143">
        <v>15</v>
      </c>
      <c r="R38" s="143">
        <v>16</v>
      </c>
      <c r="S38" s="143">
        <v>17</v>
      </c>
      <c r="T38" s="143">
        <v>18</v>
      </c>
      <c r="U38" s="143">
        <v>19</v>
      </c>
      <c r="V38" s="143">
        <v>20</v>
      </c>
      <c r="W38" s="143">
        <v>21</v>
      </c>
      <c r="X38" s="143">
        <v>22</v>
      </c>
      <c r="Y38" s="143">
        <v>23</v>
      </c>
      <c r="Z38" s="143">
        <v>24</v>
      </c>
      <c r="AA38" s="143">
        <v>25</v>
      </c>
      <c r="AB38" s="143">
        <v>26</v>
      </c>
      <c r="AC38" s="143">
        <v>27</v>
      </c>
      <c r="AD38" s="143">
        <v>28</v>
      </c>
      <c r="AE38" s="143">
        <v>29</v>
      </c>
      <c r="AF38" s="143">
        <v>30</v>
      </c>
      <c r="AG38" s="143">
        <v>31</v>
      </c>
      <c r="AH38" s="143">
        <v>32</v>
      </c>
      <c r="AI38" s="143">
        <v>33</v>
      </c>
      <c r="AJ38" s="143">
        <v>34</v>
      </c>
      <c r="AK38" s="143">
        <v>35</v>
      </c>
      <c r="AL38" s="143">
        <v>36</v>
      </c>
      <c r="AM38" s="143">
        <v>37</v>
      </c>
      <c r="AN38" s="143">
        <v>38</v>
      </c>
      <c r="AO38" s="143">
        <v>39</v>
      </c>
      <c r="AP38" s="143">
        <v>40</v>
      </c>
      <c r="AQ38" s="143">
        <v>41</v>
      </c>
      <c r="AR38" s="143">
        <v>42</v>
      </c>
      <c r="AS38" s="143">
        <v>43</v>
      </c>
      <c r="AT38" s="143">
        <v>44</v>
      </c>
      <c r="AU38" s="143">
        <v>45</v>
      </c>
      <c r="AV38" s="172"/>
      <c r="AW38" s="172"/>
      <c r="AX38" s="172"/>
      <c r="BA38" s="80"/>
      <c r="BB38" s="80"/>
      <c r="BC38" s="80"/>
      <c r="BD38" s="201"/>
      <c r="BE38" s="183"/>
      <c r="BF38" s="149"/>
      <c r="BG38" s="183"/>
      <c r="BH38" s="183"/>
      <c r="BI38"/>
      <c r="BJ38"/>
      <c r="BK38"/>
      <c r="BL38"/>
      <c r="BN38" s="22"/>
      <c r="BO38" s="22"/>
      <c r="BQ38" s="22"/>
    </row>
    <row r="39" spans="1:75" ht="17.5">
      <c r="A39" s="262"/>
      <c r="B39" s="48">
        <v>2</v>
      </c>
      <c r="C39" s="192">
        <v>1</v>
      </c>
      <c r="D39" s="192">
        <v>2</v>
      </c>
      <c r="E39" s="192">
        <v>3</v>
      </c>
      <c r="F39" s="192">
        <v>4</v>
      </c>
      <c r="G39" s="192">
        <v>5</v>
      </c>
      <c r="H39" s="192">
        <v>6</v>
      </c>
      <c r="I39" s="192">
        <v>7</v>
      </c>
      <c r="J39" s="192">
        <v>8</v>
      </c>
      <c r="K39" s="192">
        <v>9</v>
      </c>
      <c r="L39" s="143">
        <v>10</v>
      </c>
      <c r="M39" s="143">
        <v>11</v>
      </c>
      <c r="N39" s="143">
        <v>12</v>
      </c>
      <c r="O39" s="143">
        <v>13</v>
      </c>
      <c r="P39" s="143">
        <v>14</v>
      </c>
      <c r="Q39" s="143">
        <v>15</v>
      </c>
      <c r="R39" s="143">
        <v>16</v>
      </c>
      <c r="S39" s="143">
        <v>17</v>
      </c>
      <c r="T39" s="143">
        <v>18</v>
      </c>
      <c r="U39" s="143">
        <v>19</v>
      </c>
      <c r="V39" s="143">
        <v>20</v>
      </c>
      <c r="W39" s="143">
        <v>21</v>
      </c>
      <c r="X39" s="143">
        <v>22</v>
      </c>
      <c r="Y39" s="143">
        <v>23</v>
      </c>
      <c r="Z39" s="143">
        <v>24</v>
      </c>
      <c r="AA39" s="143">
        <v>25</v>
      </c>
      <c r="AB39" s="143">
        <v>26</v>
      </c>
      <c r="AC39" s="143">
        <v>27</v>
      </c>
      <c r="AD39" s="143">
        <v>28</v>
      </c>
      <c r="AE39" s="143">
        <v>29</v>
      </c>
      <c r="AF39" s="143">
        <v>30</v>
      </c>
      <c r="AG39" s="143">
        <v>31</v>
      </c>
      <c r="AH39" s="143">
        <v>32</v>
      </c>
      <c r="AI39" s="143">
        <v>33</v>
      </c>
      <c r="AJ39" s="143">
        <v>34</v>
      </c>
      <c r="AK39" s="143">
        <v>35</v>
      </c>
      <c r="AL39" s="143">
        <v>36</v>
      </c>
      <c r="AM39" s="143">
        <v>37</v>
      </c>
      <c r="AN39" s="143">
        <v>38</v>
      </c>
      <c r="AO39" s="143">
        <v>39</v>
      </c>
      <c r="AP39" s="143">
        <v>40</v>
      </c>
      <c r="AQ39" s="143">
        <v>41</v>
      </c>
      <c r="AR39" s="143">
        <v>42</v>
      </c>
      <c r="AS39" s="143">
        <v>43</v>
      </c>
      <c r="AT39" s="143">
        <v>44</v>
      </c>
      <c r="AU39" s="143">
        <v>45</v>
      </c>
      <c r="BA39" s="149"/>
      <c r="BB39" s="149"/>
      <c r="BC39" s="80"/>
      <c r="BD39" s="149"/>
      <c r="BE39" s="183"/>
      <c r="BF39" s="189"/>
      <c r="BG39" s="150"/>
      <c r="BH39" s="189"/>
      <c r="BI39" s="189"/>
      <c r="BJ39" s="189"/>
      <c r="BK39" s="190"/>
      <c r="BL39" s="190"/>
      <c r="BM39" s="190"/>
      <c r="BN39" s="190"/>
      <c r="BO39" s="190"/>
      <c r="BP39" s="190"/>
      <c r="BQ39" s="190"/>
      <c r="BR39" s="190"/>
      <c r="BS39" s="190"/>
      <c r="BT39" s="190"/>
      <c r="BU39" s="190"/>
      <c r="BV39" s="190"/>
      <c r="BW39" s="190"/>
    </row>
    <row r="40" spans="1:75" ht="17.5">
      <c r="A40" s="262"/>
      <c r="B40" s="48">
        <v>3</v>
      </c>
      <c r="C40" s="192">
        <v>1</v>
      </c>
      <c r="D40" s="192">
        <v>2</v>
      </c>
      <c r="E40" s="192">
        <v>3</v>
      </c>
      <c r="F40" s="192">
        <v>4</v>
      </c>
      <c r="G40" s="192">
        <v>5</v>
      </c>
      <c r="H40" s="192">
        <v>6</v>
      </c>
      <c r="I40" s="192">
        <v>7</v>
      </c>
      <c r="J40" s="192">
        <v>8</v>
      </c>
      <c r="K40" s="192">
        <v>9</v>
      </c>
      <c r="L40" s="143">
        <v>10</v>
      </c>
      <c r="M40" s="143">
        <v>11</v>
      </c>
      <c r="N40" s="143">
        <v>12</v>
      </c>
      <c r="O40" s="143">
        <v>13</v>
      </c>
      <c r="P40" s="143">
        <v>14</v>
      </c>
      <c r="Q40" s="143">
        <v>15</v>
      </c>
      <c r="R40" s="143">
        <v>16</v>
      </c>
      <c r="S40" s="143">
        <v>17</v>
      </c>
      <c r="T40" s="143">
        <v>18</v>
      </c>
      <c r="U40" s="143">
        <v>19</v>
      </c>
      <c r="V40" s="143">
        <v>20</v>
      </c>
      <c r="W40" s="143">
        <v>21</v>
      </c>
      <c r="X40" s="143">
        <v>22</v>
      </c>
      <c r="Y40" s="143">
        <v>23</v>
      </c>
      <c r="Z40" s="143">
        <v>24</v>
      </c>
      <c r="AA40" s="143">
        <v>25</v>
      </c>
      <c r="AB40" s="143">
        <v>26</v>
      </c>
      <c r="AC40" s="143">
        <v>27</v>
      </c>
      <c r="AD40" s="143">
        <v>28</v>
      </c>
      <c r="AE40" s="143">
        <v>29</v>
      </c>
      <c r="AF40" s="143">
        <v>30</v>
      </c>
      <c r="AG40" s="143">
        <v>31</v>
      </c>
      <c r="AH40" s="143">
        <v>32</v>
      </c>
      <c r="AI40" s="143">
        <v>33</v>
      </c>
      <c r="AJ40" s="143">
        <v>34</v>
      </c>
      <c r="AK40" s="143">
        <v>35</v>
      </c>
      <c r="AL40" s="143">
        <v>36</v>
      </c>
      <c r="AM40" s="143">
        <v>37</v>
      </c>
      <c r="AN40" s="143">
        <v>38</v>
      </c>
      <c r="AO40" s="143">
        <v>39</v>
      </c>
      <c r="AP40" s="143">
        <v>40</v>
      </c>
      <c r="AQ40" s="143">
        <v>41</v>
      </c>
      <c r="AR40" s="143">
        <v>42</v>
      </c>
      <c r="AS40" s="143">
        <v>43</v>
      </c>
      <c r="AT40" s="143">
        <v>44</v>
      </c>
      <c r="AU40" s="143">
        <v>45</v>
      </c>
      <c r="BA40" s="149"/>
      <c r="BB40" s="149"/>
      <c r="BC40" s="80"/>
      <c r="BD40" s="149"/>
      <c r="BE40" s="183"/>
      <c r="BF40" s="22"/>
      <c r="BG40" s="150"/>
      <c r="BH40" s="183"/>
      <c r="BI40" s="120"/>
      <c r="BJ40" s="120"/>
      <c r="BK40" s="120"/>
      <c r="BL40" s="80"/>
      <c r="BM40" s="80"/>
      <c r="BN40" s="22"/>
      <c r="BO40" s="22"/>
      <c r="BQ40" s="22"/>
    </row>
    <row r="41" spans="1:75" ht="17.5">
      <c r="A41" s="262"/>
      <c r="B41" s="48">
        <v>4</v>
      </c>
      <c r="C41" s="192">
        <v>1</v>
      </c>
      <c r="D41" s="192">
        <v>2</v>
      </c>
      <c r="E41" s="192">
        <v>3</v>
      </c>
      <c r="F41" s="192">
        <v>4</v>
      </c>
      <c r="G41" s="192">
        <v>5</v>
      </c>
      <c r="H41" s="192">
        <v>6</v>
      </c>
      <c r="I41" s="192">
        <v>7</v>
      </c>
      <c r="J41" s="192">
        <v>8</v>
      </c>
      <c r="K41" s="192">
        <v>9</v>
      </c>
      <c r="L41" s="143">
        <v>10</v>
      </c>
      <c r="M41" s="143">
        <v>11</v>
      </c>
      <c r="N41" s="143">
        <v>12</v>
      </c>
      <c r="O41" s="143">
        <v>13</v>
      </c>
      <c r="P41" s="143">
        <v>14</v>
      </c>
      <c r="Q41" s="143">
        <v>15</v>
      </c>
      <c r="R41" s="143">
        <v>16</v>
      </c>
      <c r="S41" s="143">
        <v>17</v>
      </c>
      <c r="T41" s="143">
        <v>18</v>
      </c>
      <c r="U41" s="143">
        <v>19</v>
      </c>
      <c r="V41" s="143">
        <v>20</v>
      </c>
      <c r="W41" s="143">
        <v>21</v>
      </c>
      <c r="X41" s="143">
        <v>22</v>
      </c>
      <c r="Y41" s="143">
        <v>23</v>
      </c>
      <c r="Z41" s="143">
        <v>24</v>
      </c>
      <c r="AA41" s="143">
        <v>25</v>
      </c>
      <c r="AB41" s="143">
        <v>26</v>
      </c>
      <c r="AC41" s="143">
        <v>27</v>
      </c>
      <c r="AD41" s="143">
        <v>28</v>
      </c>
      <c r="AE41" s="143">
        <v>29</v>
      </c>
      <c r="AF41" s="143">
        <v>30</v>
      </c>
      <c r="AG41" s="143">
        <v>31</v>
      </c>
      <c r="AH41" s="143">
        <v>32</v>
      </c>
      <c r="AI41" s="143">
        <v>33</v>
      </c>
      <c r="AJ41" s="143">
        <v>34</v>
      </c>
      <c r="AK41" s="143">
        <v>35</v>
      </c>
      <c r="AL41" s="143">
        <v>36</v>
      </c>
      <c r="AM41" s="143">
        <v>37</v>
      </c>
      <c r="AN41" s="143">
        <v>38</v>
      </c>
      <c r="AO41" s="143">
        <v>39</v>
      </c>
      <c r="AP41" s="143">
        <v>40</v>
      </c>
      <c r="AQ41" s="143">
        <v>41</v>
      </c>
      <c r="AR41" s="143">
        <v>42</v>
      </c>
      <c r="AS41" s="143">
        <v>43</v>
      </c>
      <c r="AT41" s="143">
        <v>44</v>
      </c>
      <c r="AU41" s="143">
        <v>45</v>
      </c>
      <c r="BA41" s="149"/>
      <c r="BB41" s="149"/>
      <c r="BC41" s="80"/>
      <c r="BD41" s="149"/>
      <c r="BE41" s="183"/>
      <c r="BF41" s="80"/>
      <c r="BG41" s="150"/>
      <c r="BH41" s="183"/>
      <c r="BI41" s="120"/>
      <c r="BJ41" s="120"/>
      <c r="BK41" s="120"/>
      <c r="BL41" s="80"/>
      <c r="BM41" s="80"/>
      <c r="BN41" s="22"/>
      <c r="BO41" s="22"/>
      <c r="BQ41" s="22"/>
    </row>
    <row r="42" spans="1:75" ht="17.5">
      <c r="A42" s="262"/>
      <c r="B42" s="48">
        <v>5</v>
      </c>
      <c r="C42" s="192">
        <v>1</v>
      </c>
      <c r="D42" s="192">
        <v>2</v>
      </c>
      <c r="E42" s="192">
        <v>3</v>
      </c>
      <c r="F42" s="192">
        <v>4</v>
      </c>
      <c r="G42" s="192">
        <v>5</v>
      </c>
      <c r="H42" s="192">
        <v>6</v>
      </c>
      <c r="I42" s="192">
        <v>7</v>
      </c>
      <c r="J42" s="192">
        <v>8</v>
      </c>
      <c r="K42" s="192">
        <v>9</v>
      </c>
      <c r="L42" s="143">
        <v>10</v>
      </c>
      <c r="M42" s="143">
        <v>11</v>
      </c>
      <c r="N42" s="143">
        <v>12</v>
      </c>
      <c r="O42" s="143">
        <v>13</v>
      </c>
      <c r="P42" s="143">
        <v>14</v>
      </c>
      <c r="Q42" s="143">
        <v>15</v>
      </c>
      <c r="R42" s="143">
        <v>16</v>
      </c>
      <c r="S42" s="143">
        <v>17</v>
      </c>
      <c r="T42" s="143">
        <v>18</v>
      </c>
      <c r="U42" s="143">
        <v>19</v>
      </c>
      <c r="V42" s="143">
        <v>20</v>
      </c>
      <c r="W42" s="143">
        <v>21</v>
      </c>
      <c r="X42" s="143">
        <v>22</v>
      </c>
      <c r="Y42" s="143">
        <v>23</v>
      </c>
      <c r="Z42" s="143">
        <v>24</v>
      </c>
      <c r="AA42" s="143">
        <v>25</v>
      </c>
      <c r="AB42" s="143">
        <v>26</v>
      </c>
      <c r="AC42" s="143">
        <v>27</v>
      </c>
      <c r="AD42" s="143">
        <v>28</v>
      </c>
      <c r="AE42" s="143">
        <v>29</v>
      </c>
      <c r="AF42" s="143">
        <v>30</v>
      </c>
      <c r="AG42" s="143">
        <v>31</v>
      </c>
      <c r="AH42" s="143">
        <v>32</v>
      </c>
      <c r="AI42" s="143">
        <v>33</v>
      </c>
      <c r="AJ42" s="143">
        <v>34</v>
      </c>
      <c r="AK42" s="143">
        <v>35</v>
      </c>
      <c r="AL42" s="143">
        <v>36</v>
      </c>
      <c r="AM42" s="143">
        <v>37</v>
      </c>
      <c r="AN42" s="143">
        <v>38</v>
      </c>
      <c r="AO42" s="143">
        <v>39</v>
      </c>
      <c r="AP42" s="143">
        <v>40</v>
      </c>
      <c r="AQ42" s="143">
        <v>41</v>
      </c>
      <c r="AR42" s="143">
        <v>42</v>
      </c>
      <c r="AS42" s="143">
        <v>43</v>
      </c>
      <c r="AT42" s="143">
        <v>44</v>
      </c>
      <c r="AU42" s="143">
        <v>45</v>
      </c>
      <c r="BA42" s="149"/>
      <c r="BB42" s="149"/>
      <c r="BC42" s="80"/>
      <c r="BD42" s="149"/>
      <c r="BE42" s="183"/>
      <c r="BF42" s="80"/>
      <c r="BG42" s="150"/>
      <c r="BH42" s="191"/>
      <c r="BI42" s="120"/>
      <c r="BJ42" s="120"/>
      <c r="BK42" s="120"/>
      <c r="BL42" s="80"/>
      <c r="BM42" s="147"/>
      <c r="BN42" s="22"/>
      <c r="BO42" s="22"/>
      <c r="BQ42" s="22"/>
    </row>
    <row r="43" spans="1:75" ht="17.5">
      <c r="A43" s="262"/>
      <c r="B43" s="48">
        <v>6</v>
      </c>
      <c r="C43" s="192">
        <v>1</v>
      </c>
      <c r="D43" s="192">
        <v>2</v>
      </c>
      <c r="E43" s="192">
        <v>3</v>
      </c>
      <c r="F43" s="192">
        <v>4</v>
      </c>
      <c r="G43" s="192">
        <v>5</v>
      </c>
      <c r="H43" s="192">
        <v>6</v>
      </c>
      <c r="I43" s="192">
        <v>7</v>
      </c>
      <c r="J43" s="192">
        <v>8</v>
      </c>
      <c r="K43" s="192">
        <v>9</v>
      </c>
      <c r="L43" s="143">
        <v>10</v>
      </c>
      <c r="M43" s="143">
        <v>11</v>
      </c>
      <c r="N43" s="143">
        <v>12</v>
      </c>
      <c r="O43" s="143">
        <v>13</v>
      </c>
      <c r="P43" s="143">
        <v>14</v>
      </c>
      <c r="Q43" s="143">
        <v>15</v>
      </c>
      <c r="R43" s="143">
        <v>16</v>
      </c>
      <c r="S43" s="143">
        <v>17</v>
      </c>
      <c r="T43" s="143">
        <v>18</v>
      </c>
      <c r="U43" s="143">
        <v>19</v>
      </c>
      <c r="V43" s="143">
        <v>20</v>
      </c>
      <c r="W43" s="143">
        <v>21</v>
      </c>
      <c r="X43" s="143">
        <v>22</v>
      </c>
      <c r="Y43" s="143">
        <v>23</v>
      </c>
      <c r="Z43" s="143">
        <v>24</v>
      </c>
      <c r="AA43" s="143">
        <v>25</v>
      </c>
      <c r="AB43" s="143">
        <v>26</v>
      </c>
      <c r="AC43" s="143">
        <v>27</v>
      </c>
      <c r="AD43" s="143">
        <v>28</v>
      </c>
      <c r="AE43" s="143">
        <v>29</v>
      </c>
      <c r="AF43" s="143">
        <v>30</v>
      </c>
      <c r="AG43" s="143">
        <v>31</v>
      </c>
      <c r="AH43" s="143">
        <v>32</v>
      </c>
      <c r="AI43" s="143">
        <v>33</v>
      </c>
      <c r="AJ43" s="143">
        <v>34</v>
      </c>
      <c r="AK43" s="143">
        <v>35</v>
      </c>
      <c r="AL43" s="143">
        <v>36</v>
      </c>
      <c r="AM43" s="143">
        <v>37</v>
      </c>
      <c r="AN43" s="143">
        <v>38</v>
      </c>
      <c r="AO43" s="143">
        <v>39</v>
      </c>
      <c r="AP43" s="143">
        <v>40</v>
      </c>
      <c r="AQ43" s="143">
        <v>41</v>
      </c>
      <c r="AR43" s="143">
        <v>42</v>
      </c>
      <c r="AS43" s="143">
        <v>43</v>
      </c>
      <c r="AT43" s="143">
        <v>44</v>
      </c>
      <c r="AU43" s="143">
        <v>45</v>
      </c>
      <c r="BA43" s="149"/>
      <c r="BB43" s="149"/>
      <c r="BC43" s="80"/>
      <c r="BD43" s="149"/>
      <c r="BE43" s="183"/>
      <c r="BF43" s="80"/>
      <c r="BG43" s="150"/>
      <c r="BH43" s="191"/>
      <c r="BI43" s="120"/>
      <c r="BJ43" s="120"/>
      <c r="BK43" s="120"/>
      <c r="BL43" s="80"/>
      <c r="BM43" s="147"/>
      <c r="BN43" s="22"/>
      <c r="BO43" s="22"/>
      <c r="BQ43" s="22"/>
    </row>
    <row r="44" spans="1:75" ht="17.5">
      <c r="A44" s="251" t="s">
        <v>559</v>
      </c>
      <c r="B44" s="54" t="s">
        <v>560</v>
      </c>
      <c r="C44" s="49">
        <f t="shared" ref="C44:L49" ca="1" si="55">RAND()</f>
        <v>0.45137597379633698</v>
      </c>
      <c r="D44" s="49">
        <f t="shared" ca="1" si="55"/>
        <v>0.95300062763800752</v>
      </c>
      <c r="E44" s="49">
        <f t="shared" ca="1" si="55"/>
        <v>0.20010633634711716</v>
      </c>
      <c r="F44" s="49">
        <f t="shared" ca="1" si="55"/>
        <v>0.92506922112452261</v>
      </c>
      <c r="G44" s="49">
        <f t="shared" ca="1" si="55"/>
        <v>2.0563455708115241E-2</v>
      </c>
      <c r="H44" s="49">
        <f t="shared" ca="1" si="55"/>
        <v>4.7270068893749406E-2</v>
      </c>
      <c r="I44" s="49">
        <f t="shared" ca="1" si="55"/>
        <v>0.11676267347342906</v>
      </c>
      <c r="J44" s="49">
        <f t="shared" ca="1" si="55"/>
        <v>0.18387301614048346</v>
      </c>
      <c r="K44" s="49">
        <f t="shared" ca="1" si="55"/>
        <v>6.6938373718415822E-2</v>
      </c>
      <c r="L44" s="49">
        <f t="shared" ca="1" si="55"/>
        <v>0.20432448700077244</v>
      </c>
      <c r="M44" s="49">
        <f t="shared" ref="M44:V49" ca="1" si="56">RAND()</f>
        <v>0.7364437354810538</v>
      </c>
      <c r="N44" s="49">
        <f t="shared" ca="1" si="56"/>
        <v>5.6949904410607877E-2</v>
      </c>
      <c r="O44" s="49">
        <f t="shared" ca="1" si="56"/>
        <v>9.4393701708371247E-2</v>
      </c>
      <c r="P44" s="49">
        <f t="shared" ca="1" si="56"/>
        <v>0.43925074923669594</v>
      </c>
      <c r="Q44" s="49">
        <f ca="1">RAND()</f>
        <v>0.81220754818001417</v>
      </c>
      <c r="R44" s="49">
        <f t="shared" ca="1" si="56"/>
        <v>0.58668537498702489</v>
      </c>
      <c r="S44" s="49">
        <f t="shared" ca="1" si="56"/>
        <v>0.72470381635948389</v>
      </c>
      <c r="T44" s="49">
        <f t="shared" ca="1" si="56"/>
        <v>7.6030832365501899E-2</v>
      </c>
      <c r="U44" s="49">
        <f t="shared" ca="1" si="56"/>
        <v>0.34990965612879643</v>
      </c>
      <c r="V44" s="49">
        <f t="shared" ca="1" si="56"/>
        <v>0.49875483230034356</v>
      </c>
      <c r="W44" s="49">
        <f t="shared" ref="W44:AF49" ca="1" si="57">RAND()</f>
        <v>0.45773203552826047</v>
      </c>
      <c r="X44" s="49">
        <f t="shared" ca="1" si="57"/>
        <v>0.23331723791885983</v>
      </c>
      <c r="Y44" s="49">
        <f t="shared" ca="1" si="57"/>
        <v>0.79098163487757112</v>
      </c>
      <c r="Z44" s="49">
        <f t="shared" ca="1" si="57"/>
        <v>0.55512668178402613</v>
      </c>
      <c r="AA44" s="49">
        <f t="shared" ca="1" si="57"/>
        <v>0.5921535627010962</v>
      </c>
      <c r="AB44" s="49">
        <f t="shared" ca="1" si="57"/>
        <v>0.38816442451841027</v>
      </c>
      <c r="AC44" s="49">
        <f t="shared" ca="1" si="57"/>
        <v>0.53512884826317408</v>
      </c>
      <c r="AD44" s="49">
        <f t="shared" ca="1" si="57"/>
        <v>0.74904049456950916</v>
      </c>
      <c r="AE44" s="49">
        <f t="shared" ca="1" si="57"/>
        <v>0.14533148941659413</v>
      </c>
      <c r="AF44" s="49">
        <f t="shared" ca="1" si="57"/>
        <v>1.0923966399128071E-2</v>
      </c>
      <c r="AG44" s="49">
        <f t="shared" ref="AG44:AU49" ca="1" si="58">RAND()</f>
        <v>0.11060073261055725</v>
      </c>
      <c r="AH44" s="49">
        <f t="shared" ca="1" si="58"/>
        <v>0.71606921195291162</v>
      </c>
      <c r="AI44" s="49">
        <f t="shared" ca="1" si="58"/>
        <v>1.4511223928572736E-2</v>
      </c>
      <c r="AJ44" s="49">
        <f t="shared" ca="1" si="58"/>
        <v>0.47982649590093129</v>
      </c>
      <c r="AK44" s="49">
        <f t="shared" ca="1" si="58"/>
        <v>2.3503535609736947E-2</v>
      </c>
      <c r="AL44" s="49">
        <f t="shared" ca="1" si="58"/>
        <v>0.22714858368509849</v>
      </c>
      <c r="AM44" s="49">
        <f t="shared" ca="1" si="58"/>
        <v>0.53323462360384455</v>
      </c>
      <c r="AN44" s="49">
        <f t="shared" ca="1" si="58"/>
        <v>0.47829385554578874</v>
      </c>
      <c r="AO44" s="49">
        <f t="shared" ca="1" si="58"/>
        <v>0.73505400087616235</v>
      </c>
      <c r="AP44" s="49">
        <f t="shared" ca="1" si="58"/>
        <v>0.40491968046227167</v>
      </c>
      <c r="AQ44" s="49">
        <f t="shared" ca="1" si="58"/>
        <v>0.38473946768681666</v>
      </c>
      <c r="AR44" s="49">
        <f t="shared" ca="1" si="58"/>
        <v>8.9799070172926543E-2</v>
      </c>
      <c r="AS44" s="49">
        <f t="shared" ca="1" si="58"/>
        <v>0.42832968991878695</v>
      </c>
      <c r="AT44" s="49">
        <f t="shared" ca="1" si="58"/>
        <v>0.59083015668912853</v>
      </c>
      <c r="AU44" s="49">
        <f t="shared" ca="1" si="58"/>
        <v>0.78198735307092448</v>
      </c>
      <c r="AV44" s="78"/>
      <c r="AW44" s="78"/>
      <c r="AX44" s="78"/>
      <c r="BA44" s="149"/>
      <c r="BB44" s="149"/>
      <c r="BC44" s="80"/>
      <c r="BD44" s="149"/>
      <c r="BE44" s="183"/>
      <c r="BF44" s="80"/>
      <c r="BG44" s="150"/>
      <c r="BH44" s="191"/>
      <c r="BI44" s="120"/>
      <c r="BJ44" s="132"/>
      <c r="BK44" s="120"/>
      <c r="BL44" s="80"/>
      <c r="BM44" s="147"/>
      <c r="BN44" s="22"/>
      <c r="BO44" s="22"/>
      <c r="BQ44" s="22"/>
    </row>
    <row r="45" spans="1:75" ht="17.5">
      <c r="A45" s="251"/>
      <c r="B45" s="54" t="s">
        <v>536</v>
      </c>
      <c r="C45" s="49">
        <f t="shared" ca="1" si="55"/>
        <v>0.51234901270474853</v>
      </c>
      <c r="D45" s="49">
        <f t="shared" ca="1" si="55"/>
        <v>0.54726053763923377</v>
      </c>
      <c r="E45" s="49">
        <f t="shared" ca="1" si="55"/>
        <v>0.55985913102538998</v>
      </c>
      <c r="F45" s="49">
        <f t="shared" ca="1" si="55"/>
        <v>0.20118281672683036</v>
      </c>
      <c r="G45" s="49">
        <f t="shared" ca="1" si="55"/>
        <v>0.46116311079511341</v>
      </c>
      <c r="H45" s="49">
        <f t="shared" ca="1" si="55"/>
        <v>5.1557942405998536E-2</v>
      </c>
      <c r="I45" s="49">
        <f t="shared" ca="1" si="55"/>
        <v>7.6070682818444313E-2</v>
      </c>
      <c r="J45" s="49">
        <f t="shared" ca="1" si="55"/>
        <v>0.50510764372041728</v>
      </c>
      <c r="K45" s="49">
        <f t="shared" ca="1" si="55"/>
        <v>5.0789658109149372E-3</v>
      </c>
      <c r="L45" s="49">
        <f t="shared" ca="1" si="55"/>
        <v>0.32394628487292065</v>
      </c>
      <c r="M45" s="49">
        <f t="shared" ca="1" si="56"/>
        <v>0.92961577947485641</v>
      </c>
      <c r="N45" s="49">
        <f t="shared" ca="1" si="56"/>
        <v>0.80183614779507251</v>
      </c>
      <c r="O45" s="49">
        <f t="shared" ca="1" si="56"/>
        <v>0.40970654690834551</v>
      </c>
      <c r="P45" s="49">
        <f t="shared" ca="1" si="56"/>
        <v>0.21751393284672416</v>
      </c>
      <c r="Q45" s="49">
        <f t="shared" ca="1" si="56"/>
        <v>0.43966184489162519</v>
      </c>
      <c r="R45" s="49">
        <f t="shared" ca="1" si="56"/>
        <v>0.8910446629664267</v>
      </c>
      <c r="S45" s="49">
        <f t="shared" ca="1" si="56"/>
        <v>0.98344975912666732</v>
      </c>
      <c r="T45" s="49">
        <f t="shared" ca="1" si="56"/>
        <v>0.21751185922400429</v>
      </c>
      <c r="U45" s="49">
        <f t="shared" ca="1" si="56"/>
        <v>0.68552944411155414</v>
      </c>
      <c r="V45" s="49">
        <f t="shared" ca="1" si="56"/>
        <v>1.8035573610201805E-2</v>
      </c>
      <c r="W45" s="49">
        <f t="shared" ca="1" si="57"/>
        <v>0.1285656743163367</v>
      </c>
      <c r="X45" s="49">
        <f t="shared" ca="1" si="57"/>
        <v>0.29274558146269491</v>
      </c>
      <c r="Y45" s="49">
        <f t="shared" ca="1" si="57"/>
        <v>0.63817174061051218</v>
      </c>
      <c r="Z45" s="49">
        <f t="shared" ca="1" si="57"/>
        <v>0.17939111466349</v>
      </c>
      <c r="AA45" s="49">
        <f t="shared" ca="1" si="57"/>
        <v>0.14227531373221747</v>
      </c>
      <c r="AB45" s="49">
        <f t="shared" ca="1" si="57"/>
        <v>0.1127840310166669</v>
      </c>
      <c r="AC45" s="49">
        <f t="shared" ca="1" si="57"/>
        <v>0.51493799110844529</v>
      </c>
      <c r="AD45" s="49">
        <f t="shared" ca="1" si="57"/>
        <v>0.49857236692837004</v>
      </c>
      <c r="AE45" s="49">
        <f t="shared" ca="1" si="57"/>
        <v>0.85791488970348795</v>
      </c>
      <c r="AF45" s="49">
        <f t="shared" ca="1" si="57"/>
        <v>0.37227781304050833</v>
      </c>
      <c r="AG45" s="49">
        <f t="shared" ca="1" si="58"/>
        <v>0.65281675318954768</v>
      </c>
      <c r="AH45" s="49">
        <f t="shared" ca="1" si="58"/>
        <v>0.13035407871410176</v>
      </c>
      <c r="AI45" s="49">
        <f t="shared" ca="1" si="58"/>
        <v>0.80730975678796102</v>
      </c>
      <c r="AJ45" s="49">
        <f t="shared" ca="1" si="58"/>
        <v>0.38575693860772453</v>
      </c>
      <c r="AK45" s="49">
        <f t="shared" ca="1" si="58"/>
        <v>0.39372466334453904</v>
      </c>
      <c r="AL45" s="49">
        <f t="shared" ca="1" si="58"/>
        <v>4.5488333053854468E-2</v>
      </c>
      <c r="AM45" s="49">
        <f t="shared" ca="1" si="58"/>
        <v>0.69268778555683397</v>
      </c>
      <c r="AN45" s="49">
        <f t="shared" ca="1" si="58"/>
        <v>0.35941587392979102</v>
      </c>
      <c r="AO45" s="49">
        <f t="shared" ca="1" si="58"/>
        <v>0.52434402214309017</v>
      </c>
      <c r="AP45" s="49">
        <f t="shared" ca="1" si="58"/>
        <v>0.32920186760509518</v>
      </c>
      <c r="AQ45" s="49">
        <f t="shared" ca="1" si="58"/>
        <v>0.63206010682776925</v>
      </c>
      <c r="AR45" s="49">
        <f t="shared" ca="1" si="58"/>
        <v>0.39317749388766488</v>
      </c>
      <c r="AS45" s="49">
        <f t="shared" ca="1" si="58"/>
        <v>0.58198873139836593</v>
      </c>
      <c r="AT45" s="49">
        <f t="shared" ca="1" si="58"/>
        <v>9.2519192490398972E-3</v>
      </c>
      <c r="AU45" s="49">
        <f t="shared" ca="1" si="58"/>
        <v>0.13830375093335467</v>
      </c>
      <c r="AV45" s="78"/>
      <c r="AW45" s="78"/>
      <c r="AX45" s="78"/>
      <c r="BA45" s="149"/>
      <c r="BB45" s="149"/>
      <c r="BC45" s="80"/>
      <c r="BD45" s="149"/>
      <c r="BE45" s="183"/>
      <c r="BF45" s="80"/>
      <c r="BG45" s="150"/>
      <c r="BH45" s="191"/>
      <c r="BI45" s="120"/>
      <c r="BJ45" s="120"/>
      <c r="BK45" s="120"/>
      <c r="BL45" s="80"/>
      <c r="BM45" s="147"/>
      <c r="BN45" s="22"/>
      <c r="BQ45" s="22"/>
    </row>
    <row r="46" spans="1:75" ht="17.5">
      <c r="A46" s="251"/>
      <c r="B46" s="54" t="s">
        <v>537</v>
      </c>
      <c r="C46" s="49">
        <f t="shared" ca="1" si="55"/>
        <v>0.12056252937385148</v>
      </c>
      <c r="D46" s="49">
        <f t="shared" ca="1" si="55"/>
        <v>0.95527965416162275</v>
      </c>
      <c r="E46" s="49">
        <f t="shared" ca="1" si="55"/>
        <v>0.33841986716749317</v>
      </c>
      <c r="F46" s="49">
        <f t="shared" ca="1" si="55"/>
        <v>0.59466645844301946</v>
      </c>
      <c r="G46" s="49">
        <f t="shared" ca="1" si="55"/>
        <v>0.96144254373101568</v>
      </c>
      <c r="H46" s="49">
        <f t="shared" ca="1" si="55"/>
        <v>0.90547394178236706</v>
      </c>
      <c r="I46" s="49">
        <f t="shared" ca="1" si="55"/>
        <v>0.28725631932031792</v>
      </c>
      <c r="J46" s="49">
        <f t="shared" ca="1" si="55"/>
        <v>0.84684861912198417</v>
      </c>
      <c r="K46" s="49">
        <f t="shared" ca="1" si="55"/>
        <v>0.32388906463215839</v>
      </c>
      <c r="L46" s="49">
        <f t="shared" ca="1" si="55"/>
        <v>0.14209796745187508</v>
      </c>
      <c r="M46" s="49">
        <f t="shared" ca="1" si="56"/>
        <v>0.61184586319725509</v>
      </c>
      <c r="N46" s="49">
        <f t="shared" ca="1" si="56"/>
        <v>0.44367400176398875</v>
      </c>
      <c r="O46" s="49">
        <f t="shared" ca="1" si="56"/>
        <v>0.17356038595500456</v>
      </c>
      <c r="P46" s="49">
        <f t="shared" ca="1" si="56"/>
        <v>0.76057850748377609</v>
      </c>
      <c r="Q46" s="49">
        <f t="shared" ca="1" si="56"/>
        <v>0.50897649930618238</v>
      </c>
      <c r="R46" s="49">
        <f t="shared" ca="1" si="56"/>
        <v>0.47211131984850574</v>
      </c>
      <c r="S46" s="49">
        <f t="shared" ca="1" si="56"/>
        <v>0.34765414695104813</v>
      </c>
      <c r="T46" s="49">
        <f t="shared" ca="1" si="56"/>
        <v>0.6654916514819087</v>
      </c>
      <c r="U46" s="49">
        <f t="shared" ca="1" si="56"/>
        <v>0.92322774274748498</v>
      </c>
      <c r="V46" s="49">
        <f t="shared" ca="1" si="56"/>
        <v>0.76271227123586938</v>
      </c>
      <c r="W46" s="49">
        <f t="shared" ca="1" si="57"/>
        <v>0.85627138500470967</v>
      </c>
      <c r="X46" s="49">
        <f t="shared" ca="1" si="57"/>
        <v>0.4923285291243773</v>
      </c>
      <c r="Y46" s="49">
        <f t="shared" ca="1" si="57"/>
        <v>0.60748996863761717</v>
      </c>
      <c r="Z46" s="49">
        <f t="shared" ca="1" si="57"/>
        <v>0.66559674290588</v>
      </c>
      <c r="AA46" s="49">
        <f t="shared" ca="1" si="57"/>
        <v>0.33391469334163637</v>
      </c>
      <c r="AB46" s="49">
        <f t="shared" ca="1" si="57"/>
        <v>0.92439614508395029</v>
      </c>
      <c r="AC46" s="49">
        <f t="shared" ca="1" si="57"/>
        <v>0.18259798726021759</v>
      </c>
      <c r="AD46" s="49">
        <f t="shared" ca="1" si="57"/>
        <v>0.21081781791295795</v>
      </c>
      <c r="AE46" s="49">
        <f t="shared" ca="1" si="57"/>
        <v>0.46439182713319671</v>
      </c>
      <c r="AF46" s="49">
        <f t="shared" ca="1" si="57"/>
        <v>0.64462618957229745</v>
      </c>
      <c r="AG46" s="49">
        <f t="shared" ca="1" si="58"/>
        <v>0.59712285586402003</v>
      </c>
      <c r="AH46" s="49">
        <f t="shared" ca="1" si="58"/>
        <v>0.80486213582550115</v>
      </c>
      <c r="AI46" s="49">
        <f t="shared" ca="1" si="58"/>
        <v>0.58190156005461369</v>
      </c>
      <c r="AJ46" s="49">
        <f t="shared" ca="1" si="58"/>
        <v>0.51901909939117741</v>
      </c>
      <c r="AK46" s="49">
        <f t="shared" ca="1" si="58"/>
        <v>0.74247047298158519</v>
      </c>
      <c r="AL46" s="49">
        <f t="shared" ca="1" si="58"/>
        <v>0.15104120572463908</v>
      </c>
      <c r="AM46" s="49">
        <f t="shared" ca="1" si="58"/>
        <v>0.55536759848488448</v>
      </c>
      <c r="AN46" s="49">
        <f t="shared" ca="1" si="58"/>
        <v>0.65222174198792915</v>
      </c>
      <c r="AO46" s="49">
        <f t="shared" ca="1" si="58"/>
        <v>0.46886408591193562</v>
      </c>
      <c r="AP46" s="49">
        <f t="shared" ca="1" si="58"/>
        <v>0.35396499374029233</v>
      </c>
      <c r="AQ46" s="49">
        <f t="shared" ca="1" si="58"/>
        <v>0.26168658701966152</v>
      </c>
      <c r="AR46" s="49">
        <f t="shared" ca="1" si="58"/>
        <v>0.63003547358104062</v>
      </c>
      <c r="AS46" s="49">
        <f t="shared" ca="1" si="58"/>
        <v>0.67052720194191306</v>
      </c>
      <c r="AT46" s="49">
        <f t="shared" ca="1" si="58"/>
        <v>0.94818139583283989</v>
      </c>
      <c r="AU46" s="49">
        <f t="shared" ca="1" si="58"/>
        <v>0.38460012155890222</v>
      </c>
      <c r="AV46" s="78"/>
      <c r="AW46" s="78"/>
      <c r="AX46" s="78"/>
      <c r="BA46" s="149"/>
      <c r="BB46" s="149"/>
      <c r="BC46" s="80"/>
      <c r="BD46" s="149"/>
      <c r="BE46" s="183"/>
      <c r="BF46" s="80"/>
      <c r="BG46" s="150"/>
      <c r="BH46" s="191"/>
      <c r="BI46" s="120"/>
      <c r="BJ46" s="120"/>
      <c r="BK46" s="120"/>
      <c r="BL46" s="80"/>
      <c r="BM46" s="80"/>
      <c r="BQ46" s="22"/>
    </row>
    <row r="47" spans="1:75" ht="17.5">
      <c r="A47" s="251"/>
      <c r="B47" s="54" t="s">
        <v>538</v>
      </c>
      <c r="C47" s="49">
        <f t="shared" ca="1" si="55"/>
        <v>0.51168507236397298</v>
      </c>
      <c r="D47" s="49">
        <f t="shared" ca="1" si="55"/>
        <v>0.79517094393120213</v>
      </c>
      <c r="E47" s="49">
        <f t="shared" ca="1" si="55"/>
        <v>0.32340783363299441</v>
      </c>
      <c r="F47" s="49">
        <f t="shared" ca="1" si="55"/>
        <v>0.81079438293615569</v>
      </c>
      <c r="G47" s="49">
        <f t="shared" ca="1" si="55"/>
        <v>2.9000287712749762E-2</v>
      </c>
      <c r="H47" s="49">
        <f t="shared" ca="1" si="55"/>
        <v>0.40138260766766121</v>
      </c>
      <c r="I47" s="49">
        <f t="shared" ca="1" si="55"/>
        <v>0.19328704156225807</v>
      </c>
      <c r="J47" s="49">
        <f t="shared" ca="1" si="55"/>
        <v>0.81280857486067859</v>
      </c>
      <c r="K47" s="49">
        <f t="shared" ca="1" si="55"/>
        <v>3.2105354582673939E-2</v>
      </c>
      <c r="L47" s="49">
        <f t="shared" ca="1" si="55"/>
        <v>0.29868776912185024</v>
      </c>
      <c r="M47" s="49">
        <f t="shared" ca="1" si="56"/>
        <v>0.44531449566739956</v>
      </c>
      <c r="N47" s="49">
        <f t="shared" ca="1" si="56"/>
        <v>0.45748316889261809</v>
      </c>
      <c r="O47" s="49">
        <f t="shared" ca="1" si="56"/>
        <v>0.92552539703879333</v>
      </c>
      <c r="P47" s="49">
        <f t="shared" ca="1" si="56"/>
        <v>0.12173260440617062</v>
      </c>
      <c r="Q47" s="49">
        <f t="shared" ca="1" si="56"/>
        <v>0.41534943663734281</v>
      </c>
      <c r="R47" s="49">
        <f t="shared" ca="1" si="56"/>
        <v>0.32260860027011495</v>
      </c>
      <c r="S47" s="49">
        <f t="shared" ca="1" si="56"/>
        <v>0.45593345975400112</v>
      </c>
      <c r="T47" s="49">
        <f t="shared" ca="1" si="56"/>
        <v>0.53113558409964789</v>
      </c>
      <c r="U47" s="49">
        <f t="shared" ca="1" si="56"/>
        <v>0.29431569390631562</v>
      </c>
      <c r="V47" s="49">
        <f t="shared" ca="1" si="56"/>
        <v>0.18200545175287053</v>
      </c>
      <c r="W47" s="49">
        <f t="shared" ca="1" si="57"/>
        <v>0.67013627594171588</v>
      </c>
      <c r="X47" s="49">
        <f t="shared" ca="1" si="57"/>
        <v>7.9560036489669583E-2</v>
      </c>
      <c r="Y47" s="49">
        <f t="shared" ca="1" si="57"/>
        <v>0.52707888418027582</v>
      </c>
      <c r="Z47" s="49">
        <f t="shared" ca="1" si="57"/>
        <v>0.56949976832598936</v>
      </c>
      <c r="AA47" s="49">
        <f t="shared" ca="1" si="57"/>
        <v>0.37266725728654193</v>
      </c>
      <c r="AB47" s="49">
        <f t="shared" ca="1" si="57"/>
        <v>0.90672749377168838</v>
      </c>
      <c r="AC47" s="49">
        <f t="shared" ca="1" si="57"/>
        <v>0.89940024927845852</v>
      </c>
      <c r="AD47" s="49">
        <f t="shared" ca="1" si="57"/>
        <v>0.25601037480729194</v>
      </c>
      <c r="AE47" s="49">
        <f t="shared" ca="1" si="57"/>
        <v>0.78726438681254129</v>
      </c>
      <c r="AF47" s="49">
        <f t="shared" ca="1" si="57"/>
        <v>0.58435653026090184</v>
      </c>
      <c r="AG47" s="49">
        <f t="shared" ca="1" si="58"/>
        <v>9.2013304203786839E-2</v>
      </c>
      <c r="AH47" s="49">
        <f t="shared" ca="1" si="58"/>
        <v>0.39611885258989443</v>
      </c>
      <c r="AI47" s="49">
        <f t="shared" ca="1" si="58"/>
        <v>0.28992825767702601</v>
      </c>
      <c r="AJ47" s="49">
        <f t="shared" ca="1" si="58"/>
        <v>0.97957886176387221</v>
      </c>
      <c r="AK47" s="49">
        <f t="shared" ca="1" si="58"/>
        <v>0.72433506541894954</v>
      </c>
      <c r="AL47" s="49">
        <f t="shared" ca="1" si="58"/>
        <v>0.68257434944033035</v>
      </c>
      <c r="AM47" s="49">
        <f t="shared" ca="1" si="58"/>
        <v>0.92362639236097233</v>
      </c>
      <c r="AN47" s="49">
        <f t="shared" ca="1" si="58"/>
        <v>0.2496313377100291</v>
      </c>
      <c r="AO47" s="49">
        <f t="shared" ca="1" si="58"/>
        <v>0.11926756366513558</v>
      </c>
      <c r="AP47" s="49">
        <f t="shared" ca="1" si="58"/>
        <v>0.49335090651655356</v>
      </c>
      <c r="AQ47" s="49">
        <f t="shared" ca="1" si="58"/>
        <v>0.29701430574801346</v>
      </c>
      <c r="AR47" s="49">
        <f t="shared" ca="1" si="58"/>
        <v>0.39175311616616182</v>
      </c>
      <c r="AS47" s="49">
        <f t="shared" ca="1" si="58"/>
        <v>0.32951682472037092</v>
      </c>
      <c r="AT47" s="49">
        <f t="shared" ca="1" si="58"/>
        <v>3.2516600832502851E-2</v>
      </c>
      <c r="AU47" s="49">
        <f t="shared" ca="1" si="58"/>
        <v>0.16359582708300779</v>
      </c>
      <c r="AV47" s="78"/>
      <c r="AW47" s="78"/>
      <c r="AX47" s="78"/>
      <c r="BA47" s="149"/>
      <c r="BB47" s="149"/>
      <c r="BC47" s="80"/>
      <c r="BD47" s="149"/>
      <c r="BE47" s="183"/>
      <c r="BF47" s="80"/>
      <c r="BG47" s="150"/>
      <c r="BH47" s="191"/>
      <c r="BI47" s="132"/>
      <c r="BJ47" s="120"/>
      <c r="BK47" s="120"/>
      <c r="BL47" s="80"/>
      <c r="BM47" s="147"/>
      <c r="BQ47" s="22"/>
    </row>
    <row r="48" spans="1:75" ht="17.5">
      <c r="A48" s="251"/>
      <c r="B48" s="54" t="s">
        <v>539</v>
      </c>
      <c r="C48" s="49">
        <f t="shared" ca="1" si="55"/>
        <v>0.69366627527252689</v>
      </c>
      <c r="D48" s="49">
        <f t="shared" ca="1" si="55"/>
        <v>7.0110097607844812E-2</v>
      </c>
      <c r="E48" s="49">
        <f t="shared" ca="1" si="55"/>
        <v>0.62725499026625042</v>
      </c>
      <c r="F48" s="49">
        <f t="shared" ca="1" si="55"/>
        <v>0.54440724819491537</v>
      </c>
      <c r="G48" s="49">
        <f t="shared" ca="1" si="55"/>
        <v>0.74647077059581557</v>
      </c>
      <c r="H48" s="49">
        <f t="shared" ca="1" si="55"/>
        <v>0.2394057520121019</v>
      </c>
      <c r="I48" s="49">
        <f t="shared" ca="1" si="55"/>
        <v>0.62178001014004769</v>
      </c>
      <c r="J48" s="49">
        <f t="shared" ca="1" si="55"/>
        <v>0.51069774572234528</v>
      </c>
      <c r="K48" s="49">
        <f t="shared" ca="1" si="55"/>
        <v>0.89834100175924714</v>
      </c>
      <c r="L48" s="49">
        <f t="shared" ca="1" si="55"/>
        <v>0.91469642631817538</v>
      </c>
      <c r="M48" s="49">
        <f t="shared" ca="1" si="56"/>
        <v>0.69512139343500867</v>
      </c>
      <c r="N48" s="49">
        <f t="shared" ca="1" si="56"/>
        <v>0.36545340010964578</v>
      </c>
      <c r="O48" s="49">
        <f t="shared" ca="1" si="56"/>
        <v>0.17105912396980771</v>
      </c>
      <c r="P48" s="49">
        <f t="shared" ca="1" si="56"/>
        <v>0.36028044363506428</v>
      </c>
      <c r="Q48" s="49">
        <f t="shared" ca="1" si="56"/>
        <v>0.51781872303283938</v>
      </c>
      <c r="R48" s="49">
        <f t="shared" ca="1" si="56"/>
        <v>0.92675366697382533</v>
      </c>
      <c r="S48" s="49">
        <f t="shared" ca="1" si="56"/>
        <v>0.89399446707835806</v>
      </c>
      <c r="T48" s="49">
        <f t="shared" ca="1" si="56"/>
        <v>0.29968113464875701</v>
      </c>
      <c r="U48" s="49">
        <f t="shared" ca="1" si="56"/>
        <v>0.95093963696350259</v>
      </c>
      <c r="V48" s="49">
        <f t="shared" ca="1" si="56"/>
        <v>0.6800475174694206</v>
      </c>
      <c r="W48" s="49">
        <f t="shared" ca="1" si="57"/>
        <v>0.22255608850830322</v>
      </c>
      <c r="X48" s="49">
        <f t="shared" ca="1" si="57"/>
        <v>0.34239358047261104</v>
      </c>
      <c r="Y48" s="49">
        <f t="shared" ca="1" si="57"/>
        <v>0.48914469148576312</v>
      </c>
      <c r="Z48" s="49">
        <f t="shared" ca="1" si="57"/>
        <v>0.95472765745988941</v>
      </c>
      <c r="AA48" s="49">
        <f t="shared" ca="1" si="57"/>
        <v>0.65698100023303019</v>
      </c>
      <c r="AB48" s="49">
        <f t="shared" ca="1" si="57"/>
        <v>0.95487778764479714</v>
      </c>
      <c r="AC48" s="49">
        <f t="shared" ca="1" si="57"/>
        <v>0.94789875652051048</v>
      </c>
      <c r="AD48" s="49">
        <f t="shared" ca="1" si="57"/>
        <v>0.83668631294584517</v>
      </c>
      <c r="AE48" s="49">
        <f t="shared" ca="1" si="57"/>
        <v>0.85756787633365783</v>
      </c>
      <c r="AF48" s="49">
        <f t="shared" ca="1" si="57"/>
        <v>0.53005932966410485</v>
      </c>
      <c r="AG48" s="49">
        <f t="shared" ca="1" si="58"/>
        <v>0.24029701799263992</v>
      </c>
      <c r="AH48" s="49">
        <f t="shared" ca="1" si="58"/>
        <v>0.14866598086443106</v>
      </c>
      <c r="AI48" s="49">
        <f t="shared" ca="1" si="58"/>
        <v>0.77274858365763255</v>
      </c>
      <c r="AJ48" s="49">
        <f t="shared" ca="1" si="58"/>
        <v>6.3358845732939484E-2</v>
      </c>
      <c r="AK48" s="49">
        <f t="shared" ca="1" si="58"/>
        <v>0.50642471106808429</v>
      </c>
      <c r="AL48" s="49">
        <f t="shared" ca="1" si="58"/>
        <v>0.3753400031070171</v>
      </c>
      <c r="AM48" s="49">
        <f t="shared" ca="1" si="58"/>
        <v>0.21651945147807272</v>
      </c>
      <c r="AN48" s="49">
        <f t="shared" ca="1" si="58"/>
        <v>0.33585681364962627</v>
      </c>
      <c r="AO48" s="49">
        <f t="shared" ca="1" si="58"/>
        <v>0.49511577671995555</v>
      </c>
      <c r="AP48" s="49">
        <f t="shared" ca="1" si="58"/>
        <v>4.7927925974116992E-2</v>
      </c>
      <c r="AQ48" s="49">
        <f t="shared" ca="1" si="58"/>
        <v>0.80349859102896282</v>
      </c>
      <c r="AR48" s="49">
        <f t="shared" ca="1" si="58"/>
        <v>0.85955729012110549</v>
      </c>
      <c r="AS48" s="49">
        <f t="shared" ca="1" si="58"/>
        <v>0.15667464760650218</v>
      </c>
      <c r="AT48" s="49">
        <f t="shared" ca="1" si="58"/>
        <v>0.54142523304939338</v>
      </c>
      <c r="AU48" s="49">
        <f t="shared" ca="1" si="58"/>
        <v>8.2412328286584069E-2</v>
      </c>
      <c r="AV48" s="78"/>
      <c r="AW48" s="78"/>
      <c r="AX48" s="78"/>
      <c r="BA48" s="149"/>
      <c r="BB48" s="149"/>
      <c r="BC48" s="80"/>
      <c r="BD48" s="149"/>
      <c r="BE48" s="183"/>
      <c r="BF48" s="80"/>
      <c r="BG48" s="150"/>
      <c r="BH48" s="191"/>
      <c r="BI48" s="132"/>
      <c r="BJ48" s="120"/>
      <c r="BK48" s="132"/>
      <c r="BL48" s="80"/>
      <c r="BM48" s="147"/>
      <c r="BQ48" s="22"/>
    </row>
    <row r="49" spans="1:69" ht="17.5">
      <c r="A49" s="251"/>
      <c r="B49" s="54" t="s">
        <v>540</v>
      </c>
      <c r="C49" s="49">
        <f t="shared" ca="1" si="55"/>
        <v>0.71294619404000537</v>
      </c>
      <c r="D49" s="49">
        <f t="shared" ca="1" si="55"/>
        <v>0.28361391004097325</v>
      </c>
      <c r="E49" s="49">
        <f t="shared" ca="1" si="55"/>
        <v>0.22550141128702961</v>
      </c>
      <c r="F49" s="49">
        <f t="shared" ca="1" si="55"/>
        <v>0.25749572238069396</v>
      </c>
      <c r="G49" s="49">
        <f t="shared" ca="1" si="55"/>
        <v>0.65456742984139515</v>
      </c>
      <c r="H49" s="49">
        <f t="shared" ca="1" si="55"/>
        <v>0.4694363919757798</v>
      </c>
      <c r="I49" s="49">
        <f t="shared" ca="1" si="55"/>
        <v>4.60339553898792E-3</v>
      </c>
      <c r="J49" s="49">
        <f t="shared" ca="1" si="55"/>
        <v>3.0352040932638324E-2</v>
      </c>
      <c r="K49" s="49">
        <f t="shared" ca="1" si="55"/>
        <v>0.56668382015300911</v>
      </c>
      <c r="L49" s="49">
        <f t="shared" ca="1" si="55"/>
        <v>0.373432450349517</v>
      </c>
      <c r="M49" s="49">
        <f t="shared" ca="1" si="56"/>
        <v>0.17404921665894657</v>
      </c>
      <c r="N49" s="49">
        <f t="shared" ca="1" si="56"/>
        <v>7.1850966312387299E-2</v>
      </c>
      <c r="O49" s="49">
        <f t="shared" ca="1" si="56"/>
        <v>0.18197764474734812</v>
      </c>
      <c r="P49" s="49">
        <f t="shared" ca="1" si="56"/>
        <v>0.95081557054338317</v>
      </c>
      <c r="Q49" s="49">
        <f t="shared" ca="1" si="56"/>
        <v>0.61357168699382725</v>
      </c>
      <c r="R49" s="49">
        <f t="shared" ca="1" si="56"/>
        <v>0.50387704431300639</v>
      </c>
      <c r="S49" s="49">
        <f t="shared" ca="1" si="56"/>
        <v>0.72437830718106511</v>
      </c>
      <c r="T49" s="49">
        <f t="shared" ca="1" si="56"/>
        <v>0.31257857103056752</v>
      </c>
      <c r="U49" s="49">
        <f t="shared" ca="1" si="56"/>
        <v>0.93916017271770147</v>
      </c>
      <c r="V49" s="49">
        <f t="shared" ca="1" si="56"/>
        <v>0.71994238899567631</v>
      </c>
      <c r="W49" s="49">
        <f t="shared" ca="1" si="57"/>
        <v>0.43655031191389093</v>
      </c>
      <c r="X49" s="49">
        <f t="shared" ca="1" si="57"/>
        <v>0.49674845768121723</v>
      </c>
      <c r="Y49" s="49">
        <f t="shared" ca="1" si="57"/>
        <v>0.6182002293870934</v>
      </c>
      <c r="Z49" s="49">
        <f t="shared" ca="1" si="57"/>
        <v>0.72685729745429228</v>
      </c>
      <c r="AA49" s="49">
        <f t="shared" ca="1" si="57"/>
        <v>0.5084189302348936</v>
      </c>
      <c r="AB49" s="49">
        <f t="shared" ca="1" si="57"/>
        <v>1.4756935623748801E-2</v>
      </c>
      <c r="AC49" s="49">
        <f t="shared" ca="1" si="57"/>
        <v>0.42174294329818074</v>
      </c>
      <c r="AD49" s="49">
        <f t="shared" ca="1" si="57"/>
        <v>0.80550355526533712</v>
      </c>
      <c r="AE49" s="49">
        <f t="shared" ca="1" si="57"/>
        <v>0.45124356081245465</v>
      </c>
      <c r="AF49" s="49">
        <f t="shared" ca="1" si="57"/>
        <v>0.42635999835063798</v>
      </c>
      <c r="AG49" s="49">
        <f t="shared" ca="1" si="58"/>
        <v>0.61248107213092606</v>
      </c>
      <c r="AH49" s="49">
        <f t="shared" ca="1" si="58"/>
        <v>0.84430973392340114</v>
      </c>
      <c r="AI49" s="49">
        <f t="shared" ca="1" si="58"/>
        <v>0.57136897995144698</v>
      </c>
      <c r="AJ49" s="49">
        <f t="shared" ca="1" si="58"/>
        <v>0.57456652686368237</v>
      </c>
      <c r="AK49" s="49">
        <f t="shared" ca="1" si="58"/>
        <v>0.59069779109912135</v>
      </c>
      <c r="AL49" s="49">
        <f t="shared" ca="1" si="58"/>
        <v>0.56921245686475797</v>
      </c>
      <c r="AM49" s="49">
        <f t="shared" ca="1" si="58"/>
        <v>7.0794395970754875E-2</v>
      </c>
      <c r="AN49" s="49">
        <f t="shared" ca="1" si="58"/>
        <v>0.1236089404589924</v>
      </c>
      <c r="AO49" s="49">
        <f t="shared" ca="1" si="58"/>
        <v>7.7197606958686493E-2</v>
      </c>
      <c r="AP49" s="49">
        <f t="shared" ca="1" si="58"/>
        <v>0.77578653860603264</v>
      </c>
      <c r="AQ49" s="49">
        <f t="shared" ca="1" si="58"/>
        <v>0.66718540371318313</v>
      </c>
      <c r="AR49" s="49">
        <f t="shared" ca="1" si="58"/>
        <v>0.24021982771962891</v>
      </c>
      <c r="AS49" s="49">
        <f t="shared" ca="1" si="58"/>
        <v>0.42777399840817953</v>
      </c>
      <c r="AT49" s="49">
        <f t="shared" ca="1" si="58"/>
        <v>0.92188747526123338</v>
      </c>
      <c r="AU49" s="49">
        <f t="shared" ca="1" si="58"/>
        <v>0.4245455252996313</v>
      </c>
      <c r="AV49" s="78"/>
      <c r="AW49" s="78"/>
      <c r="AX49" s="78"/>
      <c r="BA49" s="149"/>
      <c r="BB49" s="149"/>
      <c r="BC49" s="80"/>
      <c r="BD49" s="149"/>
      <c r="BE49" s="147"/>
      <c r="BF49" s="80"/>
      <c r="BG49" s="150"/>
      <c r="BH49" s="191"/>
      <c r="BI49" s="120"/>
      <c r="BJ49" s="120"/>
      <c r="BK49" s="120"/>
      <c r="BL49" s="80"/>
      <c r="BM49" s="147"/>
      <c r="BQ49" s="22"/>
    </row>
    <row r="50" spans="1:69" ht="17.5">
      <c r="A50" s="251" t="s">
        <v>561</v>
      </c>
      <c r="B50" s="54" t="s">
        <v>560</v>
      </c>
      <c r="C50" s="57" t="str">
        <f t="shared" ref="C50:AU50" ca="1" si="59">IF(RIGHT(C7,1)="1","홀수",IF(RIGHT(C7,1)="3","홀수",IF(RIGHT(C7,1)="5","홀수",IF(RIGHT(C7,1)="7","홀수",IF(RIGHT(C7,1)="9","홀수","짝수")))))</f>
        <v>홀수</v>
      </c>
      <c r="D50" s="57" t="str">
        <f t="shared" ca="1" si="59"/>
        <v>홀수</v>
      </c>
      <c r="E50" s="57" t="str">
        <f t="shared" ca="1" si="59"/>
        <v>짝수</v>
      </c>
      <c r="F50" s="57" t="str">
        <f t="shared" ca="1" si="59"/>
        <v>짝수</v>
      </c>
      <c r="G50" s="57" t="str">
        <f t="shared" ca="1" si="59"/>
        <v>홀수</v>
      </c>
      <c r="H50" s="57" t="str">
        <f t="shared" ca="1" si="59"/>
        <v>홀수</v>
      </c>
      <c r="I50" s="57" t="str">
        <f t="shared" ca="1" si="59"/>
        <v>홀수</v>
      </c>
      <c r="J50" s="57" t="str">
        <f t="shared" ca="1" si="59"/>
        <v>홀수</v>
      </c>
      <c r="K50" s="57" t="str">
        <f t="shared" ca="1" si="59"/>
        <v>홀수</v>
      </c>
      <c r="L50" s="57" t="str">
        <f t="shared" ca="1" si="59"/>
        <v>홀수</v>
      </c>
      <c r="M50" s="57" t="str">
        <f t="shared" ca="1" si="59"/>
        <v>짝수</v>
      </c>
      <c r="N50" s="57" t="str">
        <f t="shared" ca="1" si="59"/>
        <v>짝수</v>
      </c>
      <c r="O50" s="57" t="str">
        <f t="shared" ca="1" si="59"/>
        <v>홀수</v>
      </c>
      <c r="P50" s="57" t="str">
        <f t="shared" ca="1" si="59"/>
        <v>짝수</v>
      </c>
      <c r="Q50" s="57" t="str">
        <f t="shared" ca="1" si="59"/>
        <v>홀수</v>
      </c>
      <c r="R50" s="57" t="str">
        <f t="shared" si="59"/>
        <v>짝수</v>
      </c>
      <c r="S50" s="57" t="str">
        <f t="shared" si="59"/>
        <v>짝수</v>
      </c>
      <c r="T50" s="57" t="str">
        <f t="shared" si="59"/>
        <v>짝수</v>
      </c>
      <c r="U50" s="57" t="str">
        <f t="shared" si="59"/>
        <v>짝수</v>
      </c>
      <c r="V50" s="57" t="str">
        <f t="shared" si="59"/>
        <v>짝수</v>
      </c>
      <c r="W50" s="57" t="str">
        <f t="shared" si="59"/>
        <v>짝수</v>
      </c>
      <c r="X50" s="57" t="str">
        <f t="shared" si="59"/>
        <v>짝수</v>
      </c>
      <c r="Y50" s="57" t="str">
        <f t="shared" si="59"/>
        <v>짝수</v>
      </c>
      <c r="Z50" s="57" t="str">
        <f t="shared" si="59"/>
        <v>짝수</v>
      </c>
      <c r="AA50" s="57" t="str">
        <f t="shared" si="59"/>
        <v>짝수</v>
      </c>
      <c r="AB50" s="57" t="str">
        <f t="shared" si="59"/>
        <v>짝수</v>
      </c>
      <c r="AC50" s="57" t="str">
        <f t="shared" si="59"/>
        <v>짝수</v>
      </c>
      <c r="AD50" s="57" t="str">
        <f t="shared" si="59"/>
        <v>짝수</v>
      </c>
      <c r="AE50" s="57" t="str">
        <f t="shared" si="59"/>
        <v>짝수</v>
      </c>
      <c r="AF50" s="57" t="str">
        <f t="shared" si="59"/>
        <v>짝수</v>
      </c>
      <c r="AG50" s="57" t="str">
        <f t="shared" si="59"/>
        <v>짝수</v>
      </c>
      <c r="AH50" s="57" t="str">
        <f t="shared" si="59"/>
        <v>짝수</v>
      </c>
      <c r="AI50" s="57" t="str">
        <f t="shared" si="59"/>
        <v>짝수</v>
      </c>
      <c r="AJ50" s="57" t="str">
        <f t="shared" si="59"/>
        <v>짝수</v>
      </c>
      <c r="AK50" s="57" t="str">
        <f t="shared" si="59"/>
        <v>짝수</v>
      </c>
      <c r="AL50" s="57" t="str">
        <f t="shared" si="59"/>
        <v>짝수</v>
      </c>
      <c r="AM50" s="57" t="str">
        <f t="shared" si="59"/>
        <v>짝수</v>
      </c>
      <c r="AN50" s="57" t="str">
        <f t="shared" si="59"/>
        <v>짝수</v>
      </c>
      <c r="AO50" s="57" t="str">
        <f t="shared" si="59"/>
        <v>짝수</v>
      </c>
      <c r="AP50" s="57" t="str">
        <f t="shared" si="59"/>
        <v>짝수</v>
      </c>
      <c r="AQ50" s="57" t="str">
        <f t="shared" si="59"/>
        <v>짝수</v>
      </c>
      <c r="AR50" s="57" t="str">
        <f t="shared" si="59"/>
        <v>짝수</v>
      </c>
      <c r="AS50" s="57" t="str">
        <f t="shared" si="59"/>
        <v>짝수</v>
      </c>
      <c r="AT50" s="57" t="str">
        <f t="shared" si="59"/>
        <v>짝수</v>
      </c>
      <c r="AU50" s="57" t="str">
        <f t="shared" si="59"/>
        <v>짝수</v>
      </c>
      <c r="AV50" s="173"/>
      <c r="AW50" s="173"/>
      <c r="AX50" s="173"/>
      <c r="BA50" s="149"/>
      <c r="BB50" s="149"/>
      <c r="BC50" s="80"/>
      <c r="BD50" s="149"/>
      <c r="BE50" s="22"/>
      <c r="BF50" s="80"/>
      <c r="BG50" s="150"/>
      <c r="BH50" s="191"/>
      <c r="BI50" s="120"/>
      <c r="BJ50" s="120"/>
      <c r="BK50" s="120"/>
      <c r="BL50" s="80"/>
      <c r="BM50" s="147"/>
      <c r="BQ50" s="22"/>
    </row>
    <row r="51" spans="1:69" ht="17.5">
      <c r="A51" s="251"/>
      <c r="B51" s="54" t="s">
        <v>536</v>
      </c>
      <c r="C51" s="57" t="str">
        <f t="shared" ref="C51:AU51" ca="1" si="60">IF(RIGHT(C8,1)="1","홀수",IF(RIGHT(C8,1)="3","홀수",IF(RIGHT(C8,1)="5","홀수",IF(RIGHT(C8,1)="7","홀수",IF(RIGHT(C8,1)="9","홀수","짝수")))))</f>
        <v>짝수</v>
      </c>
      <c r="D51" s="57" t="str">
        <f t="shared" ca="1" si="60"/>
        <v>짝수</v>
      </c>
      <c r="E51" s="57" t="str">
        <f t="shared" ca="1" si="60"/>
        <v>홀수</v>
      </c>
      <c r="F51" s="57" t="str">
        <f t="shared" ca="1" si="60"/>
        <v>홀수</v>
      </c>
      <c r="G51" s="57" t="str">
        <f t="shared" ca="1" si="60"/>
        <v>홀수</v>
      </c>
      <c r="H51" s="57" t="str">
        <f t="shared" ca="1" si="60"/>
        <v>짝수</v>
      </c>
      <c r="I51" s="57" t="str">
        <f t="shared" ca="1" si="60"/>
        <v>홀수</v>
      </c>
      <c r="J51" s="57" t="str">
        <f t="shared" ca="1" si="60"/>
        <v>홀수</v>
      </c>
      <c r="K51" s="57" t="str">
        <f t="shared" ca="1" si="60"/>
        <v>홀수</v>
      </c>
      <c r="L51" s="57" t="str">
        <f t="shared" ca="1" si="60"/>
        <v>홀수</v>
      </c>
      <c r="M51" s="57" t="str">
        <f t="shared" ca="1" si="60"/>
        <v>짝수</v>
      </c>
      <c r="N51" s="57" t="str">
        <f t="shared" ca="1" si="60"/>
        <v>짝수</v>
      </c>
      <c r="O51" s="57" t="str">
        <f t="shared" ca="1" si="60"/>
        <v>홀수</v>
      </c>
      <c r="P51" s="57" t="str">
        <f t="shared" ca="1" si="60"/>
        <v>홀수</v>
      </c>
      <c r="Q51" s="57" t="str">
        <f t="shared" ca="1" si="60"/>
        <v>짝수</v>
      </c>
      <c r="R51" s="57" t="str">
        <f t="shared" si="60"/>
        <v>짝수</v>
      </c>
      <c r="S51" s="57" t="str">
        <f t="shared" si="60"/>
        <v>짝수</v>
      </c>
      <c r="T51" s="57" t="str">
        <f t="shared" si="60"/>
        <v>짝수</v>
      </c>
      <c r="U51" s="57" t="str">
        <f t="shared" si="60"/>
        <v>짝수</v>
      </c>
      <c r="V51" s="57" t="str">
        <f t="shared" si="60"/>
        <v>짝수</v>
      </c>
      <c r="W51" s="57" t="str">
        <f t="shared" si="60"/>
        <v>짝수</v>
      </c>
      <c r="X51" s="57" t="str">
        <f t="shared" si="60"/>
        <v>짝수</v>
      </c>
      <c r="Y51" s="57" t="str">
        <f t="shared" si="60"/>
        <v>짝수</v>
      </c>
      <c r="Z51" s="57" t="str">
        <f t="shared" si="60"/>
        <v>짝수</v>
      </c>
      <c r="AA51" s="57" t="str">
        <f t="shared" si="60"/>
        <v>짝수</v>
      </c>
      <c r="AB51" s="57" t="str">
        <f t="shared" si="60"/>
        <v>짝수</v>
      </c>
      <c r="AC51" s="57" t="str">
        <f t="shared" si="60"/>
        <v>짝수</v>
      </c>
      <c r="AD51" s="57" t="str">
        <f t="shared" si="60"/>
        <v>짝수</v>
      </c>
      <c r="AE51" s="57" t="str">
        <f t="shared" si="60"/>
        <v>짝수</v>
      </c>
      <c r="AF51" s="57" t="str">
        <f t="shared" si="60"/>
        <v>짝수</v>
      </c>
      <c r="AG51" s="57" t="str">
        <f t="shared" si="60"/>
        <v>짝수</v>
      </c>
      <c r="AH51" s="57" t="str">
        <f t="shared" si="60"/>
        <v>짝수</v>
      </c>
      <c r="AI51" s="57" t="str">
        <f t="shared" si="60"/>
        <v>짝수</v>
      </c>
      <c r="AJ51" s="57" t="str">
        <f t="shared" si="60"/>
        <v>짝수</v>
      </c>
      <c r="AK51" s="57" t="str">
        <f t="shared" si="60"/>
        <v>짝수</v>
      </c>
      <c r="AL51" s="57" t="str">
        <f t="shared" si="60"/>
        <v>짝수</v>
      </c>
      <c r="AM51" s="57" t="str">
        <f t="shared" si="60"/>
        <v>짝수</v>
      </c>
      <c r="AN51" s="57" t="str">
        <f t="shared" si="60"/>
        <v>짝수</v>
      </c>
      <c r="AO51" s="57" t="str">
        <f t="shared" si="60"/>
        <v>짝수</v>
      </c>
      <c r="AP51" s="57" t="str">
        <f t="shared" si="60"/>
        <v>짝수</v>
      </c>
      <c r="AQ51" s="57" t="str">
        <f t="shared" si="60"/>
        <v>짝수</v>
      </c>
      <c r="AR51" s="57" t="str">
        <f t="shared" si="60"/>
        <v>짝수</v>
      </c>
      <c r="AS51" s="57" t="str">
        <f t="shared" si="60"/>
        <v>짝수</v>
      </c>
      <c r="AT51" s="57" t="str">
        <f t="shared" si="60"/>
        <v>짝수</v>
      </c>
      <c r="AU51" s="57" t="str">
        <f t="shared" si="60"/>
        <v>짝수</v>
      </c>
      <c r="AV51" s="173"/>
      <c r="AW51" s="173"/>
      <c r="AX51" s="173"/>
      <c r="BA51" s="149"/>
      <c r="BB51" s="149"/>
      <c r="BC51" s="80"/>
      <c r="BD51" s="149"/>
      <c r="BE51" s="22"/>
      <c r="BF51" s="80"/>
      <c r="BG51" s="150"/>
      <c r="BH51" s="191"/>
      <c r="BI51" s="120"/>
      <c r="BJ51" s="120"/>
      <c r="BK51" s="120"/>
      <c r="BL51" s="80"/>
    </row>
    <row r="52" spans="1:69" ht="17.5">
      <c r="A52" s="251"/>
      <c r="B52" s="54" t="s">
        <v>537</v>
      </c>
      <c r="C52" s="57" t="str">
        <f t="shared" ref="C52:AU52" ca="1" si="61">IF(RIGHT(C9,1)="1","홀수",IF(RIGHT(C9,1)="3","홀수",IF(RIGHT(C9,1)="5","홀수",IF(RIGHT(C9,1)="7","홀수",IF(RIGHT(C9,1)="9","홀수","짝수")))))</f>
        <v>홀수</v>
      </c>
      <c r="D52" s="57" t="str">
        <f t="shared" ca="1" si="61"/>
        <v>짝수</v>
      </c>
      <c r="E52" s="57" t="str">
        <f t="shared" ca="1" si="61"/>
        <v>짝수</v>
      </c>
      <c r="F52" s="57" t="str">
        <f t="shared" ca="1" si="61"/>
        <v>짝수</v>
      </c>
      <c r="G52" s="57" t="str">
        <f t="shared" ca="1" si="61"/>
        <v>홀수</v>
      </c>
      <c r="H52" s="57" t="str">
        <f t="shared" ca="1" si="61"/>
        <v>홀수</v>
      </c>
      <c r="I52" s="57" t="str">
        <f t="shared" ca="1" si="61"/>
        <v>홀수</v>
      </c>
      <c r="J52" s="57" t="str">
        <f t="shared" ca="1" si="61"/>
        <v>홀수</v>
      </c>
      <c r="K52" s="57" t="str">
        <f t="shared" ca="1" si="61"/>
        <v>짝수</v>
      </c>
      <c r="L52" s="57" t="str">
        <f t="shared" ca="1" si="61"/>
        <v>짝수</v>
      </c>
      <c r="M52" s="57" t="str">
        <f t="shared" ca="1" si="61"/>
        <v>홀수</v>
      </c>
      <c r="N52" s="57" t="str">
        <f t="shared" ca="1" si="61"/>
        <v>짝수</v>
      </c>
      <c r="O52" s="57" t="str">
        <f t="shared" ca="1" si="61"/>
        <v>짝수</v>
      </c>
      <c r="P52" s="57" t="str">
        <f t="shared" ca="1" si="61"/>
        <v>짝수</v>
      </c>
      <c r="Q52" s="57" t="str">
        <f t="shared" ca="1" si="61"/>
        <v>짝수</v>
      </c>
      <c r="R52" s="57" t="str">
        <f t="shared" si="61"/>
        <v>짝수</v>
      </c>
      <c r="S52" s="57" t="str">
        <f t="shared" si="61"/>
        <v>짝수</v>
      </c>
      <c r="T52" s="57" t="str">
        <f t="shared" si="61"/>
        <v>짝수</v>
      </c>
      <c r="U52" s="57" t="str">
        <f t="shared" si="61"/>
        <v>짝수</v>
      </c>
      <c r="V52" s="57" t="str">
        <f t="shared" si="61"/>
        <v>짝수</v>
      </c>
      <c r="W52" s="57" t="str">
        <f t="shared" si="61"/>
        <v>짝수</v>
      </c>
      <c r="X52" s="57" t="str">
        <f t="shared" si="61"/>
        <v>짝수</v>
      </c>
      <c r="Y52" s="57" t="str">
        <f t="shared" si="61"/>
        <v>짝수</v>
      </c>
      <c r="Z52" s="57" t="str">
        <f t="shared" si="61"/>
        <v>짝수</v>
      </c>
      <c r="AA52" s="57" t="str">
        <f t="shared" si="61"/>
        <v>짝수</v>
      </c>
      <c r="AB52" s="57" t="str">
        <f t="shared" si="61"/>
        <v>짝수</v>
      </c>
      <c r="AC52" s="57" t="str">
        <f t="shared" si="61"/>
        <v>짝수</v>
      </c>
      <c r="AD52" s="57" t="str">
        <f t="shared" si="61"/>
        <v>짝수</v>
      </c>
      <c r="AE52" s="57" t="str">
        <f t="shared" si="61"/>
        <v>짝수</v>
      </c>
      <c r="AF52" s="57" t="str">
        <f t="shared" si="61"/>
        <v>짝수</v>
      </c>
      <c r="AG52" s="57" t="str">
        <f t="shared" si="61"/>
        <v>짝수</v>
      </c>
      <c r="AH52" s="57" t="str">
        <f t="shared" si="61"/>
        <v>짝수</v>
      </c>
      <c r="AI52" s="57" t="str">
        <f t="shared" si="61"/>
        <v>짝수</v>
      </c>
      <c r="AJ52" s="57" t="str">
        <f t="shared" si="61"/>
        <v>짝수</v>
      </c>
      <c r="AK52" s="57" t="str">
        <f t="shared" si="61"/>
        <v>짝수</v>
      </c>
      <c r="AL52" s="57" t="str">
        <f t="shared" si="61"/>
        <v>짝수</v>
      </c>
      <c r="AM52" s="57" t="str">
        <f t="shared" si="61"/>
        <v>짝수</v>
      </c>
      <c r="AN52" s="57" t="str">
        <f t="shared" si="61"/>
        <v>짝수</v>
      </c>
      <c r="AO52" s="57" t="str">
        <f t="shared" si="61"/>
        <v>짝수</v>
      </c>
      <c r="AP52" s="57" t="str">
        <f t="shared" si="61"/>
        <v>짝수</v>
      </c>
      <c r="AQ52" s="57" t="str">
        <f t="shared" si="61"/>
        <v>짝수</v>
      </c>
      <c r="AR52" s="57" t="str">
        <f t="shared" si="61"/>
        <v>짝수</v>
      </c>
      <c r="AS52" s="57" t="str">
        <f t="shared" si="61"/>
        <v>짝수</v>
      </c>
      <c r="AT52" s="57" t="str">
        <f t="shared" si="61"/>
        <v>짝수</v>
      </c>
      <c r="AU52" s="57" t="str">
        <f t="shared" si="61"/>
        <v>짝수</v>
      </c>
      <c r="AV52" s="173"/>
      <c r="AW52" s="173"/>
      <c r="AX52" s="173"/>
      <c r="BA52" s="149"/>
      <c r="BB52" s="149"/>
      <c r="BC52" s="80"/>
      <c r="BD52" s="149"/>
      <c r="BE52" s="22"/>
      <c r="BF52" s="80"/>
      <c r="BG52" s="150"/>
      <c r="BH52" s="191"/>
      <c r="BI52" s="120"/>
      <c r="BJ52" s="120"/>
      <c r="BK52" s="120"/>
      <c r="BL52" s="80"/>
    </row>
    <row r="53" spans="1:69" ht="17.5">
      <c r="A53" s="251"/>
      <c r="B53" s="54" t="s">
        <v>538</v>
      </c>
      <c r="C53" s="57" t="str">
        <f t="shared" ref="C53:AU53" ca="1" si="62">IF(RIGHT(C10,1)="1","홀수",IF(RIGHT(C10,1)="3","홀수",IF(RIGHT(C10,1)="5","홀수",IF(RIGHT(C10,1)="7","홀수",IF(RIGHT(C10,1)="9","홀수","짝수")))))</f>
        <v>홀수</v>
      </c>
      <c r="D53" s="57" t="str">
        <f t="shared" ca="1" si="62"/>
        <v>짝수</v>
      </c>
      <c r="E53" s="57" t="str">
        <f t="shared" ca="1" si="62"/>
        <v>홀수</v>
      </c>
      <c r="F53" s="57" t="str">
        <f t="shared" ca="1" si="62"/>
        <v>홀수</v>
      </c>
      <c r="G53" s="57" t="str">
        <f t="shared" ca="1" si="62"/>
        <v>홀수</v>
      </c>
      <c r="H53" s="57" t="str">
        <f t="shared" ca="1" si="62"/>
        <v>짝수</v>
      </c>
      <c r="I53" s="57" t="str">
        <f t="shared" ca="1" si="62"/>
        <v>홀수</v>
      </c>
      <c r="J53" s="57" t="str">
        <f t="shared" ca="1" si="62"/>
        <v>짝수</v>
      </c>
      <c r="K53" s="57" t="str">
        <f t="shared" ca="1" si="62"/>
        <v>짝수</v>
      </c>
      <c r="L53" s="57" t="str">
        <f t="shared" ca="1" si="62"/>
        <v>홀수</v>
      </c>
      <c r="M53" s="57" t="str">
        <f t="shared" ca="1" si="62"/>
        <v>짝수</v>
      </c>
      <c r="N53" s="57" t="str">
        <f t="shared" ca="1" si="62"/>
        <v>짝수</v>
      </c>
      <c r="O53" s="57" t="str">
        <f t="shared" ca="1" si="62"/>
        <v>짝수</v>
      </c>
      <c r="P53" s="57" t="str">
        <f t="shared" ca="1" si="62"/>
        <v>홀수</v>
      </c>
      <c r="Q53" s="57" t="str">
        <f t="shared" ca="1" si="62"/>
        <v>홀수</v>
      </c>
      <c r="R53" s="57" t="str">
        <f t="shared" si="62"/>
        <v>짝수</v>
      </c>
      <c r="S53" s="57" t="str">
        <f t="shared" si="62"/>
        <v>짝수</v>
      </c>
      <c r="T53" s="57" t="str">
        <f t="shared" si="62"/>
        <v>짝수</v>
      </c>
      <c r="U53" s="57" t="str">
        <f t="shared" si="62"/>
        <v>짝수</v>
      </c>
      <c r="V53" s="57" t="str">
        <f t="shared" si="62"/>
        <v>짝수</v>
      </c>
      <c r="W53" s="57" t="str">
        <f t="shared" si="62"/>
        <v>짝수</v>
      </c>
      <c r="X53" s="57" t="str">
        <f t="shared" si="62"/>
        <v>짝수</v>
      </c>
      <c r="Y53" s="57" t="str">
        <f t="shared" si="62"/>
        <v>짝수</v>
      </c>
      <c r="Z53" s="57" t="str">
        <f t="shared" si="62"/>
        <v>짝수</v>
      </c>
      <c r="AA53" s="57" t="str">
        <f t="shared" si="62"/>
        <v>짝수</v>
      </c>
      <c r="AB53" s="57" t="str">
        <f t="shared" si="62"/>
        <v>짝수</v>
      </c>
      <c r="AC53" s="57" t="str">
        <f t="shared" si="62"/>
        <v>짝수</v>
      </c>
      <c r="AD53" s="57" t="str">
        <f t="shared" si="62"/>
        <v>짝수</v>
      </c>
      <c r="AE53" s="57" t="str">
        <f t="shared" si="62"/>
        <v>짝수</v>
      </c>
      <c r="AF53" s="57" t="str">
        <f t="shared" si="62"/>
        <v>짝수</v>
      </c>
      <c r="AG53" s="57" t="str">
        <f t="shared" si="62"/>
        <v>짝수</v>
      </c>
      <c r="AH53" s="57" t="str">
        <f t="shared" si="62"/>
        <v>짝수</v>
      </c>
      <c r="AI53" s="57" t="str">
        <f t="shared" si="62"/>
        <v>짝수</v>
      </c>
      <c r="AJ53" s="57" t="str">
        <f t="shared" si="62"/>
        <v>짝수</v>
      </c>
      <c r="AK53" s="57" t="str">
        <f t="shared" si="62"/>
        <v>짝수</v>
      </c>
      <c r="AL53" s="57" t="str">
        <f t="shared" si="62"/>
        <v>짝수</v>
      </c>
      <c r="AM53" s="57" t="str">
        <f t="shared" si="62"/>
        <v>짝수</v>
      </c>
      <c r="AN53" s="57" t="str">
        <f t="shared" si="62"/>
        <v>짝수</v>
      </c>
      <c r="AO53" s="57" t="str">
        <f t="shared" si="62"/>
        <v>짝수</v>
      </c>
      <c r="AP53" s="57" t="str">
        <f t="shared" si="62"/>
        <v>짝수</v>
      </c>
      <c r="AQ53" s="57" t="str">
        <f t="shared" si="62"/>
        <v>짝수</v>
      </c>
      <c r="AR53" s="57" t="str">
        <f t="shared" si="62"/>
        <v>짝수</v>
      </c>
      <c r="AS53" s="57" t="str">
        <f t="shared" si="62"/>
        <v>짝수</v>
      </c>
      <c r="AT53" s="57" t="str">
        <f t="shared" si="62"/>
        <v>짝수</v>
      </c>
      <c r="AU53" s="57" t="str">
        <f t="shared" si="62"/>
        <v>짝수</v>
      </c>
      <c r="AV53" s="173"/>
      <c r="AW53" s="173"/>
      <c r="AX53" s="173"/>
      <c r="BA53" s="149"/>
      <c r="BB53" s="149"/>
      <c r="BC53" s="80"/>
      <c r="BD53" s="149"/>
      <c r="BF53" s="80"/>
      <c r="BG53" s="150"/>
      <c r="BH53" s="191"/>
      <c r="BI53" s="120"/>
      <c r="BJ53" s="132"/>
      <c r="BK53" s="120"/>
      <c r="BL53" s="80"/>
    </row>
    <row r="54" spans="1:69" ht="17.5">
      <c r="A54" s="251"/>
      <c r="B54" s="54" t="s">
        <v>539</v>
      </c>
      <c r="C54" s="57" t="str">
        <f t="shared" ref="C54:AU54" ca="1" si="63">IF(RIGHT(C11,1)="1","홀수",IF(RIGHT(C11,1)="3","홀수",IF(RIGHT(C11,1)="5","홀수",IF(RIGHT(C11,1)="7","홀수",IF(RIGHT(C11,1)="9","홀수","짝수")))))</f>
        <v>짝수</v>
      </c>
      <c r="D54" s="57" t="str">
        <f t="shared" ca="1" si="63"/>
        <v>짝수</v>
      </c>
      <c r="E54" s="57" t="str">
        <f t="shared" ca="1" si="63"/>
        <v>홀수</v>
      </c>
      <c r="F54" s="57" t="str">
        <f t="shared" ca="1" si="63"/>
        <v>홀수</v>
      </c>
      <c r="G54" s="57" t="str">
        <f t="shared" ca="1" si="63"/>
        <v>짝수</v>
      </c>
      <c r="H54" s="57" t="str">
        <f t="shared" ca="1" si="63"/>
        <v>홀수</v>
      </c>
      <c r="I54" s="57" t="str">
        <f t="shared" ca="1" si="63"/>
        <v>짝수</v>
      </c>
      <c r="J54" s="57" t="str">
        <f t="shared" ca="1" si="63"/>
        <v>짝수</v>
      </c>
      <c r="K54" s="57" t="str">
        <f t="shared" ca="1" si="63"/>
        <v>홀수</v>
      </c>
      <c r="L54" s="57" t="str">
        <f t="shared" ca="1" si="63"/>
        <v>짝수</v>
      </c>
      <c r="M54" s="57" t="str">
        <f t="shared" ca="1" si="63"/>
        <v>홀수</v>
      </c>
      <c r="N54" s="57" t="str">
        <f t="shared" ca="1" si="63"/>
        <v>짝수</v>
      </c>
      <c r="O54" s="57" t="str">
        <f t="shared" ca="1" si="63"/>
        <v>짝수</v>
      </c>
      <c r="P54" s="57" t="str">
        <f t="shared" ca="1" si="63"/>
        <v>홀수</v>
      </c>
      <c r="Q54" s="57" t="str">
        <f t="shared" ca="1" si="63"/>
        <v>홀수</v>
      </c>
      <c r="R54" s="57" t="str">
        <f t="shared" si="63"/>
        <v>짝수</v>
      </c>
      <c r="S54" s="57" t="str">
        <f t="shared" si="63"/>
        <v>짝수</v>
      </c>
      <c r="T54" s="57" t="str">
        <f t="shared" si="63"/>
        <v>짝수</v>
      </c>
      <c r="U54" s="57" t="str">
        <f t="shared" si="63"/>
        <v>짝수</v>
      </c>
      <c r="V54" s="57" t="str">
        <f t="shared" si="63"/>
        <v>짝수</v>
      </c>
      <c r="W54" s="57" t="str">
        <f t="shared" si="63"/>
        <v>짝수</v>
      </c>
      <c r="X54" s="57" t="str">
        <f t="shared" si="63"/>
        <v>짝수</v>
      </c>
      <c r="Y54" s="57" t="str">
        <f t="shared" si="63"/>
        <v>짝수</v>
      </c>
      <c r="Z54" s="57" t="str">
        <f t="shared" si="63"/>
        <v>짝수</v>
      </c>
      <c r="AA54" s="57" t="str">
        <f t="shared" si="63"/>
        <v>짝수</v>
      </c>
      <c r="AB54" s="57" t="str">
        <f t="shared" si="63"/>
        <v>짝수</v>
      </c>
      <c r="AC54" s="57" t="str">
        <f t="shared" si="63"/>
        <v>짝수</v>
      </c>
      <c r="AD54" s="57" t="str">
        <f t="shared" si="63"/>
        <v>짝수</v>
      </c>
      <c r="AE54" s="57" t="str">
        <f t="shared" si="63"/>
        <v>짝수</v>
      </c>
      <c r="AF54" s="57" t="str">
        <f t="shared" si="63"/>
        <v>짝수</v>
      </c>
      <c r="AG54" s="57" t="str">
        <f t="shared" si="63"/>
        <v>짝수</v>
      </c>
      <c r="AH54" s="57" t="str">
        <f t="shared" si="63"/>
        <v>짝수</v>
      </c>
      <c r="AI54" s="57" t="str">
        <f t="shared" si="63"/>
        <v>짝수</v>
      </c>
      <c r="AJ54" s="57" t="str">
        <f t="shared" si="63"/>
        <v>짝수</v>
      </c>
      <c r="AK54" s="57" t="str">
        <f t="shared" si="63"/>
        <v>짝수</v>
      </c>
      <c r="AL54" s="57" t="str">
        <f t="shared" si="63"/>
        <v>짝수</v>
      </c>
      <c r="AM54" s="57" t="str">
        <f t="shared" si="63"/>
        <v>짝수</v>
      </c>
      <c r="AN54" s="57" t="str">
        <f t="shared" si="63"/>
        <v>짝수</v>
      </c>
      <c r="AO54" s="57" t="str">
        <f t="shared" si="63"/>
        <v>짝수</v>
      </c>
      <c r="AP54" s="57" t="str">
        <f t="shared" si="63"/>
        <v>짝수</v>
      </c>
      <c r="AQ54" s="57" t="str">
        <f t="shared" si="63"/>
        <v>짝수</v>
      </c>
      <c r="AR54" s="57" t="str">
        <f t="shared" si="63"/>
        <v>짝수</v>
      </c>
      <c r="AS54" s="57" t="str">
        <f t="shared" si="63"/>
        <v>짝수</v>
      </c>
      <c r="AT54" s="57" t="str">
        <f t="shared" si="63"/>
        <v>짝수</v>
      </c>
      <c r="AU54" s="57" t="str">
        <f t="shared" si="63"/>
        <v>짝수</v>
      </c>
      <c r="AV54" s="173"/>
      <c r="AW54" s="173"/>
      <c r="AX54" s="173"/>
      <c r="BA54" s="149"/>
      <c r="BB54" s="149"/>
      <c r="BC54" s="80"/>
      <c r="BD54" s="149"/>
      <c r="BF54" s="80"/>
      <c r="BG54" s="150"/>
      <c r="BH54" s="191"/>
      <c r="BI54"/>
      <c r="BJ54" s="120"/>
      <c r="BK54"/>
      <c r="BL54" s="80"/>
    </row>
    <row r="55" spans="1:69" ht="17.5">
      <c r="A55" s="251"/>
      <c r="B55" s="54" t="s">
        <v>540</v>
      </c>
      <c r="C55" s="57" t="str">
        <f t="shared" ref="C55:AU55" ca="1" si="64">IF(RIGHT(C12,1)="1","홀수",IF(RIGHT(C12,1)="3","홀수",IF(RIGHT(C12,1)="5","홀수",IF(RIGHT(C12,1)="7","홀수",IF(RIGHT(C12,1)="9","홀수","짝수")))))</f>
        <v>짝수</v>
      </c>
      <c r="D55" s="57" t="str">
        <f t="shared" ca="1" si="64"/>
        <v>짝수</v>
      </c>
      <c r="E55" s="57" t="str">
        <f t="shared" ca="1" si="64"/>
        <v>짝수</v>
      </c>
      <c r="F55" s="57" t="str">
        <f t="shared" ca="1" si="64"/>
        <v>홀수</v>
      </c>
      <c r="G55" s="57" t="str">
        <f t="shared" ca="1" si="64"/>
        <v>홀수</v>
      </c>
      <c r="H55" s="57" t="str">
        <f t="shared" ca="1" si="64"/>
        <v>홀수</v>
      </c>
      <c r="I55" s="57" t="str">
        <f t="shared" ca="1" si="64"/>
        <v>홀수</v>
      </c>
      <c r="J55" s="57" t="str">
        <f t="shared" ca="1" si="64"/>
        <v>홀수</v>
      </c>
      <c r="K55" s="57" t="str">
        <f t="shared" ca="1" si="64"/>
        <v>홀수</v>
      </c>
      <c r="L55" s="57" t="str">
        <f t="shared" ca="1" si="64"/>
        <v>짝수</v>
      </c>
      <c r="M55" s="57" t="str">
        <f t="shared" ca="1" si="64"/>
        <v>짝수</v>
      </c>
      <c r="N55" s="57" t="str">
        <f t="shared" ca="1" si="64"/>
        <v>홀수</v>
      </c>
      <c r="O55" s="57" t="str">
        <f t="shared" ca="1" si="64"/>
        <v>홀수</v>
      </c>
      <c r="P55" s="57" t="str">
        <f t="shared" ca="1" si="64"/>
        <v>홀수</v>
      </c>
      <c r="Q55" s="57" t="str">
        <f t="shared" ca="1" si="64"/>
        <v>홀수</v>
      </c>
      <c r="R55" s="57" t="str">
        <f t="shared" si="64"/>
        <v>짝수</v>
      </c>
      <c r="S55" s="57" t="str">
        <f t="shared" si="64"/>
        <v>짝수</v>
      </c>
      <c r="T55" s="57" t="str">
        <f t="shared" si="64"/>
        <v>짝수</v>
      </c>
      <c r="U55" s="57" t="str">
        <f t="shared" si="64"/>
        <v>짝수</v>
      </c>
      <c r="V55" s="57" t="str">
        <f t="shared" si="64"/>
        <v>짝수</v>
      </c>
      <c r="W55" s="57" t="str">
        <f t="shared" si="64"/>
        <v>짝수</v>
      </c>
      <c r="X55" s="57" t="str">
        <f t="shared" si="64"/>
        <v>짝수</v>
      </c>
      <c r="Y55" s="57" t="str">
        <f t="shared" si="64"/>
        <v>짝수</v>
      </c>
      <c r="Z55" s="57" t="str">
        <f t="shared" si="64"/>
        <v>짝수</v>
      </c>
      <c r="AA55" s="57" t="str">
        <f t="shared" si="64"/>
        <v>짝수</v>
      </c>
      <c r="AB55" s="57" t="str">
        <f t="shared" si="64"/>
        <v>짝수</v>
      </c>
      <c r="AC55" s="57" t="str">
        <f t="shared" si="64"/>
        <v>짝수</v>
      </c>
      <c r="AD55" s="57" t="str">
        <f t="shared" si="64"/>
        <v>짝수</v>
      </c>
      <c r="AE55" s="57" t="str">
        <f t="shared" si="64"/>
        <v>짝수</v>
      </c>
      <c r="AF55" s="57" t="str">
        <f t="shared" si="64"/>
        <v>짝수</v>
      </c>
      <c r="AG55" s="57" t="str">
        <f t="shared" si="64"/>
        <v>짝수</v>
      </c>
      <c r="AH55" s="57" t="str">
        <f t="shared" si="64"/>
        <v>짝수</v>
      </c>
      <c r="AI55" s="57" t="str">
        <f t="shared" si="64"/>
        <v>짝수</v>
      </c>
      <c r="AJ55" s="57" t="str">
        <f t="shared" si="64"/>
        <v>짝수</v>
      </c>
      <c r="AK55" s="57" t="str">
        <f t="shared" si="64"/>
        <v>짝수</v>
      </c>
      <c r="AL55" s="57" t="str">
        <f t="shared" si="64"/>
        <v>짝수</v>
      </c>
      <c r="AM55" s="57" t="str">
        <f t="shared" si="64"/>
        <v>짝수</v>
      </c>
      <c r="AN55" s="57" t="str">
        <f t="shared" si="64"/>
        <v>짝수</v>
      </c>
      <c r="AO55" s="57" t="str">
        <f t="shared" si="64"/>
        <v>짝수</v>
      </c>
      <c r="AP55" s="57" t="str">
        <f t="shared" si="64"/>
        <v>짝수</v>
      </c>
      <c r="AQ55" s="57" t="str">
        <f t="shared" si="64"/>
        <v>짝수</v>
      </c>
      <c r="AR55" s="57" t="str">
        <f t="shared" si="64"/>
        <v>짝수</v>
      </c>
      <c r="AS55" s="57" t="str">
        <f t="shared" si="64"/>
        <v>짝수</v>
      </c>
      <c r="AT55" s="57" t="str">
        <f t="shared" si="64"/>
        <v>짝수</v>
      </c>
      <c r="AU55" s="57" t="str">
        <f t="shared" si="64"/>
        <v>짝수</v>
      </c>
      <c r="AV55" s="173"/>
      <c r="AW55" s="173"/>
      <c r="AX55" s="173"/>
      <c r="BA55" s="149"/>
      <c r="BB55" s="149"/>
      <c r="BC55" s="80"/>
      <c r="BD55" s="149"/>
      <c r="BF55" s="80"/>
      <c r="BG55" s="150"/>
      <c r="BH55" s="191"/>
      <c r="BI55"/>
      <c r="BJ55" s="120"/>
      <c r="BK55"/>
      <c r="BL55" s="80"/>
    </row>
    <row r="56" spans="1:69" ht="17.5">
      <c r="A56" s="252" t="s">
        <v>624</v>
      </c>
      <c r="B56" s="54" t="s">
        <v>562</v>
      </c>
      <c r="C56" s="54">
        <f ca="1">COUNTIF(C$50:C$55,"홀수")</f>
        <v>3</v>
      </c>
      <c r="D56" s="54">
        <f t="shared" ref="D56:Q56" ca="1" si="65">COUNTIF(D$50:D$55,"홀수")</f>
        <v>1</v>
      </c>
      <c r="E56" s="54">
        <f t="shared" ca="1" si="65"/>
        <v>3</v>
      </c>
      <c r="F56" s="54">
        <f t="shared" ca="1" si="65"/>
        <v>4</v>
      </c>
      <c r="G56" s="54">
        <f t="shared" ca="1" si="65"/>
        <v>5</v>
      </c>
      <c r="H56" s="54">
        <f t="shared" ca="1" si="65"/>
        <v>4</v>
      </c>
      <c r="I56" s="54">
        <f t="shared" ca="1" si="65"/>
        <v>5</v>
      </c>
      <c r="J56" s="54">
        <f t="shared" ca="1" si="65"/>
        <v>4</v>
      </c>
      <c r="K56" s="54">
        <f t="shared" ca="1" si="65"/>
        <v>4</v>
      </c>
      <c r="L56" s="54">
        <f t="shared" ca="1" si="65"/>
        <v>3</v>
      </c>
      <c r="M56" s="45">
        <f t="shared" ca="1" si="65"/>
        <v>2</v>
      </c>
      <c r="N56" s="45">
        <f t="shared" ca="1" si="65"/>
        <v>1</v>
      </c>
      <c r="O56" s="45">
        <f t="shared" ca="1" si="65"/>
        <v>3</v>
      </c>
      <c r="P56" s="45">
        <f t="shared" ca="1" si="65"/>
        <v>4</v>
      </c>
      <c r="Q56" s="45">
        <f t="shared" ca="1" si="65"/>
        <v>4</v>
      </c>
      <c r="R56" s="45">
        <f t="shared" ref="R56:AU56" si="66">COUNTIF(R$50:R$55,"홀수")</f>
        <v>0</v>
      </c>
      <c r="S56" s="45">
        <f t="shared" si="66"/>
        <v>0</v>
      </c>
      <c r="T56" s="45">
        <f t="shared" si="66"/>
        <v>0</v>
      </c>
      <c r="U56" s="45">
        <f t="shared" si="66"/>
        <v>0</v>
      </c>
      <c r="V56" s="45">
        <f t="shared" si="66"/>
        <v>0</v>
      </c>
      <c r="W56" s="45">
        <f t="shared" si="66"/>
        <v>0</v>
      </c>
      <c r="X56" s="45">
        <f t="shared" si="66"/>
        <v>0</v>
      </c>
      <c r="Y56" s="45">
        <f t="shared" si="66"/>
        <v>0</v>
      </c>
      <c r="Z56" s="45">
        <f t="shared" si="66"/>
        <v>0</v>
      </c>
      <c r="AA56" s="45">
        <f t="shared" si="66"/>
        <v>0</v>
      </c>
      <c r="AB56" s="45">
        <f t="shared" si="66"/>
        <v>0</v>
      </c>
      <c r="AC56" s="45">
        <f t="shared" si="66"/>
        <v>0</v>
      </c>
      <c r="AD56" s="45">
        <f t="shared" si="66"/>
        <v>0</v>
      </c>
      <c r="AE56" s="45">
        <f t="shared" si="66"/>
        <v>0</v>
      </c>
      <c r="AF56" s="45">
        <f t="shared" si="66"/>
        <v>0</v>
      </c>
      <c r="AG56" s="45">
        <f t="shared" si="66"/>
        <v>0</v>
      </c>
      <c r="AH56" s="45">
        <f t="shared" si="66"/>
        <v>0</v>
      </c>
      <c r="AI56" s="45">
        <f t="shared" si="66"/>
        <v>0</v>
      </c>
      <c r="AJ56" s="45">
        <f t="shared" si="66"/>
        <v>0</v>
      </c>
      <c r="AK56" s="45">
        <f t="shared" si="66"/>
        <v>0</v>
      </c>
      <c r="AL56" s="45">
        <f t="shared" si="66"/>
        <v>0</v>
      </c>
      <c r="AM56" s="45">
        <f t="shared" si="66"/>
        <v>0</v>
      </c>
      <c r="AN56" s="45">
        <f t="shared" si="66"/>
        <v>0</v>
      </c>
      <c r="AO56" s="45">
        <f t="shared" si="66"/>
        <v>0</v>
      </c>
      <c r="AP56" s="45">
        <f t="shared" si="66"/>
        <v>0</v>
      </c>
      <c r="AQ56" s="45">
        <f t="shared" si="66"/>
        <v>0</v>
      </c>
      <c r="AR56" s="45">
        <f t="shared" si="66"/>
        <v>0</v>
      </c>
      <c r="AS56" s="45">
        <f t="shared" si="66"/>
        <v>0</v>
      </c>
      <c r="AT56" s="45">
        <f t="shared" si="66"/>
        <v>0</v>
      </c>
      <c r="AU56" s="45">
        <f t="shared" si="66"/>
        <v>0</v>
      </c>
      <c r="BA56" s="149"/>
      <c r="BB56" s="149"/>
      <c r="BC56" s="80"/>
      <c r="BD56" s="149"/>
      <c r="BF56" s="80"/>
      <c r="BG56" s="150"/>
      <c r="BH56" s="191"/>
      <c r="BI56"/>
      <c r="BJ56"/>
      <c r="BK56"/>
      <c r="BL56" s="80"/>
    </row>
    <row r="57" spans="1:69" ht="17.5">
      <c r="A57" s="253"/>
      <c r="B57" s="54" t="s">
        <v>563</v>
      </c>
      <c r="C57" s="54">
        <f ca="1">COUNTIF(C$50:C$55,"짝수")</f>
        <v>3</v>
      </c>
      <c r="D57" s="54">
        <f t="shared" ref="D57:Q57" ca="1" si="67">COUNTIF(D$50:D$55,"짝수")</f>
        <v>5</v>
      </c>
      <c r="E57" s="54">
        <f t="shared" ca="1" si="67"/>
        <v>3</v>
      </c>
      <c r="F57" s="54">
        <f t="shared" ca="1" si="67"/>
        <v>2</v>
      </c>
      <c r="G57" s="54">
        <f t="shared" ca="1" si="67"/>
        <v>1</v>
      </c>
      <c r="H57" s="54">
        <f t="shared" ca="1" si="67"/>
        <v>2</v>
      </c>
      <c r="I57" s="54">
        <f t="shared" ca="1" si="67"/>
        <v>1</v>
      </c>
      <c r="J57" s="54">
        <f t="shared" ca="1" si="67"/>
        <v>2</v>
      </c>
      <c r="K57" s="54">
        <f t="shared" ca="1" si="67"/>
        <v>2</v>
      </c>
      <c r="L57" s="54">
        <f t="shared" ca="1" si="67"/>
        <v>3</v>
      </c>
      <c r="M57" s="45">
        <f t="shared" ca="1" si="67"/>
        <v>4</v>
      </c>
      <c r="N57" s="45">
        <f t="shared" ca="1" si="67"/>
        <v>5</v>
      </c>
      <c r="O57" s="45">
        <f t="shared" ca="1" si="67"/>
        <v>3</v>
      </c>
      <c r="P57" s="45">
        <f t="shared" ca="1" si="67"/>
        <v>2</v>
      </c>
      <c r="Q57" s="45">
        <f t="shared" ca="1" si="67"/>
        <v>2</v>
      </c>
      <c r="R57" s="45">
        <f t="shared" ref="R57:AU57" si="68">COUNTIF(R$50:R$55,"짝수")</f>
        <v>6</v>
      </c>
      <c r="S57" s="45">
        <f t="shared" si="68"/>
        <v>6</v>
      </c>
      <c r="T57" s="45">
        <f t="shared" si="68"/>
        <v>6</v>
      </c>
      <c r="U57" s="45">
        <f t="shared" si="68"/>
        <v>6</v>
      </c>
      <c r="V57" s="45">
        <f t="shared" si="68"/>
        <v>6</v>
      </c>
      <c r="W57" s="45">
        <f t="shared" si="68"/>
        <v>6</v>
      </c>
      <c r="X57" s="45">
        <f t="shared" si="68"/>
        <v>6</v>
      </c>
      <c r="Y57" s="45">
        <f t="shared" si="68"/>
        <v>6</v>
      </c>
      <c r="Z57" s="45">
        <f t="shared" si="68"/>
        <v>6</v>
      </c>
      <c r="AA57" s="45">
        <f t="shared" si="68"/>
        <v>6</v>
      </c>
      <c r="AB57" s="45">
        <f t="shared" si="68"/>
        <v>6</v>
      </c>
      <c r="AC57" s="45">
        <f t="shared" si="68"/>
        <v>6</v>
      </c>
      <c r="AD57" s="45">
        <f t="shared" si="68"/>
        <v>6</v>
      </c>
      <c r="AE57" s="45">
        <f t="shared" si="68"/>
        <v>6</v>
      </c>
      <c r="AF57" s="45">
        <f t="shared" si="68"/>
        <v>6</v>
      </c>
      <c r="AG57" s="45">
        <f t="shared" si="68"/>
        <v>6</v>
      </c>
      <c r="AH57" s="45">
        <f t="shared" si="68"/>
        <v>6</v>
      </c>
      <c r="AI57" s="45">
        <f t="shared" si="68"/>
        <v>6</v>
      </c>
      <c r="AJ57" s="45">
        <f t="shared" si="68"/>
        <v>6</v>
      </c>
      <c r="AK57" s="45">
        <f t="shared" si="68"/>
        <v>6</v>
      </c>
      <c r="AL57" s="45">
        <f t="shared" si="68"/>
        <v>6</v>
      </c>
      <c r="AM57" s="45">
        <f t="shared" si="68"/>
        <v>6</v>
      </c>
      <c r="AN57" s="45">
        <f t="shared" si="68"/>
        <v>6</v>
      </c>
      <c r="AO57" s="45">
        <f t="shared" si="68"/>
        <v>6</v>
      </c>
      <c r="AP57" s="45">
        <f t="shared" si="68"/>
        <v>6</v>
      </c>
      <c r="AQ57" s="45">
        <f t="shared" si="68"/>
        <v>6</v>
      </c>
      <c r="AR57" s="45">
        <f t="shared" si="68"/>
        <v>6</v>
      </c>
      <c r="AS57" s="45">
        <f t="shared" si="68"/>
        <v>6</v>
      </c>
      <c r="AT57" s="45">
        <f t="shared" si="68"/>
        <v>6</v>
      </c>
      <c r="AU57" s="45">
        <f t="shared" si="68"/>
        <v>6</v>
      </c>
      <c r="BA57" s="149"/>
      <c r="BB57" s="149"/>
      <c r="BC57" s="80"/>
      <c r="BD57" s="149"/>
      <c r="BF57" s="80"/>
      <c r="BG57" s="150"/>
      <c r="BH57" s="191"/>
      <c r="BI57" s="120"/>
      <c r="BJ57" s="120"/>
      <c r="BK57"/>
      <c r="BL57" s="80"/>
    </row>
    <row r="58" spans="1:69" ht="17.5">
      <c r="A58" s="254"/>
      <c r="B58" s="60" t="s">
        <v>632</v>
      </c>
      <c r="C58" s="55" t="str">
        <f ca="1">C56&amp;":"&amp;C57</f>
        <v>3:3</v>
      </c>
      <c r="D58" s="55" t="str">
        <f t="shared" ref="D58:Q58" ca="1" si="69">D56&amp;":"&amp;D57</f>
        <v>1:5</v>
      </c>
      <c r="E58" s="55" t="str">
        <f t="shared" ca="1" si="69"/>
        <v>3:3</v>
      </c>
      <c r="F58" s="55" t="str">
        <f t="shared" ca="1" si="69"/>
        <v>4:2</v>
      </c>
      <c r="G58" s="55" t="str">
        <f t="shared" ca="1" si="69"/>
        <v>5:1</v>
      </c>
      <c r="H58" s="55" t="str">
        <f t="shared" ca="1" si="69"/>
        <v>4:2</v>
      </c>
      <c r="I58" s="55" t="str">
        <f t="shared" ca="1" si="69"/>
        <v>5:1</v>
      </c>
      <c r="J58" s="55" t="str">
        <f t="shared" ca="1" si="69"/>
        <v>4:2</v>
      </c>
      <c r="K58" s="55" t="str">
        <f t="shared" ca="1" si="69"/>
        <v>4:2</v>
      </c>
      <c r="L58" s="55" t="str">
        <f t="shared" ca="1" si="69"/>
        <v>3:3</v>
      </c>
      <c r="M58" s="55" t="str">
        <f t="shared" ca="1" si="69"/>
        <v>2:4</v>
      </c>
      <c r="N58" s="55" t="str">
        <f t="shared" ca="1" si="69"/>
        <v>1:5</v>
      </c>
      <c r="O58" s="55" t="str">
        <f t="shared" ca="1" si="69"/>
        <v>3:3</v>
      </c>
      <c r="P58" s="55" t="str">
        <f t="shared" ca="1" si="69"/>
        <v>4:2</v>
      </c>
      <c r="Q58" s="55" t="str">
        <f t="shared" ca="1" si="69"/>
        <v>4:2</v>
      </c>
      <c r="R58" s="55" t="str">
        <f t="shared" ref="R58:AH58" si="70">R56&amp;":"&amp;R57</f>
        <v>0:6</v>
      </c>
      <c r="S58" s="55" t="str">
        <f t="shared" si="70"/>
        <v>0:6</v>
      </c>
      <c r="T58" s="55" t="str">
        <f t="shared" si="70"/>
        <v>0:6</v>
      </c>
      <c r="U58" s="55" t="str">
        <f t="shared" si="70"/>
        <v>0:6</v>
      </c>
      <c r="V58" s="55" t="str">
        <f t="shared" si="70"/>
        <v>0:6</v>
      </c>
      <c r="W58" s="55" t="str">
        <f t="shared" si="70"/>
        <v>0:6</v>
      </c>
      <c r="X58" s="55" t="str">
        <f t="shared" si="70"/>
        <v>0:6</v>
      </c>
      <c r="Y58" s="55" t="str">
        <f t="shared" si="70"/>
        <v>0:6</v>
      </c>
      <c r="Z58" s="55" t="str">
        <f t="shared" si="70"/>
        <v>0:6</v>
      </c>
      <c r="AA58" s="55" t="str">
        <f t="shared" si="70"/>
        <v>0:6</v>
      </c>
      <c r="AB58" s="55" t="str">
        <f t="shared" si="70"/>
        <v>0:6</v>
      </c>
      <c r="AC58" s="55" t="str">
        <f t="shared" si="70"/>
        <v>0:6</v>
      </c>
      <c r="AD58" s="55" t="str">
        <f t="shared" si="70"/>
        <v>0:6</v>
      </c>
      <c r="AE58" s="55" t="str">
        <f t="shared" si="70"/>
        <v>0:6</v>
      </c>
      <c r="AF58" s="55" t="str">
        <f t="shared" si="70"/>
        <v>0:6</v>
      </c>
      <c r="AG58" s="55" t="str">
        <f t="shared" si="70"/>
        <v>0:6</v>
      </c>
      <c r="AH58" s="55" t="str">
        <f t="shared" si="70"/>
        <v>0:6</v>
      </c>
      <c r="AI58" s="55" t="str">
        <f>AI56&amp;":"&amp;AI57</f>
        <v>0:6</v>
      </c>
      <c r="AJ58" s="55" t="str">
        <f>AJ56&amp;":"&amp;AJ57</f>
        <v>0:6</v>
      </c>
      <c r="AK58" s="55" t="str">
        <f>AK56&amp;":"&amp;AK57</f>
        <v>0:6</v>
      </c>
      <c r="AL58" s="55" t="str">
        <f t="shared" ref="AL58:AU58" si="71">AL56&amp;":"&amp;AL57</f>
        <v>0:6</v>
      </c>
      <c r="AM58" s="55" t="str">
        <f t="shared" si="71"/>
        <v>0:6</v>
      </c>
      <c r="AN58" s="55" t="str">
        <f t="shared" si="71"/>
        <v>0:6</v>
      </c>
      <c r="AO58" s="55" t="str">
        <f t="shared" si="71"/>
        <v>0:6</v>
      </c>
      <c r="AP58" s="55" t="str">
        <f t="shared" si="71"/>
        <v>0:6</v>
      </c>
      <c r="AQ58" s="55" t="str">
        <f t="shared" si="71"/>
        <v>0:6</v>
      </c>
      <c r="AR58" s="55" t="str">
        <f t="shared" si="71"/>
        <v>0:6</v>
      </c>
      <c r="AS58" s="55" t="str">
        <f t="shared" si="71"/>
        <v>0:6</v>
      </c>
      <c r="AT58" s="55" t="str">
        <f t="shared" si="71"/>
        <v>0:6</v>
      </c>
      <c r="AU58" s="55" t="str">
        <f t="shared" si="71"/>
        <v>0:6</v>
      </c>
      <c r="AV58" s="171"/>
      <c r="AW58" s="171"/>
      <c r="AX58" s="171"/>
      <c r="BA58" s="149"/>
      <c r="BB58" s="149"/>
      <c r="BC58" s="80"/>
      <c r="BD58" s="149"/>
      <c r="BF58" s="80"/>
      <c r="BG58" s="150"/>
      <c r="BH58" s="132"/>
      <c r="BI58" s="120"/>
      <c r="BJ58" s="120"/>
      <c r="BK58"/>
      <c r="BL58" s="80"/>
    </row>
    <row r="59" spans="1:69" ht="17.5">
      <c r="A59" s="252" t="s">
        <v>758</v>
      </c>
      <c r="B59" s="60" t="s">
        <v>759</v>
      </c>
      <c r="C59" s="55">
        <f t="shared" ref="C59:AU59" ca="1" si="72">RANK(C7,C$7:C$12)</f>
        <v>2</v>
      </c>
      <c r="D59" s="55">
        <f t="shared" ca="1" si="72"/>
        <v>6</v>
      </c>
      <c r="E59" s="55">
        <f t="shared" ca="1" si="72"/>
        <v>4</v>
      </c>
      <c r="F59" s="55">
        <f t="shared" ca="1" si="72"/>
        <v>6</v>
      </c>
      <c r="G59" s="55">
        <f t="shared" ca="1" si="72"/>
        <v>2</v>
      </c>
      <c r="H59" s="55">
        <f t="shared" ca="1" si="72"/>
        <v>2</v>
      </c>
      <c r="I59" s="55">
        <f t="shared" ca="1" si="72"/>
        <v>5</v>
      </c>
      <c r="J59" s="55">
        <f t="shared" ca="1" si="72"/>
        <v>2</v>
      </c>
      <c r="K59" s="55">
        <f t="shared" ca="1" si="72"/>
        <v>3</v>
      </c>
      <c r="L59" s="55">
        <f t="shared" ca="1" si="72"/>
        <v>4</v>
      </c>
      <c r="M59" s="55">
        <f t="shared" ca="1" si="72"/>
        <v>5</v>
      </c>
      <c r="N59" s="55">
        <f t="shared" ca="1" si="72"/>
        <v>2</v>
      </c>
      <c r="O59" s="55">
        <f t="shared" ca="1" si="72"/>
        <v>4</v>
      </c>
      <c r="P59" s="55">
        <f t="shared" ca="1" si="72"/>
        <v>4</v>
      </c>
      <c r="Q59" s="55">
        <f t="shared" ca="1" si="72"/>
        <v>6</v>
      </c>
      <c r="R59" s="55" t="e">
        <f t="shared" si="72"/>
        <v>#N/A</v>
      </c>
      <c r="S59" s="55" t="e">
        <f t="shared" si="72"/>
        <v>#N/A</v>
      </c>
      <c r="T59" s="55" t="e">
        <f t="shared" si="72"/>
        <v>#N/A</v>
      </c>
      <c r="U59" s="55" t="e">
        <f t="shared" si="72"/>
        <v>#N/A</v>
      </c>
      <c r="V59" s="55" t="e">
        <f t="shared" si="72"/>
        <v>#N/A</v>
      </c>
      <c r="W59" s="55" t="e">
        <f t="shared" si="72"/>
        <v>#N/A</v>
      </c>
      <c r="X59" s="55" t="e">
        <f t="shared" si="72"/>
        <v>#N/A</v>
      </c>
      <c r="Y59" s="55" t="e">
        <f t="shared" si="72"/>
        <v>#N/A</v>
      </c>
      <c r="Z59" s="55" t="e">
        <f t="shared" si="72"/>
        <v>#N/A</v>
      </c>
      <c r="AA59" s="55" t="e">
        <f t="shared" si="72"/>
        <v>#N/A</v>
      </c>
      <c r="AB59" s="55" t="e">
        <f t="shared" si="72"/>
        <v>#N/A</v>
      </c>
      <c r="AC59" s="55" t="e">
        <f t="shared" si="72"/>
        <v>#N/A</v>
      </c>
      <c r="AD59" s="55" t="e">
        <f t="shared" si="72"/>
        <v>#N/A</v>
      </c>
      <c r="AE59" s="55" t="e">
        <f t="shared" si="72"/>
        <v>#N/A</v>
      </c>
      <c r="AF59" s="55" t="e">
        <f t="shared" si="72"/>
        <v>#N/A</v>
      </c>
      <c r="AG59" s="55" t="e">
        <f t="shared" si="72"/>
        <v>#N/A</v>
      </c>
      <c r="AH59" s="55" t="e">
        <f t="shared" si="72"/>
        <v>#N/A</v>
      </c>
      <c r="AI59" s="55" t="e">
        <f t="shared" si="72"/>
        <v>#N/A</v>
      </c>
      <c r="AJ59" s="55" t="e">
        <f t="shared" si="72"/>
        <v>#N/A</v>
      </c>
      <c r="AK59" s="55" t="e">
        <f t="shared" si="72"/>
        <v>#N/A</v>
      </c>
      <c r="AL59" s="55" t="e">
        <f t="shared" si="72"/>
        <v>#N/A</v>
      </c>
      <c r="AM59" s="55" t="e">
        <f t="shared" si="72"/>
        <v>#N/A</v>
      </c>
      <c r="AN59" s="55" t="e">
        <f t="shared" si="72"/>
        <v>#N/A</v>
      </c>
      <c r="AO59" s="55" t="e">
        <f t="shared" si="72"/>
        <v>#N/A</v>
      </c>
      <c r="AP59" s="55" t="e">
        <f t="shared" si="72"/>
        <v>#N/A</v>
      </c>
      <c r="AQ59" s="55" t="e">
        <f t="shared" si="72"/>
        <v>#N/A</v>
      </c>
      <c r="AR59" s="55" t="e">
        <f t="shared" si="72"/>
        <v>#N/A</v>
      </c>
      <c r="AS59" s="55" t="e">
        <f t="shared" si="72"/>
        <v>#N/A</v>
      </c>
      <c r="AT59" s="55" t="e">
        <f t="shared" si="72"/>
        <v>#N/A</v>
      </c>
      <c r="AU59" s="55" t="e">
        <f t="shared" si="72"/>
        <v>#N/A</v>
      </c>
      <c r="AV59" s="171"/>
      <c r="AW59" s="171"/>
      <c r="AX59" s="171"/>
      <c r="BA59" s="149"/>
      <c r="BB59" s="149"/>
      <c r="BC59" s="80"/>
      <c r="BD59" s="149"/>
      <c r="BF59" s="80"/>
      <c r="BH59" s="132"/>
      <c r="BI59" s="120"/>
      <c r="BJ59" s="120"/>
      <c r="BK59"/>
      <c r="BL59" s="80"/>
    </row>
    <row r="60" spans="1:69" ht="17.5">
      <c r="A60" s="253"/>
      <c r="B60" s="60" t="s">
        <v>760</v>
      </c>
      <c r="C60" s="55">
        <f t="shared" ref="C60:AU60" ca="1" si="73">RANK(C8,C$7:C$12)</f>
        <v>4</v>
      </c>
      <c r="D60" s="55">
        <f t="shared" ca="1" si="73"/>
        <v>3</v>
      </c>
      <c r="E60" s="55">
        <f t="shared" ca="1" si="73"/>
        <v>6</v>
      </c>
      <c r="F60" s="55">
        <f t="shared" ca="1" si="73"/>
        <v>2</v>
      </c>
      <c r="G60" s="55">
        <f t="shared" ca="1" si="73"/>
        <v>3</v>
      </c>
      <c r="H60" s="55">
        <f t="shared" ca="1" si="73"/>
        <v>1</v>
      </c>
      <c r="I60" s="55">
        <f t="shared" ca="1" si="73"/>
        <v>2</v>
      </c>
      <c r="J60" s="55">
        <f t="shared" ca="1" si="73"/>
        <v>4</v>
      </c>
      <c r="K60" s="55">
        <f t="shared" ca="1" si="73"/>
        <v>1</v>
      </c>
      <c r="L60" s="55">
        <f t="shared" ca="1" si="73"/>
        <v>4</v>
      </c>
      <c r="M60" s="55">
        <f t="shared" ca="1" si="73"/>
        <v>6</v>
      </c>
      <c r="N60" s="55">
        <f t="shared" ca="1" si="73"/>
        <v>6</v>
      </c>
      <c r="O60" s="55">
        <f t="shared" ca="1" si="73"/>
        <v>5</v>
      </c>
      <c r="P60" s="55">
        <f t="shared" ca="1" si="73"/>
        <v>3</v>
      </c>
      <c r="Q60" s="55">
        <f t="shared" ca="1" si="73"/>
        <v>4</v>
      </c>
      <c r="R60" s="55" t="e">
        <f t="shared" si="73"/>
        <v>#N/A</v>
      </c>
      <c r="S60" s="55" t="e">
        <f t="shared" si="73"/>
        <v>#N/A</v>
      </c>
      <c r="T60" s="55" t="e">
        <f t="shared" si="73"/>
        <v>#N/A</v>
      </c>
      <c r="U60" s="55" t="e">
        <f t="shared" si="73"/>
        <v>#N/A</v>
      </c>
      <c r="V60" s="55" t="e">
        <f t="shared" si="73"/>
        <v>#N/A</v>
      </c>
      <c r="W60" s="55" t="e">
        <f t="shared" si="73"/>
        <v>#N/A</v>
      </c>
      <c r="X60" s="55" t="e">
        <f t="shared" si="73"/>
        <v>#N/A</v>
      </c>
      <c r="Y60" s="55" t="e">
        <f t="shared" si="73"/>
        <v>#N/A</v>
      </c>
      <c r="Z60" s="55" t="e">
        <f t="shared" si="73"/>
        <v>#N/A</v>
      </c>
      <c r="AA60" s="55" t="e">
        <f t="shared" si="73"/>
        <v>#N/A</v>
      </c>
      <c r="AB60" s="55" t="e">
        <f t="shared" si="73"/>
        <v>#N/A</v>
      </c>
      <c r="AC60" s="55" t="e">
        <f t="shared" si="73"/>
        <v>#N/A</v>
      </c>
      <c r="AD60" s="55" t="e">
        <f t="shared" si="73"/>
        <v>#N/A</v>
      </c>
      <c r="AE60" s="55" t="e">
        <f t="shared" si="73"/>
        <v>#N/A</v>
      </c>
      <c r="AF60" s="55" t="e">
        <f t="shared" si="73"/>
        <v>#N/A</v>
      </c>
      <c r="AG60" s="55" t="e">
        <f t="shared" si="73"/>
        <v>#N/A</v>
      </c>
      <c r="AH60" s="55" t="e">
        <f t="shared" si="73"/>
        <v>#N/A</v>
      </c>
      <c r="AI60" s="55" t="e">
        <f t="shared" si="73"/>
        <v>#N/A</v>
      </c>
      <c r="AJ60" s="55" t="e">
        <f t="shared" si="73"/>
        <v>#N/A</v>
      </c>
      <c r="AK60" s="55" t="e">
        <f t="shared" si="73"/>
        <v>#N/A</v>
      </c>
      <c r="AL60" s="55" t="e">
        <f t="shared" si="73"/>
        <v>#N/A</v>
      </c>
      <c r="AM60" s="55" t="e">
        <f t="shared" si="73"/>
        <v>#N/A</v>
      </c>
      <c r="AN60" s="55" t="e">
        <f t="shared" si="73"/>
        <v>#N/A</v>
      </c>
      <c r="AO60" s="55" t="e">
        <f t="shared" si="73"/>
        <v>#N/A</v>
      </c>
      <c r="AP60" s="55" t="e">
        <f t="shared" si="73"/>
        <v>#N/A</v>
      </c>
      <c r="AQ60" s="55" t="e">
        <f t="shared" si="73"/>
        <v>#N/A</v>
      </c>
      <c r="AR60" s="55" t="e">
        <f t="shared" si="73"/>
        <v>#N/A</v>
      </c>
      <c r="AS60" s="55" t="e">
        <f t="shared" si="73"/>
        <v>#N/A</v>
      </c>
      <c r="AT60" s="55" t="e">
        <f t="shared" si="73"/>
        <v>#N/A</v>
      </c>
      <c r="AU60" s="55" t="e">
        <f t="shared" si="73"/>
        <v>#N/A</v>
      </c>
      <c r="AV60" s="171"/>
      <c r="AW60" s="171"/>
      <c r="AX60" s="171"/>
      <c r="BA60" s="149"/>
      <c r="BB60" s="149"/>
      <c r="BC60" s="80"/>
      <c r="BD60" s="149"/>
      <c r="BF60" s="80"/>
      <c r="BH60" s="120"/>
      <c r="BI60" s="120"/>
      <c r="BJ60" s="120"/>
      <c r="BK60"/>
      <c r="BL60" s="80"/>
    </row>
    <row r="61" spans="1:69" ht="17.5">
      <c r="A61" s="253"/>
      <c r="B61" s="60" t="s">
        <v>761</v>
      </c>
      <c r="C61" s="55">
        <f t="shared" ref="C61:AU61" ca="1" si="74">RANK(C9,C$7:C$12)</f>
        <v>1</v>
      </c>
      <c r="D61" s="55">
        <f t="shared" ca="1" si="74"/>
        <v>5</v>
      </c>
      <c r="E61" s="55">
        <f t="shared" ca="1" si="74"/>
        <v>2</v>
      </c>
      <c r="F61" s="55">
        <f t="shared" ca="1" si="74"/>
        <v>4</v>
      </c>
      <c r="G61" s="55">
        <f t="shared" ca="1" si="74"/>
        <v>6</v>
      </c>
      <c r="H61" s="55">
        <f t="shared" ca="1" si="74"/>
        <v>6</v>
      </c>
      <c r="I61" s="55">
        <f t="shared" ca="1" si="74"/>
        <v>3</v>
      </c>
      <c r="J61" s="55">
        <f t="shared" ca="1" si="74"/>
        <v>5</v>
      </c>
      <c r="K61" s="55">
        <f t="shared" ca="1" si="74"/>
        <v>4</v>
      </c>
      <c r="L61" s="55">
        <f t="shared" ca="1" si="74"/>
        <v>1</v>
      </c>
      <c r="M61" s="55">
        <f t="shared" ca="1" si="74"/>
        <v>3</v>
      </c>
      <c r="N61" s="55">
        <f t="shared" ca="1" si="74"/>
        <v>3</v>
      </c>
      <c r="O61" s="55">
        <f t="shared" ca="1" si="74"/>
        <v>1</v>
      </c>
      <c r="P61" s="55">
        <f t="shared" ca="1" si="74"/>
        <v>5</v>
      </c>
      <c r="Q61" s="55">
        <f t="shared" ca="1" si="74"/>
        <v>1</v>
      </c>
      <c r="R61" s="55" t="e">
        <f t="shared" si="74"/>
        <v>#N/A</v>
      </c>
      <c r="S61" s="55" t="e">
        <f t="shared" si="74"/>
        <v>#N/A</v>
      </c>
      <c r="T61" s="55" t="e">
        <f t="shared" si="74"/>
        <v>#N/A</v>
      </c>
      <c r="U61" s="55" t="e">
        <f t="shared" si="74"/>
        <v>#N/A</v>
      </c>
      <c r="V61" s="55" t="e">
        <f t="shared" si="74"/>
        <v>#N/A</v>
      </c>
      <c r="W61" s="55" t="e">
        <f t="shared" si="74"/>
        <v>#N/A</v>
      </c>
      <c r="X61" s="55" t="e">
        <f t="shared" si="74"/>
        <v>#N/A</v>
      </c>
      <c r="Y61" s="55" t="e">
        <f t="shared" si="74"/>
        <v>#N/A</v>
      </c>
      <c r="Z61" s="55" t="e">
        <f t="shared" si="74"/>
        <v>#N/A</v>
      </c>
      <c r="AA61" s="55" t="e">
        <f t="shared" si="74"/>
        <v>#N/A</v>
      </c>
      <c r="AB61" s="55" t="e">
        <f t="shared" si="74"/>
        <v>#N/A</v>
      </c>
      <c r="AC61" s="55" t="e">
        <f t="shared" si="74"/>
        <v>#N/A</v>
      </c>
      <c r="AD61" s="55" t="e">
        <f t="shared" si="74"/>
        <v>#N/A</v>
      </c>
      <c r="AE61" s="55" t="e">
        <f t="shared" si="74"/>
        <v>#N/A</v>
      </c>
      <c r="AF61" s="55" t="e">
        <f t="shared" si="74"/>
        <v>#N/A</v>
      </c>
      <c r="AG61" s="55" t="e">
        <f t="shared" si="74"/>
        <v>#N/A</v>
      </c>
      <c r="AH61" s="55" t="e">
        <f t="shared" si="74"/>
        <v>#N/A</v>
      </c>
      <c r="AI61" s="55" t="e">
        <f t="shared" si="74"/>
        <v>#N/A</v>
      </c>
      <c r="AJ61" s="55" t="e">
        <f t="shared" si="74"/>
        <v>#N/A</v>
      </c>
      <c r="AK61" s="55" t="e">
        <f t="shared" si="74"/>
        <v>#N/A</v>
      </c>
      <c r="AL61" s="55" t="e">
        <f t="shared" si="74"/>
        <v>#N/A</v>
      </c>
      <c r="AM61" s="55" t="e">
        <f t="shared" si="74"/>
        <v>#N/A</v>
      </c>
      <c r="AN61" s="55" t="e">
        <f t="shared" si="74"/>
        <v>#N/A</v>
      </c>
      <c r="AO61" s="55" t="e">
        <f t="shared" si="74"/>
        <v>#N/A</v>
      </c>
      <c r="AP61" s="55" t="e">
        <f t="shared" si="74"/>
        <v>#N/A</v>
      </c>
      <c r="AQ61" s="55" t="e">
        <f t="shared" si="74"/>
        <v>#N/A</v>
      </c>
      <c r="AR61" s="55" t="e">
        <f t="shared" si="74"/>
        <v>#N/A</v>
      </c>
      <c r="AS61" s="55" t="e">
        <f t="shared" si="74"/>
        <v>#N/A</v>
      </c>
      <c r="AT61" s="55" t="e">
        <f t="shared" si="74"/>
        <v>#N/A</v>
      </c>
      <c r="AU61" s="55" t="e">
        <f t="shared" si="74"/>
        <v>#N/A</v>
      </c>
      <c r="AV61" s="171"/>
      <c r="AW61" s="171"/>
      <c r="AX61" s="171"/>
      <c r="BA61" s="149"/>
      <c r="BB61" s="149"/>
      <c r="BC61" s="80"/>
      <c r="BD61" s="149"/>
      <c r="BF61" s="80"/>
      <c r="BH61" s="120"/>
      <c r="BI61" s="120"/>
      <c r="BJ61" s="120"/>
      <c r="BK61"/>
      <c r="BL61" s="80"/>
    </row>
    <row r="62" spans="1:69" ht="17.5">
      <c r="A62" s="253"/>
      <c r="B62" s="60" t="s">
        <v>762</v>
      </c>
      <c r="C62" s="55">
        <f t="shared" ref="C62:AU62" ca="1" si="75">RANK(C10,C$7:C$12)</f>
        <v>2</v>
      </c>
      <c r="D62" s="55">
        <f t="shared" ca="1" si="75"/>
        <v>4</v>
      </c>
      <c r="E62" s="55">
        <f t="shared" ca="1" si="75"/>
        <v>3</v>
      </c>
      <c r="F62" s="55">
        <f t="shared" ca="1" si="75"/>
        <v>5</v>
      </c>
      <c r="G62" s="55">
        <f t="shared" ca="1" si="75"/>
        <v>1</v>
      </c>
      <c r="H62" s="55">
        <f t="shared" ca="1" si="75"/>
        <v>4</v>
      </c>
      <c r="I62" s="55">
        <f t="shared" ca="1" si="75"/>
        <v>3</v>
      </c>
      <c r="J62" s="55">
        <f t="shared" ca="1" si="75"/>
        <v>6</v>
      </c>
      <c r="K62" s="55">
        <f t="shared" ca="1" si="75"/>
        <v>2</v>
      </c>
      <c r="L62" s="55">
        <f t="shared" ca="1" si="75"/>
        <v>2</v>
      </c>
      <c r="M62" s="55">
        <f t="shared" ca="1" si="75"/>
        <v>2</v>
      </c>
      <c r="N62" s="55">
        <f t="shared" ca="1" si="75"/>
        <v>5</v>
      </c>
      <c r="O62" s="55">
        <f t="shared" ca="1" si="75"/>
        <v>6</v>
      </c>
      <c r="P62" s="55">
        <f t="shared" ca="1" si="75"/>
        <v>1</v>
      </c>
      <c r="Q62" s="55">
        <f t="shared" ca="1" si="75"/>
        <v>2</v>
      </c>
      <c r="R62" s="55" t="e">
        <f t="shared" si="75"/>
        <v>#N/A</v>
      </c>
      <c r="S62" s="55" t="e">
        <f t="shared" si="75"/>
        <v>#N/A</v>
      </c>
      <c r="T62" s="55" t="e">
        <f t="shared" si="75"/>
        <v>#N/A</v>
      </c>
      <c r="U62" s="55" t="e">
        <f t="shared" si="75"/>
        <v>#N/A</v>
      </c>
      <c r="V62" s="55" t="e">
        <f t="shared" si="75"/>
        <v>#N/A</v>
      </c>
      <c r="W62" s="55" t="e">
        <f t="shared" si="75"/>
        <v>#N/A</v>
      </c>
      <c r="X62" s="55" t="e">
        <f t="shared" si="75"/>
        <v>#N/A</v>
      </c>
      <c r="Y62" s="55" t="e">
        <f t="shared" si="75"/>
        <v>#N/A</v>
      </c>
      <c r="Z62" s="55" t="e">
        <f t="shared" si="75"/>
        <v>#N/A</v>
      </c>
      <c r="AA62" s="55" t="e">
        <f t="shared" si="75"/>
        <v>#N/A</v>
      </c>
      <c r="AB62" s="55" t="e">
        <f t="shared" si="75"/>
        <v>#N/A</v>
      </c>
      <c r="AC62" s="55" t="e">
        <f t="shared" si="75"/>
        <v>#N/A</v>
      </c>
      <c r="AD62" s="55" t="e">
        <f t="shared" si="75"/>
        <v>#N/A</v>
      </c>
      <c r="AE62" s="55" t="e">
        <f t="shared" si="75"/>
        <v>#N/A</v>
      </c>
      <c r="AF62" s="55" t="e">
        <f t="shared" si="75"/>
        <v>#N/A</v>
      </c>
      <c r="AG62" s="55" t="e">
        <f t="shared" si="75"/>
        <v>#N/A</v>
      </c>
      <c r="AH62" s="55" t="e">
        <f t="shared" si="75"/>
        <v>#N/A</v>
      </c>
      <c r="AI62" s="55" t="e">
        <f t="shared" si="75"/>
        <v>#N/A</v>
      </c>
      <c r="AJ62" s="55" t="e">
        <f t="shared" si="75"/>
        <v>#N/A</v>
      </c>
      <c r="AK62" s="55" t="e">
        <f t="shared" si="75"/>
        <v>#N/A</v>
      </c>
      <c r="AL62" s="55" t="e">
        <f t="shared" si="75"/>
        <v>#N/A</v>
      </c>
      <c r="AM62" s="55" t="e">
        <f t="shared" si="75"/>
        <v>#N/A</v>
      </c>
      <c r="AN62" s="55" t="e">
        <f t="shared" si="75"/>
        <v>#N/A</v>
      </c>
      <c r="AO62" s="55" t="e">
        <f t="shared" si="75"/>
        <v>#N/A</v>
      </c>
      <c r="AP62" s="55" t="e">
        <f t="shared" si="75"/>
        <v>#N/A</v>
      </c>
      <c r="AQ62" s="55" t="e">
        <f t="shared" si="75"/>
        <v>#N/A</v>
      </c>
      <c r="AR62" s="55" t="e">
        <f t="shared" si="75"/>
        <v>#N/A</v>
      </c>
      <c r="AS62" s="55" t="e">
        <f t="shared" si="75"/>
        <v>#N/A</v>
      </c>
      <c r="AT62" s="55" t="e">
        <f t="shared" si="75"/>
        <v>#N/A</v>
      </c>
      <c r="AU62" s="55" t="e">
        <f t="shared" si="75"/>
        <v>#N/A</v>
      </c>
      <c r="AV62" s="171"/>
      <c r="AW62" s="171"/>
      <c r="AX62" s="171"/>
      <c r="BA62" s="149"/>
      <c r="BB62" s="149"/>
      <c r="BC62" s="80"/>
      <c r="BD62" s="149"/>
      <c r="BF62" s="80"/>
      <c r="BH62" s="120"/>
      <c r="BI62" s="120"/>
      <c r="BJ62" s="120"/>
      <c r="BL62" s="80"/>
    </row>
    <row r="63" spans="1:69" ht="17.5">
      <c r="A63" s="253"/>
      <c r="B63" s="60" t="s">
        <v>763</v>
      </c>
      <c r="C63" s="55">
        <f t="shared" ref="C63:AU63" ca="1" si="76">RANK(C11,C$7:C$12)</f>
        <v>4</v>
      </c>
      <c r="D63" s="55">
        <f t="shared" ca="1" si="76"/>
        <v>1</v>
      </c>
      <c r="E63" s="55">
        <f t="shared" ca="1" si="76"/>
        <v>5</v>
      </c>
      <c r="F63" s="55">
        <f t="shared" ca="1" si="76"/>
        <v>3</v>
      </c>
      <c r="G63" s="55">
        <f t="shared" ca="1" si="76"/>
        <v>4</v>
      </c>
      <c r="H63" s="55">
        <f t="shared" ca="1" si="76"/>
        <v>3</v>
      </c>
      <c r="I63" s="55">
        <f t="shared" ca="1" si="76"/>
        <v>6</v>
      </c>
      <c r="J63" s="55">
        <f t="shared" ca="1" si="76"/>
        <v>3</v>
      </c>
      <c r="K63" s="55">
        <f t="shared" ca="1" si="76"/>
        <v>6</v>
      </c>
      <c r="L63" s="55">
        <f t="shared" ca="1" si="76"/>
        <v>6</v>
      </c>
      <c r="M63" s="55">
        <f t="shared" ca="1" si="76"/>
        <v>4</v>
      </c>
      <c r="N63" s="55">
        <f t="shared" ca="1" si="76"/>
        <v>3</v>
      </c>
      <c r="O63" s="55">
        <f t="shared" ca="1" si="76"/>
        <v>1</v>
      </c>
      <c r="P63" s="55">
        <f t="shared" ca="1" si="76"/>
        <v>2</v>
      </c>
      <c r="Q63" s="55">
        <f t="shared" ca="1" si="76"/>
        <v>2</v>
      </c>
      <c r="R63" s="55" t="e">
        <f t="shared" si="76"/>
        <v>#N/A</v>
      </c>
      <c r="S63" s="55" t="e">
        <f t="shared" si="76"/>
        <v>#N/A</v>
      </c>
      <c r="T63" s="55" t="e">
        <f t="shared" si="76"/>
        <v>#N/A</v>
      </c>
      <c r="U63" s="55" t="e">
        <f t="shared" si="76"/>
        <v>#N/A</v>
      </c>
      <c r="V63" s="55" t="e">
        <f t="shared" si="76"/>
        <v>#N/A</v>
      </c>
      <c r="W63" s="55" t="e">
        <f t="shared" si="76"/>
        <v>#N/A</v>
      </c>
      <c r="X63" s="55" t="e">
        <f t="shared" si="76"/>
        <v>#N/A</v>
      </c>
      <c r="Y63" s="55" t="e">
        <f t="shared" si="76"/>
        <v>#N/A</v>
      </c>
      <c r="Z63" s="55" t="e">
        <f t="shared" si="76"/>
        <v>#N/A</v>
      </c>
      <c r="AA63" s="55" t="e">
        <f t="shared" si="76"/>
        <v>#N/A</v>
      </c>
      <c r="AB63" s="55" t="e">
        <f t="shared" si="76"/>
        <v>#N/A</v>
      </c>
      <c r="AC63" s="55" t="e">
        <f t="shared" si="76"/>
        <v>#N/A</v>
      </c>
      <c r="AD63" s="55" t="e">
        <f t="shared" si="76"/>
        <v>#N/A</v>
      </c>
      <c r="AE63" s="55" t="e">
        <f t="shared" si="76"/>
        <v>#N/A</v>
      </c>
      <c r="AF63" s="55" t="e">
        <f t="shared" si="76"/>
        <v>#N/A</v>
      </c>
      <c r="AG63" s="55" t="e">
        <f t="shared" si="76"/>
        <v>#N/A</v>
      </c>
      <c r="AH63" s="55" t="e">
        <f t="shared" si="76"/>
        <v>#N/A</v>
      </c>
      <c r="AI63" s="55" t="e">
        <f t="shared" si="76"/>
        <v>#N/A</v>
      </c>
      <c r="AJ63" s="55" t="e">
        <f t="shared" si="76"/>
        <v>#N/A</v>
      </c>
      <c r="AK63" s="55" t="e">
        <f t="shared" si="76"/>
        <v>#N/A</v>
      </c>
      <c r="AL63" s="55" t="e">
        <f t="shared" si="76"/>
        <v>#N/A</v>
      </c>
      <c r="AM63" s="55" t="e">
        <f t="shared" si="76"/>
        <v>#N/A</v>
      </c>
      <c r="AN63" s="55" t="e">
        <f t="shared" si="76"/>
        <v>#N/A</v>
      </c>
      <c r="AO63" s="55" t="e">
        <f t="shared" si="76"/>
        <v>#N/A</v>
      </c>
      <c r="AP63" s="55" t="e">
        <f t="shared" si="76"/>
        <v>#N/A</v>
      </c>
      <c r="AQ63" s="55" t="e">
        <f t="shared" si="76"/>
        <v>#N/A</v>
      </c>
      <c r="AR63" s="55" t="e">
        <f t="shared" si="76"/>
        <v>#N/A</v>
      </c>
      <c r="AS63" s="55" t="e">
        <f t="shared" si="76"/>
        <v>#N/A</v>
      </c>
      <c r="AT63" s="55" t="e">
        <f t="shared" si="76"/>
        <v>#N/A</v>
      </c>
      <c r="AU63" s="55" t="e">
        <f t="shared" si="76"/>
        <v>#N/A</v>
      </c>
      <c r="AV63" s="171"/>
      <c r="AW63" s="171"/>
      <c r="AX63" s="171"/>
      <c r="BA63" s="149"/>
      <c r="BB63" s="147"/>
      <c r="BC63" s="147"/>
      <c r="BD63" s="149"/>
      <c r="BF63" s="80"/>
      <c r="BH63" s="120"/>
      <c r="BI63"/>
      <c r="BJ63" s="120"/>
    </row>
    <row r="64" spans="1:69" ht="17.5">
      <c r="A64" s="254"/>
      <c r="B64" s="60" t="s">
        <v>764</v>
      </c>
      <c r="C64" s="55">
        <f t="shared" ref="C64:AU64" ca="1" si="77">RANK(C12,C$7:C$12)</f>
        <v>6</v>
      </c>
      <c r="D64" s="55">
        <f t="shared" ca="1" si="77"/>
        <v>2</v>
      </c>
      <c r="E64" s="55">
        <f t="shared" ca="1" si="77"/>
        <v>1</v>
      </c>
      <c r="F64" s="55">
        <f t="shared" ca="1" si="77"/>
        <v>1</v>
      </c>
      <c r="G64" s="55">
        <f t="shared" ca="1" si="77"/>
        <v>5</v>
      </c>
      <c r="H64" s="55">
        <f t="shared" ca="1" si="77"/>
        <v>5</v>
      </c>
      <c r="I64" s="55">
        <f t="shared" ca="1" si="77"/>
        <v>1</v>
      </c>
      <c r="J64" s="55">
        <f t="shared" ca="1" si="77"/>
        <v>1</v>
      </c>
      <c r="K64" s="55">
        <f t="shared" ca="1" si="77"/>
        <v>5</v>
      </c>
      <c r="L64" s="55">
        <f t="shared" ca="1" si="77"/>
        <v>3</v>
      </c>
      <c r="M64" s="55">
        <f t="shared" ca="1" si="77"/>
        <v>1</v>
      </c>
      <c r="N64" s="55">
        <f t="shared" ca="1" si="77"/>
        <v>1</v>
      </c>
      <c r="O64" s="55">
        <f t="shared" ca="1" si="77"/>
        <v>3</v>
      </c>
      <c r="P64" s="55">
        <f t="shared" ca="1" si="77"/>
        <v>6</v>
      </c>
      <c r="Q64" s="55">
        <f ca="1">RANK(Q12,Q$7:Q$12)</f>
        <v>5</v>
      </c>
      <c r="R64" s="55" t="e">
        <f t="shared" si="77"/>
        <v>#N/A</v>
      </c>
      <c r="S64" s="55" t="e">
        <f t="shared" si="77"/>
        <v>#N/A</v>
      </c>
      <c r="T64" s="55" t="e">
        <f t="shared" si="77"/>
        <v>#N/A</v>
      </c>
      <c r="U64" s="55" t="e">
        <f t="shared" si="77"/>
        <v>#N/A</v>
      </c>
      <c r="V64" s="55" t="e">
        <f t="shared" si="77"/>
        <v>#N/A</v>
      </c>
      <c r="W64" s="55" t="e">
        <f t="shared" si="77"/>
        <v>#N/A</v>
      </c>
      <c r="X64" s="55" t="e">
        <f t="shared" si="77"/>
        <v>#N/A</v>
      </c>
      <c r="Y64" s="55" t="e">
        <f t="shared" si="77"/>
        <v>#N/A</v>
      </c>
      <c r="Z64" s="55" t="e">
        <f t="shared" si="77"/>
        <v>#N/A</v>
      </c>
      <c r="AA64" s="55" t="e">
        <f t="shared" si="77"/>
        <v>#N/A</v>
      </c>
      <c r="AB64" s="55" t="e">
        <f t="shared" si="77"/>
        <v>#N/A</v>
      </c>
      <c r="AC64" s="55" t="e">
        <f t="shared" si="77"/>
        <v>#N/A</v>
      </c>
      <c r="AD64" s="55" t="e">
        <f t="shared" si="77"/>
        <v>#N/A</v>
      </c>
      <c r="AE64" s="55" t="e">
        <f t="shared" si="77"/>
        <v>#N/A</v>
      </c>
      <c r="AF64" s="55" t="e">
        <f t="shared" si="77"/>
        <v>#N/A</v>
      </c>
      <c r="AG64" s="55" t="e">
        <f t="shared" si="77"/>
        <v>#N/A</v>
      </c>
      <c r="AH64" s="55" t="e">
        <f t="shared" si="77"/>
        <v>#N/A</v>
      </c>
      <c r="AI64" s="55" t="e">
        <f t="shared" si="77"/>
        <v>#N/A</v>
      </c>
      <c r="AJ64" s="55" t="e">
        <f t="shared" si="77"/>
        <v>#N/A</v>
      </c>
      <c r="AK64" s="55" t="e">
        <f t="shared" si="77"/>
        <v>#N/A</v>
      </c>
      <c r="AL64" s="55" t="e">
        <f t="shared" si="77"/>
        <v>#N/A</v>
      </c>
      <c r="AM64" s="55" t="e">
        <f t="shared" si="77"/>
        <v>#N/A</v>
      </c>
      <c r="AN64" s="55" t="e">
        <f t="shared" si="77"/>
        <v>#N/A</v>
      </c>
      <c r="AO64" s="55" t="e">
        <f t="shared" si="77"/>
        <v>#N/A</v>
      </c>
      <c r="AP64" s="55" t="e">
        <f t="shared" si="77"/>
        <v>#N/A</v>
      </c>
      <c r="AQ64" s="55" t="e">
        <f t="shared" si="77"/>
        <v>#N/A</v>
      </c>
      <c r="AR64" s="55" t="e">
        <f t="shared" si="77"/>
        <v>#N/A</v>
      </c>
      <c r="AS64" s="55" t="e">
        <f t="shared" si="77"/>
        <v>#N/A</v>
      </c>
      <c r="AT64" s="55" t="e">
        <f t="shared" si="77"/>
        <v>#N/A</v>
      </c>
      <c r="AU64" s="55" t="e">
        <f t="shared" si="77"/>
        <v>#N/A</v>
      </c>
      <c r="AV64" s="171"/>
      <c r="AW64" s="171"/>
      <c r="AX64" s="171"/>
      <c r="BA64" s="149"/>
      <c r="BB64" s="147"/>
      <c r="BC64" s="147"/>
      <c r="BD64" s="149"/>
      <c r="BF64" s="80"/>
    </row>
    <row r="65" spans="1:60" ht="17.5">
      <c r="A65" s="99"/>
      <c r="B65" s="60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171"/>
      <c r="AW65" s="171"/>
      <c r="AX65" s="171"/>
      <c r="BA65" s="191"/>
      <c r="BB65" s="147"/>
      <c r="BC65" s="147"/>
      <c r="BD65" s="149"/>
      <c r="BF65" s="147"/>
    </row>
    <row r="66" spans="1:60" ht="17.5">
      <c r="A66" s="255" t="s">
        <v>579</v>
      </c>
      <c r="B66" s="54" t="s">
        <v>565</v>
      </c>
      <c r="C66" s="54" t="str">
        <f t="shared" ref="C66:AU66" ca="1" si="78">IF(RIGHT(C7,1)=RIGHT(C8,1),"O",IF(RIGHT(C7,1)=RIGHT(C9,1),"O",IF(RIGHT(C7,1)=RIGHT(C10,1),"O",IF(RIGHT(C7,1)=RIGHT(C11,1),"O",IF(RIGHT(C7,1)=RIGHT(C12,1),"O","X")))))</f>
        <v>O</v>
      </c>
      <c r="D66" s="54" t="str">
        <f t="shared" ca="1" si="78"/>
        <v>X</v>
      </c>
      <c r="E66" s="54" t="str">
        <f t="shared" ca="1" si="78"/>
        <v>X</v>
      </c>
      <c r="F66" s="54" t="str">
        <f t="shared" ca="1" si="78"/>
        <v>X</v>
      </c>
      <c r="G66" s="54" t="str">
        <f t="shared" ca="1" si="78"/>
        <v>X</v>
      </c>
      <c r="H66" s="54" t="str">
        <f t="shared" ca="1" si="78"/>
        <v>X</v>
      </c>
      <c r="I66" s="54" t="str">
        <f t="shared" ca="1" si="78"/>
        <v>O</v>
      </c>
      <c r="J66" s="54" t="str">
        <f t="shared" ca="1" si="78"/>
        <v>O</v>
      </c>
      <c r="K66" s="54" t="str">
        <f t="shared" ca="1" si="78"/>
        <v>X</v>
      </c>
      <c r="L66" s="54" t="str">
        <f t="shared" ca="1" si="78"/>
        <v>O</v>
      </c>
      <c r="M66" s="54" t="str">
        <f t="shared" ca="1" si="78"/>
        <v>X</v>
      </c>
      <c r="N66" s="54" t="str">
        <f t="shared" ca="1" si="78"/>
        <v>X</v>
      </c>
      <c r="O66" s="54" t="str">
        <f t="shared" ca="1" si="78"/>
        <v>O</v>
      </c>
      <c r="P66" s="54" t="str">
        <f t="shared" ca="1" si="78"/>
        <v>X</v>
      </c>
      <c r="Q66" s="54" t="str">
        <f t="shared" ca="1" si="78"/>
        <v>X</v>
      </c>
      <c r="R66" s="54" t="str">
        <f t="shared" si="78"/>
        <v>O</v>
      </c>
      <c r="S66" s="54" t="str">
        <f t="shared" si="78"/>
        <v>O</v>
      </c>
      <c r="T66" s="54" t="str">
        <f t="shared" si="78"/>
        <v>O</v>
      </c>
      <c r="U66" s="54" t="str">
        <f t="shared" si="78"/>
        <v>O</v>
      </c>
      <c r="V66" s="54" t="str">
        <f t="shared" si="78"/>
        <v>O</v>
      </c>
      <c r="W66" s="54" t="str">
        <f t="shared" si="78"/>
        <v>O</v>
      </c>
      <c r="X66" s="54" t="str">
        <f t="shared" si="78"/>
        <v>O</v>
      </c>
      <c r="Y66" s="54" t="str">
        <f t="shared" si="78"/>
        <v>O</v>
      </c>
      <c r="Z66" s="54" t="str">
        <f t="shared" si="78"/>
        <v>O</v>
      </c>
      <c r="AA66" s="54" t="str">
        <f t="shared" si="78"/>
        <v>O</v>
      </c>
      <c r="AB66" s="54" t="str">
        <f t="shared" si="78"/>
        <v>O</v>
      </c>
      <c r="AC66" s="54" t="str">
        <f t="shared" si="78"/>
        <v>O</v>
      </c>
      <c r="AD66" s="54" t="str">
        <f t="shared" si="78"/>
        <v>O</v>
      </c>
      <c r="AE66" s="54" t="str">
        <f t="shared" si="78"/>
        <v>O</v>
      </c>
      <c r="AF66" s="54" t="str">
        <f t="shared" si="78"/>
        <v>O</v>
      </c>
      <c r="AG66" s="54" t="str">
        <f t="shared" si="78"/>
        <v>O</v>
      </c>
      <c r="AH66" s="54" t="str">
        <f t="shared" si="78"/>
        <v>O</v>
      </c>
      <c r="AI66" s="54" t="str">
        <f t="shared" si="78"/>
        <v>O</v>
      </c>
      <c r="AJ66" s="54" t="str">
        <f t="shared" si="78"/>
        <v>O</v>
      </c>
      <c r="AK66" s="54" t="str">
        <f t="shared" si="78"/>
        <v>O</v>
      </c>
      <c r="AL66" s="54" t="str">
        <f t="shared" si="78"/>
        <v>O</v>
      </c>
      <c r="AM66" s="54" t="str">
        <f t="shared" si="78"/>
        <v>O</v>
      </c>
      <c r="AN66" s="54" t="str">
        <f t="shared" si="78"/>
        <v>O</v>
      </c>
      <c r="AO66" s="54" t="str">
        <f t="shared" si="78"/>
        <v>O</v>
      </c>
      <c r="AP66" s="54" t="str">
        <f t="shared" si="78"/>
        <v>O</v>
      </c>
      <c r="AQ66" s="54" t="str">
        <f t="shared" si="78"/>
        <v>O</v>
      </c>
      <c r="AR66" s="54" t="str">
        <f t="shared" si="78"/>
        <v>O</v>
      </c>
      <c r="AS66" s="54" t="str">
        <f t="shared" si="78"/>
        <v>O</v>
      </c>
      <c r="AT66" s="54" t="str">
        <f t="shared" si="78"/>
        <v>O</v>
      </c>
      <c r="AU66" s="54" t="str">
        <f t="shared" si="78"/>
        <v>O</v>
      </c>
      <c r="AV66" s="53"/>
      <c r="AW66" s="53"/>
      <c r="AX66" s="53"/>
      <c r="BA66" s="147"/>
      <c r="BB66" s="80"/>
      <c r="BC66" s="80"/>
      <c r="BD66" s="149"/>
      <c r="BF66" s="147"/>
    </row>
    <row r="67" spans="1:60" ht="17.5">
      <c r="A67" s="251"/>
      <c r="B67" s="54" t="s">
        <v>566</v>
      </c>
      <c r="C67" s="54" t="str">
        <f t="shared" ref="C67:AU67" ca="1" si="79">IF(RIGHT(C8,1)=RIGHT(C7,1),"O",IF(RIGHT(C8,1)=RIGHT(C9,1),"O",IF(RIGHT(C8,1)=RIGHT(C10,1),"O",IF(RIGHT(C8,1)=RIGHT(C11,1),"O",IF(RIGHT(C8,1)=RIGHT(C12,1),"O","X")))))</f>
        <v>O</v>
      </c>
      <c r="D67" s="54" t="str">
        <f t="shared" ca="1" si="79"/>
        <v>O</v>
      </c>
      <c r="E67" s="54" t="str">
        <f t="shared" ca="1" si="79"/>
        <v>X</v>
      </c>
      <c r="F67" s="54" t="str">
        <f t="shared" ca="1" si="79"/>
        <v>O</v>
      </c>
      <c r="G67" s="54" t="str">
        <f t="shared" ca="1" si="79"/>
        <v>O</v>
      </c>
      <c r="H67" s="54" t="str">
        <f t="shared" ca="1" si="79"/>
        <v>X</v>
      </c>
      <c r="I67" s="54" t="str">
        <f t="shared" ca="1" si="79"/>
        <v>X</v>
      </c>
      <c r="J67" s="54" t="str">
        <f t="shared" ca="1" si="79"/>
        <v>O</v>
      </c>
      <c r="K67" s="54" t="str">
        <f t="shared" ca="1" si="79"/>
        <v>O</v>
      </c>
      <c r="L67" s="54" t="str">
        <f t="shared" ca="1" si="79"/>
        <v>O</v>
      </c>
      <c r="M67" s="54" t="str">
        <f t="shared" ca="1" si="79"/>
        <v>O</v>
      </c>
      <c r="N67" s="54" t="str">
        <f t="shared" ca="1" si="79"/>
        <v>O</v>
      </c>
      <c r="O67" s="54" t="str">
        <f t="shared" ca="1" si="79"/>
        <v>O</v>
      </c>
      <c r="P67" s="54" t="str">
        <f t="shared" ca="1" si="79"/>
        <v>X</v>
      </c>
      <c r="Q67" s="54" t="str">
        <f t="shared" ca="1" si="79"/>
        <v>X</v>
      </c>
      <c r="R67" s="54" t="str">
        <f t="shared" si="79"/>
        <v>O</v>
      </c>
      <c r="S67" s="54" t="str">
        <f t="shared" si="79"/>
        <v>O</v>
      </c>
      <c r="T67" s="54" t="str">
        <f t="shared" si="79"/>
        <v>O</v>
      </c>
      <c r="U67" s="54" t="str">
        <f t="shared" si="79"/>
        <v>O</v>
      </c>
      <c r="V67" s="54" t="str">
        <f t="shared" si="79"/>
        <v>O</v>
      </c>
      <c r="W67" s="54" t="str">
        <f t="shared" si="79"/>
        <v>O</v>
      </c>
      <c r="X67" s="54" t="str">
        <f t="shared" si="79"/>
        <v>O</v>
      </c>
      <c r="Y67" s="54" t="str">
        <f t="shared" si="79"/>
        <v>O</v>
      </c>
      <c r="Z67" s="54" t="str">
        <f t="shared" si="79"/>
        <v>O</v>
      </c>
      <c r="AA67" s="54" t="str">
        <f t="shared" si="79"/>
        <v>O</v>
      </c>
      <c r="AB67" s="54" t="str">
        <f t="shared" si="79"/>
        <v>O</v>
      </c>
      <c r="AC67" s="54" t="str">
        <f t="shared" si="79"/>
        <v>O</v>
      </c>
      <c r="AD67" s="54" t="str">
        <f t="shared" si="79"/>
        <v>O</v>
      </c>
      <c r="AE67" s="54" t="str">
        <f t="shared" si="79"/>
        <v>O</v>
      </c>
      <c r="AF67" s="54" t="str">
        <f t="shared" si="79"/>
        <v>O</v>
      </c>
      <c r="AG67" s="54" t="str">
        <f t="shared" si="79"/>
        <v>O</v>
      </c>
      <c r="AH67" s="54" t="str">
        <f t="shared" si="79"/>
        <v>O</v>
      </c>
      <c r="AI67" s="54" t="str">
        <f t="shared" si="79"/>
        <v>O</v>
      </c>
      <c r="AJ67" s="54" t="str">
        <f t="shared" si="79"/>
        <v>O</v>
      </c>
      <c r="AK67" s="54" t="str">
        <f t="shared" si="79"/>
        <v>O</v>
      </c>
      <c r="AL67" s="54" t="str">
        <f t="shared" si="79"/>
        <v>O</v>
      </c>
      <c r="AM67" s="54" t="str">
        <f t="shared" si="79"/>
        <v>O</v>
      </c>
      <c r="AN67" s="54" t="str">
        <f t="shared" si="79"/>
        <v>O</v>
      </c>
      <c r="AO67" s="54" t="str">
        <f t="shared" si="79"/>
        <v>O</v>
      </c>
      <c r="AP67" s="54" t="str">
        <f t="shared" si="79"/>
        <v>O</v>
      </c>
      <c r="AQ67" s="54" t="str">
        <f t="shared" si="79"/>
        <v>O</v>
      </c>
      <c r="AR67" s="54" t="str">
        <f t="shared" si="79"/>
        <v>O</v>
      </c>
      <c r="AS67" s="54" t="str">
        <f t="shared" si="79"/>
        <v>O</v>
      </c>
      <c r="AT67" s="54" t="str">
        <f t="shared" si="79"/>
        <v>O</v>
      </c>
      <c r="AU67" s="54" t="str">
        <f t="shared" si="79"/>
        <v>O</v>
      </c>
      <c r="AV67" s="53"/>
      <c r="AW67" s="53"/>
      <c r="AX67" s="53"/>
      <c r="BA67" s="147"/>
      <c r="BB67" s="80"/>
      <c r="BC67" s="80"/>
      <c r="BD67" s="149"/>
      <c r="BF67" s="147"/>
    </row>
    <row r="68" spans="1:60">
      <c r="A68" s="251"/>
      <c r="B68" s="54" t="s">
        <v>567</v>
      </c>
      <c r="C68" s="54" t="str">
        <f t="shared" ref="C68:AU68" ca="1" si="80">IF(RIGHT(C9,1)=RIGHT(C7,1),"O",IF(RIGHT(C9,1)=RIGHT(C8,1),"O",IF(RIGHT(C9,1)=RIGHT(C10,1),"O",IF(RIGHT(C9,1)=RIGHT(C11,1),"O",IF(RIGHT(C9,1)=RIGHT(C12,1),"O","X")))))</f>
        <v>O</v>
      </c>
      <c r="D68" s="54" t="str">
        <f t="shared" ca="1" si="80"/>
        <v>O</v>
      </c>
      <c r="E68" s="54" t="str">
        <f t="shared" ca="1" si="80"/>
        <v>X</v>
      </c>
      <c r="F68" s="54" t="str">
        <f t="shared" ca="1" si="80"/>
        <v>X</v>
      </c>
      <c r="G68" s="54" t="str">
        <f t="shared" ca="1" si="80"/>
        <v>X</v>
      </c>
      <c r="H68" s="54" t="str">
        <f t="shared" ca="1" si="80"/>
        <v>X</v>
      </c>
      <c r="I68" s="54" t="str">
        <f t="shared" ca="1" si="80"/>
        <v>O</v>
      </c>
      <c r="J68" s="54" t="str">
        <f t="shared" ca="1" si="80"/>
        <v>X</v>
      </c>
      <c r="K68" s="54" t="str">
        <f t="shared" ca="1" si="80"/>
        <v>X</v>
      </c>
      <c r="L68" s="54" t="str">
        <f t="shared" ca="1" si="80"/>
        <v>O</v>
      </c>
      <c r="M68" s="54" t="str">
        <f t="shared" ca="1" si="80"/>
        <v>X</v>
      </c>
      <c r="N68" s="54" t="str">
        <f t="shared" ca="1" si="80"/>
        <v>O</v>
      </c>
      <c r="O68" s="54" t="str">
        <f t="shared" ca="1" si="80"/>
        <v>O</v>
      </c>
      <c r="P68" s="54" t="str">
        <f t="shared" ca="1" si="80"/>
        <v>X</v>
      </c>
      <c r="Q68" s="54" t="str">
        <f t="shared" ca="1" si="80"/>
        <v>X</v>
      </c>
      <c r="R68" s="54" t="str">
        <f t="shared" si="80"/>
        <v>O</v>
      </c>
      <c r="S68" s="54" t="str">
        <f t="shared" si="80"/>
        <v>O</v>
      </c>
      <c r="T68" s="54" t="str">
        <f t="shared" si="80"/>
        <v>O</v>
      </c>
      <c r="U68" s="54" t="str">
        <f t="shared" si="80"/>
        <v>O</v>
      </c>
      <c r="V68" s="54" t="str">
        <f t="shared" si="80"/>
        <v>O</v>
      </c>
      <c r="W68" s="54" t="str">
        <f t="shared" si="80"/>
        <v>O</v>
      </c>
      <c r="X68" s="54" t="str">
        <f t="shared" si="80"/>
        <v>O</v>
      </c>
      <c r="Y68" s="54" t="str">
        <f t="shared" si="80"/>
        <v>O</v>
      </c>
      <c r="Z68" s="54" t="str">
        <f t="shared" si="80"/>
        <v>O</v>
      </c>
      <c r="AA68" s="54" t="str">
        <f t="shared" si="80"/>
        <v>O</v>
      </c>
      <c r="AB68" s="54" t="str">
        <f t="shared" si="80"/>
        <v>O</v>
      </c>
      <c r="AC68" s="54" t="str">
        <f t="shared" si="80"/>
        <v>O</v>
      </c>
      <c r="AD68" s="54" t="str">
        <f t="shared" si="80"/>
        <v>O</v>
      </c>
      <c r="AE68" s="54" t="str">
        <f t="shared" si="80"/>
        <v>O</v>
      </c>
      <c r="AF68" s="54" t="str">
        <f t="shared" si="80"/>
        <v>O</v>
      </c>
      <c r="AG68" s="54" t="str">
        <f t="shared" si="80"/>
        <v>O</v>
      </c>
      <c r="AH68" s="54" t="str">
        <f t="shared" si="80"/>
        <v>O</v>
      </c>
      <c r="AI68" s="54" t="str">
        <f t="shared" si="80"/>
        <v>O</v>
      </c>
      <c r="AJ68" s="54" t="str">
        <f t="shared" si="80"/>
        <v>O</v>
      </c>
      <c r="AK68" s="54" t="str">
        <f t="shared" si="80"/>
        <v>O</v>
      </c>
      <c r="AL68" s="54" t="str">
        <f t="shared" si="80"/>
        <v>O</v>
      </c>
      <c r="AM68" s="54" t="str">
        <f t="shared" si="80"/>
        <v>O</v>
      </c>
      <c r="AN68" s="54" t="str">
        <f t="shared" si="80"/>
        <v>O</v>
      </c>
      <c r="AO68" s="54" t="str">
        <f t="shared" si="80"/>
        <v>O</v>
      </c>
      <c r="AP68" s="54" t="str">
        <f t="shared" si="80"/>
        <v>O</v>
      </c>
      <c r="AQ68" s="54" t="str">
        <f t="shared" si="80"/>
        <v>O</v>
      </c>
      <c r="AR68" s="54" t="str">
        <f t="shared" si="80"/>
        <v>O</v>
      </c>
      <c r="AS68" s="54" t="str">
        <f t="shared" si="80"/>
        <v>O</v>
      </c>
      <c r="AT68" s="54" t="str">
        <f t="shared" si="80"/>
        <v>O</v>
      </c>
      <c r="AU68" s="54" t="str">
        <f t="shared" si="80"/>
        <v>O</v>
      </c>
      <c r="AV68" s="53"/>
      <c r="AW68" s="53"/>
      <c r="AX68" s="53"/>
      <c r="BA68" s="147"/>
      <c r="BB68" s="147"/>
      <c r="BC68" s="80"/>
      <c r="BD68" s="147"/>
      <c r="BF68" s="147"/>
    </row>
    <row r="69" spans="1:60">
      <c r="A69" s="251"/>
      <c r="B69" s="54" t="s">
        <v>568</v>
      </c>
      <c r="C69" s="54" t="str">
        <f t="shared" ref="C69:AU69" ca="1" si="81">IF(RIGHT(C10,1)=RIGHT(C7,1),"O",IF(RIGHT(C10,1)=RIGHT(C8,1),"O",IF(RIGHT(C9,1)=RIGHT(C10,1),"O",IF(RIGHT(C10,1)=RIGHT(C11,1),"O",IF(RIGHT(C10,1)=RIGHT(C12,1),"O","X")))))</f>
        <v>O</v>
      </c>
      <c r="D69" s="54" t="str">
        <f t="shared" ca="1" si="81"/>
        <v>O</v>
      </c>
      <c r="E69" s="54" t="str">
        <f t="shared" ca="1" si="81"/>
        <v>X</v>
      </c>
      <c r="F69" s="54" t="str">
        <f t="shared" ca="1" si="81"/>
        <v>O</v>
      </c>
      <c r="G69" s="54" t="str">
        <f t="shared" ca="1" si="81"/>
        <v>O</v>
      </c>
      <c r="H69" s="54" t="str">
        <f t="shared" ca="1" si="81"/>
        <v>X</v>
      </c>
      <c r="I69" s="54" t="str">
        <f t="shared" ca="1" si="81"/>
        <v>O</v>
      </c>
      <c r="J69" s="54" t="str">
        <f t="shared" ca="1" si="81"/>
        <v>X</v>
      </c>
      <c r="K69" s="54" t="str">
        <f t="shared" ca="1" si="81"/>
        <v>X</v>
      </c>
      <c r="L69" s="54" t="str">
        <f t="shared" ca="1" si="81"/>
        <v>X</v>
      </c>
      <c r="M69" s="54" t="str">
        <f t="shared" ca="1" si="81"/>
        <v>X</v>
      </c>
      <c r="N69" s="54" t="str">
        <f t="shared" ca="1" si="81"/>
        <v>X</v>
      </c>
      <c r="O69" s="54" t="str">
        <f t="shared" ca="1" si="81"/>
        <v>X</v>
      </c>
      <c r="P69" s="54" t="str">
        <f t="shared" ca="1" si="81"/>
        <v>X</v>
      </c>
      <c r="Q69" s="54" t="str">
        <f t="shared" ca="1" si="81"/>
        <v>O</v>
      </c>
      <c r="R69" s="54" t="str">
        <f t="shared" si="81"/>
        <v>O</v>
      </c>
      <c r="S69" s="54" t="str">
        <f t="shared" si="81"/>
        <v>O</v>
      </c>
      <c r="T69" s="54" t="str">
        <f t="shared" si="81"/>
        <v>O</v>
      </c>
      <c r="U69" s="54" t="str">
        <f t="shared" si="81"/>
        <v>O</v>
      </c>
      <c r="V69" s="54" t="str">
        <f t="shared" si="81"/>
        <v>O</v>
      </c>
      <c r="W69" s="54" t="str">
        <f t="shared" si="81"/>
        <v>O</v>
      </c>
      <c r="X69" s="54" t="str">
        <f t="shared" si="81"/>
        <v>O</v>
      </c>
      <c r="Y69" s="54" t="str">
        <f t="shared" si="81"/>
        <v>O</v>
      </c>
      <c r="Z69" s="54" t="str">
        <f t="shared" si="81"/>
        <v>O</v>
      </c>
      <c r="AA69" s="54" t="str">
        <f t="shared" si="81"/>
        <v>O</v>
      </c>
      <c r="AB69" s="54" t="str">
        <f t="shared" si="81"/>
        <v>O</v>
      </c>
      <c r="AC69" s="54" t="str">
        <f t="shared" si="81"/>
        <v>O</v>
      </c>
      <c r="AD69" s="54" t="str">
        <f t="shared" si="81"/>
        <v>O</v>
      </c>
      <c r="AE69" s="54" t="str">
        <f t="shared" si="81"/>
        <v>O</v>
      </c>
      <c r="AF69" s="54" t="str">
        <f t="shared" si="81"/>
        <v>O</v>
      </c>
      <c r="AG69" s="54" t="str">
        <f t="shared" si="81"/>
        <v>O</v>
      </c>
      <c r="AH69" s="54" t="str">
        <f t="shared" si="81"/>
        <v>O</v>
      </c>
      <c r="AI69" s="54" t="str">
        <f t="shared" si="81"/>
        <v>O</v>
      </c>
      <c r="AJ69" s="54" t="str">
        <f t="shared" si="81"/>
        <v>O</v>
      </c>
      <c r="AK69" s="54" t="str">
        <f t="shared" si="81"/>
        <v>O</v>
      </c>
      <c r="AL69" s="54" t="str">
        <f t="shared" si="81"/>
        <v>O</v>
      </c>
      <c r="AM69" s="54" t="str">
        <f t="shared" si="81"/>
        <v>O</v>
      </c>
      <c r="AN69" s="54" t="str">
        <f t="shared" si="81"/>
        <v>O</v>
      </c>
      <c r="AO69" s="54" t="str">
        <f t="shared" si="81"/>
        <v>O</v>
      </c>
      <c r="AP69" s="54" t="str">
        <f t="shared" si="81"/>
        <v>O</v>
      </c>
      <c r="AQ69" s="54" t="str">
        <f t="shared" si="81"/>
        <v>O</v>
      </c>
      <c r="AR69" s="54" t="str">
        <f t="shared" si="81"/>
        <v>O</v>
      </c>
      <c r="AS69" s="54" t="str">
        <f t="shared" si="81"/>
        <v>O</v>
      </c>
      <c r="AT69" s="54" t="str">
        <f t="shared" si="81"/>
        <v>O</v>
      </c>
      <c r="AU69" s="54" t="str">
        <f t="shared" si="81"/>
        <v>O</v>
      </c>
      <c r="AV69" s="53"/>
      <c r="AW69" s="53"/>
      <c r="AX69" s="53"/>
      <c r="BA69" s="147"/>
      <c r="BB69" s="80"/>
      <c r="BC69" s="147"/>
      <c r="BD69" s="147"/>
      <c r="BF69" s="80"/>
    </row>
    <row r="70" spans="1:60">
      <c r="A70" s="251"/>
      <c r="B70" s="54" t="s">
        <v>569</v>
      </c>
      <c r="C70" s="54" t="str">
        <f t="shared" ref="C70:AU70" ca="1" si="82">IF(RIGHT(C11,1)=RIGHT(C7,1),"O",IF(RIGHT(C11,1)=RIGHT(C8,1),"O",IF(RIGHT(C11,1)=RIGHT(C9,1),"O",IF(RIGHT(C11,1)=RIGHT(C10,1),"O",IF(RIGHT(C11,1)=RIGHT(C12,1),"O","X")))))</f>
        <v>O</v>
      </c>
      <c r="D70" s="54" t="str">
        <f t="shared" ca="1" si="82"/>
        <v>X</v>
      </c>
      <c r="E70" s="54" t="str">
        <f t="shared" ca="1" si="82"/>
        <v>X</v>
      </c>
      <c r="F70" s="54" t="str">
        <f t="shared" ca="1" si="82"/>
        <v>O</v>
      </c>
      <c r="G70" s="54" t="str">
        <f t="shared" ca="1" si="82"/>
        <v>X</v>
      </c>
      <c r="H70" s="54" t="str">
        <f t="shared" ca="1" si="82"/>
        <v>O</v>
      </c>
      <c r="I70" s="54" t="str">
        <f t="shared" ca="1" si="82"/>
        <v>X</v>
      </c>
      <c r="J70" s="54" t="str">
        <f t="shared" ca="1" si="82"/>
        <v>X</v>
      </c>
      <c r="K70" s="54" t="str">
        <f t="shared" ca="1" si="82"/>
        <v>O</v>
      </c>
      <c r="L70" s="54" t="str">
        <f t="shared" ca="1" si="82"/>
        <v>O</v>
      </c>
      <c r="M70" s="54" t="str">
        <f t="shared" ca="1" si="82"/>
        <v>X</v>
      </c>
      <c r="N70" s="54" t="str">
        <f t="shared" ca="1" si="82"/>
        <v>O</v>
      </c>
      <c r="O70" s="54" t="str">
        <f t="shared" ca="1" si="82"/>
        <v>O</v>
      </c>
      <c r="P70" s="54" t="str">
        <f t="shared" ca="1" si="82"/>
        <v>X</v>
      </c>
      <c r="Q70" s="54" t="str">
        <f t="shared" ca="1" si="82"/>
        <v>O</v>
      </c>
      <c r="R70" s="54" t="str">
        <f t="shared" si="82"/>
        <v>O</v>
      </c>
      <c r="S70" s="54" t="str">
        <f t="shared" si="82"/>
        <v>O</v>
      </c>
      <c r="T70" s="54" t="str">
        <f t="shared" si="82"/>
        <v>O</v>
      </c>
      <c r="U70" s="54" t="str">
        <f t="shared" si="82"/>
        <v>O</v>
      </c>
      <c r="V70" s="54" t="str">
        <f t="shared" si="82"/>
        <v>O</v>
      </c>
      <c r="W70" s="54" t="str">
        <f t="shared" si="82"/>
        <v>O</v>
      </c>
      <c r="X70" s="54" t="str">
        <f t="shared" si="82"/>
        <v>O</v>
      </c>
      <c r="Y70" s="54" t="str">
        <f t="shared" si="82"/>
        <v>O</v>
      </c>
      <c r="Z70" s="54" t="str">
        <f t="shared" si="82"/>
        <v>O</v>
      </c>
      <c r="AA70" s="54" t="str">
        <f t="shared" si="82"/>
        <v>O</v>
      </c>
      <c r="AB70" s="54" t="str">
        <f t="shared" si="82"/>
        <v>O</v>
      </c>
      <c r="AC70" s="54" t="str">
        <f t="shared" si="82"/>
        <v>O</v>
      </c>
      <c r="AD70" s="54" t="str">
        <f t="shared" si="82"/>
        <v>O</v>
      </c>
      <c r="AE70" s="54" t="str">
        <f t="shared" si="82"/>
        <v>O</v>
      </c>
      <c r="AF70" s="54" t="str">
        <f t="shared" si="82"/>
        <v>O</v>
      </c>
      <c r="AG70" s="54" t="str">
        <f t="shared" si="82"/>
        <v>O</v>
      </c>
      <c r="AH70" s="54" t="str">
        <f t="shared" si="82"/>
        <v>O</v>
      </c>
      <c r="AI70" s="54" t="str">
        <f t="shared" si="82"/>
        <v>O</v>
      </c>
      <c r="AJ70" s="54" t="str">
        <f t="shared" si="82"/>
        <v>O</v>
      </c>
      <c r="AK70" s="54" t="str">
        <f t="shared" si="82"/>
        <v>O</v>
      </c>
      <c r="AL70" s="54" t="str">
        <f t="shared" si="82"/>
        <v>O</v>
      </c>
      <c r="AM70" s="54" t="str">
        <f t="shared" si="82"/>
        <v>O</v>
      </c>
      <c r="AN70" s="54" t="str">
        <f t="shared" si="82"/>
        <v>O</v>
      </c>
      <c r="AO70" s="54" t="str">
        <f t="shared" si="82"/>
        <v>O</v>
      </c>
      <c r="AP70" s="54" t="str">
        <f t="shared" si="82"/>
        <v>O</v>
      </c>
      <c r="AQ70" s="54" t="str">
        <f t="shared" si="82"/>
        <v>O</v>
      </c>
      <c r="AR70" s="54" t="str">
        <f t="shared" si="82"/>
        <v>O</v>
      </c>
      <c r="AS70" s="54" t="str">
        <f t="shared" si="82"/>
        <v>O</v>
      </c>
      <c r="AT70" s="54" t="str">
        <f t="shared" si="82"/>
        <v>O</v>
      </c>
      <c r="AU70" s="54" t="str">
        <f t="shared" si="82"/>
        <v>O</v>
      </c>
      <c r="AV70" s="53"/>
      <c r="AW70" s="53"/>
      <c r="AX70" s="53"/>
      <c r="BA70" s="147"/>
      <c r="BB70" s="147"/>
      <c r="BC70" s="147"/>
      <c r="BD70" s="147"/>
      <c r="BF70" s="80"/>
    </row>
    <row r="71" spans="1:60">
      <c r="A71" s="251"/>
      <c r="B71" s="55" t="s">
        <v>564</v>
      </c>
      <c r="C71" s="55">
        <f ca="1">COUNTIF(C66:C70,"O")</f>
        <v>5</v>
      </c>
      <c r="D71" s="55">
        <f t="shared" ref="D71:Q71" ca="1" si="83">COUNTIF(D66:D70,"O")</f>
        <v>3</v>
      </c>
      <c r="E71" s="55">
        <f t="shared" ca="1" si="83"/>
        <v>0</v>
      </c>
      <c r="F71" s="55">
        <f t="shared" ca="1" si="83"/>
        <v>3</v>
      </c>
      <c r="G71" s="55">
        <f t="shared" ca="1" si="83"/>
        <v>2</v>
      </c>
      <c r="H71" s="55">
        <f t="shared" ca="1" si="83"/>
        <v>1</v>
      </c>
      <c r="I71" s="55">
        <f t="shared" ca="1" si="83"/>
        <v>3</v>
      </c>
      <c r="J71" s="55">
        <f t="shared" ca="1" si="83"/>
        <v>2</v>
      </c>
      <c r="K71" s="55">
        <f t="shared" ca="1" si="83"/>
        <v>2</v>
      </c>
      <c r="L71" s="55">
        <f t="shared" ca="1" si="83"/>
        <v>4</v>
      </c>
      <c r="M71" s="55">
        <f t="shared" ca="1" si="83"/>
        <v>1</v>
      </c>
      <c r="N71" s="55">
        <f t="shared" ca="1" si="83"/>
        <v>3</v>
      </c>
      <c r="O71" s="55">
        <f t="shared" ca="1" si="83"/>
        <v>4</v>
      </c>
      <c r="P71" s="55">
        <f t="shared" ca="1" si="83"/>
        <v>0</v>
      </c>
      <c r="Q71" s="55">
        <f t="shared" ca="1" si="83"/>
        <v>2</v>
      </c>
      <c r="R71" s="55">
        <f t="shared" ref="R71:AH71" si="84">COUNTIF(R66:R70,"O")</f>
        <v>5</v>
      </c>
      <c r="S71" s="55">
        <f t="shared" si="84"/>
        <v>5</v>
      </c>
      <c r="T71" s="55">
        <f t="shared" si="84"/>
        <v>5</v>
      </c>
      <c r="U71" s="55">
        <f t="shared" si="84"/>
        <v>5</v>
      </c>
      <c r="V71" s="55">
        <f t="shared" si="84"/>
        <v>5</v>
      </c>
      <c r="W71" s="55">
        <f t="shared" si="84"/>
        <v>5</v>
      </c>
      <c r="X71" s="55">
        <f t="shared" si="84"/>
        <v>5</v>
      </c>
      <c r="Y71" s="55">
        <f t="shared" si="84"/>
        <v>5</v>
      </c>
      <c r="Z71" s="55">
        <f t="shared" si="84"/>
        <v>5</v>
      </c>
      <c r="AA71" s="55">
        <f t="shared" si="84"/>
        <v>5</v>
      </c>
      <c r="AB71" s="55">
        <f t="shared" si="84"/>
        <v>5</v>
      </c>
      <c r="AC71" s="55">
        <f t="shared" si="84"/>
        <v>5</v>
      </c>
      <c r="AD71" s="55">
        <f t="shared" si="84"/>
        <v>5</v>
      </c>
      <c r="AE71" s="55">
        <f t="shared" si="84"/>
        <v>5</v>
      </c>
      <c r="AF71" s="55">
        <f t="shared" si="84"/>
        <v>5</v>
      </c>
      <c r="AG71" s="55">
        <f t="shared" si="84"/>
        <v>5</v>
      </c>
      <c r="AH71" s="55">
        <f t="shared" si="84"/>
        <v>5</v>
      </c>
      <c r="AI71" s="55">
        <f>COUNTIF(AI66:AI70,"O")</f>
        <v>5</v>
      </c>
      <c r="AJ71" s="55">
        <f>COUNTIF(AJ66:AJ70,"O")</f>
        <v>5</v>
      </c>
      <c r="AK71" s="55">
        <f>COUNTIF(AK66:AK70,"O")</f>
        <v>5</v>
      </c>
      <c r="AL71" s="55">
        <f t="shared" ref="AL71:AU71" si="85">COUNTIF(AL66:AL70,"O")</f>
        <v>5</v>
      </c>
      <c r="AM71" s="55">
        <f t="shared" si="85"/>
        <v>5</v>
      </c>
      <c r="AN71" s="55">
        <f t="shared" si="85"/>
        <v>5</v>
      </c>
      <c r="AO71" s="55">
        <f t="shared" si="85"/>
        <v>5</v>
      </c>
      <c r="AP71" s="55">
        <f t="shared" si="85"/>
        <v>5</v>
      </c>
      <c r="AQ71" s="55">
        <f t="shared" si="85"/>
        <v>5</v>
      </c>
      <c r="AR71" s="55">
        <f t="shared" si="85"/>
        <v>5</v>
      </c>
      <c r="AS71" s="55">
        <f t="shared" si="85"/>
        <v>5</v>
      </c>
      <c r="AT71" s="55">
        <f t="shared" si="85"/>
        <v>5</v>
      </c>
      <c r="AU71" s="55">
        <f t="shared" si="85"/>
        <v>5</v>
      </c>
      <c r="AV71" s="171"/>
      <c r="AW71" s="171"/>
      <c r="AX71" s="171"/>
      <c r="BA71" s="196"/>
      <c r="BB71" s="147"/>
      <c r="BC71" s="147"/>
      <c r="BD71" s="147"/>
      <c r="BF71" s="80"/>
    </row>
    <row r="72" spans="1:60">
      <c r="A72" s="255" t="s">
        <v>578</v>
      </c>
      <c r="B72" s="54" t="s">
        <v>565</v>
      </c>
      <c r="C72" s="54" t="str">
        <f t="shared" ref="C72:AU72" ca="1" si="86">IF(C7=C8-1,"O",IF(C7=C9-1,"O",IF(C7=C10-1,"O",IF(C7=C11-1,"O",IF(C7=C12-1,"O","X")))))</f>
        <v>X</v>
      </c>
      <c r="D72" s="54" t="str">
        <f t="shared" ca="1" si="86"/>
        <v>O</v>
      </c>
      <c r="E72" s="54" t="str">
        <f t="shared" ca="1" si="86"/>
        <v>O</v>
      </c>
      <c r="F72" s="54" t="str">
        <f t="shared" ca="1" si="86"/>
        <v>X</v>
      </c>
      <c r="G72" s="54" t="str">
        <f t="shared" ca="1" si="86"/>
        <v>X</v>
      </c>
      <c r="H72" s="54" t="str">
        <f t="shared" ca="1" si="86"/>
        <v>O</v>
      </c>
      <c r="I72" s="54" t="str">
        <f t="shared" ca="1" si="86"/>
        <v>X</v>
      </c>
      <c r="J72" s="54" t="str">
        <f t="shared" ca="1" si="86"/>
        <v>X</v>
      </c>
      <c r="K72" s="54" t="str">
        <f t="shared" ca="1" si="86"/>
        <v>X</v>
      </c>
      <c r="L72" s="54" t="str">
        <f t="shared" ca="1" si="86"/>
        <v>X</v>
      </c>
      <c r="M72" s="54" t="str">
        <f t="shared" ca="1" si="86"/>
        <v>X</v>
      </c>
      <c r="N72" s="54" t="str">
        <f t="shared" ca="1" si="86"/>
        <v>O</v>
      </c>
      <c r="O72" s="54" t="str">
        <f t="shared" ca="1" si="86"/>
        <v>X</v>
      </c>
      <c r="P72" s="54" t="str">
        <f t="shared" ca="1" si="86"/>
        <v>X</v>
      </c>
      <c r="Q72" s="54" t="str">
        <f t="shared" ca="1" si="86"/>
        <v>X</v>
      </c>
      <c r="R72" s="54" t="str">
        <f t="shared" si="86"/>
        <v>X</v>
      </c>
      <c r="S72" s="54" t="str">
        <f t="shared" si="86"/>
        <v>X</v>
      </c>
      <c r="T72" s="54" t="str">
        <f t="shared" si="86"/>
        <v>X</v>
      </c>
      <c r="U72" s="54" t="str">
        <f t="shared" si="86"/>
        <v>X</v>
      </c>
      <c r="V72" s="54" t="str">
        <f t="shared" si="86"/>
        <v>X</v>
      </c>
      <c r="W72" s="54" t="str">
        <f t="shared" si="86"/>
        <v>X</v>
      </c>
      <c r="X72" s="54" t="str">
        <f t="shared" si="86"/>
        <v>X</v>
      </c>
      <c r="Y72" s="54" t="str">
        <f t="shared" si="86"/>
        <v>X</v>
      </c>
      <c r="Z72" s="54" t="str">
        <f t="shared" si="86"/>
        <v>X</v>
      </c>
      <c r="AA72" s="54" t="str">
        <f t="shared" si="86"/>
        <v>X</v>
      </c>
      <c r="AB72" s="54" t="str">
        <f t="shared" si="86"/>
        <v>X</v>
      </c>
      <c r="AC72" s="54" t="str">
        <f t="shared" si="86"/>
        <v>X</v>
      </c>
      <c r="AD72" s="54" t="str">
        <f t="shared" si="86"/>
        <v>X</v>
      </c>
      <c r="AE72" s="54" t="str">
        <f t="shared" si="86"/>
        <v>X</v>
      </c>
      <c r="AF72" s="54" t="str">
        <f t="shared" si="86"/>
        <v>X</v>
      </c>
      <c r="AG72" s="54" t="str">
        <f t="shared" si="86"/>
        <v>X</v>
      </c>
      <c r="AH72" s="54" t="str">
        <f t="shared" si="86"/>
        <v>X</v>
      </c>
      <c r="AI72" s="54" t="str">
        <f t="shared" si="86"/>
        <v>X</v>
      </c>
      <c r="AJ72" s="54" t="str">
        <f t="shared" si="86"/>
        <v>X</v>
      </c>
      <c r="AK72" s="54" t="str">
        <f t="shared" si="86"/>
        <v>X</v>
      </c>
      <c r="AL72" s="54" t="str">
        <f t="shared" si="86"/>
        <v>X</v>
      </c>
      <c r="AM72" s="54" t="str">
        <f t="shared" si="86"/>
        <v>X</v>
      </c>
      <c r="AN72" s="54" t="str">
        <f t="shared" si="86"/>
        <v>X</v>
      </c>
      <c r="AO72" s="54" t="str">
        <f t="shared" si="86"/>
        <v>X</v>
      </c>
      <c r="AP72" s="54" t="str">
        <f t="shared" si="86"/>
        <v>X</v>
      </c>
      <c r="AQ72" s="54" t="str">
        <f t="shared" si="86"/>
        <v>X</v>
      </c>
      <c r="AR72" s="54" t="str">
        <f t="shared" si="86"/>
        <v>X</v>
      </c>
      <c r="AS72" s="54" t="str">
        <f t="shared" si="86"/>
        <v>X</v>
      </c>
      <c r="AT72" s="54" t="str">
        <f t="shared" si="86"/>
        <v>X</v>
      </c>
      <c r="AU72" s="54" t="str">
        <f t="shared" si="86"/>
        <v>X</v>
      </c>
      <c r="AV72" s="53"/>
      <c r="AW72" s="53"/>
      <c r="AX72" s="53"/>
      <c r="BA72" s="196"/>
      <c r="BB72" s="147"/>
      <c r="BC72" s="147"/>
      <c r="BF72" s="147"/>
    </row>
    <row r="73" spans="1:60">
      <c r="A73" s="251"/>
      <c r="B73" s="54" t="s">
        <v>566</v>
      </c>
      <c r="C73" s="54" t="str">
        <f t="shared" ref="C73:AU73" ca="1" si="87">IF(C8=C7-1,"O",IF(C8=C9-1,"O",IF(C8=C10-1,"O",IF(C8=C11-1,"O",IF(C8=C12-1,"O","X")))))</f>
        <v>X</v>
      </c>
      <c r="D73" s="54" t="str">
        <f t="shared" ca="1" si="87"/>
        <v>X</v>
      </c>
      <c r="E73" s="54" t="str">
        <f t="shared" ca="1" si="87"/>
        <v>X</v>
      </c>
      <c r="F73" s="54" t="str">
        <f t="shared" ca="1" si="87"/>
        <v>X</v>
      </c>
      <c r="G73" s="54" t="str">
        <f t="shared" ca="1" si="87"/>
        <v>X</v>
      </c>
      <c r="H73" s="54" t="str">
        <f t="shared" ca="1" si="87"/>
        <v>X</v>
      </c>
      <c r="I73" s="54" t="str">
        <f t="shared" ca="1" si="87"/>
        <v>X</v>
      </c>
      <c r="J73" s="54" t="str">
        <f t="shared" ca="1" si="87"/>
        <v>X</v>
      </c>
      <c r="K73" s="54" t="str">
        <f t="shared" ca="1" si="87"/>
        <v>X</v>
      </c>
      <c r="L73" s="54" t="str">
        <f t="shared" ca="1" si="87"/>
        <v>X</v>
      </c>
      <c r="M73" s="54" t="str">
        <f t="shared" ca="1" si="87"/>
        <v>X</v>
      </c>
      <c r="N73" s="54" t="str">
        <f t="shared" ca="1" si="87"/>
        <v>X</v>
      </c>
      <c r="O73" s="54" t="str">
        <f t="shared" ca="1" si="87"/>
        <v>X</v>
      </c>
      <c r="P73" s="54" t="str">
        <f t="shared" ca="1" si="87"/>
        <v>X</v>
      </c>
      <c r="Q73" s="54" t="str">
        <f t="shared" ca="1" si="87"/>
        <v>X</v>
      </c>
      <c r="R73" s="54" t="str">
        <f t="shared" si="87"/>
        <v>X</v>
      </c>
      <c r="S73" s="54" t="str">
        <f t="shared" si="87"/>
        <v>X</v>
      </c>
      <c r="T73" s="54" t="str">
        <f t="shared" si="87"/>
        <v>X</v>
      </c>
      <c r="U73" s="54" t="str">
        <f t="shared" si="87"/>
        <v>X</v>
      </c>
      <c r="V73" s="54" t="str">
        <f t="shared" si="87"/>
        <v>X</v>
      </c>
      <c r="W73" s="54" t="str">
        <f t="shared" si="87"/>
        <v>X</v>
      </c>
      <c r="X73" s="54" t="str">
        <f t="shared" si="87"/>
        <v>X</v>
      </c>
      <c r="Y73" s="54" t="str">
        <f t="shared" si="87"/>
        <v>X</v>
      </c>
      <c r="Z73" s="54" t="str">
        <f t="shared" si="87"/>
        <v>X</v>
      </c>
      <c r="AA73" s="54" t="str">
        <f t="shared" si="87"/>
        <v>X</v>
      </c>
      <c r="AB73" s="54" t="str">
        <f t="shared" si="87"/>
        <v>X</v>
      </c>
      <c r="AC73" s="54" t="str">
        <f t="shared" si="87"/>
        <v>X</v>
      </c>
      <c r="AD73" s="54" t="str">
        <f t="shared" si="87"/>
        <v>X</v>
      </c>
      <c r="AE73" s="54" t="str">
        <f t="shared" si="87"/>
        <v>X</v>
      </c>
      <c r="AF73" s="54" t="str">
        <f t="shared" si="87"/>
        <v>X</v>
      </c>
      <c r="AG73" s="54" t="str">
        <f t="shared" si="87"/>
        <v>X</v>
      </c>
      <c r="AH73" s="54" t="str">
        <f t="shared" si="87"/>
        <v>X</v>
      </c>
      <c r="AI73" s="54" t="str">
        <f t="shared" si="87"/>
        <v>X</v>
      </c>
      <c r="AJ73" s="54" t="str">
        <f t="shared" si="87"/>
        <v>X</v>
      </c>
      <c r="AK73" s="54" t="str">
        <f t="shared" si="87"/>
        <v>X</v>
      </c>
      <c r="AL73" s="54" t="str">
        <f t="shared" si="87"/>
        <v>X</v>
      </c>
      <c r="AM73" s="54" t="str">
        <f t="shared" si="87"/>
        <v>X</v>
      </c>
      <c r="AN73" s="54" t="str">
        <f t="shared" si="87"/>
        <v>X</v>
      </c>
      <c r="AO73" s="54" t="str">
        <f t="shared" si="87"/>
        <v>X</v>
      </c>
      <c r="AP73" s="54" t="str">
        <f t="shared" si="87"/>
        <v>X</v>
      </c>
      <c r="AQ73" s="54" t="str">
        <f t="shared" si="87"/>
        <v>X</v>
      </c>
      <c r="AR73" s="54" t="str">
        <f t="shared" si="87"/>
        <v>X</v>
      </c>
      <c r="AS73" s="54" t="str">
        <f t="shared" si="87"/>
        <v>X</v>
      </c>
      <c r="AT73" s="54" t="str">
        <f t="shared" si="87"/>
        <v>X</v>
      </c>
      <c r="AU73" s="54" t="str">
        <f t="shared" si="87"/>
        <v>X</v>
      </c>
      <c r="AV73" s="53"/>
      <c r="AW73" s="53"/>
      <c r="AX73" s="53"/>
      <c r="BB73"/>
      <c r="BF73" s="147"/>
    </row>
    <row r="74" spans="1:60">
      <c r="A74" s="251"/>
      <c r="B74" s="54" t="s">
        <v>567</v>
      </c>
      <c r="C74" s="54" t="str">
        <f t="shared" ref="C74:AU74" ca="1" si="88">IF(C9=C7-1,"O",IF(C9=C8-1,"O",IF(C9=C10-1,"O",IF(C9=C11-1,"O",IF(C9=C12-1,"O","X")))))</f>
        <v>X</v>
      </c>
      <c r="D74" s="54" t="str">
        <f t="shared" ca="1" si="88"/>
        <v>X</v>
      </c>
      <c r="E74" s="54" t="str">
        <f t="shared" ca="1" si="88"/>
        <v>X</v>
      </c>
      <c r="F74" s="54" t="str">
        <f t="shared" ca="1" si="88"/>
        <v>O</v>
      </c>
      <c r="G74" s="54" t="str">
        <f t="shared" ca="1" si="88"/>
        <v>X</v>
      </c>
      <c r="H74" s="54" t="str">
        <f t="shared" ca="1" si="88"/>
        <v>X</v>
      </c>
      <c r="I74" s="54" t="str">
        <f t="shared" ca="1" si="88"/>
        <v>X</v>
      </c>
      <c r="J74" s="54" t="str">
        <f t="shared" ca="1" si="88"/>
        <v>X</v>
      </c>
      <c r="K74" s="54" t="str">
        <f t="shared" ca="1" si="88"/>
        <v>O</v>
      </c>
      <c r="L74" s="54" t="str">
        <f t="shared" ca="1" si="88"/>
        <v>X</v>
      </c>
      <c r="M74" s="54" t="str">
        <f t="shared" ca="1" si="88"/>
        <v>X</v>
      </c>
      <c r="N74" s="54" t="str">
        <f t="shared" ca="1" si="88"/>
        <v>X</v>
      </c>
      <c r="O74" s="54" t="str">
        <f t="shared" ca="1" si="88"/>
        <v>X</v>
      </c>
      <c r="P74" s="54" t="str">
        <f t="shared" ca="1" si="88"/>
        <v>X</v>
      </c>
      <c r="Q74" s="54" t="str">
        <f t="shared" ca="1" si="88"/>
        <v>X</v>
      </c>
      <c r="R74" s="54" t="str">
        <f t="shared" si="88"/>
        <v>X</v>
      </c>
      <c r="S74" s="54" t="str">
        <f t="shared" si="88"/>
        <v>X</v>
      </c>
      <c r="T74" s="54" t="str">
        <f t="shared" si="88"/>
        <v>X</v>
      </c>
      <c r="U74" s="54" t="str">
        <f t="shared" si="88"/>
        <v>X</v>
      </c>
      <c r="V74" s="54" t="str">
        <f t="shared" si="88"/>
        <v>X</v>
      </c>
      <c r="W74" s="54" t="str">
        <f t="shared" si="88"/>
        <v>X</v>
      </c>
      <c r="X74" s="54" t="str">
        <f t="shared" si="88"/>
        <v>X</v>
      </c>
      <c r="Y74" s="54" t="str">
        <f t="shared" si="88"/>
        <v>X</v>
      </c>
      <c r="Z74" s="54" t="str">
        <f t="shared" si="88"/>
        <v>X</v>
      </c>
      <c r="AA74" s="54" t="str">
        <f t="shared" si="88"/>
        <v>X</v>
      </c>
      <c r="AB74" s="54" t="str">
        <f t="shared" si="88"/>
        <v>X</v>
      </c>
      <c r="AC74" s="54" t="str">
        <f t="shared" si="88"/>
        <v>X</v>
      </c>
      <c r="AD74" s="54" t="str">
        <f t="shared" si="88"/>
        <v>X</v>
      </c>
      <c r="AE74" s="54" t="str">
        <f t="shared" si="88"/>
        <v>X</v>
      </c>
      <c r="AF74" s="54" t="str">
        <f t="shared" si="88"/>
        <v>X</v>
      </c>
      <c r="AG74" s="54" t="str">
        <f t="shared" si="88"/>
        <v>X</v>
      </c>
      <c r="AH74" s="54" t="str">
        <f t="shared" si="88"/>
        <v>X</v>
      </c>
      <c r="AI74" s="54" t="str">
        <f t="shared" si="88"/>
        <v>X</v>
      </c>
      <c r="AJ74" s="54" t="str">
        <f t="shared" si="88"/>
        <v>X</v>
      </c>
      <c r="AK74" s="54" t="str">
        <f t="shared" si="88"/>
        <v>X</v>
      </c>
      <c r="AL74" s="54" t="str">
        <f t="shared" si="88"/>
        <v>X</v>
      </c>
      <c r="AM74" s="54" t="str">
        <f t="shared" si="88"/>
        <v>X</v>
      </c>
      <c r="AN74" s="54" t="str">
        <f t="shared" si="88"/>
        <v>X</v>
      </c>
      <c r="AO74" s="54" t="str">
        <f t="shared" si="88"/>
        <v>X</v>
      </c>
      <c r="AP74" s="54" t="str">
        <f t="shared" si="88"/>
        <v>X</v>
      </c>
      <c r="AQ74" s="54" t="str">
        <f t="shared" si="88"/>
        <v>X</v>
      </c>
      <c r="AR74" s="54" t="str">
        <f t="shared" si="88"/>
        <v>X</v>
      </c>
      <c r="AS74" s="54" t="str">
        <f t="shared" si="88"/>
        <v>X</v>
      </c>
      <c r="AT74" s="54" t="str">
        <f t="shared" si="88"/>
        <v>X</v>
      </c>
      <c r="AU74" s="54" t="str">
        <f t="shared" si="88"/>
        <v>X</v>
      </c>
      <c r="AV74" s="53"/>
      <c r="AW74" s="53"/>
      <c r="AX74" s="53"/>
      <c r="BF74" s="147"/>
    </row>
    <row r="75" spans="1:60">
      <c r="A75" s="251"/>
      <c r="B75" s="54" t="s">
        <v>568</v>
      </c>
      <c r="C75" s="54" t="str">
        <f t="shared" ref="C75:AU75" ca="1" si="89">IF(C10=C7-1,"O",IF(C10=C8-1,"O",IF(C10=C9-1,"O",IF(C10=C11-1,"O",IF(C10=C12-1,"O","X")))))</f>
        <v>X</v>
      </c>
      <c r="D75" s="54" t="str">
        <f t="shared" ca="1" si="89"/>
        <v>X</v>
      </c>
      <c r="E75" s="54" t="str">
        <f t="shared" ca="1" si="89"/>
        <v>X</v>
      </c>
      <c r="F75" s="54" t="str">
        <f t="shared" ca="1" si="89"/>
        <v>X</v>
      </c>
      <c r="G75" s="54" t="str">
        <f t="shared" ca="1" si="89"/>
        <v>X</v>
      </c>
      <c r="H75" s="54" t="str">
        <f t="shared" ca="1" si="89"/>
        <v>X</v>
      </c>
      <c r="I75" s="54" t="str">
        <f t="shared" ca="1" si="89"/>
        <v>X</v>
      </c>
      <c r="J75" s="54" t="str">
        <f t="shared" ca="1" si="89"/>
        <v>O</v>
      </c>
      <c r="K75" s="54" t="str">
        <f t="shared" ca="1" si="89"/>
        <v>O</v>
      </c>
      <c r="L75" s="54" t="str">
        <f t="shared" ca="1" si="89"/>
        <v>X</v>
      </c>
      <c r="M75" s="54" t="str">
        <f t="shared" ca="1" si="89"/>
        <v>X</v>
      </c>
      <c r="N75" s="54" t="str">
        <f t="shared" ca="1" si="89"/>
        <v>X</v>
      </c>
      <c r="O75" s="54" t="str">
        <f t="shared" ca="1" si="89"/>
        <v>X</v>
      </c>
      <c r="P75" s="54" t="str">
        <f t="shared" ca="1" si="89"/>
        <v>X</v>
      </c>
      <c r="Q75" s="54" t="str">
        <f t="shared" ca="1" si="89"/>
        <v>O</v>
      </c>
      <c r="R75" s="54" t="str">
        <f t="shared" si="89"/>
        <v>X</v>
      </c>
      <c r="S75" s="54" t="str">
        <f t="shared" si="89"/>
        <v>X</v>
      </c>
      <c r="T75" s="54" t="str">
        <f t="shared" si="89"/>
        <v>X</v>
      </c>
      <c r="U75" s="54" t="str">
        <f t="shared" si="89"/>
        <v>X</v>
      </c>
      <c r="V75" s="54" t="str">
        <f t="shared" si="89"/>
        <v>X</v>
      </c>
      <c r="W75" s="54" t="str">
        <f t="shared" si="89"/>
        <v>X</v>
      </c>
      <c r="X75" s="54" t="str">
        <f t="shared" si="89"/>
        <v>X</v>
      </c>
      <c r="Y75" s="54" t="str">
        <f t="shared" si="89"/>
        <v>X</v>
      </c>
      <c r="Z75" s="54" t="str">
        <f t="shared" si="89"/>
        <v>X</v>
      </c>
      <c r="AA75" s="54" t="str">
        <f t="shared" si="89"/>
        <v>X</v>
      </c>
      <c r="AB75" s="54" t="str">
        <f t="shared" si="89"/>
        <v>X</v>
      </c>
      <c r="AC75" s="54" t="str">
        <f t="shared" si="89"/>
        <v>X</v>
      </c>
      <c r="AD75" s="54" t="str">
        <f t="shared" si="89"/>
        <v>X</v>
      </c>
      <c r="AE75" s="54" t="str">
        <f t="shared" si="89"/>
        <v>X</v>
      </c>
      <c r="AF75" s="54" t="str">
        <f t="shared" si="89"/>
        <v>X</v>
      </c>
      <c r="AG75" s="54" t="str">
        <f t="shared" si="89"/>
        <v>X</v>
      </c>
      <c r="AH75" s="54" t="str">
        <f t="shared" si="89"/>
        <v>X</v>
      </c>
      <c r="AI75" s="54" t="str">
        <f t="shared" si="89"/>
        <v>X</v>
      </c>
      <c r="AJ75" s="54" t="str">
        <f t="shared" si="89"/>
        <v>X</v>
      </c>
      <c r="AK75" s="54" t="str">
        <f t="shared" si="89"/>
        <v>X</v>
      </c>
      <c r="AL75" s="54" t="str">
        <f t="shared" si="89"/>
        <v>X</v>
      </c>
      <c r="AM75" s="54" t="str">
        <f t="shared" si="89"/>
        <v>X</v>
      </c>
      <c r="AN75" s="54" t="str">
        <f t="shared" si="89"/>
        <v>X</v>
      </c>
      <c r="AO75" s="54" t="str">
        <f t="shared" si="89"/>
        <v>X</v>
      </c>
      <c r="AP75" s="54" t="str">
        <f t="shared" si="89"/>
        <v>X</v>
      </c>
      <c r="AQ75" s="54" t="str">
        <f t="shared" si="89"/>
        <v>X</v>
      </c>
      <c r="AR75" s="54" t="str">
        <f t="shared" si="89"/>
        <v>X</v>
      </c>
      <c r="AS75" s="54" t="str">
        <f t="shared" si="89"/>
        <v>X</v>
      </c>
      <c r="AT75" s="54" t="str">
        <f t="shared" si="89"/>
        <v>X</v>
      </c>
      <c r="AU75" s="54" t="str">
        <f t="shared" si="89"/>
        <v>X</v>
      </c>
      <c r="AV75" s="53"/>
      <c r="AW75" s="53"/>
      <c r="AX75" s="53"/>
      <c r="BF75" s="147"/>
    </row>
    <row r="76" spans="1:60">
      <c r="A76" s="251"/>
      <c r="B76" s="54" t="s">
        <v>569</v>
      </c>
      <c r="C76" s="54" t="str">
        <f t="shared" ref="C76:AU76" ca="1" si="90">IF(C11=C7-1,"O",IF(C11=C8-1,"O",IF(C11=C9-1,"O",IF(C11=C10-1,"O",IF(C11=C12-1,"O","X")))))</f>
        <v>X</v>
      </c>
      <c r="D76" s="54" t="str">
        <f t="shared" ca="1" si="90"/>
        <v>X</v>
      </c>
      <c r="E76" s="54" t="str">
        <f t="shared" ca="1" si="90"/>
        <v>X</v>
      </c>
      <c r="F76" s="54" t="str">
        <f t="shared" ca="1" si="90"/>
        <v>X</v>
      </c>
      <c r="G76" s="54" t="str">
        <f t="shared" ca="1" si="90"/>
        <v>X</v>
      </c>
      <c r="H76" s="54" t="str">
        <f t="shared" ca="1" si="90"/>
        <v>X</v>
      </c>
      <c r="I76" s="54" t="str">
        <f t="shared" ca="1" si="90"/>
        <v>X</v>
      </c>
      <c r="J76" s="54" t="str">
        <f t="shared" ca="1" si="90"/>
        <v>X</v>
      </c>
      <c r="K76" s="54" t="str">
        <f t="shared" ca="1" si="90"/>
        <v>X</v>
      </c>
      <c r="L76" s="54" t="str">
        <f t="shared" ca="1" si="90"/>
        <v>X</v>
      </c>
      <c r="M76" s="54" t="str">
        <f t="shared" ca="1" si="90"/>
        <v>X</v>
      </c>
      <c r="N76" s="54" t="str">
        <f t="shared" ca="1" si="90"/>
        <v>X</v>
      </c>
      <c r="O76" s="54" t="str">
        <f t="shared" ca="1" si="90"/>
        <v>X</v>
      </c>
      <c r="P76" s="54" t="str">
        <f t="shared" ca="1" si="90"/>
        <v>X</v>
      </c>
      <c r="Q76" s="54" t="str">
        <f t="shared" ca="1" si="90"/>
        <v>O</v>
      </c>
      <c r="R76" s="54" t="str">
        <f t="shared" si="90"/>
        <v>X</v>
      </c>
      <c r="S76" s="54" t="str">
        <f t="shared" si="90"/>
        <v>X</v>
      </c>
      <c r="T76" s="54" t="str">
        <f t="shared" si="90"/>
        <v>X</v>
      </c>
      <c r="U76" s="54" t="str">
        <f t="shared" si="90"/>
        <v>X</v>
      </c>
      <c r="V76" s="54" t="str">
        <f t="shared" si="90"/>
        <v>X</v>
      </c>
      <c r="W76" s="54" t="str">
        <f t="shared" si="90"/>
        <v>X</v>
      </c>
      <c r="X76" s="54" t="str">
        <f t="shared" si="90"/>
        <v>X</v>
      </c>
      <c r="Y76" s="54" t="str">
        <f t="shared" si="90"/>
        <v>X</v>
      </c>
      <c r="Z76" s="54" t="str">
        <f t="shared" si="90"/>
        <v>X</v>
      </c>
      <c r="AA76" s="54" t="str">
        <f t="shared" si="90"/>
        <v>X</v>
      </c>
      <c r="AB76" s="54" t="str">
        <f t="shared" si="90"/>
        <v>X</v>
      </c>
      <c r="AC76" s="54" t="str">
        <f t="shared" si="90"/>
        <v>X</v>
      </c>
      <c r="AD76" s="54" t="str">
        <f t="shared" si="90"/>
        <v>X</v>
      </c>
      <c r="AE76" s="54" t="str">
        <f t="shared" si="90"/>
        <v>X</v>
      </c>
      <c r="AF76" s="54" t="str">
        <f t="shared" si="90"/>
        <v>X</v>
      </c>
      <c r="AG76" s="54" t="str">
        <f t="shared" si="90"/>
        <v>X</v>
      </c>
      <c r="AH76" s="54" t="str">
        <f t="shared" si="90"/>
        <v>X</v>
      </c>
      <c r="AI76" s="54" t="str">
        <f t="shared" si="90"/>
        <v>X</v>
      </c>
      <c r="AJ76" s="54" t="str">
        <f t="shared" si="90"/>
        <v>X</v>
      </c>
      <c r="AK76" s="54" t="str">
        <f t="shared" si="90"/>
        <v>X</v>
      </c>
      <c r="AL76" s="54" t="str">
        <f t="shared" si="90"/>
        <v>X</v>
      </c>
      <c r="AM76" s="54" t="str">
        <f t="shared" si="90"/>
        <v>X</v>
      </c>
      <c r="AN76" s="54" t="str">
        <f t="shared" si="90"/>
        <v>X</v>
      </c>
      <c r="AO76" s="54" t="str">
        <f t="shared" si="90"/>
        <v>X</v>
      </c>
      <c r="AP76" s="54" t="str">
        <f t="shared" si="90"/>
        <v>X</v>
      </c>
      <c r="AQ76" s="54" t="str">
        <f t="shared" si="90"/>
        <v>X</v>
      </c>
      <c r="AR76" s="54" t="str">
        <f t="shared" si="90"/>
        <v>X</v>
      </c>
      <c r="AS76" s="54" t="str">
        <f t="shared" si="90"/>
        <v>X</v>
      </c>
      <c r="AT76" s="54" t="str">
        <f t="shared" si="90"/>
        <v>X</v>
      </c>
      <c r="AU76" s="54" t="str">
        <f t="shared" si="90"/>
        <v>X</v>
      </c>
      <c r="AV76" s="53"/>
      <c r="AW76" s="53"/>
      <c r="AX76" s="53"/>
      <c r="BF76" s="22"/>
      <c r="BH76" s="121"/>
    </row>
    <row r="77" spans="1:60">
      <c r="A77" s="251"/>
      <c r="B77" s="54" t="s">
        <v>540</v>
      </c>
      <c r="C77" s="54" t="str">
        <f ca="1">IF(C12=C7-1,"O",IF(C12=C8-1,"O",IF(C12=C9-1,"O",IF(C12=C10-1,"O",IF(C12=C11-1,"O","X")))))</f>
        <v>X</v>
      </c>
      <c r="D77" s="54" t="str">
        <f t="shared" ref="D77:AU77" ca="1" si="91">IF(D12=D8-1,"O",IF(D12=D9-1,"O",IF(D12=D10-1,"O",IF(D12=D11-1,"O",IF(D12=D13-1,"O","X")))))</f>
        <v>X</v>
      </c>
      <c r="E77" s="54" t="str">
        <f t="shared" ca="1" si="91"/>
        <v>X</v>
      </c>
      <c r="F77" s="54" t="str">
        <f t="shared" ca="1" si="91"/>
        <v>X</v>
      </c>
      <c r="G77" s="54" t="str">
        <f t="shared" ca="1" si="91"/>
        <v>X</v>
      </c>
      <c r="H77" s="54" t="str">
        <f t="shared" ca="1" si="91"/>
        <v>O</v>
      </c>
      <c r="I77" s="54" t="str">
        <f t="shared" ca="1" si="91"/>
        <v>X</v>
      </c>
      <c r="J77" s="54" t="str">
        <f t="shared" ca="1" si="91"/>
        <v>X</v>
      </c>
      <c r="K77" s="54" t="str">
        <f t="shared" ca="1" si="91"/>
        <v>X</v>
      </c>
      <c r="L77" s="54" t="str">
        <f t="shared" ca="1" si="91"/>
        <v>O</v>
      </c>
      <c r="M77" s="54" t="str">
        <f t="shared" ca="1" si="91"/>
        <v>X</v>
      </c>
      <c r="N77" s="54" t="str">
        <f t="shared" ca="1" si="91"/>
        <v>X</v>
      </c>
      <c r="O77" s="54" t="str">
        <f t="shared" ca="1" si="91"/>
        <v>X</v>
      </c>
      <c r="P77" s="54" t="str">
        <f t="shared" ca="1" si="91"/>
        <v>X</v>
      </c>
      <c r="Q77" s="54" t="str">
        <f t="shared" ca="1" si="91"/>
        <v>X</v>
      </c>
      <c r="R77" s="54" t="str">
        <f t="shared" si="91"/>
        <v>X</v>
      </c>
      <c r="S77" s="54" t="str">
        <f t="shared" si="91"/>
        <v>X</v>
      </c>
      <c r="T77" s="54" t="str">
        <f t="shared" si="91"/>
        <v>X</v>
      </c>
      <c r="U77" s="54" t="str">
        <f t="shared" si="91"/>
        <v>X</v>
      </c>
      <c r="V77" s="54" t="str">
        <f t="shared" si="91"/>
        <v>X</v>
      </c>
      <c r="W77" s="54" t="str">
        <f t="shared" si="91"/>
        <v>X</v>
      </c>
      <c r="X77" s="54" t="str">
        <f t="shared" si="91"/>
        <v>X</v>
      </c>
      <c r="Y77" s="54" t="str">
        <f t="shared" si="91"/>
        <v>X</v>
      </c>
      <c r="Z77" s="54" t="str">
        <f t="shared" si="91"/>
        <v>X</v>
      </c>
      <c r="AA77" s="54" t="str">
        <f t="shared" si="91"/>
        <v>X</v>
      </c>
      <c r="AB77" s="54" t="str">
        <f t="shared" si="91"/>
        <v>X</v>
      </c>
      <c r="AC77" s="54" t="str">
        <f t="shared" si="91"/>
        <v>X</v>
      </c>
      <c r="AD77" s="54" t="str">
        <f t="shared" si="91"/>
        <v>X</v>
      </c>
      <c r="AE77" s="54" t="str">
        <f t="shared" si="91"/>
        <v>X</v>
      </c>
      <c r="AF77" s="54" t="str">
        <f t="shared" si="91"/>
        <v>X</v>
      </c>
      <c r="AG77" s="54" t="str">
        <f t="shared" si="91"/>
        <v>X</v>
      </c>
      <c r="AH77" s="54" t="str">
        <f t="shared" si="91"/>
        <v>X</v>
      </c>
      <c r="AI77" s="54" t="str">
        <f t="shared" si="91"/>
        <v>X</v>
      </c>
      <c r="AJ77" s="54" t="str">
        <f t="shared" si="91"/>
        <v>X</v>
      </c>
      <c r="AK77" s="54" t="str">
        <f t="shared" si="91"/>
        <v>X</v>
      </c>
      <c r="AL77" s="54" t="str">
        <f t="shared" si="91"/>
        <v>X</v>
      </c>
      <c r="AM77" s="54" t="str">
        <f t="shared" si="91"/>
        <v>X</v>
      </c>
      <c r="AN77" s="54" t="str">
        <f t="shared" si="91"/>
        <v>X</v>
      </c>
      <c r="AO77" s="54" t="str">
        <f t="shared" si="91"/>
        <v>X</v>
      </c>
      <c r="AP77" s="54" t="str">
        <f t="shared" si="91"/>
        <v>X</v>
      </c>
      <c r="AQ77" s="54" t="str">
        <f t="shared" si="91"/>
        <v>X</v>
      </c>
      <c r="AR77" s="54" t="str">
        <f t="shared" si="91"/>
        <v>X</v>
      </c>
      <c r="AS77" s="54" t="str">
        <f t="shared" si="91"/>
        <v>X</v>
      </c>
      <c r="AT77" s="54" t="str">
        <f t="shared" si="91"/>
        <v>X</v>
      </c>
      <c r="AU77" s="54" t="str">
        <f t="shared" si="91"/>
        <v>X</v>
      </c>
      <c r="AV77" s="53"/>
      <c r="AW77" s="53"/>
      <c r="AX77" s="53"/>
      <c r="BF77" s="22"/>
    </row>
    <row r="78" spans="1:60">
      <c r="A78" s="251"/>
      <c r="B78" s="55" t="s">
        <v>564</v>
      </c>
      <c r="C78" s="55">
        <f ca="1">COUNTIF(C72:C76,"O")</f>
        <v>0</v>
      </c>
      <c r="D78" s="55">
        <f t="shared" ref="D78:Q78" ca="1" si="92">COUNTIF(D72:D76,"O")</f>
        <v>1</v>
      </c>
      <c r="E78" s="55">
        <f t="shared" ca="1" si="92"/>
        <v>1</v>
      </c>
      <c r="F78" s="55">
        <f t="shared" ca="1" si="92"/>
        <v>1</v>
      </c>
      <c r="G78" s="55">
        <f t="shared" ca="1" si="92"/>
        <v>0</v>
      </c>
      <c r="H78" s="55">
        <f t="shared" ca="1" si="92"/>
        <v>1</v>
      </c>
      <c r="I78" s="55">
        <f t="shared" ca="1" si="92"/>
        <v>0</v>
      </c>
      <c r="J78" s="55">
        <f t="shared" ca="1" si="92"/>
        <v>1</v>
      </c>
      <c r="K78" s="55">
        <f t="shared" ca="1" si="92"/>
        <v>2</v>
      </c>
      <c r="L78" s="55">
        <f t="shared" ca="1" si="92"/>
        <v>0</v>
      </c>
      <c r="M78" s="55">
        <f t="shared" ca="1" si="92"/>
        <v>0</v>
      </c>
      <c r="N78" s="55">
        <f t="shared" ca="1" si="92"/>
        <v>1</v>
      </c>
      <c r="O78" s="55">
        <f t="shared" ca="1" si="92"/>
        <v>0</v>
      </c>
      <c r="P78" s="55">
        <f t="shared" ca="1" si="92"/>
        <v>0</v>
      </c>
      <c r="Q78" s="55">
        <f t="shared" ca="1" si="92"/>
        <v>2</v>
      </c>
      <c r="R78" s="55">
        <f t="shared" ref="R78:AH78" si="93">COUNTIF(R72:R76,"O")</f>
        <v>0</v>
      </c>
      <c r="S78" s="55">
        <f t="shared" si="93"/>
        <v>0</v>
      </c>
      <c r="T78" s="55">
        <f t="shared" si="93"/>
        <v>0</v>
      </c>
      <c r="U78" s="55">
        <f t="shared" si="93"/>
        <v>0</v>
      </c>
      <c r="V78" s="55">
        <f t="shared" si="93"/>
        <v>0</v>
      </c>
      <c r="W78" s="55">
        <f t="shared" si="93"/>
        <v>0</v>
      </c>
      <c r="X78" s="55">
        <f t="shared" si="93"/>
        <v>0</v>
      </c>
      <c r="Y78" s="55">
        <f t="shared" si="93"/>
        <v>0</v>
      </c>
      <c r="Z78" s="55">
        <f t="shared" si="93"/>
        <v>0</v>
      </c>
      <c r="AA78" s="55">
        <f t="shared" si="93"/>
        <v>0</v>
      </c>
      <c r="AB78" s="55">
        <f t="shared" si="93"/>
        <v>0</v>
      </c>
      <c r="AC78" s="55">
        <f t="shared" si="93"/>
        <v>0</v>
      </c>
      <c r="AD78" s="55">
        <f t="shared" si="93"/>
        <v>0</v>
      </c>
      <c r="AE78" s="55">
        <f t="shared" si="93"/>
        <v>0</v>
      </c>
      <c r="AF78" s="55">
        <f t="shared" si="93"/>
        <v>0</v>
      </c>
      <c r="AG78" s="55">
        <f t="shared" si="93"/>
        <v>0</v>
      </c>
      <c r="AH78" s="55">
        <f t="shared" si="93"/>
        <v>0</v>
      </c>
      <c r="AI78" s="55">
        <f>COUNTIF(AI72:AI76,"O")</f>
        <v>0</v>
      </c>
      <c r="AJ78" s="55">
        <f>COUNTIF(AJ72:AJ76,"O")</f>
        <v>0</v>
      </c>
      <c r="AK78" s="55">
        <f>COUNTIF(AK72:AK76,"O")</f>
        <v>0</v>
      </c>
      <c r="AL78" s="55">
        <f t="shared" ref="AL78:AU78" si="94">COUNTIF(AL72:AL76,"O")</f>
        <v>0</v>
      </c>
      <c r="AM78" s="55">
        <f t="shared" si="94"/>
        <v>0</v>
      </c>
      <c r="AN78" s="55">
        <f t="shared" si="94"/>
        <v>0</v>
      </c>
      <c r="AO78" s="55">
        <f t="shared" si="94"/>
        <v>0</v>
      </c>
      <c r="AP78" s="55">
        <f t="shared" si="94"/>
        <v>0</v>
      </c>
      <c r="AQ78" s="55">
        <f t="shared" si="94"/>
        <v>0</v>
      </c>
      <c r="AR78" s="55">
        <f t="shared" si="94"/>
        <v>0</v>
      </c>
      <c r="AS78" s="55">
        <f t="shared" si="94"/>
        <v>0</v>
      </c>
      <c r="AT78" s="55">
        <f t="shared" si="94"/>
        <v>0</v>
      </c>
      <c r="AU78" s="55">
        <f t="shared" si="94"/>
        <v>0</v>
      </c>
      <c r="AV78" s="171"/>
      <c r="AW78" s="171"/>
      <c r="AX78" s="171"/>
      <c r="BF78" s="22"/>
    </row>
    <row r="79" spans="1:60">
      <c r="A79" s="256" t="s">
        <v>625</v>
      </c>
      <c r="B79" s="54" t="s">
        <v>565</v>
      </c>
      <c r="C79" s="54" t="str">
        <f t="shared" ref="C79:AU79" ca="1" si="95">IF(C7&lt;23,"저수","고수")</f>
        <v>저수</v>
      </c>
      <c r="D79" s="54" t="str">
        <f t="shared" ca="1" si="95"/>
        <v>저수</v>
      </c>
      <c r="E79" s="54" t="str">
        <f t="shared" ca="1" si="95"/>
        <v>고수</v>
      </c>
      <c r="F79" s="54" t="str">
        <f t="shared" ca="1" si="95"/>
        <v>저수</v>
      </c>
      <c r="G79" s="54" t="str">
        <f t="shared" ca="1" si="95"/>
        <v>고수</v>
      </c>
      <c r="H79" s="54" t="str">
        <f t="shared" ca="1" si="95"/>
        <v>고수</v>
      </c>
      <c r="I79" s="54" t="str">
        <f t="shared" ca="1" si="95"/>
        <v>고수</v>
      </c>
      <c r="J79" s="54" t="str">
        <f t="shared" ca="1" si="95"/>
        <v>고수</v>
      </c>
      <c r="K79" s="54" t="str">
        <f t="shared" ca="1" si="95"/>
        <v>고수</v>
      </c>
      <c r="L79" s="54" t="str">
        <f t="shared" ca="1" si="95"/>
        <v>고수</v>
      </c>
      <c r="M79" s="54" t="str">
        <f t="shared" ca="1" si="95"/>
        <v>저수</v>
      </c>
      <c r="N79" s="54" t="str">
        <f t="shared" ca="1" si="95"/>
        <v>고수</v>
      </c>
      <c r="O79" s="54" t="str">
        <f t="shared" ca="1" si="95"/>
        <v>고수</v>
      </c>
      <c r="P79" s="54" t="str">
        <f t="shared" ca="1" si="95"/>
        <v>저수</v>
      </c>
      <c r="Q79" s="54" t="str">
        <f t="shared" ca="1" si="95"/>
        <v>저수</v>
      </c>
      <c r="R79" s="54" t="str">
        <f t="shared" si="95"/>
        <v>저수</v>
      </c>
      <c r="S79" s="54" t="str">
        <f t="shared" si="95"/>
        <v>저수</v>
      </c>
      <c r="T79" s="54" t="str">
        <f t="shared" si="95"/>
        <v>저수</v>
      </c>
      <c r="U79" s="54" t="str">
        <f t="shared" si="95"/>
        <v>저수</v>
      </c>
      <c r="V79" s="54" t="str">
        <f t="shared" si="95"/>
        <v>저수</v>
      </c>
      <c r="W79" s="54" t="str">
        <f t="shared" si="95"/>
        <v>저수</v>
      </c>
      <c r="X79" s="54" t="str">
        <f t="shared" si="95"/>
        <v>저수</v>
      </c>
      <c r="Y79" s="54" t="str">
        <f t="shared" si="95"/>
        <v>저수</v>
      </c>
      <c r="Z79" s="54" t="str">
        <f t="shared" si="95"/>
        <v>저수</v>
      </c>
      <c r="AA79" s="54" t="str">
        <f t="shared" si="95"/>
        <v>저수</v>
      </c>
      <c r="AB79" s="54" t="str">
        <f t="shared" si="95"/>
        <v>저수</v>
      </c>
      <c r="AC79" s="54" t="str">
        <f t="shared" si="95"/>
        <v>저수</v>
      </c>
      <c r="AD79" s="54" t="str">
        <f t="shared" si="95"/>
        <v>저수</v>
      </c>
      <c r="AE79" s="54" t="str">
        <f t="shared" si="95"/>
        <v>저수</v>
      </c>
      <c r="AF79" s="54" t="str">
        <f t="shared" si="95"/>
        <v>저수</v>
      </c>
      <c r="AG79" s="54" t="str">
        <f t="shared" si="95"/>
        <v>저수</v>
      </c>
      <c r="AH79" s="54" t="str">
        <f t="shared" si="95"/>
        <v>저수</v>
      </c>
      <c r="AI79" s="54" t="str">
        <f t="shared" si="95"/>
        <v>저수</v>
      </c>
      <c r="AJ79" s="54" t="str">
        <f t="shared" si="95"/>
        <v>저수</v>
      </c>
      <c r="AK79" s="54" t="str">
        <f t="shared" si="95"/>
        <v>저수</v>
      </c>
      <c r="AL79" s="54" t="str">
        <f t="shared" si="95"/>
        <v>저수</v>
      </c>
      <c r="AM79" s="54" t="str">
        <f t="shared" si="95"/>
        <v>저수</v>
      </c>
      <c r="AN79" s="54" t="str">
        <f t="shared" si="95"/>
        <v>저수</v>
      </c>
      <c r="AO79" s="54" t="str">
        <f t="shared" si="95"/>
        <v>저수</v>
      </c>
      <c r="AP79" s="54" t="str">
        <f t="shared" si="95"/>
        <v>저수</v>
      </c>
      <c r="AQ79" s="54" t="str">
        <f t="shared" si="95"/>
        <v>저수</v>
      </c>
      <c r="AR79" s="54" t="str">
        <f t="shared" si="95"/>
        <v>저수</v>
      </c>
      <c r="AS79" s="54" t="str">
        <f t="shared" si="95"/>
        <v>저수</v>
      </c>
      <c r="AT79" s="54" t="str">
        <f t="shared" si="95"/>
        <v>저수</v>
      </c>
      <c r="AU79" s="54" t="str">
        <f t="shared" si="95"/>
        <v>저수</v>
      </c>
      <c r="AV79" s="53"/>
      <c r="AW79" s="53"/>
      <c r="AX79" s="53"/>
      <c r="BF79" s="22"/>
    </row>
    <row r="80" spans="1:60">
      <c r="A80" s="257"/>
      <c r="B80" s="54" t="s">
        <v>566</v>
      </c>
      <c r="C80" s="54" t="str">
        <f t="shared" ref="C80:AU80" ca="1" si="96">IF(C8&lt;23,"저수","고수")</f>
        <v>저수</v>
      </c>
      <c r="D80" s="54" t="str">
        <f t="shared" ca="1" si="96"/>
        <v>저수</v>
      </c>
      <c r="E80" s="54" t="str">
        <f t="shared" ca="1" si="96"/>
        <v>저수</v>
      </c>
      <c r="F80" s="54" t="str">
        <f t="shared" ca="1" si="96"/>
        <v>고수</v>
      </c>
      <c r="G80" s="54" t="str">
        <f t="shared" ca="1" si="96"/>
        <v>저수</v>
      </c>
      <c r="H80" s="54" t="str">
        <f t="shared" ca="1" si="96"/>
        <v>고수</v>
      </c>
      <c r="I80" s="54" t="str">
        <f t="shared" ca="1" si="96"/>
        <v>고수</v>
      </c>
      <c r="J80" s="54" t="str">
        <f t="shared" ca="1" si="96"/>
        <v>저수</v>
      </c>
      <c r="K80" s="54" t="str">
        <f t="shared" ca="1" si="96"/>
        <v>고수</v>
      </c>
      <c r="L80" s="54" t="str">
        <f t="shared" ca="1" si="96"/>
        <v>고수</v>
      </c>
      <c r="M80" s="54" t="str">
        <f t="shared" ca="1" si="96"/>
        <v>저수</v>
      </c>
      <c r="N80" s="54" t="str">
        <f t="shared" ca="1" si="96"/>
        <v>저수</v>
      </c>
      <c r="O80" s="54" t="str">
        <f t="shared" ca="1" si="96"/>
        <v>저수</v>
      </c>
      <c r="P80" s="54" t="str">
        <f t="shared" ca="1" si="96"/>
        <v>고수</v>
      </c>
      <c r="Q80" s="54" t="str">
        <f t="shared" ca="1" si="96"/>
        <v>저수</v>
      </c>
      <c r="R80" s="54" t="str">
        <f t="shared" si="96"/>
        <v>저수</v>
      </c>
      <c r="S80" s="54" t="str">
        <f t="shared" si="96"/>
        <v>저수</v>
      </c>
      <c r="T80" s="54" t="str">
        <f t="shared" si="96"/>
        <v>저수</v>
      </c>
      <c r="U80" s="54" t="str">
        <f t="shared" si="96"/>
        <v>저수</v>
      </c>
      <c r="V80" s="54" t="str">
        <f t="shared" si="96"/>
        <v>저수</v>
      </c>
      <c r="W80" s="54" t="str">
        <f t="shared" si="96"/>
        <v>저수</v>
      </c>
      <c r="X80" s="54" t="str">
        <f t="shared" si="96"/>
        <v>저수</v>
      </c>
      <c r="Y80" s="54" t="str">
        <f t="shared" si="96"/>
        <v>저수</v>
      </c>
      <c r="Z80" s="54" t="str">
        <f t="shared" si="96"/>
        <v>저수</v>
      </c>
      <c r="AA80" s="54" t="str">
        <f t="shared" si="96"/>
        <v>저수</v>
      </c>
      <c r="AB80" s="54" t="str">
        <f t="shared" si="96"/>
        <v>저수</v>
      </c>
      <c r="AC80" s="54" t="str">
        <f t="shared" si="96"/>
        <v>저수</v>
      </c>
      <c r="AD80" s="54" t="str">
        <f t="shared" si="96"/>
        <v>저수</v>
      </c>
      <c r="AE80" s="54" t="str">
        <f t="shared" si="96"/>
        <v>저수</v>
      </c>
      <c r="AF80" s="54" t="str">
        <f t="shared" si="96"/>
        <v>저수</v>
      </c>
      <c r="AG80" s="54" t="str">
        <f t="shared" si="96"/>
        <v>저수</v>
      </c>
      <c r="AH80" s="54" t="str">
        <f t="shared" si="96"/>
        <v>저수</v>
      </c>
      <c r="AI80" s="54" t="str">
        <f t="shared" si="96"/>
        <v>저수</v>
      </c>
      <c r="AJ80" s="54" t="str">
        <f t="shared" si="96"/>
        <v>저수</v>
      </c>
      <c r="AK80" s="54" t="str">
        <f t="shared" si="96"/>
        <v>저수</v>
      </c>
      <c r="AL80" s="54" t="str">
        <f t="shared" si="96"/>
        <v>저수</v>
      </c>
      <c r="AM80" s="54" t="str">
        <f t="shared" si="96"/>
        <v>저수</v>
      </c>
      <c r="AN80" s="54" t="str">
        <f t="shared" si="96"/>
        <v>저수</v>
      </c>
      <c r="AO80" s="54" t="str">
        <f t="shared" si="96"/>
        <v>저수</v>
      </c>
      <c r="AP80" s="54" t="str">
        <f t="shared" si="96"/>
        <v>저수</v>
      </c>
      <c r="AQ80" s="54" t="str">
        <f t="shared" si="96"/>
        <v>저수</v>
      </c>
      <c r="AR80" s="54" t="str">
        <f t="shared" si="96"/>
        <v>저수</v>
      </c>
      <c r="AS80" s="54" t="str">
        <f t="shared" si="96"/>
        <v>저수</v>
      </c>
      <c r="AT80" s="54" t="str">
        <f t="shared" si="96"/>
        <v>저수</v>
      </c>
      <c r="AU80" s="54" t="str">
        <f t="shared" si="96"/>
        <v>저수</v>
      </c>
      <c r="AV80" s="53"/>
      <c r="AW80" s="53"/>
      <c r="AX80" s="53"/>
      <c r="BF80" s="22"/>
    </row>
    <row r="81" spans="1:62">
      <c r="A81" s="257"/>
      <c r="B81" s="54" t="s">
        <v>567</v>
      </c>
      <c r="C81" s="54" t="str">
        <f t="shared" ref="C81:AU81" ca="1" si="97">IF(C9&lt;23,"저수","고수")</f>
        <v>고수</v>
      </c>
      <c r="D81" s="54" t="str">
        <f t="shared" ca="1" si="97"/>
        <v>저수</v>
      </c>
      <c r="E81" s="54" t="str">
        <f t="shared" ca="1" si="97"/>
        <v>고수</v>
      </c>
      <c r="F81" s="54" t="str">
        <f t="shared" ca="1" si="97"/>
        <v>저수</v>
      </c>
      <c r="G81" s="54" t="str">
        <f t="shared" ca="1" si="97"/>
        <v>저수</v>
      </c>
      <c r="H81" s="54" t="str">
        <f t="shared" ca="1" si="97"/>
        <v>저수</v>
      </c>
      <c r="I81" s="54" t="str">
        <f t="shared" ca="1" si="97"/>
        <v>고수</v>
      </c>
      <c r="J81" s="54" t="str">
        <f t="shared" ca="1" si="97"/>
        <v>저수</v>
      </c>
      <c r="K81" s="54" t="str">
        <f t="shared" ca="1" si="97"/>
        <v>고수</v>
      </c>
      <c r="L81" s="54" t="str">
        <f t="shared" ca="1" si="97"/>
        <v>고수</v>
      </c>
      <c r="M81" s="54" t="str">
        <f t="shared" ca="1" si="97"/>
        <v>저수</v>
      </c>
      <c r="N81" s="54" t="str">
        <f t="shared" ca="1" si="97"/>
        <v>고수</v>
      </c>
      <c r="O81" s="54" t="str">
        <f t="shared" ca="1" si="97"/>
        <v>고수</v>
      </c>
      <c r="P81" s="54" t="str">
        <f t="shared" ca="1" si="97"/>
        <v>저수</v>
      </c>
      <c r="Q81" s="54" t="str">
        <f t="shared" ca="1" si="97"/>
        <v>저수</v>
      </c>
      <c r="R81" s="54" t="str">
        <f t="shared" si="97"/>
        <v>저수</v>
      </c>
      <c r="S81" s="54" t="str">
        <f t="shared" si="97"/>
        <v>저수</v>
      </c>
      <c r="T81" s="54" t="str">
        <f t="shared" si="97"/>
        <v>저수</v>
      </c>
      <c r="U81" s="54" t="str">
        <f t="shared" si="97"/>
        <v>저수</v>
      </c>
      <c r="V81" s="54" t="str">
        <f t="shared" si="97"/>
        <v>저수</v>
      </c>
      <c r="W81" s="54" t="str">
        <f t="shared" si="97"/>
        <v>저수</v>
      </c>
      <c r="X81" s="54" t="str">
        <f t="shared" si="97"/>
        <v>저수</v>
      </c>
      <c r="Y81" s="54" t="str">
        <f t="shared" si="97"/>
        <v>저수</v>
      </c>
      <c r="Z81" s="54" t="str">
        <f t="shared" si="97"/>
        <v>저수</v>
      </c>
      <c r="AA81" s="54" t="str">
        <f t="shared" si="97"/>
        <v>저수</v>
      </c>
      <c r="AB81" s="54" t="str">
        <f t="shared" si="97"/>
        <v>저수</v>
      </c>
      <c r="AC81" s="54" t="str">
        <f t="shared" si="97"/>
        <v>저수</v>
      </c>
      <c r="AD81" s="54" t="str">
        <f t="shared" si="97"/>
        <v>저수</v>
      </c>
      <c r="AE81" s="54" t="str">
        <f t="shared" si="97"/>
        <v>저수</v>
      </c>
      <c r="AF81" s="54" t="str">
        <f t="shared" si="97"/>
        <v>저수</v>
      </c>
      <c r="AG81" s="54" t="str">
        <f t="shared" si="97"/>
        <v>저수</v>
      </c>
      <c r="AH81" s="54" t="str">
        <f t="shared" si="97"/>
        <v>저수</v>
      </c>
      <c r="AI81" s="54" t="str">
        <f t="shared" si="97"/>
        <v>저수</v>
      </c>
      <c r="AJ81" s="54" t="str">
        <f t="shared" si="97"/>
        <v>저수</v>
      </c>
      <c r="AK81" s="54" t="str">
        <f t="shared" si="97"/>
        <v>저수</v>
      </c>
      <c r="AL81" s="54" t="str">
        <f t="shared" si="97"/>
        <v>저수</v>
      </c>
      <c r="AM81" s="54" t="str">
        <f t="shared" si="97"/>
        <v>저수</v>
      </c>
      <c r="AN81" s="54" t="str">
        <f t="shared" si="97"/>
        <v>저수</v>
      </c>
      <c r="AO81" s="54" t="str">
        <f t="shared" si="97"/>
        <v>저수</v>
      </c>
      <c r="AP81" s="54" t="str">
        <f t="shared" si="97"/>
        <v>저수</v>
      </c>
      <c r="AQ81" s="54" t="str">
        <f t="shared" si="97"/>
        <v>저수</v>
      </c>
      <c r="AR81" s="54" t="str">
        <f t="shared" si="97"/>
        <v>저수</v>
      </c>
      <c r="AS81" s="54" t="str">
        <f t="shared" si="97"/>
        <v>저수</v>
      </c>
      <c r="AT81" s="54" t="str">
        <f t="shared" si="97"/>
        <v>저수</v>
      </c>
      <c r="AU81" s="54" t="str">
        <f t="shared" si="97"/>
        <v>저수</v>
      </c>
      <c r="AV81" s="53"/>
      <c r="AW81" s="53"/>
      <c r="AX81" s="53"/>
      <c r="BF81" s="22"/>
    </row>
    <row r="82" spans="1:62">
      <c r="A82" s="257"/>
      <c r="B82" s="54" t="s">
        <v>568</v>
      </c>
      <c r="C82" s="54" t="str">
        <f t="shared" ref="C82:AU82" ca="1" si="98">IF(C10&lt;23,"저수","고수")</f>
        <v>저수</v>
      </c>
      <c r="D82" s="54" t="str">
        <f t="shared" ca="1" si="98"/>
        <v>저수</v>
      </c>
      <c r="E82" s="54" t="str">
        <f t="shared" ca="1" si="98"/>
        <v>고수</v>
      </c>
      <c r="F82" s="54" t="str">
        <f t="shared" ca="1" si="98"/>
        <v>저수</v>
      </c>
      <c r="G82" s="54" t="str">
        <f t="shared" ca="1" si="98"/>
        <v>고수</v>
      </c>
      <c r="H82" s="54" t="str">
        <f t="shared" ca="1" si="98"/>
        <v>저수</v>
      </c>
      <c r="I82" s="54" t="str">
        <f t="shared" ca="1" si="98"/>
        <v>고수</v>
      </c>
      <c r="J82" s="54" t="str">
        <f t="shared" ca="1" si="98"/>
        <v>저수</v>
      </c>
      <c r="K82" s="54" t="str">
        <f t="shared" ca="1" si="98"/>
        <v>고수</v>
      </c>
      <c r="L82" s="54" t="str">
        <f t="shared" ca="1" si="98"/>
        <v>고수</v>
      </c>
      <c r="M82" s="54" t="str">
        <f t="shared" ca="1" si="98"/>
        <v>저수</v>
      </c>
      <c r="N82" s="54" t="str">
        <f t="shared" ca="1" si="98"/>
        <v>저수</v>
      </c>
      <c r="O82" s="54" t="str">
        <f t="shared" ca="1" si="98"/>
        <v>저수</v>
      </c>
      <c r="P82" s="54" t="str">
        <f t="shared" ca="1" si="98"/>
        <v>고수</v>
      </c>
      <c r="Q82" s="54" t="str">
        <f t="shared" ca="1" si="98"/>
        <v>저수</v>
      </c>
      <c r="R82" s="54" t="str">
        <f t="shared" si="98"/>
        <v>저수</v>
      </c>
      <c r="S82" s="54" t="str">
        <f t="shared" si="98"/>
        <v>저수</v>
      </c>
      <c r="T82" s="54" t="str">
        <f t="shared" si="98"/>
        <v>저수</v>
      </c>
      <c r="U82" s="54" t="str">
        <f t="shared" si="98"/>
        <v>저수</v>
      </c>
      <c r="V82" s="54" t="str">
        <f t="shared" si="98"/>
        <v>저수</v>
      </c>
      <c r="W82" s="54" t="str">
        <f t="shared" si="98"/>
        <v>저수</v>
      </c>
      <c r="X82" s="54" t="str">
        <f t="shared" si="98"/>
        <v>저수</v>
      </c>
      <c r="Y82" s="54" t="str">
        <f t="shared" si="98"/>
        <v>저수</v>
      </c>
      <c r="Z82" s="54" t="str">
        <f t="shared" si="98"/>
        <v>저수</v>
      </c>
      <c r="AA82" s="54" t="str">
        <f t="shared" si="98"/>
        <v>저수</v>
      </c>
      <c r="AB82" s="54" t="str">
        <f t="shared" si="98"/>
        <v>저수</v>
      </c>
      <c r="AC82" s="54" t="str">
        <f t="shared" si="98"/>
        <v>저수</v>
      </c>
      <c r="AD82" s="54" t="str">
        <f t="shared" si="98"/>
        <v>저수</v>
      </c>
      <c r="AE82" s="54" t="str">
        <f t="shared" si="98"/>
        <v>저수</v>
      </c>
      <c r="AF82" s="54" t="str">
        <f t="shared" si="98"/>
        <v>저수</v>
      </c>
      <c r="AG82" s="54" t="str">
        <f t="shared" si="98"/>
        <v>저수</v>
      </c>
      <c r="AH82" s="54" t="str">
        <f t="shared" si="98"/>
        <v>저수</v>
      </c>
      <c r="AI82" s="54" t="str">
        <f t="shared" si="98"/>
        <v>저수</v>
      </c>
      <c r="AJ82" s="54" t="str">
        <f t="shared" si="98"/>
        <v>저수</v>
      </c>
      <c r="AK82" s="54" t="str">
        <f t="shared" si="98"/>
        <v>저수</v>
      </c>
      <c r="AL82" s="54" t="str">
        <f t="shared" si="98"/>
        <v>저수</v>
      </c>
      <c r="AM82" s="54" t="str">
        <f t="shared" si="98"/>
        <v>저수</v>
      </c>
      <c r="AN82" s="54" t="str">
        <f t="shared" si="98"/>
        <v>저수</v>
      </c>
      <c r="AO82" s="54" t="str">
        <f t="shared" si="98"/>
        <v>저수</v>
      </c>
      <c r="AP82" s="54" t="str">
        <f t="shared" si="98"/>
        <v>저수</v>
      </c>
      <c r="AQ82" s="54" t="str">
        <f t="shared" si="98"/>
        <v>저수</v>
      </c>
      <c r="AR82" s="54" t="str">
        <f t="shared" si="98"/>
        <v>저수</v>
      </c>
      <c r="AS82" s="54" t="str">
        <f t="shared" si="98"/>
        <v>저수</v>
      </c>
      <c r="AT82" s="54" t="str">
        <f t="shared" si="98"/>
        <v>저수</v>
      </c>
      <c r="AU82" s="54" t="str">
        <f t="shared" si="98"/>
        <v>저수</v>
      </c>
      <c r="AV82" s="53"/>
      <c r="AW82" s="53"/>
      <c r="AX82" s="53"/>
      <c r="BF82" s="22"/>
    </row>
    <row r="83" spans="1:62">
      <c r="A83" s="257"/>
      <c r="B83" s="54" t="s">
        <v>569</v>
      </c>
      <c r="C83" s="54" t="str">
        <f t="shared" ref="C83:AU83" ca="1" si="99">IF(C11&lt;23,"저수","고수")</f>
        <v>저수</v>
      </c>
      <c r="D83" s="54" t="str">
        <f t="shared" ca="1" si="99"/>
        <v>고수</v>
      </c>
      <c r="E83" s="54" t="str">
        <f t="shared" ca="1" si="99"/>
        <v>저수</v>
      </c>
      <c r="F83" s="54" t="str">
        <f t="shared" ca="1" si="99"/>
        <v>저수</v>
      </c>
      <c r="G83" s="54" t="str">
        <f t="shared" ca="1" si="99"/>
        <v>저수</v>
      </c>
      <c r="H83" s="54" t="str">
        <f t="shared" ca="1" si="99"/>
        <v>고수</v>
      </c>
      <c r="I83" s="54" t="str">
        <f t="shared" ca="1" si="99"/>
        <v>저수</v>
      </c>
      <c r="J83" s="54" t="str">
        <f t="shared" ca="1" si="99"/>
        <v>저수</v>
      </c>
      <c r="K83" s="54" t="str">
        <f t="shared" ca="1" si="99"/>
        <v>저수</v>
      </c>
      <c r="L83" s="54" t="str">
        <f t="shared" ca="1" si="99"/>
        <v>저수</v>
      </c>
      <c r="M83" s="54" t="str">
        <f t="shared" ca="1" si="99"/>
        <v>저수</v>
      </c>
      <c r="N83" s="54" t="str">
        <f t="shared" ca="1" si="99"/>
        <v>고수</v>
      </c>
      <c r="O83" s="54" t="str">
        <f t="shared" ca="1" si="99"/>
        <v>고수</v>
      </c>
      <c r="P83" s="54" t="str">
        <f t="shared" ca="1" si="99"/>
        <v>고수</v>
      </c>
      <c r="Q83" s="54" t="str">
        <f t="shared" ca="1" si="99"/>
        <v>저수</v>
      </c>
      <c r="R83" s="54" t="str">
        <f t="shared" si="99"/>
        <v>저수</v>
      </c>
      <c r="S83" s="54" t="str">
        <f t="shared" si="99"/>
        <v>저수</v>
      </c>
      <c r="T83" s="54" t="str">
        <f t="shared" si="99"/>
        <v>저수</v>
      </c>
      <c r="U83" s="54" t="str">
        <f t="shared" si="99"/>
        <v>저수</v>
      </c>
      <c r="V83" s="54" t="str">
        <f t="shared" si="99"/>
        <v>저수</v>
      </c>
      <c r="W83" s="54" t="str">
        <f t="shared" si="99"/>
        <v>저수</v>
      </c>
      <c r="X83" s="54" t="str">
        <f t="shared" si="99"/>
        <v>저수</v>
      </c>
      <c r="Y83" s="54" t="str">
        <f t="shared" si="99"/>
        <v>저수</v>
      </c>
      <c r="Z83" s="54" t="str">
        <f t="shared" si="99"/>
        <v>저수</v>
      </c>
      <c r="AA83" s="54" t="str">
        <f t="shared" si="99"/>
        <v>저수</v>
      </c>
      <c r="AB83" s="54" t="str">
        <f t="shared" si="99"/>
        <v>저수</v>
      </c>
      <c r="AC83" s="54" t="str">
        <f t="shared" si="99"/>
        <v>저수</v>
      </c>
      <c r="AD83" s="54" t="str">
        <f t="shared" si="99"/>
        <v>저수</v>
      </c>
      <c r="AE83" s="54" t="str">
        <f t="shared" si="99"/>
        <v>저수</v>
      </c>
      <c r="AF83" s="54" t="str">
        <f t="shared" si="99"/>
        <v>저수</v>
      </c>
      <c r="AG83" s="54" t="str">
        <f t="shared" si="99"/>
        <v>저수</v>
      </c>
      <c r="AH83" s="54" t="str">
        <f t="shared" si="99"/>
        <v>저수</v>
      </c>
      <c r="AI83" s="54" t="str">
        <f t="shared" si="99"/>
        <v>저수</v>
      </c>
      <c r="AJ83" s="54" t="str">
        <f t="shared" si="99"/>
        <v>저수</v>
      </c>
      <c r="AK83" s="54" t="str">
        <f t="shared" si="99"/>
        <v>저수</v>
      </c>
      <c r="AL83" s="54" t="str">
        <f t="shared" si="99"/>
        <v>저수</v>
      </c>
      <c r="AM83" s="54" t="str">
        <f t="shared" si="99"/>
        <v>저수</v>
      </c>
      <c r="AN83" s="54" t="str">
        <f t="shared" si="99"/>
        <v>저수</v>
      </c>
      <c r="AO83" s="54" t="str">
        <f t="shared" si="99"/>
        <v>저수</v>
      </c>
      <c r="AP83" s="54" t="str">
        <f t="shared" si="99"/>
        <v>저수</v>
      </c>
      <c r="AQ83" s="54" t="str">
        <f t="shared" si="99"/>
        <v>저수</v>
      </c>
      <c r="AR83" s="54" t="str">
        <f t="shared" si="99"/>
        <v>저수</v>
      </c>
      <c r="AS83" s="54" t="str">
        <f t="shared" si="99"/>
        <v>저수</v>
      </c>
      <c r="AT83" s="54" t="str">
        <f t="shared" si="99"/>
        <v>저수</v>
      </c>
      <c r="AU83" s="54" t="str">
        <f t="shared" si="99"/>
        <v>저수</v>
      </c>
      <c r="AV83" s="53"/>
      <c r="AW83" s="53"/>
      <c r="AX83" s="53"/>
      <c r="BF83" s="22"/>
      <c r="BH83" s="121"/>
    </row>
    <row r="84" spans="1:62">
      <c r="A84" s="258"/>
      <c r="B84" s="67" t="s">
        <v>540</v>
      </c>
      <c r="C84" s="54" t="str">
        <f t="shared" ref="C84:AU84" ca="1" si="100">IF(C12&lt;23,"저수","고수")</f>
        <v>저수</v>
      </c>
      <c r="D84" s="54" t="str">
        <f t="shared" ca="1" si="100"/>
        <v>고수</v>
      </c>
      <c r="E84" s="54" t="str">
        <f t="shared" ca="1" si="100"/>
        <v>고수</v>
      </c>
      <c r="F84" s="54" t="str">
        <f t="shared" ca="1" si="100"/>
        <v>고수</v>
      </c>
      <c r="G84" s="54" t="str">
        <f t="shared" ca="1" si="100"/>
        <v>저수</v>
      </c>
      <c r="H84" s="54" t="str">
        <f t="shared" ca="1" si="100"/>
        <v>저수</v>
      </c>
      <c r="I84" s="54" t="str">
        <f t="shared" ca="1" si="100"/>
        <v>고수</v>
      </c>
      <c r="J84" s="54" t="str">
        <f t="shared" ca="1" si="100"/>
        <v>고수</v>
      </c>
      <c r="K84" s="54" t="str">
        <f t="shared" ca="1" si="100"/>
        <v>저수</v>
      </c>
      <c r="L84" s="54" t="str">
        <f t="shared" ca="1" si="100"/>
        <v>고수</v>
      </c>
      <c r="M84" s="54" t="str">
        <f t="shared" ca="1" si="100"/>
        <v>고수</v>
      </c>
      <c r="N84" s="54" t="str">
        <f t="shared" ca="1" si="100"/>
        <v>고수</v>
      </c>
      <c r="O84" s="54" t="str">
        <f t="shared" ca="1" si="100"/>
        <v>고수</v>
      </c>
      <c r="P84" s="54" t="str">
        <f t="shared" ca="1" si="100"/>
        <v>저수</v>
      </c>
      <c r="Q84" s="54" t="str">
        <f t="shared" ca="1" si="100"/>
        <v>저수</v>
      </c>
      <c r="R84" s="54" t="str">
        <f t="shared" si="100"/>
        <v>저수</v>
      </c>
      <c r="S84" s="54" t="str">
        <f t="shared" si="100"/>
        <v>저수</v>
      </c>
      <c r="T84" s="54" t="str">
        <f t="shared" si="100"/>
        <v>저수</v>
      </c>
      <c r="U84" s="54" t="str">
        <f t="shared" si="100"/>
        <v>저수</v>
      </c>
      <c r="V84" s="54" t="str">
        <f t="shared" si="100"/>
        <v>저수</v>
      </c>
      <c r="W84" s="54" t="str">
        <f t="shared" si="100"/>
        <v>저수</v>
      </c>
      <c r="X84" s="54" t="str">
        <f t="shared" si="100"/>
        <v>저수</v>
      </c>
      <c r="Y84" s="54" t="str">
        <f t="shared" si="100"/>
        <v>저수</v>
      </c>
      <c r="Z84" s="54" t="str">
        <f t="shared" si="100"/>
        <v>저수</v>
      </c>
      <c r="AA84" s="54" t="str">
        <f t="shared" si="100"/>
        <v>저수</v>
      </c>
      <c r="AB84" s="54" t="str">
        <f t="shared" si="100"/>
        <v>저수</v>
      </c>
      <c r="AC84" s="54" t="str">
        <f t="shared" si="100"/>
        <v>저수</v>
      </c>
      <c r="AD84" s="54" t="str">
        <f t="shared" si="100"/>
        <v>저수</v>
      </c>
      <c r="AE84" s="54" t="str">
        <f t="shared" si="100"/>
        <v>저수</v>
      </c>
      <c r="AF84" s="54" t="str">
        <f t="shared" si="100"/>
        <v>저수</v>
      </c>
      <c r="AG84" s="54" t="str">
        <f t="shared" si="100"/>
        <v>저수</v>
      </c>
      <c r="AH84" s="54" t="str">
        <f t="shared" si="100"/>
        <v>저수</v>
      </c>
      <c r="AI84" s="54" t="str">
        <f t="shared" si="100"/>
        <v>저수</v>
      </c>
      <c r="AJ84" s="54" t="str">
        <f t="shared" si="100"/>
        <v>저수</v>
      </c>
      <c r="AK84" s="54" t="str">
        <f t="shared" si="100"/>
        <v>저수</v>
      </c>
      <c r="AL84" s="54" t="str">
        <f t="shared" si="100"/>
        <v>저수</v>
      </c>
      <c r="AM84" s="54" t="str">
        <f t="shared" si="100"/>
        <v>저수</v>
      </c>
      <c r="AN84" s="54" t="str">
        <f t="shared" si="100"/>
        <v>저수</v>
      </c>
      <c r="AO84" s="54" t="str">
        <f t="shared" si="100"/>
        <v>저수</v>
      </c>
      <c r="AP84" s="54" t="str">
        <f t="shared" si="100"/>
        <v>저수</v>
      </c>
      <c r="AQ84" s="54" t="str">
        <f t="shared" si="100"/>
        <v>저수</v>
      </c>
      <c r="AR84" s="54" t="str">
        <f t="shared" si="100"/>
        <v>저수</v>
      </c>
      <c r="AS84" s="54" t="str">
        <f t="shared" si="100"/>
        <v>저수</v>
      </c>
      <c r="AT84" s="54" t="str">
        <f t="shared" si="100"/>
        <v>저수</v>
      </c>
      <c r="AU84" s="54" t="str">
        <f t="shared" si="100"/>
        <v>저수</v>
      </c>
      <c r="AV84" s="53"/>
      <c r="AW84" s="53"/>
      <c r="AX84" s="53"/>
      <c r="BF84" s="22"/>
    </row>
    <row r="85" spans="1:62">
      <c r="A85" s="255" t="s">
        <v>626</v>
      </c>
      <c r="B85" s="59" t="s">
        <v>627</v>
      </c>
      <c r="C85" s="54">
        <f ca="1">COUNTIF(C$79:C$84,"저수")</f>
        <v>5</v>
      </c>
      <c r="D85" s="54">
        <f t="shared" ref="D85:Q85" ca="1" si="101">COUNTIF(D$79:D$84,"저수")</f>
        <v>4</v>
      </c>
      <c r="E85" s="54">
        <f t="shared" ca="1" si="101"/>
        <v>2</v>
      </c>
      <c r="F85" s="54">
        <f t="shared" ca="1" si="101"/>
        <v>4</v>
      </c>
      <c r="G85" s="54">
        <f t="shared" ca="1" si="101"/>
        <v>4</v>
      </c>
      <c r="H85" s="54">
        <f t="shared" ca="1" si="101"/>
        <v>3</v>
      </c>
      <c r="I85" s="54">
        <f t="shared" ca="1" si="101"/>
        <v>1</v>
      </c>
      <c r="J85" s="54">
        <f t="shared" ca="1" si="101"/>
        <v>4</v>
      </c>
      <c r="K85" s="54">
        <f t="shared" ca="1" si="101"/>
        <v>2</v>
      </c>
      <c r="L85" s="54">
        <f t="shared" ca="1" si="101"/>
        <v>1</v>
      </c>
      <c r="M85" s="54">
        <f t="shared" ca="1" si="101"/>
        <v>5</v>
      </c>
      <c r="N85" s="54">
        <f t="shared" ca="1" si="101"/>
        <v>2</v>
      </c>
      <c r="O85" s="54">
        <f t="shared" ca="1" si="101"/>
        <v>2</v>
      </c>
      <c r="P85" s="54">
        <f t="shared" ca="1" si="101"/>
        <v>3</v>
      </c>
      <c r="Q85" s="54">
        <f t="shared" ca="1" si="101"/>
        <v>6</v>
      </c>
      <c r="R85" s="54">
        <f t="shared" ref="R85:AU85" si="102">COUNTIF(R$79:R$84,"저수")</f>
        <v>6</v>
      </c>
      <c r="S85" s="54">
        <f t="shared" si="102"/>
        <v>6</v>
      </c>
      <c r="T85" s="54">
        <f t="shared" si="102"/>
        <v>6</v>
      </c>
      <c r="U85" s="54">
        <f t="shared" si="102"/>
        <v>6</v>
      </c>
      <c r="V85" s="54">
        <f t="shared" si="102"/>
        <v>6</v>
      </c>
      <c r="W85" s="54">
        <f t="shared" si="102"/>
        <v>6</v>
      </c>
      <c r="X85" s="54">
        <f t="shared" si="102"/>
        <v>6</v>
      </c>
      <c r="Y85" s="54">
        <f t="shared" si="102"/>
        <v>6</v>
      </c>
      <c r="Z85" s="54">
        <f t="shared" si="102"/>
        <v>6</v>
      </c>
      <c r="AA85" s="54">
        <f t="shared" si="102"/>
        <v>6</v>
      </c>
      <c r="AB85" s="54">
        <f t="shared" si="102"/>
        <v>6</v>
      </c>
      <c r="AC85" s="54">
        <f t="shared" si="102"/>
        <v>6</v>
      </c>
      <c r="AD85" s="54">
        <f t="shared" si="102"/>
        <v>6</v>
      </c>
      <c r="AE85" s="54">
        <f t="shared" si="102"/>
        <v>6</v>
      </c>
      <c r="AF85" s="54">
        <f t="shared" si="102"/>
        <v>6</v>
      </c>
      <c r="AG85" s="54">
        <f t="shared" si="102"/>
        <v>6</v>
      </c>
      <c r="AH85" s="54">
        <f t="shared" si="102"/>
        <v>6</v>
      </c>
      <c r="AI85" s="54">
        <f t="shared" si="102"/>
        <v>6</v>
      </c>
      <c r="AJ85" s="54">
        <f t="shared" si="102"/>
        <v>6</v>
      </c>
      <c r="AK85" s="54">
        <f t="shared" si="102"/>
        <v>6</v>
      </c>
      <c r="AL85" s="54">
        <f t="shared" si="102"/>
        <v>6</v>
      </c>
      <c r="AM85" s="54">
        <f t="shared" si="102"/>
        <v>6</v>
      </c>
      <c r="AN85" s="54">
        <f t="shared" si="102"/>
        <v>6</v>
      </c>
      <c r="AO85" s="54">
        <f t="shared" si="102"/>
        <v>6</v>
      </c>
      <c r="AP85" s="54">
        <f t="shared" si="102"/>
        <v>6</v>
      </c>
      <c r="AQ85" s="54">
        <f t="shared" si="102"/>
        <v>6</v>
      </c>
      <c r="AR85" s="54">
        <f t="shared" si="102"/>
        <v>6</v>
      </c>
      <c r="AS85" s="54">
        <f t="shared" si="102"/>
        <v>6</v>
      </c>
      <c r="AT85" s="54">
        <f t="shared" si="102"/>
        <v>6</v>
      </c>
      <c r="AU85" s="54">
        <f t="shared" si="102"/>
        <v>6</v>
      </c>
      <c r="AV85" s="53"/>
      <c r="AW85" s="53"/>
      <c r="AX85" s="53"/>
    </row>
    <row r="86" spans="1:62">
      <c r="A86" s="255"/>
      <c r="B86" s="59" t="s">
        <v>628</v>
      </c>
      <c r="C86" s="54">
        <f ca="1">COUNTIF(C$79:C$84,"고수")</f>
        <v>1</v>
      </c>
      <c r="D86" s="54">
        <f t="shared" ref="D86:Q86" ca="1" si="103">COUNTIF(D$79:D$84,"고수")</f>
        <v>2</v>
      </c>
      <c r="E86" s="54">
        <f t="shared" ca="1" si="103"/>
        <v>4</v>
      </c>
      <c r="F86" s="54">
        <f t="shared" ca="1" si="103"/>
        <v>2</v>
      </c>
      <c r="G86" s="54">
        <f t="shared" ca="1" si="103"/>
        <v>2</v>
      </c>
      <c r="H86" s="54">
        <f t="shared" ca="1" si="103"/>
        <v>3</v>
      </c>
      <c r="I86" s="54">
        <f t="shared" ca="1" si="103"/>
        <v>5</v>
      </c>
      <c r="J86" s="54">
        <f t="shared" ca="1" si="103"/>
        <v>2</v>
      </c>
      <c r="K86" s="54">
        <f t="shared" ca="1" si="103"/>
        <v>4</v>
      </c>
      <c r="L86" s="54">
        <f t="shared" ca="1" si="103"/>
        <v>5</v>
      </c>
      <c r="M86" s="54">
        <f t="shared" ca="1" si="103"/>
        <v>1</v>
      </c>
      <c r="N86" s="54">
        <f t="shared" ca="1" si="103"/>
        <v>4</v>
      </c>
      <c r="O86" s="54">
        <f t="shared" ca="1" si="103"/>
        <v>4</v>
      </c>
      <c r="P86" s="54">
        <f t="shared" ca="1" si="103"/>
        <v>3</v>
      </c>
      <c r="Q86" s="54">
        <f t="shared" ca="1" si="103"/>
        <v>0</v>
      </c>
      <c r="R86" s="54">
        <f t="shared" ref="R86:AU86" si="104">COUNTIF(R$79:R$84,"고수")</f>
        <v>0</v>
      </c>
      <c r="S86" s="54">
        <f t="shared" si="104"/>
        <v>0</v>
      </c>
      <c r="T86" s="54">
        <f t="shared" si="104"/>
        <v>0</v>
      </c>
      <c r="U86" s="54">
        <f t="shared" si="104"/>
        <v>0</v>
      </c>
      <c r="V86" s="54">
        <f t="shared" si="104"/>
        <v>0</v>
      </c>
      <c r="W86" s="54">
        <f t="shared" si="104"/>
        <v>0</v>
      </c>
      <c r="X86" s="54">
        <f t="shared" si="104"/>
        <v>0</v>
      </c>
      <c r="Y86" s="54">
        <f t="shared" si="104"/>
        <v>0</v>
      </c>
      <c r="Z86" s="54">
        <f t="shared" si="104"/>
        <v>0</v>
      </c>
      <c r="AA86" s="54">
        <f t="shared" si="104"/>
        <v>0</v>
      </c>
      <c r="AB86" s="54">
        <f t="shared" si="104"/>
        <v>0</v>
      </c>
      <c r="AC86" s="54">
        <f t="shared" si="104"/>
        <v>0</v>
      </c>
      <c r="AD86" s="54">
        <f t="shared" si="104"/>
        <v>0</v>
      </c>
      <c r="AE86" s="54">
        <f t="shared" si="104"/>
        <v>0</v>
      </c>
      <c r="AF86" s="54">
        <f t="shared" si="104"/>
        <v>0</v>
      </c>
      <c r="AG86" s="54">
        <f t="shared" si="104"/>
        <v>0</v>
      </c>
      <c r="AH86" s="54">
        <f t="shared" si="104"/>
        <v>0</v>
      </c>
      <c r="AI86" s="54">
        <f t="shared" si="104"/>
        <v>0</v>
      </c>
      <c r="AJ86" s="54">
        <f t="shared" si="104"/>
        <v>0</v>
      </c>
      <c r="AK86" s="54">
        <f t="shared" si="104"/>
        <v>0</v>
      </c>
      <c r="AL86" s="54">
        <f t="shared" si="104"/>
        <v>0</v>
      </c>
      <c r="AM86" s="54">
        <f t="shared" si="104"/>
        <v>0</v>
      </c>
      <c r="AN86" s="54">
        <f t="shared" si="104"/>
        <v>0</v>
      </c>
      <c r="AO86" s="54">
        <f t="shared" si="104"/>
        <v>0</v>
      </c>
      <c r="AP86" s="54">
        <f t="shared" si="104"/>
        <v>0</v>
      </c>
      <c r="AQ86" s="54">
        <f t="shared" si="104"/>
        <v>0</v>
      </c>
      <c r="AR86" s="54">
        <f t="shared" si="104"/>
        <v>0</v>
      </c>
      <c r="AS86" s="54">
        <f t="shared" si="104"/>
        <v>0</v>
      </c>
      <c r="AT86" s="54">
        <f t="shared" si="104"/>
        <v>0</v>
      </c>
      <c r="AU86" s="54">
        <f t="shared" si="104"/>
        <v>0</v>
      </c>
      <c r="AV86" s="53"/>
      <c r="AW86" s="53"/>
      <c r="AX86" s="53"/>
    </row>
    <row r="87" spans="1:62">
      <c r="A87" s="255"/>
      <c r="B87" s="60" t="s">
        <v>633</v>
      </c>
      <c r="C87" s="55" t="str">
        <f ca="1">C85&amp;":"&amp;C86</f>
        <v>5:1</v>
      </c>
      <c r="D87" s="55" t="str">
        <f t="shared" ref="D87:Q87" ca="1" si="105">D85&amp;":"&amp;D86</f>
        <v>4:2</v>
      </c>
      <c r="E87" s="55" t="str">
        <f t="shared" ca="1" si="105"/>
        <v>2:4</v>
      </c>
      <c r="F87" s="55" t="str">
        <f t="shared" ca="1" si="105"/>
        <v>4:2</v>
      </c>
      <c r="G87" s="55" t="str">
        <f t="shared" ca="1" si="105"/>
        <v>4:2</v>
      </c>
      <c r="H87" s="55" t="str">
        <f t="shared" ca="1" si="105"/>
        <v>3:3</v>
      </c>
      <c r="I87" s="55" t="str">
        <f t="shared" ca="1" si="105"/>
        <v>1:5</v>
      </c>
      <c r="J87" s="55" t="str">
        <f t="shared" ca="1" si="105"/>
        <v>4:2</v>
      </c>
      <c r="K87" s="55" t="str">
        <f t="shared" ca="1" si="105"/>
        <v>2:4</v>
      </c>
      <c r="L87" s="55" t="str">
        <f t="shared" ca="1" si="105"/>
        <v>1:5</v>
      </c>
      <c r="M87" s="55" t="str">
        <f t="shared" ca="1" si="105"/>
        <v>5:1</v>
      </c>
      <c r="N87" s="55" t="str">
        <f t="shared" ca="1" si="105"/>
        <v>2:4</v>
      </c>
      <c r="O87" s="55" t="str">
        <f t="shared" ca="1" si="105"/>
        <v>2:4</v>
      </c>
      <c r="P87" s="55" t="str">
        <f t="shared" ca="1" si="105"/>
        <v>3:3</v>
      </c>
      <c r="Q87" s="55" t="str">
        <f t="shared" ca="1" si="105"/>
        <v>6:0</v>
      </c>
      <c r="R87" s="55" t="str">
        <f t="shared" ref="R87:AH87" si="106">R85&amp;":"&amp;R86</f>
        <v>6:0</v>
      </c>
      <c r="S87" s="55" t="str">
        <f t="shared" si="106"/>
        <v>6:0</v>
      </c>
      <c r="T87" s="55" t="str">
        <f t="shared" si="106"/>
        <v>6:0</v>
      </c>
      <c r="U87" s="55" t="str">
        <f t="shared" si="106"/>
        <v>6:0</v>
      </c>
      <c r="V87" s="55" t="str">
        <f t="shared" si="106"/>
        <v>6:0</v>
      </c>
      <c r="W87" s="55" t="str">
        <f t="shared" si="106"/>
        <v>6:0</v>
      </c>
      <c r="X87" s="55" t="str">
        <f t="shared" si="106"/>
        <v>6:0</v>
      </c>
      <c r="Y87" s="55" t="str">
        <f t="shared" si="106"/>
        <v>6:0</v>
      </c>
      <c r="Z87" s="55" t="str">
        <f t="shared" si="106"/>
        <v>6:0</v>
      </c>
      <c r="AA87" s="55" t="str">
        <f t="shared" si="106"/>
        <v>6:0</v>
      </c>
      <c r="AB87" s="55" t="str">
        <f t="shared" si="106"/>
        <v>6:0</v>
      </c>
      <c r="AC87" s="55" t="str">
        <f t="shared" si="106"/>
        <v>6:0</v>
      </c>
      <c r="AD87" s="55" t="str">
        <f t="shared" si="106"/>
        <v>6:0</v>
      </c>
      <c r="AE87" s="55" t="str">
        <f t="shared" si="106"/>
        <v>6:0</v>
      </c>
      <c r="AF87" s="55" t="str">
        <f t="shared" si="106"/>
        <v>6:0</v>
      </c>
      <c r="AG87" s="55" t="str">
        <f t="shared" si="106"/>
        <v>6:0</v>
      </c>
      <c r="AH87" s="55" t="str">
        <f t="shared" si="106"/>
        <v>6:0</v>
      </c>
      <c r="AI87" s="55" t="str">
        <f>AI85&amp;":"&amp;AI86</f>
        <v>6:0</v>
      </c>
      <c r="AJ87" s="55" t="str">
        <f>AJ85&amp;":"&amp;AJ86</f>
        <v>6:0</v>
      </c>
      <c r="AK87" s="55" t="str">
        <f>AK85&amp;":"&amp;AK86</f>
        <v>6:0</v>
      </c>
      <c r="AL87" s="55" t="str">
        <f t="shared" ref="AL87:AU87" si="107">AL85&amp;":"&amp;AL86</f>
        <v>6:0</v>
      </c>
      <c r="AM87" s="55" t="str">
        <f t="shared" si="107"/>
        <v>6:0</v>
      </c>
      <c r="AN87" s="55" t="str">
        <f t="shared" si="107"/>
        <v>6:0</v>
      </c>
      <c r="AO87" s="55" t="str">
        <f t="shared" si="107"/>
        <v>6:0</v>
      </c>
      <c r="AP87" s="55" t="str">
        <f t="shared" si="107"/>
        <v>6:0</v>
      </c>
      <c r="AQ87" s="55" t="str">
        <f t="shared" si="107"/>
        <v>6:0</v>
      </c>
      <c r="AR87" s="55" t="str">
        <f t="shared" si="107"/>
        <v>6:0</v>
      </c>
      <c r="AS87" s="55" t="str">
        <f t="shared" si="107"/>
        <v>6:0</v>
      </c>
      <c r="AT87" s="55" t="str">
        <f t="shared" si="107"/>
        <v>6:0</v>
      </c>
      <c r="AU87" s="55" t="str">
        <f t="shared" si="107"/>
        <v>6:0</v>
      </c>
      <c r="AV87" s="171"/>
      <c r="AW87" s="171"/>
      <c r="AX87" s="171"/>
    </row>
    <row r="88" spans="1:62">
      <c r="A88" s="76" t="s">
        <v>634</v>
      </c>
      <c r="B88" s="89" t="s">
        <v>696</v>
      </c>
      <c r="C88" s="55">
        <f t="shared" ref="C88:Q88" ca="1" si="108">RIGHT(C7,1)+RIGHT(C8,1)+RIGHT(C9,1)+RIGHT(C10,1)+RIGHT(C11,1)+RIGHT(C12,1)</f>
        <v>37</v>
      </c>
      <c r="D88" s="55">
        <f t="shared" ca="1" si="108"/>
        <v>27</v>
      </c>
      <c r="E88" s="55">
        <f t="shared" ca="1" si="108"/>
        <v>25</v>
      </c>
      <c r="F88" s="55">
        <f t="shared" ca="1" si="108"/>
        <v>42</v>
      </c>
      <c r="G88" s="55">
        <f t="shared" ca="1" si="108"/>
        <v>31</v>
      </c>
      <c r="H88" s="55">
        <f t="shared" ca="1" si="108"/>
        <v>16</v>
      </c>
      <c r="I88" s="55">
        <f t="shared" ca="1" si="108"/>
        <v>27</v>
      </c>
      <c r="J88" s="55">
        <f t="shared" ca="1" si="108"/>
        <v>30</v>
      </c>
      <c r="K88" s="55">
        <f t="shared" ca="1" si="108"/>
        <v>28</v>
      </c>
      <c r="L88" s="55">
        <f t="shared" ca="1" si="108"/>
        <v>31</v>
      </c>
      <c r="M88" s="55">
        <f t="shared" ca="1" si="108"/>
        <v>18</v>
      </c>
      <c r="N88" s="55">
        <f t="shared" ca="1" si="108"/>
        <v>31</v>
      </c>
      <c r="O88" s="55">
        <f t="shared" ca="1" si="108"/>
        <v>29</v>
      </c>
      <c r="P88" s="55">
        <f t="shared" ca="1" si="108"/>
        <v>24</v>
      </c>
      <c r="Q88" s="55">
        <f t="shared" ca="1" si="108"/>
        <v>16</v>
      </c>
      <c r="R88" s="77" t="e">
        <f t="shared" ref="R88:AU88" si="109">RIGHT(R7,1)+RIGHT(R8,1)+RIGHT(R8,1)+RIGHT(R10,1)+RIGHT(R11,1)+RIGHT(R12,1)</f>
        <v>#VALUE!</v>
      </c>
      <c r="S88" s="77" t="e">
        <f t="shared" si="109"/>
        <v>#VALUE!</v>
      </c>
      <c r="T88" s="77" t="e">
        <f t="shared" si="109"/>
        <v>#VALUE!</v>
      </c>
      <c r="U88" s="77" t="e">
        <f t="shared" si="109"/>
        <v>#VALUE!</v>
      </c>
      <c r="V88" s="77" t="e">
        <f t="shared" si="109"/>
        <v>#VALUE!</v>
      </c>
      <c r="W88" s="77" t="e">
        <f t="shared" si="109"/>
        <v>#VALUE!</v>
      </c>
      <c r="X88" s="77" t="e">
        <f t="shared" si="109"/>
        <v>#VALUE!</v>
      </c>
      <c r="Y88" s="77" t="e">
        <f t="shared" si="109"/>
        <v>#VALUE!</v>
      </c>
      <c r="Z88" s="77" t="e">
        <f t="shared" si="109"/>
        <v>#VALUE!</v>
      </c>
      <c r="AA88" s="77" t="e">
        <f t="shared" si="109"/>
        <v>#VALUE!</v>
      </c>
      <c r="AB88" s="77" t="e">
        <f t="shared" si="109"/>
        <v>#VALUE!</v>
      </c>
      <c r="AC88" s="77" t="e">
        <f t="shared" si="109"/>
        <v>#VALUE!</v>
      </c>
      <c r="AD88" s="77" t="e">
        <f t="shared" si="109"/>
        <v>#VALUE!</v>
      </c>
      <c r="AE88" s="77" t="e">
        <f t="shared" si="109"/>
        <v>#VALUE!</v>
      </c>
      <c r="AF88" s="77" t="e">
        <f t="shared" si="109"/>
        <v>#VALUE!</v>
      </c>
      <c r="AG88" s="77" t="e">
        <f t="shared" si="109"/>
        <v>#VALUE!</v>
      </c>
      <c r="AH88" s="77" t="e">
        <f t="shared" si="109"/>
        <v>#VALUE!</v>
      </c>
      <c r="AI88" s="77" t="e">
        <f t="shared" si="109"/>
        <v>#VALUE!</v>
      </c>
      <c r="AJ88" s="77" t="e">
        <f t="shared" si="109"/>
        <v>#VALUE!</v>
      </c>
      <c r="AK88" s="77" t="e">
        <f t="shared" si="109"/>
        <v>#VALUE!</v>
      </c>
      <c r="AL88" s="77" t="e">
        <f t="shared" si="109"/>
        <v>#VALUE!</v>
      </c>
      <c r="AM88" s="77" t="e">
        <f t="shared" si="109"/>
        <v>#VALUE!</v>
      </c>
      <c r="AN88" s="77" t="e">
        <f t="shared" si="109"/>
        <v>#VALUE!</v>
      </c>
      <c r="AO88" s="77" t="e">
        <f t="shared" si="109"/>
        <v>#VALUE!</v>
      </c>
      <c r="AP88" s="77" t="e">
        <f t="shared" si="109"/>
        <v>#VALUE!</v>
      </c>
      <c r="AQ88" s="77" t="e">
        <f t="shared" si="109"/>
        <v>#VALUE!</v>
      </c>
      <c r="AR88" s="77" t="e">
        <f t="shared" si="109"/>
        <v>#VALUE!</v>
      </c>
      <c r="AS88" s="77" t="e">
        <f t="shared" si="109"/>
        <v>#VALUE!</v>
      </c>
      <c r="AT88" s="77" t="e">
        <f t="shared" si="109"/>
        <v>#VALUE!</v>
      </c>
      <c r="AU88" s="77" t="e">
        <f t="shared" si="109"/>
        <v>#VALUE!</v>
      </c>
      <c r="AV88" s="174"/>
      <c r="AW88" s="174"/>
      <c r="AX88" s="174"/>
      <c r="BG88" s="70"/>
      <c r="BH88" s="47"/>
      <c r="BI88" s="47"/>
    </row>
    <row r="89" spans="1:62">
      <c r="A89" s="255" t="s">
        <v>653</v>
      </c>
      <c r="B89" s="54" t="s">
        <v>565</v>
      </c>
      <c r="C89" s="54" t="str">
        <f t="shared" ref="C89:AU89" ca="1" si="110">IF(C7=2,"O",IF(C7=3,"O",IF(C7=5,"O",IF(C7=7,"O",IF(C7=11,"O",IF(C7=13,"O",IF(C7=17,"O",IF(C7=19,"O","X"))))))))</f>
        <v>O</v>
      </c>
      <c r="D89" s="54" t="str">
        <f t="shared" ca="1" si="110"/>
        <v>X</v>
      </c>
      <c r="E89" s="54" t="str">
        <f t="shared" ca="1" si="110"/>
        <v>X</v>
      </c>
      <c r="F89" s="54" t="str">
        <f t="shared" ca="1" si="110"/>
        <v>O</v>
      </c>
      <c r="G89" s="54" t="str">
        <f t="shared" ca="1" si="110"/>
        <v>X</v>
      </c>
      <c r="H89" s="54" t="str">
        <f t="shared" ca="1" si="110"/>
        <v>X</v>
      </c>
      <c r="I89" s="54" t="str">
        <f t="shared" ca="1" si="110"/>
        <v>X</v>
      </c>
      <c r="J89" s="54" t="str">
        <f t="shared" ca="1" si="110"/>
        <v>X</v>
      </c>
      <c r="K89" s="54" t="str">
        <f t="shared" ca="1" si="110"/>
        <v>X</v>
      </c>
      <c r="L89" s="54" t="str">
        <f t="shared" ca="1" si="110"/>
        <v>X</v>
      </c>
      <c r="M89" s="54" t="str">
        <f t="shared" ca="1" si="110"/>
        <v>X</v>
      </c>
      <c r="N89" s="54" t="str">
        <f t="shared" ca="1" si="110"/>
        <v>X</v>
      </c>
      <c r="O89" s="54" t="str">
        <f t="shared" ca="1" si="110"/>
        <v>X</v>
      </c>
      <c r="P89" s="54" t="str">
        <f t="shared" ca="1" si="110"/>
        <v>X</v>
      </c>
      <c r="Q89" s="54" t="str">
        <f t="shared" ca="1" si="110"/>
        <v>O</v>
      </c>
      <c r="R89" s="54" t="str">
        <f t="shared" si="110"/>
        <v>X</v>
      </c>
      <c r="S89" s="54" t="str">
        <f t="shared" si="110"/>
        <v>X</v>
      </c>
      <c r="T89" s="54" t="str">
        <f t="shared" si="110"/>
        <v>X</v>
      </c>
      <c r="U89" s="54" t="str">
        <f t="shared" si="110"/>
        <v>X</v>
      </c>
      <c r="V89" s="54" t="str">
        <f t="shared" si="110"/>
        <v>X</v>
      </c>
      <c r="W89" s="54" t="str">
        <f t="shared" si="110"/>
        <v>X</v>
      </c>
      <c r="X89" s="54" t="str">
        <f t="shared" si="110"/>
        <v>X</v>
      </c>
      <c r="Y89" s="54" t="str">
        <f t="shared" si="110"/>
        <v>X</v>
      </c>
      <c r="Z89" s="54" t="str">
        <f t="shared" si="110"/>
        <v>X</v>
      </c>
      <c r="AA89" s="54" t="str">
        <f t="shared" si="110"/>
        <v>X</v>
      </c>
      <c r="AB89" s="54" t="str">
        <f t="shared" si="110"/>
        <v>X</v>
      </c>
      <c r="AC89" s="54" t="str">
        <f t="shared" si="110"/>
        <v>X</v>
      </c>
      <c r="AD89" s="54" t="str">
        <f t="shared" si="110"/>
        <v>X</v>
      </c>
      <c r="AE89" s="54" t="str">
        <f t="shared" si="110"/>
        <v>X</v>
      </c>
      <c r="AF89" s="54" t="str">
        <f t="shared" si="110"/>
        <v>X</v>
      </c>
      <c r="AG89" s="54" t="str">
        <f t="shared" si="110"/>
        <v>X</v>
      </c>
      <c r="AH89" s="54" t="str">
        <f t="shared" si="110"/>
        <v>X</v>
      </c>
      <c r="AI89" s="54" t="str">
        <f t="shared" si="110"/>
        <v>X</v>
      </c>
      <c r="AJ89" s="54" t="str">
        <f t="shared" si="110"/>
        <v>X</v>
      </c>
      <c r="AK89" s="54" t="str">
        <f t="shared" si="110"/>
        <v>X</v>
      </c>
      <c r="AL89" s="54" t="str">
        <f t="shared" si="110"/>
        <v>X</v>
      </c>
      <c r="AM89" s="54" t="str">
        <f t="shared" si="110"/>
        <v>X</v>
      </c>
      <c r="AN89" s="54" t="str">
        <f t="shared" si="110"/>
        <v>X</v>
      </c>
      <c r="AO89" s="54" t="str">
        <f t="shared" si="110"/>
        <v>X</v>
      </c>
      <c r="AP89" s="54" t="str">
        <f t="shared" si="110"/>
        <v>X</v>
      </c>
      <c r="AQ89" s="54" t="str">
        <f t="shared" si="110"/>
        <v>X</v>
      </c>
      <c r="AR89" s="54" t="str">
        <f t="shared" si="110"/>
        <v>X</v>
      </c>
      <c r="AS89" s="54" t="str">
        <f t="shared" si="110"/>
        <v>X</v>
      </c>
      <c r="AT89" s="54" t="str">
        <f t="shared" si="110"/>
        <v>X</v>
      </c>
      <c r="AU89" s="54" t="str">
        <f t="shared" si="110"/>
        <v>X</v>
      </c>
      <c r="AV89" s="53"/>
      <c r="AW89" s="53"/>
      <c r="AX89" s="53"/>
      <c r="BG89" s="197"/>
      <c r="BH89" s="47"/>
      <c r="BI89" s="47"/>
      <c r="BJ89"/>
    </row>
    <row r="90" spans="1:62">
      <c r="A90" s="255"/>
      <c r="B90" s="54" t="s">
        <v>566</v>
      </c>
      <c r="C90" s="54" t="str">
        <f t="shared" ref="C90:AU90" ca="1" si="111">IF(C8=2,"O",IF(C8=3,"O",IF(C8=5,"O",IF(C8=7,"O",IF(C8=11,"O",IF(C8=13,"O",IF(C8=17,"O",IF(C8=19,"O","X"))))))))</f>
        <v>X</v>
      </c>
      <c r="D90" s="54" t="str">
        <f t="shared" ca="1" si="111"/>
        <v>X</v>
      </c>
      <c r="E90" s="54" t="str">
        <f t="shared" ca="1" si="111"/>
        <v>O</v>
      </c>
      <c r="F90" s="54" t="str">
        <f t="shared" ca="1" si="111"/>
        <v>X</v>
      </c>
      <c r="G90" s="54" t="str">
        <f t="shared" ca="1" si="111"/>
        <v>O</v>
      </c>
      <c r="H90" s="54" t="str">
        <f t="shared" ca="1" si="111"/>
        <v>X</v>
      </c>
      <c r="I90" s="54" t="str">
        <f t="shared" ca="1" si="111"/>
        <v>X</v>
      </c>
      <c r="J90" s="54" t="str">
        <f t="shared" ca="1" si="111"/>
        <v>X</v>
      </c>
      <c r="K90" s="54" t="str">
        <f t="shared" ca="1" si="111"/>
        <v>X</v>
      </c>
      <c r="L90" s="54" t="str">
        <f t="shared" ca="1" si="111"/>
        <v>X</v>
      </c>
      <c r="M90" s="54" t="str">
        <f t="shared" ca="1" si="111"/>
        <v>O</v>
      </c>
      <c r="N90" s="54" t="str">
        <f t="shared" ca="1" si="111"/>
        <v>X</v>
      </c>
      <c r="O90" s="54" t="str">
        <f t="shared" ca="1" si="111"/>
        <v>O</v>
      </c>
      <c r="P90" s="54" t="str">
        <f t="shared" ca="1" si="111"/>
        <v>X</v>
      </c>
      <c r="Q90" s="54" t="str">
        <f t="shared" ca="1" si="111"/>
        <v>X</v>
      </c>
      <c r="R90" s="54" t="str">
        <f t="shared" si="111"/>
        <v>X</v>
      </c>
      <c r="S90" s="54" t="str">
        <f t="shared" si="111"/>
        <v>X</v>
      </c>
      <c r="T90" s="54" t="str">
        <f t="shared" si="111"/>
        <v>X</v>
      </c>
      <c r="U90" s="54" t="str">
        <f t="shared" si="111"/>
        <v>X</v>
      </c>
      <c r="V90" s="54" t="str">
        <f t="shared" si="111"/>
        <v>X</v>
      </c>
      <c r="W90" s="54" t="str">
        <f t="shared" si="111"/>
        <v>X</v>
      </c>
      <c r="X90" s="54" t="str">
        <f t="shared" si="111"/>
        <v>X</v>
      </c>
      <c r="Y90" s="54" t="str">
        <f t="shared" si="111"/>
        <v>X</v>
      </c>
      <c r="Z90" s="54" t="str">
        <f t="shared" si="111"/>
        <v>X</v>
      </c>
      <c r="AA90" s="54" t="str">
        <f t="shared" si="111"/>
        <v>X</v>
      </c>
      <c r="AB90" s="54" t="str">
        <f t="shared" si="111"/>
        <v>X</v>
      </c>
      <c r="AC90" s="54" t="str">
        <f t="shared" si="111"/>
        <v>X</v>
      </c>
      <c r="AD90" s="54" t="str">
        <f t="shared" si="111"/>
        <v>X</v>
      </c>
      <c r="AE90" s="54" t="str">
        <f t="shared" si="111"/>
        <v>X</v>
      </c>
      <c r="AF90" s="54" t="str">
        <f t="shared" si="111"/>
        <v>X</v>
      </c>
      <c r="AG90" s="54" t="str">
        <f t="shared" si="111"/>
        <v>X</v>
      </c>
      <c r="AH90" s="54" t="str">
        <f t="shared" si="111"/>
        <v>X</v>
      </c>
      <c r="AI90" s="54" t="str">
        <f t="shared" si="111"/>
        <v>X</v>
      </c>
      <c r="AJ90" s="54" t="str">
        <f t="shared" si="111"/>
        <v>X</v>
      </c>
      <c r="AK90" s="54" t="str">
        <f t="shared" si="111"/>
        <v>X</v>
      </c>
      <c r="AL90" s="54" t="str">
        <f t="shared" si="111"/>
        <v>X</v>
      </c>
      <c r="AM90" s="54" t="str">
        <f t="shared" si="111"/>
        <v>X</v>
      </c>
      <c r="AN90" s="54" t="str">
        <f t="shared" si="111"/>
        <v>X</v>
      </c>
      <c r="AO90" s="54" t="str">
        <f t="shared" si="111"/>
        <v>X</v>
      </c>
      <c r="AP90" s="54" t="str">
        <f t="shared" si="111"/>
        <v>X</v>
      </c>
      <c r="AQ90" s="54" t="str">
        <f t="shared" si="111"/>
        <v>X</v>
      </c>
      <c r="AR90" s="54" t="str">
        <f t="shared" si="111"/>
        <v>X</v>
      </c>
      <c r="AS90" s="54" t="str">
        <f t="shared" si="111"/>
        <v>X</v>
      </c>
      <c r="AT90" s="54" t="str">
        <f t="shared" si="111"/>
        <v>X</v>
      </c>
      <c r="AU90" s="54" t="str">
        <f t="shared" si="111"/>
        <v>X</v>
      </c>
      <c r="AV90" s="53"/>
      <c r="AW90" s="53"/>
      <c r="AX90" s="53"/>
      <c r="BG90" s="198"/>
      <c r="BH90" s="47"/>
      <c r="BI90" s="47"/>
      <c r="BJ90"/>
    </row>
    <row r="91" spans="1:62">
      <c r="A91" s="255"/>
      <c r="B91" s="54" t="s">
        <v>567</v>
      </c>
      <c r="C91" s="54" t="str">
        <f t="shared" ref="C91:AU91" ca="1" si="112">IF(C9=2,"O",IF(C9=3,"O",IF(C9=5,"O",IF(C9=7,"O",IF(C9=11,"O",IF(C9=13,"O",IF(C9=17,"O",IF(C9=19,"O","X"))))))))</f>
        <v>X</v>
      </c>
      <c r="D91" s="54" t="str">
        <f t="shared" ca="1" si="112"/>
        <v>O</v>
      </c>
      <c r="E91" s="54" t="str">
        <f t="shared" ca="1" si="112"/>
        <v>X</v>
      </c>
      <c r="F91" s="54" t="str">
        <f t="shared" ca="1" si="112"/>
        <v>X</v>
      </c>
      <c r="G91" s="54" t="str">
        <f t="shared" ca="1" si="112"/>
        <v>X</v>
      </c>
      <c r="H91" s="54" t="str">
        <f t="shared" ca="1" si="112"/>
        <v>O</v>
      </c>
      <c r="I91" s="54" t="str">
        <f t="shared" ca="1" si="112"/>
        <v>X</v>
      </c>
      <c r="J91" s="54" t="str">
        <f t="shared" ca="1" si="112"/>
        <v>O</v>
      </c>
      <c r="K91" s="54" t="str">
        <f t="shared" ca="1" si="112"/>
        <v>X</v>
      </c>
      <c r="L91" s="54" t="str">
        <f t="shared" ca="1" si="112"/>
        <v>X</v>
      </c>
      <c r="M91" s="54" t="str">
        <f t="shared" ca="1" si="112"/>
        <v>X</v>
      </c>
      <c r="N91" s="54" t="str">
        <f t="shared" ca="1" si="112"/>
        <v>X</v>
      </c>
      <c r="O91" s="54" t="str">
        <f t="shared" ca="1" si="112"/>
        <v>X</v>
      </c>
      <c r="P91" s="54" t="str">
        <f t="shared" ca="1" si="112"/>
        <v>X</v>
      </c>
      <c r="Q91" s="54" t="str">
        <f t="shared" ca="1" si="112"/>
        <v>X</v>
      </c>
      <c r="R91" s="54" t="str">
        <f t="shared" si="112"/>
        <v>X</v>
      </c>
      <c r="S91" s="54" t="str">
        <f t="shared" si="112"/>
        <v>X</v>
      </c>
      <c r="T91" s="54" t="str">
        <f t="shared" si="112"/>
        <v>X</v>
      </c>
      <c r="U91" s="54" t="str">
        <f t="shared" si="112"/>
        <v>X</v>
      </c>
      <c r="V91" s="54" t="str">
        <f t="shared" si="112"/>
        <v>X</v>
      </c>
      <c r="W91" s="54" t="str">
        <f t="shared" si="112"/>
        <v>X</v>
      </c>
      <c r="X91" s="54" t="str">
        <f t="shared" si="112"/>
        <v>X</v>
      </c>
      <c r="Y91" s="54" t="str">
        <f t="shared" si="112"/>
        <v>X</v>
      </c>
      <c r="Z91" s="54" t="str">
        <f t="shared" si="112"/>
        <v>X</v>
      </c>
      <c r="AA91" s="54" t="str">
        <f t="shared" si="112"/>
        <v>X</v>
      </c>
      <c r="AB91" s="54" t="str">
        <f t="shared" si="112"/>
        <v>X</v>
      </c>
      <c r="AC91" s="54" t="str">
        <f t="shared" si="112"/>
        <v>X</v>
      </c>
      <c r="AD91" s="54" t="str">
        <f t="shared" si="112"/>
        <v>X</v>
      </c>
      <c r="AE91" s="54" t="str">
        <f t="shared" si="112"/>
        <v>X</v>
      </c>
      <c r="AF91" s="54" t="str">
        <f t="shared" si="112"/>
        <v>X</v>
      </c>
      <c r="AG91" s="54" t="str">
        <f t="shared" si="112"/>
        <v>X</v>
      </c>
      <c r="AH91" s="54" t="str">
        <f t="shared" si="112"/>
        <v>X</v>
      </c>
      <c r="AI91" s="54" t="str">
        <f t="shared" si="112"/>
        <v>X</v>
      </c>
      <c r="AJ91" s="54" t="str">
        <f t="shared" si="112"/>
        <v>X</v>
      </c>
      <c r="AK91" s="54" t="str">
        <f t="shared" si="112"/>
        <v>X</v>
      </c>
      <c r="AL91" s="54" t="str">
        <f t="shared" si="112"/>
        <v>X</v>
      </c>
      <c r="AM91" s="54" t="str">
        <f t="shared" si="112"/>
        <v>X</v>
      </c>
      <c r="AN91" s="54" t="str">
        <f t="shared" si="112"/>
        <v>X</v>
      </c>
      <c r="AO91" s="54" t="str">
        <f t="shared" si="112"/>
        <v>X</v>
      </c>
      <c r="AP91" s="54" t="str">
        <f t="shared" si="112"/>
        <v>X</v>
      </c>
      <c r="AQ91" s="54" t="str">
        <f t="shared" si="112"/>
        <v>X</v>
      </c>
      <c r="AR91" s="54" t="str">
        <f t="shared" si="112"/>
        <v>X</v>
      </c>
      <c r="AS91" s="54" t="str">
        <f t="shared" si="112"/>
        <v>X</v>
      </c>
      <c r="AT91" s="54" t="str">
        <f t="shared" si="112"/>
        <v>X</v>
      </c>
      <c r="AU91" s="54" t="str">
        <f t="shared" si="112"/>
        <v>X</v>
      </c>
      <c r="AV91" s="53"/>
      <c r="AW91" s="53"/>
      <c r="AX91" s="53"/>
      <c r="BG91" s="199"/>
      <c r="BH91" s="47"/>
      <c r="BI91" s="47"/>
      <c r="BJ91"/>
    </row>
    <row r="92" spans="1:62">
      <c r="A92" s="255"/>
      <c r="B92" s="54" t="s">
        <v>568</v>
      </c>
      <c r="C92" s="54" t="str">
        <f t="shared" ref="C92:AU92" ca="1" si="113">IF(C10=2,"O",IF(C10=3,"O",IF(C10=5,"O",IF(C10=7,"O",IF(C10=11,"O",IF(C10=13,"O",IF(C10=17,"O",IF(C10=19,"O","X"))))))))</f>
        <v>O</v>
      </c>
      <c r="D92" s="54" t="str">
        <f t="shared" ca="1" si="113"/>
        <v>X</v>
      </c>
      <c r="E92" s="54" t="str">
        <f t="shared" ca="1" si="113"/>
        <v>X</v>
      </c>
      <c r="F92" s="54" t="str">
        <f t="shared" ca="1" si="113"/>
        <v>O</v>
      </c>
      <c r="G92" s="54" t="str">
        <f t="shared" ca="1" si="113"/>
        <v>X</v>
      </c>
      <c r="H92" s="54" t="str">
        <f t="shared" ca="1" si="113"/>
        <v>X</v>
      </c>
      <c r="I92" s="54" t="str">
        <f t="shared" ca="1" si="113"/>
        <v>X</v>
      </c>
      <c r="J92" s="54" t="str">
        <f t="shared" ca="1" si="113"/>
        <v>X</v>
      </c>
      <c r="K92" s="54" t="str">
        <f t="shared" ca="1" si="113"/>
        <v>X</v>
      </c>
      <c r="L92" s="54" t="str">
        <f t="shared" ca="1" si="113"/>
        <v>X</v>
      </c>
      <c r="M92" s="54" t="str">
        <f t="shared" ca="1" si="113"/>
        <v>X</v>
      </c>
      <c r="N92" s="54" t="str">
        <f t="shared" ca="1" si="113"/>
        <v>X</v>
      </c>
      <c r="O92" s="54" t="str">
        <f t="shared" ca="1" si="113"/>
        <v>O</v>
      </c>
      <c r="P92" s="54" t="str">
        <f t="shared" ca="1" si="113"/>
        <v>X</v>
      </c>
      <c r="Q92" s="54" t="str">
        <f t="shared" ca="1" si="113"/>
        <v>X</v>
      </c>
      <c r="R92" s="54" t="str">
        <f t="shared" si="113"/>
        <v>X</v>
      </c>
      <c r="S92" s="54" t="str">
        <f t="shared" si="113"/>
        <v>X</v>
      </c>
      <c r="T92" s="54" t="str">
        <f t="shared" si="113"/>
        <v>X</v>
      </c>
      <c r="U92" s="54" t="str">
        <f t="shared" si="113"/>
        <v>X</v>
      </c>
      <c r="V92" s="54" t="str">
        <f t="shared" si="113"/>
        <v>X</v>
      </c>
      <c r="W92" s="54" t="str">
        <f t="shared" si="113"/>
        <v>X</v>
      </c>
      <c r="X92" s="54" t="str">
        <f t="shared" si="113"/>
        <v>X</v>
      </c>
      <c r="Y92" s="54" t="str">
        <f t="shared" si="113"/>
        <v>X</v>
      </c>
      <c r="Z92" s="54" t="str">
        <f t="shared" si="113"/>
        <v>X</v>
      </c>
      <c r="AA92" s="54" t="str">
        <f t="shared" si="113"/>
        <v>X</v>
      </c>
      <c r="AB92" s="54" t="str">
        <f t="shared" si="113"/>
        <v>X</v>
      </c>
      <c r="AC92" s="54" t="str">
        <f t="shared" si="113"/>
        <v>X</v>
      </c>
      <c r="AD92" s="54" t="str">
        <f t="shared" si="113"/>
        <v>X</v>
      </c>
      <c r="AE92" s="54" t="str">
        <f t="shared" si="113"/>
        <v>X</v>
      </c>
      <c r="AF92" s="54" t="str">
        <f t="shared" si="113"/>
        <v>X</v>
      </c>
      <c r="AG92" s="54" t="str">
        <f t="shared" si="113"/>
        <v>X</v>
      </c>
      <c r="AH92" s="54" t="str">
        <f t="shared" si="113"/>
        <v>X</v>
      </c>
      <c r="AI92" s="54" t="str">
        <f t="shared" si="113"/>
        <v>X</v>
      </c>
      <c r="AJ92" s="54" t="str">
        <f t="shared" si="113"/>
        <v>X</v>
      </c>
      <c r="AK92" s="54" t="str">
        <f t="shared" si="113"/>
        <v>X</v>
      </c>
      <c r="AL92" s="54" t="str">
        <f t="shared" si="113"/>
        <v>X</v>
      </c>
      <c r="AM92" s="54" t="str">
        <f t="shared" si="113"/>
        <v>X</v>
      </c>
      <c r="AN92" s="54" t="str">
        <f t="shared" si="113"/>
        <v>X</v>
      </c>
      <c r="AO92" s="54" t="str">
        <f t="shared" si="113"/>
        <v>X</v>
      </c>
      <c r="AP92" s="54" t="str">
        <f t="shared" si="113"/>
        <v>X</v>
      </c>
      <c r="AQ92" s="54" t="str">
        <f t="shared" si="113"/>
        <v>X</v>
      </c>
      <c r="AR92" s="54" t="str">
        <f t="shared" si="113"/>
        <v>X</v>
      </c>
      <c r="AS92" s="54" t="str">
        <f t="shared" si="113"/>
        <v>X</v>
      </c>
      <c r="AT92" s="54" t="str">
        <f t="shared" si="113"/>
        <v>X</v>
      </c>
      <c r="AU92" s="54" t="str">
        <f t="shared" si="113"/>
        <v>X</v>
      </c>
      <c r="AV92" s="53"/>
      <c r="AW92" s="53"/>
      <c r="AX92" s="53"/>
      <c r="BG92" s="197"/>
      <c r="BH92" s="47"/>
      <c r="BI92" s="47"/>
      <c r="BJ92"/>
    </row>
    <row r="93" spans="1:62">
      <c r="A93" s="255"/>
      <c r="B93" s="54" t="s">
        <v>569</v>
      </c>
      <c r="C93" s="54" t="str">
        <f t="shared" ref="C93:AU93" ca="1" si="114">IF(C11=2,"O",IF(C11=3,"O",IF(C11=5,"O",IF(C11=7,"O",IF(C11=11,"O",IF(C11=13,"O",IF(C11=17,"O",IF(C11=19,"O","X"))))))))</f>
        <v>X</v>
      </c>
      <c r="D93" s="54" t="str">
        <f t="shared" ca="1" si="114"/>
        <v>X</v>
      </c>
      <c r="E93" s="54" t="str">
        <f t="shared" ca="1" si="114"/>
        <v>O</v>
      </c>
      <c r="F93" s="54" t="str">
        <f t="shared" ca="1" si="114"/>
        <v>O</v>
      </c>
      <c r="G93" s="54" t="str">
        <f t="shared" ca="1" si="114"/>
        <v>X</v>
      </c>
      <c r="H93" s="54" t="str">
        <f t="shared" ca="1" si="114"/>
        <v>X</v>
      </c>
      <c r="I93" s="54" t="str">
        <f t="shared" ca="1" si="114"/>
        <v>X</v>
      </c>
      <c r="J93" s="54" t="str">
        <f t="shared" ca="1" si="114"/>
        <v>X</v>
      </c>
      <c r="K93" s="54" t="str">
        <f t="shared" ca="1" si="114"/>
        <v>O</v>
      </c>
      <c r="L93" s="54" t="str">
        <f t="shared" ca="1" si="114"/>
        <v>X</v>
      </c>
      <c r="M93" s="54" t="str">
        <f t="shared" ca="1" si="114"/>
        <v>O</v>
      </c>
      <c r="N93" s="54" t="str">
        <f t="shared" ca="1" si="114"/>
        <v>X</v>
      </c>
      <c r="O93" s="54" t="str">
        <f t="shared" ca="1" si="114"/>
        <v>X</v>
      </c>
      <c r="P93" s="54" t="str">
        <f t="shared" ca="1" si="114"/>
        <v>X</v>
      </c>
      <c r="Q93" s="54" t="str">
        <f t="shared" ca="1" si="114"/>
        <v>X</v>
      </c>
      <c r="R93" s="54" t="str">
        <f t="shared" si="114"/>
        <v>X</v>
      </c>
      <c r="S93" s="54" t="str">
        <f t="shared" si="114"/>
        <v>X</v>
      </c>
      <c r="T93" s="54" t="str">
        <f t="shared" si="114"/>
        <v>X</v>
      </c>
      <c r="U93" s="54" t="str">
        <f t="shared" si="114"/>
        <v>X</v>
      </c>
      <c r="V93" s="54" t="str">
        <f t="shared" si="114"/>
        <v>X</v>
      </c>
      <c r="W93" s="54" t="str">
        <f t="shared" si="114"/>
        <v>X</v>
      </c>
      <c r="X93" s="54" t="str">
        <f t="shared" si="114"/>
        <v>X</v>
      </c>
      <c r="Y93" s="54" t="str">
        <f t="shared" si="114"/>
        <v>X</v>
      </c>
      <c r="Z93" s="54" t="str">
        <f t="shared" si="114"/>
        <v>X</v>
      </c>
      <c r="AA93" s="54" t="str">
        <f t="shared" si="114"/>
        <v>X</v>
      </c>
      <c r="AB93" s="54" t="str">
        <f t="shared" si="114"/>
        <v>X</v>
      </c>
      <c r="AC93" s="54" t="str">
        <f t="shared" si="114"/>
        <v>X</v>
      </c>
      <c r="AD93" s="54" t="str">
        <f t="shared" si="114"/>
        <v>X</v>
      </c>
      <c r="AE93" s="54" t="str">
        <f t="shared" si="114"/>
        <v>X</v>
      </c>
      <c r="AF93" s="54" t="str">
        <f t="shared" si="114"/>
        <v>X</v>
      </c>
      <c r="AG93" s="54" t="str">
        <f t="shared" si="114"/>
        <v>X</v>
      </c>
      <c r="AH93" s="54" t="str">
        <f t="shared" si="114"/>
        <v>X</v>
      </c>
      <c r="AI93" s="54" t="str">
        <f t="shared" si="114"/>
        <v>X</v>
      </c>
      <c r="AJ93" s="54" t="str">
        <f t="shared" si="114"/>
        <v>X</v>
      </c>
      <c r="AK93" s="54" t="str">
        <f t="shared" si="114"/>
        <v>X</v>
      </c>
      <c r="AL93" s="54" t="str">
        <f t="shared" si="114"/>
        <v>X</v>
      </c>
      <c r="AM93" s="54" t="str">
        <f t="shared" si="114"/>
        <v>X</v>
      </c>
      <c r="AN93" s="54" t="str">
        <f t="shared" si="114"/>
        <v>X</v>
      </c>
      <c r="AO93" s="54" t="str">
        <f t="shared" si="114"/>
        <v>X</v>
      </c>
      <c r="AP93" s="54" t="str">
        <f t="shared" si="114"/>
        <v>X</v>
      </c>
      <c r="AQ93" s="54" t="str">
        <f t="shared" si="114"/>
        <v>X</v>
      </c>
      <c r="AR93" s="54" t="str">
        <f t="shared" si="114"/>
        <v>X</v>
      </c>
      <c r="AS93" s="54" t="str">
        <f t="shared" si="114"/>
        <v>X</v>
      </c>
      <c r="AT93" s="54" t="str">
        <f t="shared" si="114"/>
        <v>X</v>
      </c>
      <c r="AU93" s="54" t="str">
        <f t="shared" si="114"/>
        <v>X</v>
      </c>
      <c r="AV93" s="53"/>
      <c r="AW93" s="53"/>
      <c r="AX93" s="53"/>
      <c r="BG93" s="200"/>
      <c r="BH93" s="47"/>
      <c r="BI93" s="47"/>
      <c r="BJ93"/>
    </row>
    <row r="94" spans="1:62">
      <c r="A94" s="255"/>
      <c r="B94" s="66" t="s">
        <v>540</v>
      </c>
      <c r="C94" s="66" t="str">
        <f t="shared" ref="C94:AU94" ca="1" si="115">IF(C12=2,"O",IF(C12=3,"O",IF(C12=5,"O",IF(C12=7,"O",IF(C12=11,"O",IF(C12=13,"O",IF(C12=17,"O",IF(C12=19,"O","X"))))))))</f>
        <v>X</v>
      </c>
      <c r="D94" s="66" t="str">
        <f t="shared" ca="1" si="115"/>
        <v>X</v>
      </c>
      <c r="E94" s="66" t="str">
        <f t="shared" ca="1" si="115"/>
        <v>X</v>
      </c>
      <c r="F94" s="66" t="str">
        <f t="shared" ca="1" si="115"/>
        <v>X</v>
      </c>
      <c r="G94" s="66" t="str">
        <f t="shared" ca="1" si="115"/>
        <v>X</v>
      </c>
      <c r="H94" s="66" t="str">
        <f t="shared" ca="1" si="115"/>
        <v>X</v>
      </c>
      <c r="I94" s="66" t="str">
        <f t="shared" ca="1" si="115"/>
        <v>X</v>
      </c>
      <c r="J94" s="66" t="str">
        <f t="shared" ca="1" si="115"/>
        <v>X</v>
      </c>
      <c r="K94" s="66" t="str">
        <f t="shared" ca="1" si="115"/>
        <v>O</v>
      </c>
      <c r="L94" s="66" t="str">
        <f t="shared" ca="1" si="115"/>
        <v>X</v>
      </c>
      <c r="M94" s="66" t="str">
        <f t="shared" ca="1" si="115"/>
        <v>X</v>
      </c>
      <c r="N94" s="66" t="str">
        <f t="shared" ca="1" si="115"/>
        <v>X</v>
      </c>
      <c r="O94" s="66" t="str">
        <f t="shared" ca="1" si="115"/>
        <v>X</v>
      </c>
      <c r="P94" s="66" t="str">
        <f t="shared" ca="1" si="115"/>
        <v>X</v>
      </c>
      <c r="Q94" s="66" t="str">
        <f t="shared" ca="1" si="115"/>
        <v>O</v>
      </c>
      <c r="R94" s="66" t="str">
        <f t="shared" si="115"/>
        <v>X</v>
      </c>
      <c r="S94" s="66" t="str">
        <f t="shared" si="115"/>
        <v>X</v>
      </c>
      <c r="T94" s="66" t="str">
        <f t="shared" si="115"/>
        <v>X</v>
      </c>
      <c r="U94" s="66" t="str">
        <f t="shared" si="115"/>
        <v>X</v>
      </c>
      <c r="V94" s="66" t="str">
        <f t="shared" si="115"/>
        <v>X</v>
      </c>
      <c r="W94" s="66" t="str">
        <f t="shared" si="115"/>
        <v>X</v>
      </c>
      <c r="X94" s="66" t="str">
        <f t="shared" si="115"/>
        <v>X</v>
      </c>
      <c r="Y94" s="66" t="str">
        <f t="shared" si="115"/>
        <v>X</v>
      </c>
      <c r="Z94" s="66" t="str">
        <f t="shared" si="115"/>
        <v>X</v>
      </c>
      <c r="AA94" s="66" t="str">
        <f t="shared" si="115"/>
        <v>X</v>
      </c>
      <c r="AB94" s="66" t="str">
        <f t="shared" si="115"/>
        <v>X</v>
      </c>
      <c r="AC94" s="66" t="str">
        <f t="shared" si="115"/>
        <v>X</v>
      </c>
      <c r="AD94" s="66" t="str">
        <f t="shared" si="115"/>
        <v>X</v>
      </c>
      <c r="AE94" s="66" t="str">
        <f t="shared" si="115"/>
        <v>X</v>
      </c>
      <c r="AF94" s="66" t="str">
        <f t="shared" si="115"/>
        <v>X</v>
      </c>
      <c r="AG94" s="66" t="str">
        <f t="shared" si="115"/>
        <v>X</v>
      </c>
      <c r="AH94" s="66" t="str">
        <f t="shared" si="115"/>
        <v>X</v>
      </c>
      <c r="AI94" s="66" t="str">
        <f t="shared" si="115"/>
        <v>X</v>
      </c>
      <c r="AJ94" s="66" t="str">
        <f t="shared" si="115"/>
        <v>X</v>
      </c>
      <c r="AK94" s="66" t="str">
        <f t="shared" si="115"/>
        <v>X</v>
      </c>
      <c r="AL94" s="66" t="str">
        <f t="shared" si="115"/>
        <v>X</v>
      </c>
      <c r="AM94" s="66" t="str">
        <f t="shared" si="115"/>
        <v>X</v>
      </c>
      <c r="AN94" s="66" t="str">
        <f t="shared" si="115"/>
        <v>X</v>
      </c>
      <c r="AO94" s="66" t="str">
        <f t="shared" si="115"/>
        <v>X</v>
      </c>
      <c r="AP94" s="66" t="str">
        <f t="shared" si="115"/>
        <v>X</v>
      </c>
      <c r="AQ94" s="66" t="str">
        <f t="shared" si="115"/>
        <v>X</v>
      </c>
      <c r="AR94" s="66" t="str">
        <f t="shared" si="115"/>
        <v>X</v>
      </c>
      <c r="AS94" s="66" t="str">
        <f t="shared" si="115"/>
        <v>X</v>
      </c>
      <c r="AT94" s="66" t="str">
        <f t="shared" si="115"/>
        <v>X</v>
      </c>
      <c r="AU94" s="66" t="str">
        <f t="shared" si="115"/>
        <v>X</v>
      </c>
      <c r="AV94" s="175"/>
      <c r="AW94" s="175"/>
      <c r="AX94" s="175"/>
      <c r="BG94" s="199"/>
      <c r="BH94" s="47"/>
      <c r="BI94" s="47"/>
      <c r="BJ94"/>
    </row>
    <row r="95" spans="1:62">
      <c r="A95" s="255"/>
      <c r="B95" s="54" t="s">
        <v>654</v>
      </c>
      <c r="C95" s="54" t="str">
        <f t="shared" ref="C95:AU95" ca="1" si="116">IF(C7=23,"O",IF(C7=29,"O",IF(C7=31,"O",IF(C7=37,"O",IF(C7=41,"O",IF(C7=43,"O","X"))))))</f>
        <v>X</v>
      </c>
      <c r="D95" s="54" t="str">
        <f t="shared" ca="1" si="116"/>
        <v>X</v>
      </c>
      <c r="E95" s="54" t="str">
        <f t="shared" ca="1" si="116"/>
        <v>X</v>
      </c>
      <c r="F95" s="54" t="str">
        <f t="shared" ca="1" si="116"/>
        <v>X</v>
      </c>
      <c r="G95" s="54" t="str">
        <f t="shared" ca="1" si="116"/>
        <v>X</v>
      </c>
      <c r="H95" s="54" t="str">
        <f t="shared" ca="1" si="116"/>
        <v>X</v>
      </c>
      <c r="I95" s="54" t="str">
        <f t="shared" ca="1" si="116"/>
        <v>X</v>
      </c>
      <c r="J95" s="54" t="str">
        <f t="shared" ca="1" si="116"/>
        <v>X</v>
      </c>
      <c r="K95" s="54" t="str">
        <f t="shared" ca="1" si="116"/>
        <v>O</v>
      </c>
      <c r="L95" s="54" t="str">
        <f t="shared" ca="1" si="116"/>
        <v>O</v>
      </c>
      <c r="M95" s="54" t="str">
        <f t="shared" ca="1" si="116"/>
        <v>X</v>
      </c>
      <c r="N95" s="54" t="str">
        <f t="shared" ca="1" si="116"/>
        <v>X</v>
      </c>
      <c r="O95" s="54" t="str">
        <f t="shared" ca="1" si="116"/>
        <v>O</v>
      </c>
      <c r="P95" s="54" t="str">
        <f t="shared" ca="1" si="116"/>
        <v>X</v>
      </c>
      <c r="Q95" s="54" t="str">
        <f ca="1">IF(Q7=23,"O",IF(Q7=29,"O",IF(Q7=31,"O",IF(Q7=37,"O",IF(Q7=41,"O",IF(Q7=43,"O","X"))))))</f>
        <v>X</v>
      </c>
      <c r="R95" s="54" t="str">
        <f t="shared" si="116"/>
        <v>X</v>
      </c>
      <c r="S95" s="54" t="str">
        <f t="shared" si="116"/>
        <v>X</v>
      </c>
      <c r="T95" s="54" t="str">
        <f t="shared" si="116"/>
        <v>X</v>
      </c>
      <c r="U95" s="54" t="str">
        <f t="shared" si="116"/>
        <v>X</v>
      </c>
      <c r="V95" s="54" t="str">
        <f t="shared" si="116"/>
        <v>X</v>
      </c>
      <c r="W95" s="54" t="str">
        <f t="shared" si="116"/>
        <v>X</v>
      </c>
      <c r="X95" s="54" t="str">
        <f t="shared" si="116"/>
        <v>X</v>
      </c>
      <c r="Y95" s="54" t="str">
        <f t="shared" si="116"/>
        <v>X</v>
      </c>
      <c r="Z95" s="54" t="str">
        <f t="shared" si="116"/>
        <v>X</v>
      </c>
      <c r="AA95" s="54" t="str">
        <f t="shared" si="116"/>
        <v>X</v>
      </c>
      <c r="AB95" s="54" t="str">
        <f t="shared" si="116"/>
        <v>X</v>
      </c>
      <c r="AC95" s="54" t="str">
        <f t="shared" si="116"/>
        <v>X</v>
      </c>
      <c r="AD95" s="54" t="str">
        <f t="shared" si="116"/>
        <v>X</v>
      </c>
      <c r="AE95" s="54" t="str">
        <f t="shared" si="116"/>
        <v>X</v>
      </c>
      <c r="AF95" s="54" t="str">
        <f t="shared" si="116"/>
        <v>X</v>
      </c>
      <c r="AG95" s="54" t="str">
        <f t="shared" si="116"/>
        <v>X</v>
      </c>
      <c r="AH95" s="54" t="str">
        <f t="shared" si="116"/>
        <v>X</v>
      </c>
      <c r="AI95" s="54" t="str">
        <f t="shared" si="116"/>
        <v>X</v>
      </c>
      <c r="AJ95" s="54" t="str">
        <f t="shared" si="116"/>
        <v>X</v>
      </c>
      <c r="AK95" s="54" t="str">
        <f t="shared" si="116"/>
        <v>X</v>
      </c>
      <c r="AL95" s="54" t="str">
        <f t="shared" si="116"/>
        <v>X</v>
      </c>
      <c r="AM95" s="54" t="str">
        <f t="shared" si="116"/>
        <v>X</v>
      </c>
      <c r="AN95" s="54" t="str">
        <f t="shared" si="116"/>
        <v>X</v>
      </c>
      <c r="AO95" s="54" t="str">
        <f t="shared" si="116"/>
        <v>X</v>
      </c>
      <c r="AP95" s="54" t="str">
        <f t="shared" si="116"/>
        <v>X</v>
      </c>
      <c r="AQ95" s="54" t="str">
        <f t="shared" si="116"/>
        <v>X</v>
      </c>
      <c r="AR95" s="54" t="str">
        <f t="shared" si="116"/>
        <v>X</v>
      </c>
      <c r="AS95" s="54" t="str">
        <f t="shared" si="116"/>
        <v>X</v>
      </c>
      <c r="AT95" s="54" t="str">
        <f t="shared" si="116"/>
        <v>X</v>
      </c>
      <c r="AU95" s="54" t="str">
        <f t="shared" si="116"/>
        <v>X</v>
      </c>
      <c r="AV95" s="53"/>
      <c r="AW95" s="53"/>
      <c r="AX95" s="53"/>
      <c r="BG95" s="198"/>
      <c r="BH95" s="47"/>
    </row>
    <row r="96" spans="1:62">
      <c r="A96" s="255"/>
      <c r="B96" s="54" t="s">
        <v>655</v>
      </c>
      <c r="C96" s="54" t="str">
        <f t="shared" ref="C96:AU96" ca="1" si="117">IF(C8=23,"O",IF(C8=29,"O",IF(C8=31,"O",IF(C8=37,"O",IF(C8=41,"O",IF(C8=43,"O","X"))))))</f>
        <v>X</v>
      </c>
      <c r="D96" s="54" t="str">
        <f t="shared" ca="1" si="117"/>
        <v>X</v>
      </c>
      <c r="E96" s="54" t="str">
        <f t="shared" ca="1" si="117"/>
        <v>X</v>
      </c>
      <c r="F96" s="54" t="str">
        <f t="shared" ca="1" si="117"/>
        <v>X</v>
      </c>
      <c r="G96" s="54" t="str">
        <f t="shared" ca="1" si="117"/>
        <v>X</v>
      </c>
      <c r="H96" s="54" t="str">
        <f t="shared" ca="1" si="117"/>
        <v>X</v>
      </c>
      <c r="I96" s="54" t="str">
        <f t="shared" ca="1" si="117"/>
        <v>X</v>
      </c>
      <c r="J96" s="54" t="str">
        <f t="shared" ca="1" si="117"/>
        <v>X</v>
      </c>
      <c r="K96" s="54" t="str">
        <f t="shared" ca="1" si="117"/>
        <v>O</v>
      </c>
      <c r="L96" s="54" t="str">
        <f t="shared" ca="1" si="117"/>
        <v>O</v>
      </c>
      <c r="M96" s="54" t="str">
        <f t="shared" ca="1" si="117"/>
        <v>X</v>
      </c>
      <c r="N96" s="54" t="str">
        <f t="shared" ca="1" si="117"/>
        <v>X</v>
      </c>
      <c r="O96" s="54" t="str">
        <f t="shared" ca="1" si="117"/>
        <v>X</v>
      </c>
      <c r="P96" s="54" t="str">
        <f t="shared" ca="1" si="117"/>
        <v>X</v>
      </c>
      <c r="Q96" s="54" t="str">
        <f t="shared" ca="1" si="117"/>
        <v>X</v>
      </c>
      <c r="R96" s="54" t="str">
        <f t="shared" si="117"/>
        <v>X</v>
      </c>
      <c r="S96" s="54" t="str">
        <f t="shared" si="117"/>
        <v>X</v>
      </c>
      <c r="T96" s="54" t="str">
        <f t="shared" si="117"/>
        <v>X</v>
      </c>
      <c r="U96" s="54" t="str">
        <f t="shared" si="117"/>
        <v>X</v>
      </c>
      <c r="V96" s="54" t="str">
        <f t="shared" si="117"/>
        <v>X</v>
      </c>
      <c r="W96" s="54" t="str">
        <f t="shared" si="117"/>
        <v>X</v>
      </c>
      <c r="X96" s="54" t="str">
        <f t="shared" si="117"/>
        <v>X</v>
      </c>
      <c r="Y96" s="54" t="str">
        <f t="shared" si="117"/>
        <v>X</v>
      </c>
      <c r="Z96" s="54" t="str">
        <f t="shared" si="117"/>
        <v>X</v>
      </c>
      <c r="AA96" s="54" t="str">
        <f t="shared" si="117"/>
        <v>X</v>
      </c>
      <c r="AB96" s="54" t="str">
        <f t="shared" si="117"/>
        <v>X</v>
      </c>
      <c r="AC96" s="54" t="str">
        <f t="shared" si="117"/>
        <v>X</v>
      </c>
      <c r="AD96" s="54" t="str">
        <f t="shared" si="117"/>
        <v>X</v>
      </c>
      <c r="AE96" s="54" t="str">
        <f t="shared" si="117"/>
        <v>X</v>
      </c>
      <c r="AF96" s="54" t="str">
        <f t="shared" si="117"/>
        <v>X</v>
      </c>
      <c r="AG96" s="54" t="str">
        <f t="shared" si="117"/>
        <v>X</v>
      </c>
      <c r="AH96" s="54" t="str">
        <f t="shared" si="117"/>
        <v>X</v>
      </c>
      <c r="AI96" s="54" t="str">
        <f t="shared" si="117"/>
        <v>X</v>
      </c>
      <c r="AJ96" s="54" t="str">
        <f t="shared" si="117"/>
        <v>X</v>
      </c>
      <c r="AK96" s="54" t="str">
        <f t="shared" si="117"/>
        <v>X</v>
      </c>
      <c r="AL96" s="54" t="str">
        <f t="shared" si="117"/>
        <v>X</v>
      </c>
      <c r="AM96" s="54" t="str">
        <f t="shared" si="117"/>
        <v>X</v>
      </c>
      <c r="AN96" s="54" t="str">
        <f t="shared" si="117"/>
        <v>X</v>
      </c>
      <c r="AO96" s="54" t="str">
        <f t="shared" si="117"/>
        <v>X</v>
      </c>
      <c r="AP96" s="54" t="str">
        <f t="shared" si="117"/>
        <v>X</v>
      </c>
      <c r="AQ96" s="54" t="str">
        <f t="shared" si="117"/>
        <v>X</v>
      </c>
      <c r="AR96" s="54" t="str">
        <f t="shared" si="117"/>
        <v>X</v>
      </c>
      <c r="AS96" s="54" t="str">
        <f t="shared" si="117"/>
        <v>X</v>
      </c>
      <c r="AT96" s="54" t="str">
        <f t="shared" si="117"/>
        <v>X</v>
      </c>
      <c r="AU96" s="54" t="str">
        <f t="shared" si="117"/>
        <v>X</v>
      </c>
      <c r="AV96" s="53"/>
      <c r="AW96" s="53"/>
      <c r="AX96" s="53"/>
      <c r="BG96" s="200"/>
      <c r="BH96" s="47"/>
      <c r="BJ96"/>
    </row>
    <row r="97" spans="1:62">
      <c r="A97" s="255"/>
      <c r="B97" s="54" t="s">
        <v>656</v>
      </c>
      <c r="C97" s="54" t="str">
        <f t="shared" ref="C97:AU97" ca="1" si="118">IF(C9=23,"O",IF(C9=29,"O",IF(C9=31,"O",IF(C9=37,"O",IF(C9=41,"O",IF(C9=43,"O","X"))))))</f>
        <v>O</v>
      </c>
      <c r="D97" s="54" t="str">
        <f t="shared" ca="1" si="118"/>
        <v>X</v>
      </c>
      <c r="E97" s="54" t="str">
        <f t="shared" ca="1" si="118"/>
        <v>X</v>
      </c>
      <c r="F97" s="54" t="str">
        <f t="shared" ca="1" si="118"/>
        <v>X</v>
      </c>
      <c r="G97" s="54" t="str">
        <f t="shared" ca="1" si="118"/>
        <v>X</v>
      </c>
      <c r="H97" s="54" t="str">
        <f t="shared" ca="1" si="118"/>
        <v>X</v>
      </c>
      <c r="I97" s="54" t="str">
        <f t="shared" ca="1" si="118"/>
        <v>O</v>
      </c>
      <c r="J97" s="54" t="str">
        <f t="shared" ca="1" si="118"/>
        <v>X</v>
      </c>
      <c r="K97" s="54" t="str">
        <f t="shared" ca="1" si="118"/>
        <v>X</v>
      </c>
      <c r="L97" s="54" t="str">
        <f t="shared" ca="1" si="118"/>
        <v>X</v>
      </c>
      <c r="M97" s="54" t="str">
        <f t="shared" ca="1" si="118"/>
        <v>X</v>
      </c>
      <c r="N97" s="54" t="str">
        <f t="shared" ca="1" si="118"/>
        <v>X</v>
      </c>
      <c r="O97" s="54" t="str">
        <f t="shared" ca="1" si="118"/>
        <v>X</v>
      </c>
      <c r="P97" s="54" t="str">
        <f t="shared" ca="1" si="118"/>
        <v>X</v>
      </c>
      <c r="Q97" s="54" t="str">
        <f t="shared" ca="1" si="118"/>
        <v>X</v>
      </c>
      <c r="R97" s="54" t="str">
        <f t="shared" si="118"/>
        <v>X</v>
      </c>
      <c r="S97" s="54" t="str">
        <f t="shared" si="118"/>
        <v>X</v>
      </c>
      <c r="T97" s="54" t="str">
        <f t="shared" si="118"/>
        <v>X</v>
      </c>
      <c r="U97" s="54" t="str">
        <f t="shared" si="118"/>
        <v>X</v>
      </c>
      <c r="V97" s="54" t="str">
        <f t="shared" si="118"/>
        <v>X</v>
      </c>
      <c r="W97" s="54" t="str">
        <f t="shared" si="118"/>
        <v>X</v>
      </c>
      <c r="X97" s="54" t="str">
        <f t="shared" si="118"/>
        <v>X</v>
      </c>
      <c r="Y97" s="54" t="str">
        <f t="shared" si="118"/>
        <v>X</v>
      </c>
      <c r="Z97" s="54" t="str">
        <f t="shared" si="118"/>
        <v>X</v>
      </c>
      <c r="AA97" s="54" t="str">
        <f t="shared" si="118"/>
        <v>X</v>
      </c>
      <c r="AB97" s="54" t="str">
        <f t="shared" si="118"/>
        <v>X</v>
      </c>
      <c r="AC97" s="54" t="str">
        <f t="shared" si="118"/>
        <v>X</v>
      </c>
      <c r="AD97" s="54" t="str">
        <f t="shared" si="118"/>
        <v>X</v>
      </c>
      <c r="AE97" s="54" t="str">
        <f t="shared" si="118"/>
        <v>X</v>
      </c>
      <c r="AF97" s="54" t="str">
        <f t="shared" si="118"/>
        <v>X</v>
      </c>
      <c r="AG97" s="54" t="str">
        <f t="shared" si="118"/>
        <v>X</v>
      </c>
      <c r="AH97" s="54" t="str">
        <f t="shared" si="118"/>
        <v>X</v>
      </c>
      <c r="AI97" s="54" t="str">
        <f t="shared" si="118"/>
        <v>X</v>
      </c>
      <c r="AJ97" s="54" t="str">
        <f t="shared" si="118"/>
        <v>X</v>
      </c>
      <c r="AK97" s="54" t="str">
        <f t="shared" si="118"/>
        <v>X</v>
      </c>
      <c r="AL97" s="54" t="str">
        <f t="shared" si="118"/>
        <v>X</v>
      </c>
      <c r="AM97" s="54" t="str">
        <f t="shared" si="118"/>
        <v>X</v>
      </c>
      <c r="AN97" s="54" t="str">
        <f t="shared" si="118"/>
        <v>X</v>
      </c>
      <c r="AO97" s="54" t="str">
        <f t="shared" si="118"/>
        <v>X</v>
      </c>
      <c r="AP97" s="54" t="str">
        <f t="shared" si="118"/>
        <v>X</v>
      </c>
      <c r="AQ97" s="54" t="str">
        <f t="shared" si="118"/>
        <v>X</v>
      </c>
      <c r="AR97" s="54" t="str">
        <f t="shared" si="118"/>
        <v>X</v>
      </c>
      <c r="AS97" s="54" t="str">
        <f t="shared" si="118"/>
        <v>X</v>
      </c>
      <c r="AT97" s="54" t="str">
        <f t="shared" si="118"/>
        <v>X</v>
      </c>
      <c r="AU97" s="54" t="str">
        <f t="shared" si="118"/>
        <v>X</v>
      </c>
      <c r="AV97" s="53"/>
      <c r="AW97" s="53"/>
      <c r="AX97" s="53"/>
      <c r="BG97" s="200"/>
      <c r="BH97" s="47"/>
      <c r="BJ97"/>
    </row>
    <row r="98" spans="1:62">
      <c r="A98" s="255"/>
      <c r="B98" s="54" t="s">
        <v>657</v>
      </c>
      <c r="C98" s="54" t="str">
        <f t="shared" ref="C98:AU98" ca="1" si="119">IF(C10=23,"O",IF(C10=29,"O",IF(C10=31,"O",IF(C10=37,"O",IF(C10=41,"O",IF(C10=43,"O","X"))))))</f>
        <v>X</v>
      </c>
      <c r="D98" s="54" t="str">
        <f t="shared" ca="1" si="119"/>
        <v>X</v>
      </c>
      <c r="E98" s="54" t="str">
        <f t="shared" ca="1" si="119"/>
        <v>X</v>
      </c>
      <c r="F98" s="54" t="str">
        <f t="shared" ca="1" si="119"/>
        <v>X</v>
      </c>
      <c r="G98" s="54" t="str">
        <f t="shared" ca="1" si="119"/>
        <v>O</v>
      </c>
      <c r="H98" s="54" t="str">
        <f t="shared" ca="1" si="119"/>
        <v>X</v>
      </c>
      <c r="I98" s="54" t="str">
        <f t="shared" ca="1" si="119"/>
        <v>O</v>
      </c>
      <c r="J98" s="54" t="str">
        <f t="shared" ca="1" si="119"/>
        <v>X</v>
      </c>
      <c r="K98" s="54" t="str">
        <f t="shared" ca="1" si="119"/>
        <v>X</v>
      </c>
      <c r="L98" s="54" t="str">
        <f t="shared" ca="1" si="119"/>
        <v>X</v>
      </c>
      <c r="M98" s="54" t="str">
        <f t="shared" ca="1" si="119"/>
        <v>X</v>
      </c>
      <c r="N98" s="54" t="str">
        <f t="shared" ca="1" si="119"/>
        <v>X</v>
      </c>
      <c r="O98" s="54" t="str">
        <f t="shared" ca="1" si="119"/>
        <v>X</v>
      </c>
      <c r="P98" s="54" t="str">
        <f t="shared" ca="1" si="119"/>
        <v>X</v>
      </c>
      <c r="Q98" s="54" t="str">
        <f t="shared" ca="1" si="119"/>
        <v>X</v>
      </c>
      <c r="R98" s="54" t="str">
        <f t="shared" si="119"/>
        <v>X</v>
      </c>
      <c r="S98" s="54" t="str">
        <f t="shared" si="119"/>
        <v>X</v>
      </c>
      <c r="T98" s="54" t="str">
        <f t="shared" si="119"/>
        <v>X</v>
      </c>
      <c r="U98" s="54" t="str">
        <f t="shared" si="119"/>
        <v>X</v>
      </c>
      <c r="V98" s="54" t="str">
        <f t="shared" si="119"/>
        <v>X</v>
      </c>
      <c r="W98" s="54" t="str">
        <f t="shared" si="119"/>
        <v>X</v>
      </c>
      <c r="X98" s="54" t="str">
        <f t="shared" si="119"/>
        <v>X</v>
      </c>
      <c r="Y98" s="54" t="str">
        <f t="shared" si="119"/>
        <v>X</v>
      </c>
      <c r="Z98" s="54" t="str">
        <f t="shared" si="119"/>
        <v>X</v>
      </c>
      <c r="AA98" s="54" t="str">
        <f t="shared" si="119"/>
        <v>X</v>
      </c>
      <c r="AB98" s="54" t="str">
        <f t="shared" si="119"/>
        <v>X</v>
      </c>
      <c r="AC98" s="54" t="str">
        <f t="shared" si="119"/>
        <v>X</v>
      </c>
      <c r="AD98" s="54" t="str">
        <f t="shared" si="119"/>
        <v>X</v>
      </c>
      <c r="AE98" s="54" t="str">
        <f t="shared" si="119"/>
        <v>X</v>
      </c>
      <c r="AF98" s="54" t="str">
        <f t="shared" si="119"/>
        <v>X</v>
      </c>
      <c r="AG98" s="54" t="str">
        <f t="shared" si="119"/>
        <v>X</v>
      </c>
      <c r="AH98" s="54" t="str">
        <f t="shared" si="119"/>
        <v>X</v>
      </c>
      <c r="AI98" s="54" t="str">
        <f t="shared" si="119"/>
        <v>X</v>
      </c>
      <c r="AJ98" s="54" t="str">
        <f t="shared" si="119"/>
        <v>X</v>
      </c>
      <c r="AK98" s="54" t="str">
        <f t="shared" si="119"/>
        <v>X</v>
      </c>
      <c r="AL98" s="54" t="str">
        <f t="shared" si="119"/>
        <v>X</v>
      </c>
      <c r="AM98" s="54" t="str">
        <f t="shared" si="119"/>
        <v>X</v>
      </c>
      <c r="AN98" s="54" t="str">
        <f t="shared" si="119"/>
        <v>X</v>
      </c>
      <c r="AO98" s="54" t="str">
        <f t="shared" si="119"/>
        <v>X</v>
      </c>
      <c r="AP98" s="54" t="str">
        <f t="shared" si="119"/>
        <v>X</v>
      </c>
      <c r="AQ98" s="54" t="str">
        <f t="shared" si="119"/>
        <v>X</v>
      </c>
      <c r="AR98" s="54" t="str">
        <f t="shared" si="119"/>
        <v>X</v>
      </c>
      <c r="AS98" s="54" t="str">
        <f t="shared" si="119"/>
        <v>X</v>
      </c>
      <c r="AT98" s="54" t="str">
        <f t="shared" si="119"/>
        <v>X</v>
      </c>
      <c r="AU98" s="54" t="str">
        <f t="shared" si="119"/>
        <v>X</v>
      </c>
      <c r="AV98" s="53"/>
      <c r="AW98" s="53"/>
      <c r="AX98" s="53"/>
      <c r="BG98" s="197"/>
      <c r="BJ98"/>
    </row>
    <row r="99" spans="1:62">
      <c r="A99" s="255"/>
      <c r="B99" s="54" t="s">
        <v>658</v>
      </c>
      <c r="C99" s="54" t="str">
        <f t="shared" ref="C99:AU99" ca="1" si="120">IF(C11=23,"O",IF(C11=29,"O",IF(C11=31,"O",IF(C11=37,"O",IF(C11=41,"O",IF(C11=43,"O","X"))))))</f>
        <v>X</v>
      </c>
      <c r="D99" s="54" t="str">
        <f t="shared" ca="1" si="120"/>
        <v>X</v>
      </c>
      <c r="E99" s="54" t="str">
        <f t="shared" ca="1" si="120"/>
        <v>X</v>
      </c>
      <c r="F99" s="54" t="str">
        <f t="shared" ca="1" si="120"/>
        <v>X</v>
      </c>
      <c r="G99" s="54" t="str">
        <f t="shared" ca="1" si="120"/>
        <v>X</v>
      </c>
      <c r="H99" s="54" t="str">
        <f t="shared" ca="1" si="120"/>
        <v>O</v>
      </c>
      <c r="I99" s="54" t="str">
        <f t="shared" ca="1" si="120"/>
        <v>X</v>
      </c>
      <c r="J99" s="54" t="str">
        <f t="shared" ca="1" si="120"/>
        <v>X</v>
      </c>
      <c r="K99" s="54" t="str">
        <f t="shared" ca="1" si="120"/>
        <v>X</v>
      </c>
      <c r="L99" s="54" t="str">
        <f t="shared" ca="1" si="120"/>
        <v>X</v>
      </c>
      <c r="M99" s="54" t="str">
        <f t="shared" ca="1" si="120"/>
        <v>X</v>
      </c>
      <c r="N99" s="54" t="str">
        <f t="shared" ca="1" si="120"/>
        <v>X</v>
      </c>
      <c r="O99" s="54" t="str">
        <f t="shared" ca="1" si="120"/>
        <v>X</v>
      </c>
      <c r="P99" s="54" t="str">
        <f t="shared" ca="1" si="120"/>
        <v>X</v>
      </c>
      <c r="Q99" s="54" t="str">
        <f t="shared" ca="1" si="120"/>
        <v>X</v>
      </c>
      <c r="R99" s="54" t="str">
        <f t="shared" si="120"/>
        <v>X</v>
      </c>
      <c r="S99" s="54" t="str">
        <f t="shared" si="120"/>
        <v>X</v>
      </c>
      <c r="T99" s="54" t="str">
        <f t="shared" si="120"/>
        <v>X</v>
      </c>
      <c r="U99" s="54" t="str">
        <f t="shared" si="120"/>
        <v>X</v>
      </c>
      <c r="V99" s="54" t="str">
        <f t="shared" si="120"/>
        <v>X</v>
      </c>
      <c r="W99" s="54" t="str">
        <f t="shared" si="120"/>
        <v>X</v>
      </c>
      <c r="X99" s="54" t="str">
        <f t="shared" si="120"/>
        <v>X</v>
      </c>
      <c r="Y99" s="54" t="str">
        <f t="shared" si="120"/>
        <v>X</v>
      </c>
      <c r="Z99" s="54" t="str">
        <f t="shared" si="120"/>
        <v>X</v>
      </c>
      <c r="AA99" s="54" t="str">
        <f t="shared" si="120"/>
        <v>X</v>
      </c>
      <c r="AB99" s="54" t="str">
        <f t="shared" si="120"/>
        <v>X</v>
      </c>
      <c r="AC99" s="54" t="str">
        <f t="shared" si="120"/>
        <v>X</v>
      </c>
      <c r="AD99" s="54" t="str">
        <f t="shared" si="120"/>
        <v>X</v>
      </c>
      <c r="AE99" s="54" t="str">
        <f t="shared" si="120"/>
        <v>X</v>
      </c>
      <c r="AF99" s="54" t="str">
        <f t="shared" si="120"/>
        <v>X</v>
      </c>
      <c r="AG99" s="54" t="str">
        <f t="shared" si="120"/>
        <v>X</v>
      </c>
      <c r="AH99" s="54" t="str">
        <f t="shared" si="120"/>
        <v>X</v>
      </c>
      <c r="AI99" s="54" t="str">
        <f t="shared" si="120"/>
        <v>X</v>
      </c>
      <c r="AJ99" s="54" t="str">
        <f t="shared" si="120"/>
        <v>X</v>
      </c>
      <c r="AK99" s="54" t="str">
        <f t="shared" si="120"/>
        <v>X</v>
      </c>
      <c r="AL99" s="54" t="str">
        <f t="shared" si="120"/>
        <v>X</v>
      </c>
      <c r="AM99" s="54" t="str">
        <f t="shared" si="120"/>
        <v>X</v>
      </c>
      <c r="AN99" s="54" t="str">
        <f t="shared" si="120"/>
        <v>X</v>
      </c>
      <c r="AO99" s="54" t="str">
        <f t="shared" si="120"/>
        <v>X</v>
      </c>
      <c r="AP99" s="54" t="str">
        <f t="shared" si="120"/>
        <v>X</v>
      </c>
      <c r="AQ99" s="54" t="str">
        <f t="shared" si="120"/>
        <v>X</v>
      </c>
      <c r="AR99" s="54" t="str">
        <f t="shared" si="120"/>
        <v>X</v>
      </c>
      <c r="AS99" s="54" t="str">
        <f t="shared" si="120"/>
        <v>X</v>
      </c>
      <c r="AT99" s="54" t="str">
        <f t="shared" si="120"/>
        <v>X</v>
      </c>
      <c r="AU99" s="54" t="str">
        <f t="shared" si="120"/>
        <v>X</v>
      </c>
      <c r="AV99" s="53"/>
      <c r="AW99" s="53"/>
      <c r="AX99" s="53"/>
      <c r="BG99" s="197"/>
      <c r="BJ99"/>
    </row>
    <row r="100" spans="1:62">
      <c r="A100" s="255"/>
      <c r="B100" s="54" t="s">
        <v>659</v>
      </c>
      <c r="C100" s="54" t="str">
        <f t="shared" ref="C100:AU100" ca="1" si="121">IF(C12=23,"O",IF(C12=29,"O",IF(C12=31,"O",IF(C12=37,"O",IF(C12=41,"O",IF(C12=43,"O","X"))))))</f>
        <v>X</v>
      </c>
      <c r="D100" s="54" t="str">
        <f t="shared" ca="1" si="121"/>
        <v>X</v>
      </c>
      <c r="E100" s="54" t="str">
        <f t="shared" ca="1" si="121"/>
        <v>X</v>
      </c>
      <c r="F100" s="54" t="str">
        <f t="shared" ca="1" si="121"/>
        <v>O</v>
      </c>
      <c r="G100" s="54" t="str">
        <f t="shared" ca="1" si="121"/>
        <v>X</v>
      </c>
      <c r="H100" s="54" t="str">
        <f t="shared" ca="1" si="121"/>
        <v>X</v>
      </c>
      <c r="I100" s="54" t="str">
        <f t="shared" ca="1" si="121"/>
        <v>O</v>
      </c>
      <c r="J100" s="54" t="str">
        <f t="shared" ca="1" si="121"/>
        <v>X</v>
      </c>
      <c r="K100" s="54" t="str">
        <f t="shared" ca="1" si="121"/>
        <v>X</v>
      </c>
      <c r="L100" s="54" t="str">
        <f t="shared" ca="1" si="121"/>
        <v>X</v>
      </c>
      <c r="M100" s="54" t="str">
        <f t="shared" ca="1" si="121"/>
        <v>X</v>
      </c>
      <c r="N100" s="54" t="str">
        <f t="shared" ca="1" si="121"/>
        <v>X</v>
      </c>
      <c r="O100" s="54" t="str">
        <f t="shared" ca="1" si="121"/>
        <v>O</v>
      </c>
      <c r="P100" s="54" t="str">
        <f t="shared" ca="1" si="121"/>
        <v>X</v>
      </c>
      <c r="Q100" s="54" t="str">
        <f t="shared" ca="1" si="121"/>
        <v>X</v>
      </c>
      <c r="R100" s="54" t="str">
        <f t="shared" si="121"/>
        <v>X</v>
      </c>
      <c r="S100" s="54" t="str">
        <f t="shared" si="121"/>
        <v>X</v>
      </c>
      <c r="T100" s="54" t="str">
        <f t="shared" si="121"/>
        <v>X</v>
      </c>
      <c r="U100" s="54" t="str">
        <f t="shared" si="121"/>
        <v>X</v>
      </c>
      <c r="V100" s="54" t="str">
        <f t="shared" si="121"/>
        <v>X</v>
      </c>
      <c r="W100" s="54" t="str">
        <f t="shared" si="121"/>
        <v>X</v>
      </c>
      <c r="X100" s="54" t="str">
        <f t="shared" si="121"/>
        <v>X</v>
      </c>
      <c r="Y100" s="54" t="str">
        <f t="shared" si="121"/>
        <v>X</v>
      </c>
      <c r="Z100" s="54" t="str">
        <f t="shared" si="121"/>
        <v>X</v>
      </c>
      <c r="AA100" s="54" t="str">
        <f t="shared" si="121"/>
        <v>X</v>
      </c>
      <c r="AB100" s="54" t="str">
        <f t="shared" si="121"/>
        <v>X</v>
      </c>
      <c r="AC100" s="54" t="str">
        <f t="shared" si="121"/>
        <v>X</v>
      </c>
      <c r="AD100" s="54" t="str">
        <f t="shared" si="121"/>
        <v>X</v>
      </c>
      <c r="AE100" s="54" t="str">
        <f t="shared" si="121"/>
        <v>X</v>
      </c>
      <c r="AF100" s="54" t="str">
        <f t="shared" si="121"/>
        <v>X</v>
      </c>
      <c r="AG100" s="54" t="str">
        <f t="shared" si="121"/>
        <v>X</v>
      </c>
      <c r="AH100" s="54" t="str">
        <f t="shared" si="121"/>
        <v>X</v>
      </c>
      <c r="AI100" s="54" t="str">
        <f t="shared" si="121"/>
        <v>X</v>
      </c>
      <c r="AJ100" s="54" t="str">
        <f t="shared" si="121"/>
        <v>X</v>
      </c>
      <c r="AK100" s="54" t="str">
        <f t="shared" si="121"/>
        <v>X</v>
      </c>
      <c r="AL100" s="54" t="str">
        <f t="shared" si="121"/>
        <v>X</v>
      </c>
      <c r="AM100" s="54" t="str">
        <f t="shared" si="121"/>
        <v>X</v>
      </c>
      <c r="AN100" s="54" t="str">
        <f t="shared" si="121"/>
        <v>X</v>
      </c>
      <c r="AO100" s="54" t="str">
        <f t="shared" si="121"/>
        <v>X</v>
      </c>
      <c r="AP100" s="54" t="str">
        <f t="shared" si="121"/>
        <v>X</v>
      </c>
      <c r="AQ100" s="54" t="str">
        <f t="shared" si="121"/>
        <v>X</v>
      </c>
      <c r="AR100" s="54" t="str">
        <f t="shared" si="121"/>
        <v>X</v>
      </c>
      <c r="AS100" s="54" t="str">
        <f t="shared" si="121"/>
        <v>X</v>
      </c>
      <c r="AT100" s="54" t="str">
        <f t="shared" si="121"/>
        <v>X</v>
      </c>
      <c r="AU100" s="54" t="str">
        <f t="shared" si="121"/>
        <v>X</v>
      </c>
      <c r="AV100" s="53"/>
      <c r="AW100" s="53"/>
      <c r="AX100" s="53"/>
      <c r="BG100" s="197"/>
      <c r="BJ100"/>
    </row>
    <row r="101" spans="1:62">
      <c r="A101" s="255"/>
      <c r="B101" s="60" t="s">
        <v>667</v>
      </c>
      <c r="C101" s="55">
        <f ca="1">COUNTIF(C89:C100,"O")</f>
        <v>3</v>
      </c>
      <c r="D101" s="55">
        <f t="shared" ref="D101:Q101" ca="1" si="122">COUNTIF(D89:D100,"O")</f>
        <v>1</v>
      </c>
      <c r="E101" s="55">
        <f t="shared" ca="1" si="122"/>
        <v>2</v>
      </c>
      <c r="F101" s="55">
        <f t="shared" ca="1" si="122"/>
        <v>4</v>
      </c>
      <c r="G101" s="55">
        <f t="shared" ca="1" si="122"/>
        <v>2</v>
      </c>
      <c r="H101" s="55">
        <f t="shared" ca="1" si="122"/>
        <v>2</v>
      </c>
      <c r="I101" s="55">
        <f t="shared" ca="1" si="122"/>
        <v>3</v>
      </c>
      <c r="J101" s="55">
        <f t="shared" ca="1" si="122"/>
        <v>1</v>
      </c>
      <c r="K101" s="55">
        <f t="shared" ca="1" si="122"/>
        <v>4</v>
      </c>
      <c r="L101" s="55">
        <f t="shared" ca="1" si="122"/>
        <v>2</v>
      </c>
      <c r="M101" s="55">
        <f t="shared" ca="1" si="122"/>
        <v>2</v>
      </c>
      <c r="N101" s="55">
        <f t="shared" ca="1" si="122"/>
        <v>0</v>
      </c>
      <c r="O101" s="55">
        <f t="shared" ca="1" si="122"/>
        <v>4</v>
      </c>
      <c r="P101" s="55">
        <f t="shared" ca="1" si="122"/>
        <v>0</v>
      </c>
      <c r="Q101" s="55">
        <f t="shared" ca="1" si="122"/>
        <v>2</v>
      </c>
      <c r="R101" s="55">
        <f t="shared" ref="R101:AH101" si="123">COUNTIF(R89:R100,"O")</f>
        <v>0</v>
      </c>
      <c r="S101" s="55">
        <f t="shared" si="123"/>
        <v>0</v>
      </c>
      <c r="T101" s="55">
        <f t="shared" si="123"/>
        <v>0</v>
      </c>
      <c r="U101" s="55">
        <f t="shared" si="123"/>
        <v>0</v>
      </c>
      <c r="V101" s="55">
        <f t="shared" si="123"/>
        <v>0</v>
      </c>
      <c r="W101" s="55">
        <f t="shared" si="123"/>
        <v>0</v>
      </c>
      <c r="X101" s="55">
        <f t="shared" si="123"/>
        <v>0</v>
      </c>
      <c r="Y101" s="55">
        <f t="shared" si="123"/>
        <v>0</v>
      </c>
      <c r="Z101" s="55">
        <f t="shared" si="123"/>
        <v>0</v>
      </c>
      <c r="AA101" s="55">
        <f t="shared" si="123"/>
        <v>0</v>
      </c>
      <c r="AB101" s="55">
        <f t="shared" si="123"/>
        <v>0</v>
      </c>
      <c r="AC101" s="55">
        <f t="shared" si="123"/>
        <v>0</v>
      </c>
      <c r="AD101" s="55">
        <f t="shared" si="123"/>
        <v>0</v>
      </c>
      <c r="AE101" s="55">
        <f t="shared" si="123"/>
        <v>0</v>
      </c>
      <c r="AF101" s="55">
        <f t="shared" si="123"/>
        <v>0</v>
      </c>
      <c r="AG101" s="55">
        <f t="shared" si="123"/>
        <v>0</v>
      </c>
      <c r="AH101" s="55">
        <f t="shared" si="123"/>
        <v>0</v>
      </c>
      <c r="AI101" s="55">
        <f>COUNTIF(AI89:AI100,"O")</f>
        <v>0</v>
      </c>
      <c r="AJ101" s="55">
        <f>COUNTIF(AJ89:AJ100,"O")</f>
        <v>0</v>
      </c>
      <c r="AK101" s="55">
        <f>COUNTIF(AK89:AK100,"O")</f>
        <v>0</v>
      </c>
      <c r="AL101" s="55">
        <f t="shared" ref="AL101:AU101" si="124">COUNTIF(AL89:AL100,"O")</f>
        <v>0</v>
      </c>
      <c r="AM101" s="55">
        <f t="shared" si="124"/>
        <v>0</v>
      </c>
      <c r="AN101" s="55">
        <f t="shared" si="124"/>
        <v>0</v>
      </c>
      <c r="AO101" s="55">
        <f t="shared" si="124"/>
        <v>0</v>
      </c>
      <c r="AP101" s="55">
        <f t="shared" si="124"/>
        <v>0</v>
      </c>
      <c r="AQ101" s="55">
        <f t="shared" si="124"/>
        <v>0</v>
      </c>
      <c r="AR101" s="55">
        <f t="shared" si="124"/>
        <v>0</v>
      </c>
      <c r="AS101" s="55">
        <f t="shared" si="124"/>
        <v>0</v>
      </c>
      <c r="AT101" s="55">
        <f t="shared" si="124"/>
        <v>0</v>
      </c>
      <c r="AU101" s="55">
        <f t="shared" si="124"/>
        <v>0</v>
      </c>
      <c r="AV101" s="171"/>
      <c r="AW101" s="171"/>
      <c r="AX101" s="171"/>
      <c r="BG101" s="197"/>
      <c r="BJ101"/>
    </row>
    <row r="102" spans="1:62">
      <c r="A102" s="127" t="s">
        <v>839</v>
      </c>
      <c r="B102" s="54" t="s">
        <v>565</v>
      </c>
      <c r="C102" s="54" t="str">
        <f ca="1">IF(C7=$BC$20,"O",IF(C7=$BD$20,"O",IF(C7=$BE$20,"O",IF(C7=$BF$20,"O",IF(C7=$BG$20,"O",IF(C7=$BH$20,"O",IF(C7=$BI$20,"O",IF(C7=$BJ$20,"O",IF(C7=$BK$20,"O",IF(C7=$BL$20,"O",IF(C7=$BM$20,"O",IF(C7=$BN$20,"O",IF(C7=$BO$20,"O",IF(C7=$BP$20,"O",IF(C7=$BQ$20,"O",IF(C7=$BR$20,"O",IF(C7=$BS$20,"O",IF(C7=$BT$20,"O",IF(C7=$BU$20,"O",IF(C7=$BV$20,"O",IF(C7=$BW$20,"O",IF(C7=$BX$20,"O",IF(C7=$BY$20,"O",IF(C7=$BZ$20,"O",IF(C7=$CA$20,"O",IF(C7=$CB$20,"O",IF(C7=$CC$20,"O",IF(C7=$CD$20,"O",IF(C7=$CE$20,"O",IF(C7=$CF$20,"O",IF(C7=$CG$20,"O",IF(C7=$CH$20,"O",IF(C7=$CI$20,"O",IF(C7=$CJ$20,"O",IF(C7=$CK$20,"O",IF(C7=$CL$20,"O",IF(C7=$CM$20,"O",IF(C7=$CN$20,"O",IF(C7=$CO$20,"O",IF(C7=$CP$20,"O","X"))))))))))))))))))))))))))))))))))))))))</f>
        <v>O</v>
      </c>
      <c r="D102" s="54" t="str">
        <f t="shared" ref="D102:Q102" ca="1" si="125">IF(D7=$BC$20,"O",IF(D7=$BD$20,"O",IF(D7=$BE$20,"O",IF(D7=$BF$20,"O",IF(D7=$BG$20,"O",IF(D7=$BH$20,"O",IF(D7=$BI$20,"O",IF(D7=$BJ$20,"O",IF(D7=$BK$20,"O",IF(D7=$BL$20,"O",IF(D7=$BM$20,"O",IF(D7=$BN$20,"O",IF(D7=$BO$20,"O",IF(D7=$BP$20,"O",IF(D7=$BQ$20,"O",IF(D7=$BR$20,"O",IF(D7=$BS$20,"O",IF(D7=$BT$20,"O",IF(D7=$BU$20,"O",IF(D7=$BV$20,"O",IF(D7=$BW$20,"O",IF(D7=$BX$20,"O",IF(D7=$BY$20,"O",IF(D7=$BZ$20,"O",IF(D7=$CA$20,"O",IF(D7=$CB$20,"O",IF(D7=$CC$20,"O",IF(D7=$CD$20,"O",IF(D7=$CE$20,"O",IF(D7=$CF$20,"O",IF(D7=$CG$20,"O",IF(D7=$CH$20,"O",IF(D7=$CI$20,"O",IF(D7=$CJ$20,"O",IF(D7=$CK$20,"O",IF(D7=$CL$20,"O",IF(D7=$CM$20,"O",IF(D7=$CN$20,"O",IF(D7=$CO$20,"O",IF(D7=$CP$20,"O","X"))))))))))))))))))))))))))))))))))))))))</f>
        <v>O</v>
      </c>
      <c r="E102" s="54" t="str">
        <f t="shared" ca="1" si="125"/>
        <v>O</v>
      </c>
      <c r="F102" s="54" t="str">
        <f t="shared" ca="1" si="125"/>
        <v>O</v>
      </c>
      <c r="G102" s="54" t="str">
        <f t="shared" ca="1" si="125"/>
        <v>O</v>
      </c>
      <c r="H102" s="54" t="str">
        <f t="shared" ca="1" si="125"/>
        <v>O</v>
      </c>
      <c r="I102" s="54" t="str">
        <f t="shared" ca="1" si="125"/>
        <v>O</v>
      </c>
      <c r="J102" s="54" t="str">
        <f t="shared" ca="1" si="125"/>
        <v>X</v>
      </c>
      <c r="K102" s="54" t="str">
        <f t="shared" ca="1" si="125"/>
        <v>O</v>
      </c>
      <c r="L102" s="54" t="str">
        <f t="shared" ca="1" si="125"/>
        <v>O</v>
      </c>
      <c r="M102" s="54" t="str">
        <f t="shared" ca="1" si="125"/>
        <v>X</v>
      </c>
      <c r="N102" s="54" t="str">
        <f t="shared" ca="1" si="125"/>
        <v>O</v>
      </c>
      <c r="O102" s="54" t="str">
        <f t="shared" ca="1" si="125"/>
        <v>O</v>
      </c>
      <c r="P102" s="54" t="str">
        <f t="shared" ca="1" si="125"/>
        <v>O</v>
      </c>
      <c r="Q102" s="54" t="str">
        <f t="shared" ca="1" si="125"/>
        <v>O</v>
      </c>
      <c r="R102" s="54" t="str">
        <f t="shared" ref="R102:AU102" si="126">IF(R7=$BC$20,"O",IF(R7=$BD$20,"O",IF(R7=$BE$20,"O",IF(R7=$BF$20,"O",IF(R7=$BG$20,"O",IF(R7=$BH$20,"O",IF(R7=$BI$20,"O",IF(R7=$BJ$20,"O",IF(R7=$BK$20,"O",IF(R7=$BL$20,"O",IF(R7=$BM$20,"O",IF(R7=$BN$20,"O",IF(R7=$BO$20,"O",IF(R7=$BP$20,"O",IF(R7=$BQ$20,"O",IF(R7=$BR$20,"O",IF(R7=$BS$20,"O",IF(R7=$BT$20,"O",IF(R7=$BU$20,"O",IF(R7=$BV$20,"O",IF(R7=$BW$20,"O",IF(R7=$BX$20,"O",IF(R7=$BY$20,"O",IF(R7=$BZ$20,"O",IF(R7=$CA$20,"O",IF(R7=$CB$20,"O","X"))))))))))))))))))))))))))</f>
        <v>X</v>
      </c>
      <c r="S102" s="54" t="str">
        <f t="shared" si="126"/>
        <v>X</v>
      </c>
      <c r="T102" s="54" t="str">
        <f t="shared" si="126"/>
        <v>X</v>
      </c>
      <c r="U102" s="54" t="str">
        <f t="shared" si="126"/>
        <v>X</v>
      </c>
      <c r="V102" s="54" t="str">
        <f t="shared" si="126"/>
        <v>X</v>
      </c>
      <c r="W102" s="54" t="str">
        <f t="shared" si="126"/>
        <v>X</v>
      </c>
      <c r="X102" s="54" t="str">
        <f t="shared" si="126"/>
        <v>X</v>
      </c>
      <c r="Y102" s="54" t="str">
        <f t="shared" si="126"/>
        <v>X</v>
      </c>
      <c r="Z102" s="54" t="str">
        <f t="shared" si="126"/>
        <v>X</v>
      </c>
      <c r="AA102" s="54" t="str">
        <f t="shared" si="126"/>
        <v>X</v>
      </c>
      <c r="AB102" s="54" t="str">
        <f t="shared" si="126"/>
        <v>X</v>
      </c>
      <c r="AC102" s="54" t="str">
        <f t="shared" si="126"/>
        <v>X</v>
      </c>
      <c r="AD102" s="54" t="str">
        <f t="shared" si="126"/>
        <v>X</v>
      </c>
      <c r="AE102" s="54" t="str">
        <f t="shared" si="126"/>
        <v>X</v>
      </c>
      <c r="AF102" s="54" t="str">
        <f t="shared" si="126"/>
        <v>X</v>
      </c>
      <c r="AG102" s="54" t="str">
        <f t="shared" si="126"/>
        <v>X</v>
      </c>
      <c r="AH102" s="54" t="str">
        <f t="shared" si="126"/>
        <v>X</v>
      </c>
      <c r="AI102" s="54" t="str">
        <f t="shared" si="126"/>
        <v>X</v>
      </c>
      <c r="AJ102" s="54" t="str">
        <f t="shared" si="126"/>
        <v>X</v>
      </c>
      <c r="AK102" s="54" t="str">
        <f t="shared" si="126"/>
        <v>X</v>
      </c>
      <c r="AL102" s="54" t="str">
        <f t="shared" si="126"/>
        <v>X</v>
      </c>
      <c r="AM102" s="54" t="str">
        <f t="shared" si="126"/>
        <v>X</v>
      </c>
      <c r="AN102" s="54" t="str">
        <f t="shared" si="126"/>
        <v>X</v>
      </c>
      <c r="AO102" s="54" t="str">
        <f t="shared" si="126"/>
        <v>X</v>
      </c>
      <c r="AP102" s="54" t="str">
        <f t="shared" si="126"/>
        <v>X</v>
      </c>
      <c r="AQ102" s="54" t="str">
        <f t="shared" si="126"/>
        <v>X</v>
      </c>
      <c r="AR102" s="54" t="str">
        <f t="shared" si="126"/>
        <v>X</v>
      </c>
      <c r="AS102" s="54" t="str">
        <f t="shared" si="126"/>
        <v>X</v>
      </c>
      <c r="AT102" s="54" t="str">
        <f t="shared" si="126"/>
        <v>X</v>
      </c>
      <c r="AU102" s="54" t="str">
        <f t="shared" si="126"/>
        <v>X</v>
      </c>
      <c r="AV102" s="53"/>
      <c r="AW102" s="53"/>
      <c r="AX102" s="53"/>
      <c r="BG102" s="199"/>
      <c r="BI102" s="119"/>
      <c r="BJ102"/>
    </row>
    <row r="103" spans="1:62">
      <c r="A103" s="128"/>
      <c r="B103" s="54" t="s">
        <v>566</v>
      </c>
      <c r="C103" s="54" t="str">
        <f t="shared" ref="C103:Q103" ca="1" si="127">IF(C8=$BC$20,"O",IF(C8=$BD$20,"O",IF(C8=$BE$20,"O",IF(C8=$BF$20,"O",IF(C8=$BG$20,"O",IF(C8=$BH$20,"O",IF(C8=$BI$20,"O",IF(C8=$BJ$20,"O",IF(C8=$BK$20,"O",IF(C8=$BL$20,"O",IF(C8=$BM$20,"O",IF(C8=$BN$20,"O",IF(C8=$BO$20,"O",IF(C8=$BP$20,"O",IF(C8=$BQ$20,"O",IF(C8=$BR$20,"O",IF(C8=$BS$20,"O",IF(C8=$BT$20,"O",IF(C8=$BU$20,"O",IF(C8=$BV$20,"O",IF(C8=$BW$20,"O",IF(C8=$BX$20,"O",IF(C8=$BY$20,"O",IF(C8=$BZ$20,"O",IF(C8=$CA$20,"O",IF(C8=$CB$20,"O",IF(C8=$CC$20,"O",IF(C8=$CD$20,"O",IF(C8=$CE$20,"O",IF(C8=$CF$20,"O",IF(C8=$CG$20,"O",IF(C8=$CH$20,"O",IF(C8=$CI$20,"O",IF(C8=$CJ$20,"O",IF(C8=$CK$20,"O",IF(C8=$CL$20,"O",IF(C8=$CM$20,"O",IF(C8=$CN$20,"O",IF(C8=$CO$20,"O",IF(C8=$CP$20,"O","X"))))))))))))))))))))))))))))))))))))))))</f>
        <v>X</v>
      </c>
      <c r="D103" s="54" t="str">
        <f t="shared" ca="1" si="127"/>
        <v>O</v>
      </c>
      <c r="E103" s="54" t="str">
        <f t="shared" ca="1" si="127"/>
        <v>X</v>
      </c>
      <c r="F103" s="54" t="str">
        <f t="shared" ca="1" si="127"/>
        <v>O</v>
      </c>
      <c r="G103" s="54" t="str">
        <f t="shared" ca="1" si="127"/>
        <v>O</v>
      </c>
      <c r="H103" s="54" t="str">
        <f t="shared" ca="1" si="127"/>
        <v>O</v>
      </c>
      <c r="I103" s="54" t="str">
        <f t="shared" ca="1" si="127"/>
        <v>O</v>
      </c>
      <c r="J103" s="54" t="str">
        <f t="shared" ca="1" si="127"/>
        <v>O</v>
      </c>
      <c r="K103" s="54" t="str">
        <f t="shared" ca="1" si="127"/>
        <v>O</v>
      </c>
      <c r="L103" s="54" t="str">
        <f t="shared" ca="1" si="127"/>
        <v>O</v>
      </c>
      <c r="M103" s="54" t="str">
        <f t="shared" ca="1" si="127"/>
        <v>O</v>
      </c>
      <c r="N103" s="54" t="str">
        <f t="shared" ca="1" si="127"/>
        <v>X</v>
      </c>
      <c r="O103" s="54" t="str">
        <f t="shared" ca="1" si="127"/>
        <v>O</v>
      </c>
      <c r="P103" s="54" t="str">
        <f t="shared" ca="1" si="127"/>
        <v>X</v>
      </c>
      <c r="Q103" s="54" t="str">
        <f t="shared" ca="1" si="127"/>
        <v>O</v>
      </c>
      <c r="R103" s="54" t="str">
        <f t="shared" ref="R103:AU103" si="128">IF(R8=$BC$20,"O",IF(R8=$BD$20,"O",IF(R8=$BE$20,"O",IF(R8=$BF$20,"O",IF(R8=$BG$20,"O",IF(R8=$BH$20,"O",IF(R8=$BI$20,"O",IF(R8=$BJ$20,"O",IF(R8=$BK$20,"O",IF(R8=$BL$20,"O",IF(R8=$BM$20,"O",IF(R8=$BN$20,"O",IF(R8=$BO$20,"O",IF(R8=$BP$20,"O",IF(R8=$BQ$20,"O",IF(R8=$BR$20,"O",IF(R8=$BS$20,"O",IF(R8=$BT$20,"O",IF(R8=$BU$20,"O",IF(R8=$BV$20,"O",IF(R8=$BW$20,"O",IF(R8=$BX$20,"O",IF(R8=$BY$20,"O",IF(R8=$BZ$20,"O",IF(R8=$CA$20,"O",IF(R8=$CB$20,"O","X"))))))))))))))))))))))))))</f>
        <v>X</v>
      </c>
      <c r="S103" s="54" t="str">
        <f t="shared" si="128"/>
        <v>X</v>
      </c>
      <c r="T103" s="54" t="str">
        <f t="shared" si="128"/>
        <v>X</v>
      </c>
      <c r="U103" s="54" t="str">
        <f t="shared" si="128"/>
        <v>X</v>
      </c>
      <c r="V103" s="54" t="str">
        <f t="shared" si="128"/>
        <v>X</v>
      </c>
      <c r="W103" s="54" t="str">
        <f t="shared" si="128"/>
        <v>X</v>
      </c>
      <c r="X103" s="54" t="str">
        <f t="shared" si="128"/>
        <v>X</v>
      </c>
      <c r="Y103" s="54" t="str">
        <f t="shared" si="128"/>
        <v>X</v>
      </c>
      <c r="Z103" s="54" t="str">
        <f t="shared" si="128"/>
        <v>X</v>
      </c>
      <c r="AA103" s="54" t="str">
        <f t="shared" si="128"/>
        <v>X</v>
      </c>
      <c r="AB103" s="54" t="str">
        <f t="shared" si="128"/>
        <v>X</v>
      </c>
      <c r="AC103" s="54" t="str">
        <f t="shared" si="128"/>
        <v>X</v>
      </c>
      <c r="AD103" s="54" t="str">
        <f t="shared" si="128"/>
        <v>X</v>
      </c>
      <c r="AE103" s="54" t="str">
        <f t="shared" si="128"/>
        <v>X</v>
      </c>
      <c r="AF103" s="54" t="str">
        <f t="shared" si="128"/>
        <v>X</v>
      </c>
      <c r="AG103" s="54" t="str">
        <f t="shared" si="128"/>
        <v>X</v>
      </c>
      <c r="AH103" s="54" t="str">
        <f t="shared" si="128"/>
        <v>X</v>
      </c>
      <c r="AI103" s="54" t="str">
        <f t="shared" si="128"/>
        <v>X</v>
      </c>
      <c r="AJ103" s="54" t="str">
        <f t="shared" si="128"/>
        <v>X</v>
      </c>
      <c r="AK103" s="54" t="str">
        <f t="shared" si="128"/>
        <v>X</v>
      </c>
      <c r="AL103" s="54" t="str">
        <f t="shared" si="128"/>
        <v>X</v>
      </c>
      <c r="AM103" s="54" t="str">
        <f t="shared" si="128"/>
        <v>X</v>
      </c>
      <c r="AN103" s="54" t="str">
        <f t="shared" si="128"/>
        <v>X</v>
      </c>
      <c r="AO103" s="54" t="str">
        <f t="shared" si="128"/>
        <v>X</v>
      </c>
      <c r="AP103" s="54" t="str">
        <f t="shared" si="128"/>
        <v>X</v>
      </c>
      <c r="AQ103" s="54" t="str">
        <f t="shared" si="128"/>
        <v>X</v>
      </c>
      <c r="AR103" s="54" t="str">
        <f t="shared" si="128"/>
        <v>X</v>
      </c>
      <c r="AS103" s="54" t="str">
        <f t="shared" si="128"/>
        <v>X</v>
      </c>
      <c r="AT103" s="54" t="str">
        <f t="shared" si="128"/>
        <v>X</v>
      </c>
      <c r="AU103" s="54" t="str">
        <f t="shared" si="128"/>
        <v>X</v>
      </c>
      <c r="AV103" s="53"/>
      <c r="AW103" s="53"/>
      <c r="AX103" s="53"/>
      <c r="BG103" s="198"/>
      <c r="BJ103"/>
    </row>
    <row r="104" spans="1:62">
      <c r="A104" s="128"/>
      <c r="B104" s="54" t="s">
        <v>567</v>
      </c>
      <c r="C104" s="54" t="str">
        <f t="shared" ref="C104:Q104" ca="1" si="129">IF(C9=$BC$20,"O",IF(C9=$BD$20,"O",IF(C9=$BE$20,"O",IF(C9=$BF$20,"O",IF(C9=$BG$20,"O",IF(C9=$BH$20,"O",IF(C9=$BI$20,"O",IF(C9=$BJ$20,"O",IF(C9=$BK$20,"O",IF(C9=$BL$20,"O",IF(C9=$BM$20,"O",IF(C9=$BN$20,"O",IF(C9=$BO$20,"O",IF(C9=$BP$20,"O",IF(C9=$BQ$20,"O",IF(C9=$BR$20,"O",IF(C9=$BS$20,"O",IF(C9=$BT$20,"O",IF(C9=$BU$20,"O",IF(C9=$BV$20,"O",IF(C9=$BW$20,"O",IF(C9=$BX$20,"O",IF(C9=$BY$20,"O",IF(C9=$BZ$20,"O",IF(C9=$CA$20,"O",IF(C9=$CB$20,"O",IF(C9=$CC$20,"O",IF(C9=$CD$20,"O",IF(C9=$CE$20,"O",IF(C9=$CF$20,"O",IF(C9=$CG$20,"O",IF(C9=$CH$20,"O",IF(C9=$CI$20,"O",IF(C9=$CJ$20,"O",IF(C9=$CK$20,"O",IF(C9=$CL$20,"O",IF(C9=$CM$20,"O",IF(C9=$CN$20,"O",IF(C9=$CO$20,"O",IF(C9=$CP$20,"O","X"))))))))))))))))))))))))))))))))))))))))</f>
        <v>O</v>
      </c>
      <c r="D104" s="54" t="str">
        <f t="shared" ca="1" si="129"/>
        <v>O</v>
      </c>
      <c r="E104" s="54" t="str">
        <f t="shared" ca="1" si="129"/>
        <v>O</v>
      </c>
      <c r="F104" s="54" t="str">
        <f t="shared" ca="1" si="129"/>
        <v>O</v>
      </c>
      <c r="G104" s="54" t="str">
        <f t="shared" ca="1" si="129"/>
        <v>O</v>
      </c>
      <c r="H104" s="54" t="str">
        <f t="shared" ca="1" si="129"/>
        <v>X</v>
      </c>
      <c r="I104" s="54" t="str">
        <f t="shared" ca="1" si="129"/>
        <v>O</v>
      </c>
      <c r="J104" s="54" t="str">
        <f t="shared" ca="1" si="129"/>
        <v>O</v>
      </c>
      <c r="K104" s="54" t="str">
        <f t="shared" ca="1" si="129"/>
        <v>X</v>
      </c>
      <c r="L104" s="54" t="str">
        <f t="shared" ca="1" si="129"/>
        <v>O</v>
      </c>
      <c r="M104" s="54" t="str">
        <f t="shared" ca="1" si="129"/>
        <v>O</v>
      </c>
      <c r="N104" s="54" t="str">
        <f t="shared" ca="1" si="129"/>
        <v>O</v>
      </c>
      <c r="O104" s="54" t="str">
        <f t="shared" ca="1" si="129"/>
        <v>O</v>
      </c>
      <c r="P104" s="54" t="str">
        <f t="shared" ca="1" si="129"/>
        <v>O</v>
      </c>
      <c r="Q104" s="54" t="str">
        <f t="shared" ca="1" si="129"/>
        <v>O</v>
      </c>
      <c r="R104" s="54" t="str">
        <f t="shared" ref="R104:AU104" si="130">IF(R9=$BC$20,"O",IF(R9=$BD$20,"O",IF(R9=$BE$20,"O",IF(R9=$BF$20,"O",IF(R9=$BG$20,"O",IF(R9=$BH$20,"O",IF(R9=$BI$20,"O",IF(R9=$BJ$20,"O",IF(R9=$BK$20,"O",IF(R9=$BL$20,"O",IF(R9=$BM$20,"O",IF(R9=$BN$20,"O",IF(R9=$BO$20,"O",IF(R9=$BP$20,"O",IF(R9=$BQ$20,"O",IF(R9=$BR$20,"O",IF(R9=$BS$20,"O",IF(R9=$BT$20,"O",IF(R9=$BU$20,"O",IF(R9=$BV$20,"O",IF(R9=$BW$20,"O",IF(R9=$BX$20,"O",IF(R9=$BY$20,"O",IF(R9=$BZ$20,"O",IF(R9=$CA$20,"O",IF(R9=$CB$20,"O","X"))))))))))))))))))))))))))</f>
        <v>X</v>
      </c>
      <c r="S104" s="54" t="str">
        <f t="shared" si="130"/>
        <v>X</v>
      </c>
      <c r="T104" s="54" t="str">
        <f t="shared" si="130"/>
        <v>X</v>
      </c>
      <c r="U104" s="54" t="str">
        <f t="shared" si="130"/>
        <v>X</v>
      </c>
      <c r="V104" s="54" t="str">
        <f t="shared" si="130"/>
        <v>X</v>
      </c>
      <c r="W104" s="54" t="str">
        <f t="shared" si="130"/>
        <v>X</v>
      </c>
      <c r="X104" s="54" t="str">
        <f t="shared" si="130"/>
        <v>X</v>
      </c>
      <c r="Y104" s="54" t="str">
        <f t="shared" si="130"/>
        <v>X</v>
      </c>
      <c r="Z104" s="54" t="str">
        <f t="shared" si="130"/>
        <v>X</v>
      </c>
      <c r="AA104" s="54" t="str">
        <f t="shared" si="130"/>
        <v>X</v>
      </c>
      <c r="AB104" s="54" t="str">
        <f t="shared" si="130"/>
        <v>X</v>
      </c>
      <c r="AC104" s="54" t="str">
        <f t="shared" si="130"/>
        <v>X</v>
      </c>
      <c r="AD104" s="54" t="str">
        <f t="shared" si="130"/>
        <v>X</v>
      </c>
      <c r="AE104" s="54" t="str">
        <f t="shared" si="130"/>
        <v>X</v>
      </c>
      <c r="AF104" s="54" t="str">
        <f t="shared" si="130"/>
        <v>X</v>
      </c>
      <c r="AG104" s="54" t="str">
        <f t="shared" si="130"/>
        <v>X</v>
      </c>
      <c r="AH104" s="54" t="str">
        <f t="shared" si="130"/>
        <v>X</v>
      </c>
      <c r="AI104" s="54" t="str">
        <f t="shared" si="130"/>
        <v>X</v>
      </c>
      <c r="AJ104" s="54" t="str">
        <f t="shared" si="130"/>
        <v>X</v>
      </c>
      <c r="AK104" s="54" t="str">
        <f t="shared" si="130"/>
        <v>X</v>
      </c>
      <c r="AL104" s="54" t="str">
        <f t="shared" si="130"/>
        <v>X</v>
      </c>
      <c r="AM104" s="54" t="str">
        <f t="shared" si="130"/>
        <v>X</v>
      </c>
      <c r="AN104" s="54" t="str">
        <f t="shared" si="130"/>
        <v>X</v>
      </c>
      <c r="AO104" s="54" t="str">
        <f t="shared" si="130"/>
        <v>X</v>
      </c>
      <c r="AP104" s="54" t="str">
        <f t="shared" si="130"/>
        <v>X</v>
      </c>
      <c r="AQ104" s="54" t="str">
        <f t="shared" si="130"/>
        <v>X</v>
      </c>
      <c r="AR104" s="54" t="str">
        <f t="shared" si="130"/>
        <v>X</v>
      </c>
      <c r="AS104" s="54" t="str">
        <f t="shared" si="130"/>
        <v>X</v>
      </c>
      <c r="AT104" s="54" t="str">
        <f t="shared" si="130"/>
        <v>X</v>
      </c>
      <c r="AU104" s="54" t="str">
        <f t="shared" si="130"/>
        <v>X</v>
      </c>
      <c r="AV104" s="53"/>
      <c r="AW104" s="53"/>
      <c r="AX104" s="53"/>
      <c r="BG104" s="198"/>
      <c r="BJ104"/>
    </row>
    <row r="105" spans="1:62">
      <c r="A105" s="128"/>
      <c r="B105" s="54" t="s">
        <v>568</v>
      </c>
      <c r="C105" s="54" t="str">
        <f t="shared" ref="C105:Q105" ca="1" si="131">IF(C10=$BC$20,"O",IF(C10=$BD$20,"O",IF(C10=$BE$20,"O",IF(C10=$BF$20,"O",IF(C10=$BG$20,"O",IF(C10=$BH$20,"O",IF(C10=$BI$20,"O",IF(C10=$BJ$20,"O",IF(C10=$BK$20,"O",IF(C10=$BL$20,"O",IF(C10=$BM$20,"O",IF(C10=$BN$20,"O",IF(C10=$BO$20,"O",IF(C10=$BP$20,"O",IF(C10=$BQ$20,"O",IF(C10=$BR$20,"O",IF(C10=$BS$20,"O",IF(C10=$BT$20,"O",IF(C10=$BU$20,"O",IF(C10=$BV$20,"O",IF(C10=$BW$20,"O",IF(C10=$BX$20,"O",IF(C10=$BY$20,"O",IF(C10=$BZ$20,"O",IF(C10=$CA$20,"O",IF(C10=$CB$20,"O",IF(C10=$CC$20,"O",IF(C10=$CD$20,"O",IF(C10=$CE$20,"O",IF(C10=$CF$20,"O",IF(C10=$CG$20,"O",IF(C10=$CH$20,"O",IF(C10=$CI$20,"O",IF(C10=$CJ$20,"O",IF(C10=$CK$20,"O",IF(C10=$CL$20,"O",IF(C10=$CM$20,"O",IF(C10=$CN$20,"O",IF(C10=$CO$20,"O",IF(C10=$CP$20,"O","X"))))))))))))))))))))))))))))))))))))))))</f>
        <v>O</v>
      </c>
      <c r="D105" s="54" t="str">
        <f t="shared" ca="1" si="131"/>
        <v>O</v>
      </c>
      <c r="E105" s="54" t="str">
        <f t="shared" ca="1" si="131"/>
        <v>X</v>
      </c>
      <c r="F105" s="54" t="str">
        <f t="shared" ca="1" si="131"/>
        <v>O</v>
      </c>
      <c r="G105" s="54" t="str">
        <f t="shared" ca="1" si="131"/>
        <v>O</v>
      </c>
      <c r="H105" s="54" t="str">
        <f t="shared" ca="1" si="131"/>
        <v>O</v>
      </c>
      <c r="I105" s="54" t="str">
        <f t="shared" ca="1" si="131"/>
        <v>O</v>
      </c>
      <c r="J105" s="54" t="str">
        <f t="shared" ca="1" si="131"/>
        <v>X</v>
      </c>
      <c r="K105" s="54" t="str">
        <f t="shared" ca="1" si="131"/>
        <v>O</v>
      </c>
      <c r="L105" s="54" t="str">
        <f t="shared" ca="1" si="131"/>
        <v>O</v>
      </c>
      <c r="M105" s="54" t="str">
        <f t="shared" ca="1" si="131"/>
        <v>X</v>
      </c>
      <c r="N105" s="54" t="str">
        <f t="shared" ca="1" si="131"/>
        <v>O</v>
      </c>
      <c r="O105" s="54" t="str">
        <f t="shared" ca="1" si="131"/>
        <v>O</v>
      </c>
      <c r="P105" s="54" t="str">
        <f t="shared" ca="1" si="131"/>
        <v>O</v>
      </c>
      <c r="Q105" s="54" t="str">
        <f t="shared" ca="1" si="131"/>
        <v>X</v>
      </c>
      <c r="R105" s="54" t="str">
        <f t="shared" ref="R105:AU105" si="132">IF(R10=$BC$20,"O",IF(R10=$BD$20,"O",IF(R10=$BE$20,"O",IF(R10=$BF$20,"O",IF(R10=$BG$20,"O",IF(R10=$BH$20,"O",IF(R10=$BI$20,"O",IF(R10=$BJ$20,"O",IF(R10=$BK$20,"O",IF(R10=$BL$20,"O",IF(R10=$BM$20,"O",IF(R10=$BN$20,"O",IF(R10=$BO$20,"O",IF(R10=$BP$20,"O",IF(R10=$BQ$20,"O",IF(R10=$BR$20,"O",IF(R10=$BS$20,"O",IF(R10=$BT$20,"O",IF(R10=$BU$20,"O",IF(R10=$BV$20,"O",IF(R10=$BW$20,"O",IF(R10=$BX$20,"O",IF(R10=$BY$20,"O",IF(R10=$BZ$20,"O",IF(R10=$CA$20,"O",IF(R10=$CB$20,"O","X"))))))))))))))))))))))))))</f>
        <v>X</v>
      </c>
      <c r="S105" s="54" t="str">
        <f t="shared" si="132"/>
        <v>X</v>
      </c>
      <c r="T105" s="54" t="str">
        <f t="shared" si="132"/>
        <v>X</v>
      </c>
      <c r="U105" s="54" t="str">
        <f t="shared" si="132"/>
        <v>X</v>
      </c>
      <c r="V105" s="54" t="str">
        <f t="shared" si="132"/>
        <v>X</v>
      </c>
      <c r="W105" s="54" t="str">
        <f t="shared" si="132"/>
        <v>X</v>
      </c>
      <c r="X105" s="54" t="str">
        <f t="shared" si="132"/>
        <v>X</v>
      </c>
      <c r="Y105" s="54" t="str">
        <f t="shared" si="132"/>
        <v>X</v>
      </c>
      <c r="Z105" s="54" t="str">
        <f t="shared" si="132"/>
        <v>X</v>
      </c>
      <c r="AA105" s="54" t="str">
        <f t="shared" si="132"/>
        <v>X</v>
      </c>
      <c r="AB105" s="54" t="str">
        <f t="shared" si="132"/>
        <v>X</v>
      </c>
      <c r="AC105" s="54" t="str">
        <f t="shared" si="132"/>
        <v>X</v>
      </c>
      <c r="AD105" s="54" t="str">
        <f t="shared" si="132"/>
        <v>X</v>
      </c>
      <c r="AE105" s="54" t="str">
        <f t="shared" si="132"/>
        <v>X</v>
      </c>
      <c r="AF105" s="54" t="str">
        <f t="shared" si="132"/>
        <v>X</v>
      </c>
      <c r="AG105" s="54" t="str">
        <f t="shared" si="132"/>
        <v>X</v>
      </c>
      <c r="AH105" s="54" t="str">
        <f t="shared" si="132"/>
        <v>X</v>
      </c>
      <c r="AI105" s="54" t="str">
        <f t="shared" si="132"/>
        <v>X</v>
      </c>
      <c r="AJ105" s="54" t="str">
        <f t="shared" si="132"/>
        <v>X</v>
      </c>
      <c r="AK105" s="54" t="str">
        <f t="shared" si="132"/>
        <v>X</v>
      </c>
      <c r="AL105" s="54" t="str">
        <f t="shared" si="132"/>
        <v>X</v>
      </c>
      <c r="AM105" s="54" t="str">
        <f t="shared" si="132"/>
        <v>X</v>
      </c>
      <c r="AN105" s="54" t="str">
        <f t="shared" si="132"/>
        <v>X</v>
      </c>
      <c r="AO105" s="54" t="str">
        <f t="shared" si="132"/>
        <v>X</v>
      </c>
      <c r="AP105" s="54" t="str">
        <f t="shared" si="132"/>
        <v>X</v>
      </c>
      <c r="AQ105" s="54" t="str">
        <f t="shared" si="132"/>
        <v>X</v>
      </c>
      <c r="AR105" s="54" t="str">
        <f t="shared" si="132"/>
        <v>X</v>
      </c>
      <c r="AS105" s="54" t="str">
        <f t="shared" si="132"/>
        <v>X</v>
      </c>
      <c r="AT105" s="54" t="str">
        <f t="shared" si="132"/>
        <v>X</v>
      </c>
      <c r="AU105" s="54" t="str">
        <f t="shared" si="132"/>
        <v>X</v>
      </c>
      <c r="AV105" s="53"/>
      <c r="AW105" s="53"/>
      <c r="AX105" s="53"/>
      <c r="BG105" s="198"/>
      <c r="BJ105"/>
    </row>
    <row r="106" spans="1:62">
      <c r="A106" s="128"/>
      <c r="B106" s="54" t="s">
        <v>569</v>
      </c>
      <c r="C106" s="54" t="str">
        <f t="shared" ref="C106:Q106" ca="1" si="133">IF(C11=$BC$20,"O",IF(C11=$BD$20,"O",IF(C11=$BE$20,"O",IF(C11=$BF$20,"O",IF(C11=$BG$20,"O",IF(C11=$BH$20,"O",IF(C11=$BI$20,"O",IF(C11=$BJ$20,"O",IF(C11=$BK$20,"O",IF(C11=$BL$20,"O",IF(C11=$BM$20,"O",IF(C11=$BN$20,"O",IF(C11=$BO$20,"O",IF(C11=$BP$20,"O",IF(C11=$BQ$20,"O",IF(C11=$BR$20,"O",IF(C11=$BS$20,"O",IF(C11=$BT$20,"O",IF(C11=$BU$20,"O",IF(C11=$BV$20,"O",IF(C11=$BW$20,"O",IF(C11=$BX$20,"O",IF(C11=$BY$20,"O",IF(C11=$BZ$20,"O",IF(C11=$CA$20,"O",IF(C11=$CB$20,"O",IF(C11=$CC$20,"O",IF(C11=$CD$20,"O",IF(C11=$CE$20,"O",IF(C11=$CF$20,"O",IF(C11=$CG$20,"O",IF(C11=$CH$20,"O",IF(C11=$CI$20,"O",IF(C11=$CJ$20,"O",IF(C11=$CK$20,"O",IF(C11=$CL$20,"O",IF(C11=$CM$20,"O",IF(C11=$CN$20,"O",IF(C11=$CO$20,"O",IF(C11=$CP$20,"O","X"))))))))))))))))))))))))))))))))))))))))</f>
        <v>X</v>
      </c>
      <c r="D106" s="54" t="str">
        <f t="shared" ca="1" si="133"/>
        <v>O</v>
      </c>
      <c r="E106" s="54" t="str">
        <f t="shared" ca="1" si="133"/>
        <v>O</v>
      </c>
      <c r="F106" s="54" t="str">
        <f t="shared" ca="1" si="133"/>
        <v>O</v>
      </c>
      <c r="G106" s="54" t="str">
        <f t="shared" ca="1" si="133"/>
        <v>O</v>
      </c>
      <c r="H106" s="54" t="str">
        <f t="shared" ca="1" si="133"/>
        <v>O</v>
      </c>
      <c r="I106" s="54" t="str">
        <f t="shared" ca="1" si="133"/>
        <v>O</v>
      </c>
      <c r="J106" s="54" t="str">
        <f t="shared" ca="1" si="133"/>
        <v>O</v>
      </c>
      <c r="K106" s="54" t="str">
        <f t="shared" ca="1" si="133"/>
        <v>O</v>
      </c>
      <c r="L106" s="54" t="str">
        <f t="shared" ca="1" si="133"/>
        <v>X</v>
      </c>
      <c r="M106" s="54" t="str">
        <f t="shared" ca="1" si="133"/>
        <v>X</v>
      </c>
      <c r="N106" s="54" t="str">
        <f t="shared" ca="1" si="133"/>
        <v>O</v>
      </c>
      <c r="O106" s="54" t="str">
        <f t="shared" ca="1" si="133"/>
        <v>O</v>
      </c>
      <c r="P106" s="54" t="str">
        <f t="shared" ca="1" si="133"/>
        <v>O</v>
      </c>
      <c r="Q106" s="54" t="str">
        <f t="shared" ca="1" si="133"/>
        <v>X</v>
      </c>
      <c r="R106" s="54" t="str">
        <f t="shared" ref="R106:AU106" si="134">IF(R11=$BC$20,"O",IF(R11=$BD$20,"O",IF(R11=$BE$20,"O",IF(R11=$BF$20,"O",IF(R11=$BG$20,"O",IF(R11=$BH$20,"O",IF(R11=$BI$20,"O",IF(R11=$BJ$20,"O",IF(R11=$BK$20,"O",IF(R11=$BL$20,"O",IF(R11=$BM$20,"O",IF(R11=$BN$20,"O",IF(R11=$BO$20,"O",IF(R11=$BP$20,"O",IF(R11=$BQ$20,"O",IF(R11=$BR$20,"O",IF(R11=$BS$20,"O",IF(R11=$BT$20,"O",IF(R11=$BU$20,"O",IF(R11=$BV$20,"O",IF(R11=$BW$20,"O",IF(R11=$BX$20,"O",IF(R11=$BY$20,"O",IF(R11=$BZ$20,"O",IF(R11=$CA$20,"O",IF(R11=$CB$20,"O","X"))))))))))))))))))))))))))</f>
        <v>X</v>
      </c>
      <c r="S106" s="54" t="str">
        <f t="shared" si="134"/>
        <v>X</v>
      </c>
      <c r="T106" s="54" t="str">
        <f t="shared" si="134"/>
        <v>X</v>
      </c>
      <c r="U106" s="54" t="str">
        <f t="shared" si="134"/>
        <v>X</v>
      </c>
      <c r="V106" s="54" t="str">
        <f t="shared" si="134"/>
        <v>X</v>
      </c>
      <c r="W106" s="54" t="str">
        <f t="shared" si="134"/>
        <v>X</v>
      </c>
      <c r="X106" s="54" t="str">
        <f t="shared" si="134"/>
        <v>X</v>
      </c>
      <c r="Y106" s="54" t="str">
        <f t="shared" si="134"/>
        <v>X</v>
      </c>
      <c r="Z106" s="54" t="str">
        <f t="shared" si="134"/>
        <v>X</v>
      </c>
      <c r="AA106" s="54" t="str">
        <f t="shared" si="134"/>
        <v>X</v>
      </c>
      <c r="AB106" s="54" t="str">
        <f t="shared" si="134"/>
        <v>X</v>
      </c>
      <c r="AC106" s="54" t="str">
        <f t="shared" si="134"/>
        <v>X</v>
      </c>
      <c r="AD106" s="54" t="str">
        <f t="shared" si="134"/>
        <v>X</v>
      </c>
      <c r="AE106" s="54" t="str">
        <f t="shared" si="134"/>
        <v>X</v>
      </c>
      <c r="AF106" s="54" t="str">
        <f t="shared" si="134"/>
        <v>X</v>
      </c>
      <c r="AG106" s="54" t="str">
        <f t="shared" si="134"/>
        <v>X</v>
      </c>
      <c r="AH106" s="54" t="str">
        <f t="shared" si="134"/>
        <v>X</v>
      </c>
      <c r="AI106" s="54" t="str">
        <f t="shared" si="134"/>
        <v>X</v>
      </c>
      <c r="AJ106" s="54" t="str">
        <f t="shared" si="134"/>
        <v>X</v>
      </c>
      <c r="AK106" s="54" t="str">
        <f t="shared" si="134"/>
        <v>X</v>
      </c>
      <c r="AL106" s="54" t="str">
        <f t="shared" si="134"/>
        <v>X</v>
      </c>
      <c r="AM106" s="54" t="str">
        <f t="shared" si="134"/>
        <v>X</v>
      </c>
      <c r="AN106" s="54" t="str">
        <f t="shared" si="134"/>
        <v>X</v>
      </c>
      <c r="AO106" s="54" t="str">
        <f t="shared" si="134"/>
        <v>X</v>
      </c>
      <c r="AP106" s="54" t="str">
        <f t="shared" si="134"/>
        <v>X</v>
      </c>
      <c r="AQ106" s="54" t="str">
        <f t="shared" si="134"/>
        <v>X</v>
      </c>
      <c r="AR106" s="54" t="str">
        <f t="shared" si="134"/>
        <v>X</v>
      </c>
      <c r="AS106" s="54" t="str">
        <f t="shared" si="134"/>
        <v>X</v>
      </c>
      <c r="AT106" s="54" t="str">
        <f t="shared" si="134"/>
        <v>X</v>
      </c>
      <c r="AU106" s="54" t="str">
        <f t="shared" si="134"/>
        <v>X</v>
      </c>
      <c r="AV106" s="53"/>
      <c r="AW106" s="53"/>
      <c r="AX106" s="53"/>
      <c r="BG106" s="199"/>
      <c r="BJ106"/>
    </row>
    <row r="107" spans="1:62">
      <c r="A107" s="128"/>
      <c r="B107" s="54" t="s">
        <v>540</v>
      </c>
      <c r="C107" s="54" t="str">
        <f t="shared" ref="C107:P107" ca="1" si="135">IF(C12=$BC$20,"O",IF(C12=$BD$20,"O",IF(C12=$BE$20,"O",IF(C12=$BF$20,"O",IF(C12=$BG$20,"O",IF(C12=$BH$20,"O",IF(C12=$BI$20,"O",IF(C12=$BJ$20,"O",IF(C12=$BK$20,"O",IF(C12=$BL$20,"O",IF(C12=$BM$20,"O",IF(C12=$BN$20,"O",IF(C12=$BO$20,"O",IF(C12=$BP$20,"O",IF(C12=$BQ$20,"O",IF(C12=$BR$20,"O",IF(C12=$BS$20,"O",IF(C12=$BT$20,"O",IF(C12=$BU$20,"O",IF(C12=$BV$20,"O",IF(C12=$BW$20,"O",IF(C12=$BX$20,"O",IF(C12=$BY$20,"O",IF(C12=$BZ$20,"O",IF(C12=$CA$20,"O",IF(C12=$CB$20,"O",IF(C12=$CC$20,"O",IF(C12=$CD$20,"O",IF(C12=$CE$20,"O",IF(C12=$CF$20,"O",IF(C12=$CG$20,"O",IF(C12=$CH$20,"O",IF(C12=$CI$20,"O",IF(C12=$CJ$20,"O",IF(C12=$CK$20,"O",IF(C12=$CL$20,"O",IF(C12=$CM$20,"O",IF(C12=$CN$20,"O",IF(C12=$CO$20,"O",IF(C12=$CP$20,"O","X"))))))))))))))))))))))))))))))))))))))))</f>
        <v>O</v>
      </c>
      <c r="D107" s="54" t="str">
        <f t="shared" ca="1" si="135"/>
        <v>O</v>
      </c>
      <c r="E107" s="54" t="str">
        <f t="shared" ca="1" si="135"/>
        <v>X</v>
      </c>
      <c r="F107" s="54" t="str">
        <f t="shared" ca="1" si="135"/>
        <v>O</v>
      </c>
      <c r="G107" s="54" t="str">
        <f t="shared" ca="1" si="135"/>
        <v>O</v>
      </c>
      <c r="H107" s="54" t="str">
        <f t="shared" ca="1" si="135"/>
        <v>X</v>
      </c>
      <c r="I107" s="54" t="str">
        <f t="shared" ca="1" si="135"/>
        <v>O</v>
      </c>
      <c r="J107" s="54" t="str">
        <f t="shared" ca="1" si="135"/>
        <v>O</v>
      </c>
      <c r="K107" s="54" t="str">
        <f t="shared" ca="1" si="135"/>
        <v>O</v>
      </c>
      <c r="L107" s="54" t="str">
        <f t="shared" ca="1" si="135"/>
        <v>O</v>
      </c>
      <c r="M107" s="54" t="str">
        <f t="shared" ca="1" si="135"/>
        <v>O</v>
      </c>
      <c r="N107" s="54" t="str">
        <f t="shared" ca="1" si="135"/>
        <v>O</v>
      </c>
      <c r="O107" s="54" t="str">
        <f t="shared" ca="1" si="135"/>
        <v>O</v>
      </c>
      <c r="P107" s="54" t="str">
        <f t="shared" ca="1" si="135"/>
        <v>O</v>
      </c>
      <c r="Q107" s="54" t="str">
        <f ca="1">IF(Q12=$BC$20,"O",IF(Q12=$BD$20,"O",IF(Q12=$BE$20,"O",IF(Q12=$BF$20,"O",IF(Q12=$BG$20,"O",IF(Q12=$BH$20,"O",IF(Q12=$BI$20,"O",IF(Q12=$BJ$20,"O",IF(Q12=$BK$20,"O",IF(Q12=$BL$20,"O",IF(Q12=$BM$20,"O",IF(Q12=$BN$20,"O",IF(Q12=$BO$20,"O",IF(Q12=$BP$20,"O",IF(Q12=$BQ$20,"O",IF(Q12=$BR$20,"O",IF(Q12=$BS$20,"O",IF(Q12=$BT$20,"O",IF(Q12=$BU$20,"O",IF(Q12=$BV$20,"O",IF(Q12=$BW$20,"O",IF(Q12=$BX$20,"O",IF(Q12=$BY$20,"O",IF(Q12=$BZ$20,"O",IF(Q12=$CA$20,"O",IF(Q12=$CB$20,"O",IF(Q12=$CC$20,"O",IF(Q12=$CD$20,"O",IF(Q12=$CE$20,"O",IF(Q12=$CF$20,"O",IF(Q12=$CG$20,"O",IF(Q12=$CH$20,"O",IF(Q12=$CI$20,"O",IF(Q12=$CJ$20,"O",IF(Q12=$CK$20,"O",IF(Q12=$CL$20,"O",IF(Q12=$CM$20,"O",IF(Q12=$CN$20,"O",IF(Q12=$CO$20,"O",IF(Q12=$CP$20,"O","X"))))))))))))))))))))))))))))))))))))))))</f>
        <v>X</v>
      </c>
      <c r="R107" s="54" t="str">
        <f t="shared" ref="R107:AU107" si="136">IF(R12=$BC$20,"O",IF(R12=$BD$20,"O",IF(R12=$BE$20,"O",IF(R12=$BF$20,"O",IF(R12=$BG$20,"O",IF(R12=$BH$20,"O",IF(R12=$BI$20,"O",IF(R12=$BJ$20,"O",IF(R12=$BK$20,"O",IF(R12=$BL$20,"O",IF(R12=$BM$20,"O",IF(R12=$BN$20,"O",IF(R12=$BO$20,"O",IF(R12=$BP$20,"O",IF(R12=$BQ$20,"O",IF(R12=$BR$20,"O",IF(R12=$BS$20,"O",IF(R12=$BT$20,"O",IF(R12=$BU$20,"O",IF(R12=$BV$20,"O",IF(R12=$BW$20,"O",IF(R12=$BX$20,"O",IF(R12=$BY$20,"O",IF(R12=$BZ$20,"O",IF(R12=$CA$20,"O",IF(R12=$CB$20,"O","X"))))))))))))))))))))))))))</f>
        <v>X</v>
      </c>
      <c r="S107" s="54" t="str">
        <f t="shared" si="136"/>
        <v>X</v>
      </c>
      <c r="T107" s="54" t="str">
        <f t="shared" si="136"/>
        <v>X</v>
      </c>
      <c r="U107" s="54" t="str">
        <f t="shared" si="136"/>
        <v>X</v>
      </c>
      <c r="V107" s="54" t="str">
        <f t="shared" si="136"/>
        <v>X</v>
      </c>
      <c r="W107" s="54" t="str">
        <f t="shared" si="136"/>
        <v>X</v>
      </c>
      <c r="X107" s="54" t="str">
        <f t="shared" si="136"/>
        <v>X</v>
      </c>
      <c r="Y107" s="54" t="str">
        <f t="shared" si="136"/>
        <v>X</v>
      </c>
      <c r="Z107" s="54" t="str">
        <f t="shared" si="136"/>
        <v>X</v>
      </c>
      <c r="AA107" s="54" t="str">
        <f t="shared" si="136"/>
        <v>X</v>
      </c>
      <c r="AB107" s="54" t="str">
        <f t="shared" si="136"/>
        <v>X</v>
      </c>
      <c r="AC107" s="54" t="str">
        <f t="shared" si="136"/>
        <v>X</v>
      </c>
      <c r="AD107" s="54" t="str">
        <f t="shared" si="136"/>
        <v>X</v>
      </c>
      <c r="AE107" s="54" t="str">
        <f t="shared" si="136"/>
        <v>X</v>
      </c>
      <c r="AF107" s="54" t="str">
        <f t="shared" si="136"/>
        <v>X</v>
      </c>
      <c r="AG107" s="54" t="str">
        <f t="shared" si="136"/>
        <v>X</v>
      </c>
      <c r="AH107" s="54" t="str">
        <f t="shared" si="136"/>
        <v>X</v>
      </c>
      <c r="AI107" s="54" t="str">
        <f t="shared" si="136"/>
        <v>X</v>
      </c>
      <c r="AJ107" s="54" t="str">
        <f t="shared" si="136"/>
        <v>X</v>
      </c>
      <c r="AK107" s="54" t="str">
        <f t="shared" si="136"/>
        <v>X</v>
      </c>
      <c r="AL107" s="54" t="str">
        <f t="shared" si="136"/>
        <v>X</v>
      </c>
      <c r="AM107" s="54" t="str">
        <f t="shared" si="136"/>
        <v>X</v>
      </c>
      <c r="AN107" s="54" t="str">
        <f t="shared" si="136"/>
        <v>X</v>
      </c>
      <c r="AO107" s="54" t="str">
        <f t="shared" si="136"/>
        <v>X</v>
      </c>
      <c r="AP107" s="54" t="str">
        <f t="shared" si="136"/>
        <v>X</v>
      </c>
      <c r="AQ107" s="54" t="str">
        <f t="shared" si="136"/>
        <v>X</v>
      </c>
      <c r="AR107" s="54" t="str">
        <f t="shared" si="136"/>
        <v>X</v>
      </c>
      <c r="AS107" s="54" t="str">
        <f t="shared" si="136"/>
        <v>X</v>
      </c>
      <c r="AT107" s="54" t="str">
        <f t="shared" si="136"/>
        <v>X</v>
      </c>
      <c r="AU107" s="54" t="str">
        <f t="shared" si="136"/>
        <v>X</v>
      </c>
      <c r="AV107" s="53"/>
      <c r="AW107" s="53"/>
      <c r="AX107" s="53"/>
      <c r="BG107" s="199"/>
      <c r="BJ107"/>
    </row>
    <row r="108" spans="1:62">
      <c r="A108" s="129"/>
      <c r="B108" s="60" t="s">
        <v>663</v>
      </c>
      <c r="C108" s="55">
        <f ca="1">COUNTIF(C102:C107,"O")</f>
        <v>4</v>
      </c>
      <c r="D108" s="55">
        <f t="shared" ref="D108:P108" ca="1" si="137">COUNTIF(D102:D107,"O")</f>
        <v>6</v>
      </c>
      <c r="E108" s="55">
        <f t="shared" ca="1" si="137"/>
        <v>3</v>
      </c>
      <c r="F108" s="55">
        <f t="shared" ca="1" si="137"/>
        <v>6</v>
      </c>
      <c r="G108" s="55">
        <f t="shared" ca="1" si="137"/>
        <v>6</v>
      </c>
      <c r="H108" s="55">
        <f t="shared" ca="1" si="137"/>
        <v>4</v>
      </c>
      <c r="I108" s="55">
        <f t="shared" ca="1" si="137"/>
        <v>6</v>
      </c>
      <c r="J108" s="55">
        <f t="shared" ca="1" si="137"/>
        <v>4</v>
      </c>
      <c r="K108" s="55">
        <f t="shared" ca="1" si="137"/>
        <v>5</v>
      </c>
      <c r="L108" s="55">
        <f t="shared" ca="1" si="137"/>
        <v>5</v>
      </c>
      <c r="M108" s="55">
        <f t="shared" ca="1" si="137"/>
        <v>3</v>
      </c>
      <c r="N108" s="55">
        <f t="shared" ca="1" si="137"/>
        <v>5</v>
      </c>
      <c r="O108" s="55">
        <f t="shared" ca="1" si="137"/>
        <v>6</v>
      </c>
      <c r="P108" s="55">
        <f t="shared" ca="1" si="137"/>
        <v>5</v>
      </c>
      <c r="Q108" s="55">
        <f ca="1">COUNTIF(Q102:Q107,"O")</f>
        <v>3</v>
      </c>
      <c r="R108" s="55">
        <f t="shared" ref="R108:AK108" si="138">COUNTIF(R102:R107,"O")</f>
        <v>0</v>
      </c>
      <c r="S108" s="55">
        <f t="shared" si="138"/>
        <v>0</v>
      </c>
      <c r="T108" s="55">
        <f t="shared" si="138"/>
        <v>0</v>
      </c>
      <c r="U108" s="55">
        <f t="shared" si="138"/>
        <v>0</v>
      </c>
      <c r="V108" s="55">
        <f t="shared" si="138"/>
        <v>0</v>
      </c>
      <c r="W108" s="55">
        <f t="shared" si="138"/>
        <v>0</v>
      </c>
      <c r="X108" s="55">
        <f t="shared" si="138"/>
        <v>0</v>
      </c>
      <c r="Y108" s="55">
        <f t="shared" si="138"/>
        <v>0</v>
      </c>
      <c r="Z108" s="55">
        <f t="shared" si="138"/>
        <v>0</v>
      </c>
      <c r="AA108" s="55">
        <f t="shared" si="138"/>
        <v>0</v>
      </c>
      <c r="AB108" s="55">
        <f t="shared" si="138"/>
        <v>0</v>
      </c>
      <c r="AC108" s="55">
        <f t="shared" si="138"/>
        <v>0</v>
      </c>
      <c r="AD108" s="55">
        <f t="shared" si="138"/>
        <v>0</v>
      </c>
      <c r="AE108" s="55">
        <f t="shared" si="138"/>
        <v>0</v>
      </c>
      <c r="AF108" s="55">
        <f t="shared" si="138"/>
        <v>0</v>
      </c>
      <c r="AG108" s="55">
        <f t="shared" si="138"/>
        <v>0</v>
      </c>
      <c r="AH108" s="55">
        <f t="shared" si="138"/>
        <v>0</v>
      </c>
      <c r="AI108" s="55">
        <f t="shared" si="138"/>
        <v>0</v>
      </c>
      <c r="AJ108" s="55">
        <f t="shared" si="138"/>
        <v>0</v>
      </c>
      <c r="AK108" s="55">
        <f t="shared" si="138"/>
        <v>0</v>
      </c>
      <c r="AL108" s="55">
        <f t="shared" ref="AL108:AU108" si="139">COUNTIF(AL102:AL107,"O")</f>
        <v>0</v>
      </c>
      <c r="AM108" s="55">
        <f t="shared" si="139"/>
        <v>0</v>
      </c>
      <c r="AN108" s="55">
        <f t="shared" si="139"/>
        <v>0</v>
      </c>
      <c r="AO108" s="55">
        <f t="shared" si="139"/>
        <v>0</v>
      </c>
      <c r="AP108" s="55">
        <f t="shared" si="139"/>
        <v>0</v>
      </c>
      <c r="AQ108" s="55">
        <f t="shared" si="139"/>
        <v>0</v>
      </c>
      <c r="AR108" s="55">
        <f t="shared" si="139"/>
        <v>0</v>
      </c>
      <c r="AS108" s="55">
        <f t="shared" si="139"/>
        <v>0</v>
      </c>
      <c r="AT108" s="55">
        <f t="shared" si="139"/>
        <v>0</v>
      </c>
      <c r="AU108" s="55">
        <f t="shared" si="139"/>
        <v>0</v>
      </c>
      <c r="AV108" s="171"/>
      <c r="AW108" s="171"/>
      <c r="BG108" s="197"/>
      <c r="BJ108"/>
    </row>
    <row r="109" spans="1:62">
      <c r="A109" s="127" t="s">
        <v>922</v>
      </c>
      <c r="B109" s="54" t="s">
        <v>560</v>
      </c>
      <c r="C109" s="54" t="str">
        <f ca="1">IF(C7=$BC$21,"O",IF(C7=$BD$21,"O",IF(C7=$BE$21,"O",IF(C7=$BF$21,"O",IF(C7=$BG$21,"O",IF(C7=$BH$21,"O",IF(C7=$BI$21,"O",IF(C7=$BJ$21,"O",IF(C7=$BK$21,"O",IF(C7=$BL$21,"O",IF(C7=$BM$21,"O",IF(C7=$BN$21,"O",IF(C7=$BO$21,"O",IF(C7=$BP$21,"O",IF(C7=$BQ$21,"O",IF(C7=$BR$21,"O",IF(C7=$BS$21,"O",IF(C7=$BT$21,"O",IF(C7=$BU$21,"O",IF(C7=$BV$21,"O",IF(C7=$BW$21,"O",IF(C7=$BX$21,"O",IF(C7=$BY$21,"O",IF(C7=$BZ$21,"O",IF(C7=$CA$21,"O",IF(C7=$CB$21,"O",IF(C7=$CC$21,"O",IF(C7=$CD$21,"O",IF(C7=$CE$21,"O",IF(C7=$CF$21,"O",IF(C7=$CG$21,"O",IF(C7=$CH$21,"O",IF(C7=$CI$21,"O",IF(C7=$CJ$21,"O",IF(C7=$CK$21,"O",IF(C7=$CL$21,"O",IF(C7=$CM$21,"O",IF(C7=$CN$21,"O",IF(C7=$CO$21,"O",IF(C7=$CP$21,"O",IF(C7=$CQ$21,"O",IF(C7=$CR$21,"O",IF(C7=$CS$21,"O",IF(C7=$CT$21,"O","X"))))))))))))))))))))))))))))))))))))))))))))</f>
        <v>O</v>
      </c>
      <c r="D109" s="54" t="str">
        <f t="shared" ref="D109:Q109" ca="1" si="140">IF(D7=$BC$21,"O",IF(D7=$BD$21,"O",IF(D7=$BE$21,"O",IF(D7=$BF$21,"O",IF(D7=$BG$21,"O",IF(D7=$BH$21,"O",IF(D7=$BI$21,"O",IF(D7=$BJ$21,"O",IF(D7=$BK$21,"O",IF(D7=$BL$21,"O",IF(D7=$BM$21,"O",IF(D7=$BN$21,"O",IF(D7=$BO$21,"O",IF(D7=$BP$21,"O",IF(D7=$BQ$21,"O",IF(D7=$BR$21,"O",IF(D7=$BS$21,"O",IF(D7=$BT$21,"O",IF(D7=$BU$21,"O",IF(D7=$BV$21,"O",IF(D7=$BW$21,"O",IF(D7=$BX$21,"O",IF(D7=$BY$21,"O",IF(D7=$BZ$21,"O",IF(D7=$CA$21,"O",IF(D7=$CB$21,"O",IF(D7=$CC$21,"O",IF(D7=$CD$21,"O",IF(D7=$CE$21,"O",IF(D7=$CF$21,"O",IF(D7=$CG$21,"O",IF(D7=$CH$21,"O",IF(D7=$CI$21,"O",IF(D7=$CJ$21,"O",IF(D7=$CK$21,"O",IF(D7=$CL$21,"O",IF(D7=$CM$21,"O",IF(D7=$CN$21,"O",IF(D7=$CO$21,"O",IF(D7=$CP$21,"O",IF(D7=$CQ$21,"O",IF(D7=$CR$21,"O",IF(D7=$CS$21,"O",IF(D7=$CT$21,"O","X"))))))))))))))))))))))))))))))))))))))))))))</f>
        <v>O</v>
      </c>
      <c r="E109" s="54" t="str">
        <f t="shared" ca="1" si="140"/>
        <v>X</v>
      </c>
      <c r="F109" s="54" t="str">
        <f t="shared" ca="1" si="140"/>
        <v>O</v>
      </c>
      <c r="G109" s="54" t="str">
        <f t="shared" ca="1" si="140"/>
        <v>O</v>
      </c>
      <c r="H109" s="54" t="str">
        <f t="shared" ca="1" si="140"/>
        <v>O</v>
      </c>
      <c r="I109" s="54" t="str">
        <f t="shared" ca="1" si="140"/>
        <v>O</v>
      </c>
      <c r="J109" s="54" t="str">
        <f t="shared" ca="1" si="140"/>
        <v>X</v>
      </c>
      <c r="K109" s="54" t="str">
        <f t="shared" ca="1" si="140"/>
        <v>O</v>
      </c>
      <c r="L109" s="54" t="str">
        <f t="shared" ca="1" si="140"/>
        <v>O</v>
      </c>
      <c r="M109" s="54" t="str">
        <f t="shared" ca="1" si="140"/>
        <v>X</v>
      </c>
      <c r="N109" s="54" t="str">
        <f t="shared" ca="1" si="140"/>
        <v>O</v>
      </c>
      <c r="O109" s="54" t="str">
        <f t="shared" ca="1" si="140"/>
        <v>O</v>
      </c>
      <c r="P109" s="54" t="str">
        <f t="shared" ca="1" si="140"/>
        <v>O</v>
      </c>
      <c r="Q109" s="54" t="str">
        <f t="shared" ca="1" si="140"/>
        <v>O</v>
      </c>
      <c r="R109" s="54" t="str">
        <f t="shared" ref="R109:AU109" si="141">IF(R7=$BC$21,"O",IF(R7=$BD$21,"O",IF(R7=$BE$21,"O",IF(R7=$BF$21,"O",IF(R7=$BG$21,"O",IF(R7=$BH$21,"O",IF(R7=$BI$21,"O",IF(R7=$BJ$21,"O",IF(R7=$BK$21,"O",IF(R7=$BL$21,"O",IF(R7=$BM$21,"O",IF(R7=$BN$21,"O",IF(R7=$BO$21,"O",IF(R7=$BP$21,"O",IF(R7=$BQ$21,"O",IF(R7=$BR$21,"O",IF(R7=$BS$21,"O",IF(R7=$BT$21,"O",IF(R7=$BU$21,"O",IF(R7=$BV$21,"O",IF(R7=$BW$21,"O",IF(R7=$BX$21,"O",IF(R7=$BY$21,"O",IF(R7=$BZ$21,"O",IF(R7=$CA$21,"O",IF(R7=$CB$21,"O","X"))))))))))))))))))))))))))</f>
        <v>X</v>
      </c>
      <c r="S109" s="54" t="str">
        <f t="shared" si="141"/>
        <v>X</v>
      </c>
      <c r="T109" s="54" t="str">
        <f t="shared" si="141"/>
        <v>X</v>
      </c>
      <c r="U109" s="54" t="str">
        <f t="shared" si="141"/>
        <v>X</v>
      </c>
      <c r="V109" s="54" t="str">
        <f t="shared" si="141"/>
        <v>X</v>
      </c>
      <c r="W109" s="54" t="str">
        <f t="shared" si="141"/>
        <v>X</v>
      </c>
      <c r="X109" s="54" t="str">
        <f t="shared" si="141"/>
        <v>X</v>
      </c>
      <c r="Y109" s="54" t="str">
        <f t="shared" si="141"/>
        <v>X</v>
      </c>
      <c r="Z109" s="54" t="str">
        <f t="shared" si="141"/>
        <v>X</v>
      </c>
      <c r="AA109" s="54" t="str">
        <f t="shared" si="141"/>
        <v>X</v>
      </c>
      <c r="AB109" s="54" t="str">
        <f t="shared" si="141"/>
        <v>X</v>
      </c>
      <c r="AC109" s="54" t="str">
        <f t="shared" si="141"/>
        <v>X</v>
      </c>
      <c r="AD109" s="54" t="str">
        <f t="shared" si="141"/>
        <v>X</v>
      </c>
      <c r="AE109" s="54" t="str">
        <f t="shared" si="141"/>
        <v>X</v>
      </c>
      <c r="AF109" s="54" t="str">
        <f t="shared" si="141"/>
        <v>X</v>
      </c>
      <c r="AG109" s="54" t="str">
        <f t="shared" si="141"/>
        <v>X</v>
      </c>
      <c r="AH109" s="54" t="str">
        <f t="shared" si="141"/>
        <v>X</v>
      </c>
      <c r="AI109" s="54" t="str">
        <f t="shared" si="141"/>
        <v>X</v>
      </c>
      <c r="AJ109" s="54" t="str">
        <f t="shared" si="141"/>
        <v>X</v>
      </c>
      <c r="AK109" s="54" t="str">
        <f t="shared" si="141"/>
        <v>X</v>
      </c>
      <c r="AL109" s="54" t="str">
        <f t="shared" si="141"/>
        <v>X</v>
      </c>
      <c r="AM109" s="54" t="str">
        <f t="shared" si="141"/>
        <v>X</v>
      </c>
      <c r="AN109" s="54" t="str">
        <f t="shared" si="141"/>
        <v>X</v>
      </c>
      <c r="AO109" s="54" t="str">
        <f t="shared" si="141"/>
        <v>X</v>
      </c>
      <c r="AP109" s="54" t="str">
        <f t="shared" si="141"/>
        <v>X</v>
      </c>
      <c r="AQ109" s="54" t="str">
        <f t="shared" si="141"/>
        <v>X</v>
      </c>
      <c r="AR109" s="54" t="str">
        <f t="shared" si="141"/>
        <v>X</v>
      </c>
      <c r="AS109" s="54" t="str">
        <f t="shared" si="141"/>
        <v>X</v>
      </c>
      <c r="AT109" s="54" t="str">
        <f t="shared" si="141"/>
        <v>X</v>
      </c>
      <c r="AU109" s="54" t="str">
        <f t="shared" si="141"/>
        <v>X</v>
      </c>
      <c r="AV109" s="53"/>
      <c r="AW109" s="53"/>
      <c r="AX109" s="53"/>
      <c r="BG109" s="200"/>
      <c r="BH109"/>
      <c r="BI109" s="119"/>
      <c r="BJ109"/>
    </row>
    <row r="110" spans="1:62">
      <c r="A110" s="128" t="s">
        <v>923</v>
      </c>
      <c r="B110" s="54" t="s">
        <v>566</v>
      </c>
      <c r="C110" s="54" t="str">
        <f t="shared" ref="C110:Q110" ca="1" si="142">IF(C8=$BC$21,"O",IF(C8=$BD$21,"O",IF(C8=$BE$21,"O",IF(C8=$BF$21,"O",IF(C8=$BG$21,"O",IF(C8=$BH$21,"O",IF(C8=$BI$21,"O",IF(C8=$BJ$21,"O",IF(C8=$BK$21,"O",IF(C8=$BL$21,"O",IF(C8=$BM$21,"O",IF(C8=$BN$21,"O",IF(C8=$BO$21,"O",IF(C8=$BP$21,"O",IF(C8=$BQ$21,"O",IF(C8=$BR$21,"O",IF(C8=$BS$21,"O",IF(C8=$BT$21,"O",IF(C8=$BU$21,"O",IF(C8=$BV$21,"O",IF(C8=$BW$21,"O",IF(C8=$BX$21,"O",IF(C8=$BY$21,"O",IF(C8=$BZ$21,"O",IF(C8=$CA$21,"O",IF(C8=$CB$21,"O",IF(C8=$CC$21,"O",IF(C8=$CD$21,"O",IF(C8=$CE$21,"O",IF(C8=$CF$21,"O",IF(C8=$CG$21,"O",IF(C8=$CH$21,"O",IF(C8=$CI$21,"O",IF(C8=$CJ$21,"O",IF(C8=$CK$21,"O",IF(C8=$CL$21,"O",IF(C8=$CM$21,"O",IF(C8=$CN$21,"O",IF(C8=$CO$21,"O",IF(C8=$CP$21,"O",IF(C8=$CQ$21,"O",IF(C8=$CR$21,"O",IF(C8=$CS$21,"O",IF(C8=$CT$21,"O","X"))))))))))))))))))))))))))))))))))))))))))))</f>
        <v>O</v>
      </c>
      <c r="D110" s="54" t="str">
        <f t="shared" ca="1" si="142"/>
        <v>X</v>
      </c>
      <c r="E110" s="54" t="str">
        <f t="shared" ca="1" si="142"/>
        <v>O</v>
      </c>
      <c r="F110" s="54" t="str">
        <f t="shared" ca="1" si="142"/>
        <v>O</v>
      </c>
      <c r="G110" s="54" t="str">
        <f t="shared" ca="1" si="142"/>
        <v>O</v>
      </c>
      <c r="H110" s="54" t="str">
        <f t="shared" ca="1" si="142"/>
        <v>X</v>
      </c>
      <c r="I110" s="54" t="str">
        <f t="shared" ca="1" si="142"/>
        <v>O</v>
      </c>
      <c r="J110" s="54" t="str">
        <f t="shared" ca="1" si="142"/>
        <v>O</v>
      </c>
      <c r="K110" s="54" t="str">
        <f t="shared" ca="1" si="142"/>
        <v>O</v>
      </c>
      <c r="L110" s="54" t="str">
        <f t="shared" ca="1" si="142"/>
        <v>O</v>
      </c>
      <c r="M110" s="54" t="str">
        <f t="shared" ca="1" si="142"/>
        <v>O</v>
      </c>
      <c r="N110" s="54" t="str">
        <f t="shared" ca="1" si="142"/>
        <v>X</v>
      </c>
      <c r="O110" s="54" t="str">
        <f t="shared" ca="1" si="142"/>
        <v>O</v>
      </c>
      <c r="P110" s="54" t="str">
        <f t="shared" ca="1" si="142"/>
        <v>X</v>
      </c>
      <c r="Q110" s="54" t="str">
        <f t="shared" ca="1" si="142"/>
        <v>O</v>
      </c>
      <c r="R110" s="54" t="str">
        <f t="shared" ref="R110:AU110" si="143">IF(R8=$BC$21,"O",IF(R8=$BD$21,"O",IF(R8=$BE$21,"O",IF(R8=$BF$21,"O",IF(R8=$BG$21,"O",IF(R8=$BH$21,"O",IF(R8=$BI$21,"O",IF(R8=$BJ$21,"O",IF(R8=$BK$21,"O",IF(R8=$BL$21,"O",IF(R8=$BM$21,"O",IF(R8=$BN$21,"O",IF(R8=$BO$21,"O",IF(R8=$BP$21,"O",IF(R8=$BQ$21,"O",IF(R8=$BR$21,"O",IF(R8=$BS$21,"O",IF(R8=$BT$21,"O",IF(R8=$BU$21,"O",IF(R8=$BV$21,"O",IF(R8=$BW$21,"O",IF(R8=$BX$21,"O",IF(R8=$BY$21,"O",IF(R8=$BZ$21,"O",IF(R8=$CA$21,"O",IF(R8=$CB$21,"O","X"))))))))))))))))))))))))))</f>
        <v>X</v>
      </c>
      <c r="S110" s="54" t="str">
        <f t="shared" si="143"/>
        <v>X</v>
      </c>
      <c r="T110" s="54" t="str">
        <f t="shared" si="143"/>
        <v>X</v>
      </c>
      <c r="U110" s="54" t="str">
        <f t="shared" si="143"/>
        <v>X</v>
      </c>
      <c r="V110" s="54" t="str">
        <f t="shared" si="143"/>
        <v>X</v>
      </c>
      <c r="W110" s="54" t="str">
        <f t="shared" si="143"/>
        <v>X</v>
      </c>
      <c r="X110" s="54" t="str">
        <f t="shared" si="143"/>
        <v>X</v>
      </c>
      <c r="Y110" s="54" t="str">
        <f t="shared" si="143"/>
        <v>X</v>
      </c>
      <c r="Z110" s="54" t="str">
        <f t="shared" si="143"/>
        <v>X</v>
      </c>
      <c r="AA110" s="54" t="str">
        <f t="shared" si="143"/>
        <v>X</v>
      </c>
      <c r="AB110" s="54" t="str">
        <f t="shared" si="143"/>
        <v>X</v>
      </c>
      <c r="AC110" s="54" t="str">
        <f t="shared" si="143"/>
        <v>X</v>
      </c>
      <c r="AD110" s="54" t="str">
        <f t="shared" si="143"/>
        <v>X</v>
      </c>
      <c r="AE110" s="54" t="str">
        <f t="shared" si="143"/>
        <v>X</v>
      </c>
      <c r="AF110" s="54" t="str">
        <f t="shared" si="143"/>
        <v>X</v>
      </c>
      <c r="AG110" s="54" t="str">
        <f t="shared" si="143"/>
        <v>X</v>
      </c>
      <c r="AH110" s="54" t="str">
        <f t="shared" si="143"/>
        <v>X</v>
      </c>
      <c r="AI110" s="54" t="str">
        <f t="shared" si="143"/>
        <v>X</v>
      </c>
      <c r="AJ110" s="54" t="str">
        <f t="shared" si="143"/>
        <v>X</v>
      </c>
      <c r="AK110" s="54" t="str">
        <f t="shared" si="143"/>
        <v>X</v>
      </c>
      <c r="AL110" s="54" t="str">
        <f t="shared" si="143"/>
        <v>X</v>
      </c>
      <c r="AM110" s="54" t="str">
        <f t="shared" si="143"/>
        <v>X</v>
      </c>
      <c r="AN110" s="54" t="str">
        <f t="shared" si="143"/>
        <v>X</v>
      </c>
      <c r="AO110" s="54" t="str">
        <f t="shared" si="143"/>
        <v>X</v>
      </c>
      <c r="AP110" s="54" t="str">
        <f t="shared" si="143"/>
        <v>X</v>
      </c>
      <c r="AQ110" s="54" t="str">
        <f t="shared" si="143"/>
        <v>X</v>
      </c>
      <c r="AR110" s="54" t="str">
        <f t="shared" si="143"/>
        <v>X</v>
      </c>
      <c r="AS110" s="54" t="str">
        <f t="shared" si="143"/>
        <v>X</v>
      </c>
      <c r="AT110" s="54" t="str">
        <f t="shared" si="143"/>
        <v>X</v>
      </c>
      <c r="AU110" s="54" t="str">
        <f t="shared" si="143"/>
        <v>X</v>
      </c>
      <c r="AV110" s="53"/>
      <c r="AW110" s="53"/>
      <c r="AX110" s="53"/>
      <c r="BG110" s="197"/>
      <c r="BH110"/>
      <c r="BJ110"/>
    </row>
    <row r="111" spans="1:62">
      <c r="A111" s="128"/>
      <c r="B111" s="54" t="s">
        <v>567</v>
      </c>
      <c r="C111" s="54" t="str">
        <f t="shared" ref="C111:Q111" ca="1" si="144">IF(C9=$BC$21,"O",IF(C9=$BD$21,"O",IF(C9=$BE$21,"O",IF(C9=$BF$21,"O",IF(C9=$BG$21,"O",IF(C9=$BH$21,"O",IF(C9=$BI$21,"O",IF(C9=$BJ$21,"O",IF(C9=$BK$21,"O",IF(C9=$BL$21,"O",IF(C9=$BM$21,"O",IF(C9=$BN$21,"O",IF(C9=$BO$21,"O",IF(C9=$BP$21,"O",IF(C9=$BQ$21,"O",IF(C9=$BR$21,"O",IF(C9=$BS$21,"O",IF(C9=$BT$21,"O",IF(C9=$BU$21,"O",IF(C9=$BV$21,"O",IF(C9=$BW$21,"O",IF(C9=$BX$21,"O",IF(C9=$BY$21,"O",IF(C9=$BZ$21,"O",IF(C9=$CA$21,"O",IF(C9=$CB$21,"O",IF(C9=$CC$21,"O",IF(C9=$CD$21,"O",IF(C9=$CE$21,"O",IF(C9=$CF$21,"O",IF(C9=$CG$21,"O",IF(C9=$CH$21,"O",IF(C9=$CI$21,"O",IF(C9=$CJ$21,"O",IF(C9=$CK$21,"O",IF(C9=$CL$21,"O",IF(C9=$CM$21,"O",IF(C9=$CN$21,"O",IF(C9=$CO$21,"O",IF(C9=$CP$21,"O",IF(C9=$CQ$21,"O",IF(C9=$CR$21,"O",IF(C9=$CS$21,"O",IF(C9=$CT$21,"O","X"))))))))))))))))))))))))))))))))))))))))))))</f>
        <v>O</v>
      </c>
      <c r="D111" s="54" t="str">
        <f t="shared" ca="1" si="144"/>
        <v>O</v>
      </c>
      <c r="E111" s="54" t="str">
        <f t="shared" ca="1" si="144"/>
        <v>O</v>
      </c>
      <c r="F111" s="54" t="str">
        <f t="shared" ca="1" si="144"/>
        <v>O</v>
      </c>
      <c r="G111" s="54" t="str">
        <f t="shared" ca="1" si="144"/>
        <v>O</v>
      </c>
      <c r="H111" s="54" t="str">
        <f t="shared" ca="1" si="144"/>
        <v>O</v>
      </c>
      <c r="I111" s="54" t="str">
        <f t="shared" ca="1" si="144"/>
        <v>O</v>
      </c>
      <c r="J111" s="54" t="str">
        <f t="shared" ca="1" si="144"/>
        <v>O</v>
      </c>
      <c r="K111" s="54" t="str">
        <f t="shared" ca="1" si="144"/>
        <v>X</v>
      </c>
      <c r="L111" s="54" t="str">
        <f t="shared" ca="1" si="144"/>
        <v>O</v>
      </c>
      <c r="M111" s="54" t="str">
        <f t="shared" ca="1" si="144"/>
        <v>O</v>
      </c>
      <c r="N111" s="54" t="str">
        <f t="shared" ca="1" si="144"/>
        <v>O</v>
      </c>
      <c r="O111" s="54" t="str">
        <f t="shared" ca="1" si="144"/>
        <v>X</v>
      </c>
      <c r="P111" s="54" t="str">
        <f t="shared" ca="1" si="144"/>
        <v>O</v>
      </c>
      <c r="Q111" s="54" t="str">
        <f t="shared" ca="1" si="144"/>
        <v>O</v>
      </c>
      <c r="R111" s="54" t="str">
        <f t="shared" ref="R111:AU111" si="145">IF(R9=$BC$21,"O",IF(R9=$BD$21,"O",IF(R9=$BE$21,"O",IF(R9=$BF$21,"O",IF(R9=$BG$21,"O",IF(R9=$BH$21,"O",IF(R9=$BI$21,"O",IF(R9=$BJ$21,"O",IF(R9=$BK$21,"O",IF(R9=$BL$21,"O",IF(R9=$BM$21,"O",IF(R9=$BN$21,"O",IF(R9=$BO$21,"O",IF(R9=$BP$21,"O",IF(R9=$BQ$21,"O",IF(R9=$BR$21,"O",IF(R9=$BS$21,"O",IF(R9=$BT$21,"O",IF(R9=$BU$21,"O",IF(R9=$BV$21,"O",IF(R9=$BW$21,"O",IF(R9=$BX$21,"O",IF(R9=$BY$21,"O",IF(R9=$BZ$21,"O",IF(R9=$CA$21,"O",IF(R9=$CB$21,"O","X"))))))))))))))))))))))))))</f>
        <v>X</v>
      </c>
      <c r="S111" s="54" t="str">
        <f t="shared" si="145"/>
        <v>X</v>
      </c>
      <c r="T111" s="54" t="str">
        <f t="shared" si="145"/>
        <v>X</v>
      </c>
      <c r="U111" s="54" t="str">
        <f t="shared" si="145"/>
        <v>X</v>
      </c>
      <c r="V111" s="54" t="str">
        <f t="shared" si="145"/>
        <v>X</v>
      </c>
      <c r="W111" s="54" t="str">
        <f t="shared" si="145"/>
        <v>X</v>
      </c>
      <c r="X111" s="54" t="str">
        <f t="shared" si="145"/>
        <v>X</v>
      </c>
      <c r="Y111" s="54" t="str">
        <f t="shared" si="145"/>
        <v>X</v>
      </c>
      <c r="Z111" s="54" t="str">
        <f t="shared" si="145"/>
        <v>X</v>
      </c>
      <c r="AA111" s="54" t="str">
        <f t="shared" si="145"/>
        <v>X</v>
      </c>
      <c r="AB111" s="54" t="str">
        <f t="shared" si="145"/>
        <v>X</v>
      </c>
      <c r="AC111" s="54" t="str">
        <f t="shared" si="145"/>
        <v>X</v>
      </c>
      <c r="AD111" s="54" t="str">
        <f t="shared" si="145"/>
        <v>X</v>
      </c>
      <c r="AE111" s="54" t="str">
        <f t="shared" si="145"/>
        <v>X</v>
      </c>
      <c r="AF111" s="54" t="str">
        <f t="shared" si="145"/>
        <v>X</v>
      </c>
      <c r="AG111" s="54" t="str">
        <f t="shared" si="145"/>
        <v>X</v>
      </c>
      <c r="AH111" s="54" t="str">
        <f t="shared" si="145"/>
        <v>X</v>
      </c>
      <c r="AI111" s="54" t="str">
        <f t="shared" si="145"/>
        <v>X</v>
      </c>
      <c r="AJ111" s="54" t="str">
        <f t="shared" si="145"/>
        <v>X</v>
      </c>
      <c r="AK111" s="54" t="str">
        <f t="shared" si="145"/>
        <v>X</v>
      </c>
      <c r="AL111" s="54" t="str">
        <f t="shared" si="145"/>
        <v>X</v>
      </c>
      <c r="AM111" s="54" t="str">
        <f t="shared" si="145"/>
        <v>X</v>
      </c>
      <c r="AN111" s="54" t="str">
        <f t="shared" si="145"/>
        <v>X</v>
      </c>
      <c r="AO111" s="54" t="str">
        <f t="shared" si="145"/>
        <v>X</v>
      </c>
      <c r="AP111" s="54" t="str">
        <f t="shared" si="145"/>
        <v>X</v>
      </c>
      <c r="AQ111" s="54" t="str">
        <f t="shared" si="145"/>
        <v>X</v>
      </c>
      <c r="AR111" s="54" t="str">
        <f t="shared" si="145"/>
        <v>X</v>
      </c>
      <c r="AS111" s="54" t="str">
        <f t="shared" si="145"/>
        <v>X</v>
      </c>
      <c r="AT111" s="54" t="str">
        <f t="shared" si="145"/>
        <v>X</v>
      </c>
      <c r="AU111" s="54" t="str">
        <f t="shared" si="145"/>
        <v>X</v>
      </c>
      <c r="AV111" s="53"/>
      <c r="AW111" s="53"/>
      <c r="AX111" s="53"/>
      <c r="BG111" s="198"/>
      <c r="BJ111"/>
    </row>
    <row r="112" spans="1:62">
      <c r="A112" s="128"/>
      <c r="B112" s="54" t="s">
        <v>568</v>
      </c>
      <c r="C112" s="54" t="str">
        <f t="shared" ref="C112:Q112" ca="1" si="146">IF(C10=$BC$21,"O",IF(C10=$BD$21,"O",IF(C10=$BE$21,"O",IF(C10=$BF$21,"O",IF(C10=$BG$21,"O",IF(C10=$BH$21,"O",IF(C10=$BI$21,"O",IF(C10=$BJ$21,"O",IF(C10=$BK$21,"O",IF(C10=$BL$21,"O",IF(C10=$BM$21,"O",IF(C10=$BN$21,"O",IF(C10=$BO$21,"O",IF(C10=$BP$21,"O",IF(C10=$BQ$21,"O",IF(C10=$BR$21,"O",IF(C10=$BS$21,"O",IF(C10=$BT$21,"O",IF(C10=$BU$21,"O",IF(C10=$BV$21,"O",IF(C10=$BW$21,"O",IF(C10=$BX$21,"O",IF(C10=$BY$21,"O",IF(C10=$BZ$21,"O",IF(C10=$CA$21,"O",IF(C10=$CB$21,"O",IF(C10=$CC$21,"O",IF(C10=$CD$21,"O",IF(C10=$CE$21,"O",IF(C10=$CF$21,"O",IF(C10=$CG$21,"O",IF(C10=$CH$21,"O",IF(C10=$CI$21,"O",IF(C10=$CJ$21,"O",IF(C10=$CK$21,"O",IF(C10=$CL$21,"O",IF(C10=$CM$21,"O",IF(C10=$CN$21,"O",IF(C10=$CO$21,"O",IF(C10=$CP$21,"O",IF(C10=$CQ$21,"O",IF(C10=$CR$21,"O",IF(C10=$CS$21,"O",IF(C10=$CT$21,"O","X"))))))))))))))))))))))))))))))))))))))))))))</f>
        <v>O</v>
      </c>
      <c r="D112" s="54" t="str">
        <f t="shared" ca="1" si="146"/>
        <v>O</v>
      </c>
      <c r="E112" s="54" t="str">
        <f t="shared" ca="1" si="146"/>
        <v>X</v>
      </c>
      <c r="F112" s="54" t="str">
        <f t="shared" ca="1" si="146"/>
        <v>O</v>
      </c>
      <c r="G112" s="54" t="str">
        <f t="shared" ca="1" si="146"/>
        <v>O</v>
      </c>
      <c r="H112" s="54" t="str">
        <f t="shared" ca="1" si="146"/>
        <v>O</v>
      </c>
      <c r="I112" s="54" t="str">
        <f t="shared" ca="1" si="146"/>
        <v>O</v>
      </c>
      <c r="J112" s="54" t="str">
        <f t="shared" ca="1" si="146"/>
        <v>X</v>
      </c>
      <c r="K112" s="54" t="str">
        <f t="shared" ca="1" si="146"/>
        <v>O</v>
      </c>
      <c r="L112" s="54" t="str">
        <f t="shared" ca="1" si="146"/>
        <v>O</v>
      </c>
      <c r="M112" s="54" t="str">
        <f t="shared" ca="1" si="146"/>
        <v>X</v>
      </c>
      <c r="N112" s="54" t="str">
        <f t="shared" ca="1" si="146"/>
        <v>O</v>
      </c>
      <c r="O112" s="54" t="str">
        <f t="shared" ca="1" si="146"/>
        <v>O</v>
      </c>
      <c r="P112" s="54" t="str">
        <f t="shared" ca="1" si="146"/>
        <v>O</v>
      </c>
      <c r="Q112" s="54" t="str">
        <f t="shared" ca="1" si="146"/>
        <v>X</v>
      </c>
      <c r="R112" s="54" t="str">
        <f t="shared" ref="R112:AU112" si="147">IF(R10=$BC$21,"O",IF(R10=$BD$21,"O",IF(R10=$BE$21,"O",IF(R10=$BF$21,"O",IF(R10=$BG$21,"O",IF(R10=$BH$21,"O",IF(R10=$BI$21,"O",IF(R10=$BJ$21,"O",IF(R10=$BK$21,"O",IF(R10=$BL$21,"O",IF(R10=$BM$21,"O",IF(R10=$BN$21,"O",IF(R10=$BO$21,"O",IF(R10=$BP$21,"O",IF(R10=$BQ$21,"O",IF(R10=$BR$21,"O",IF(R10=$BS$21,"O",IF(R10=$BT$21,"O",IF(R10=$BU$21,"O",IF(R10=$BV$21,"O",IF(R10=$BW$21,"O",IF(R10=$BX$21,"O",IF(R10=$BY$21,"O",IF(R10=$BZ$21,"O",IF(R10=$CA$21,"O",IF(R10=$CB$21,"O","X"))))))))))))))))))))))))))</f>
        <v>X</v>
      </c>
      <c r="S112" s="54" t="str">
        <f t="shared" si="147"/>
        <v>X</v>
      </c>
      <c r="T112" s="54" t="str">
        <f t="shared" si="147"/>
        <v>X</v>
      </c>
      <c r="U112" s="54" t="str">
        <f t="shared" si="147"/>
        <v>X</v>
      </c>
      <c r="V112" s="54" t="str">
        <f t="shared" si="147"/>
        <v>X</v>
      </c>
      <c r="W112" s="54" t="str">
        <f t="shared" si="147"/>
        <v>X</v>
      </c>
      <c r="X112" s="54" t="str">
        <f t="shared" si="147"/>
        <v>X</v>
      </c>
      <c r="Y112" s="54" t="str">
        <f t="shared" si="147"/>
        <v>X</v>
      </c>
      <c r="Z112" s="54" t="str">
        <f t="shared" si="147"/>
        <v>X</v>
      </c>
      <c r="AA112" s="54" t="str">
        <f t="shared" si="147"/>
        <v>X</v>
      </c>
      <c r="AB112" s="54" t="str">
        <f t="shared" si="147"/>
        <v>X</v>
      </c>
      <c r="AC112" s="54" t="str">
        <f t="shared" si="147"/>
        <v>X</v>
      </c>
      <c r="AD112" s="54" t="str">
        <f t="shared" si="147"/>
        <v>X</v>
      </c>
      <c r="AE112" s="54" t="str">
        <f t="shared" si="147"/>
        <v>X</v>
      </c>
      <c r="AF112" s="54" t="str">
        <f t="shared" si="147"/>
        <v>X</v>
      </c>
      <c r="AG112" s="54" t="str">
        <f t="shared" si="147"/>
        <v>X</v>
      </c>
      <c r="AH112" s="54" t="str">
        <f t="shared" si="147"/>
        <v>X</v>
      </c>
      <c r="AI112" s="54" t="str">
        <f t="shared" si="147"/>
        <v>X</v>
      </c>
      <c r="AJ112" s="54" t="str">
        <f t="shared" si="147"/>
        <v>X</v>
      </c>
      <c r="AK112" s="54" t="str">
        <f t="shared" si="147"/>
        <v>X</v>
      </c>
      <c r="AL112" s="54" t="str">
        <f t="shared" si="147"/>
        <v>X</v>
      </c>
      <c r="AM112" s="54" t="str">
        <f t="shared" si="147"/>
        <v>X</v>
      </c>
      <c r="AN112" s="54" t="str">
        <f t="shared" si="147"/>
        <v>X</v>
      </c>
      <c r="AO112" s="54" t="str">
        <f t="shared" si="147"/>
        <v>X</v>
      </c>
      <c r="AP112" s="54" t="str">
        <f t="shared" si="147"/>
        <v>X</v>
      </c>
      <c r="AQ112" s="54" t="str">
        <f t="shared" si="147"/>
        <v>X</v>
      </c>
      <c r="AR112" s="54" t="str">
        <f t="shared" si="147"/>
        <v>X</v>
      </c>
      <c r="AS112" s="54" t="str">
        <f t="shared" si="147"/>
        <v>X</v>
      </c>
      <c r="AT112" s="54" t="str">
        <f t="shared" si="147"/>
        <v>X</v>
      </c>
      <c r="AU112" s="54" t="str">
        <f t="shared" si="147"/>
        <v>X</v>
      </c>
      <c r="AV112" s="53"/>
      <c r="AW112" s="53"/>
      <c r="AX112" s="53"/>
      <c r="BG112" s="197"/>
      <c r="BJ112"/>
    </row>
    <row r="113" spans="1:66">
      <c r="A113" s="128"/>
      <c r="B113" s="54" t="s">
        <v>569</v>
      </c>
      <c r="C113" s="54" t="str">
        <f t="shared" ref="C113:Q113" ca="1" si="148">IF(C11=$BC$21,"O",IF(C11=$BD$21,"O",IF(C11=$BE$21,"O",IF(C11=$BF$21,"O",IF(C11=$BG$21,"O",IF(C11=$BH$21,"O",IF(C11=$BI$21,"O",IF(C11=$BJ$21,"O",IF(C11=$BK$21,"O",IF(C11=$BL$21,"O",IF(C11=$BM$21,"O",IF(C11=$BN$21,"O",IF(C11=$BO$21,"O",IF(C11=$BP$21,"O",IF(C11=$BQ$21,"O",IF(C11=$BR$21,"O",IF(C11=$BS$21,"O",IF(C11=$BT$21,"O",IF(C11=$BU$21,"O",IF(C11=$BV$21,"O",IF(C11=$BW$21,"O",IF(C11=$BX$21,"O",IF(C11=$BY$21,"O",IF(C11=$BZ$21,"O",IF(C11=$CA$21,"O",IF(C11=$CB$21,"O",IF(C11=$CC$21,"O",IF(C11=$CD$21,"O",IF(C11=$CE$21,"O",IF(C11=$CF$21,"O",IF(C11=$CG$21,"O",IF(C11=$CH$21,"O",IF(C11=$CI$21,"O",IF(C11=$CJ$21,"O",IF(C11=$CK$21,"O",IF(C11=$CL$21,"O",IF(C11=$CM$21,"O",IF(C11=$CN$21,"O",IF(C11=$CO$21,"O",IF(C11=$CP$21,"O",IF(C11=$CQ$21,"O",IF(C11=$CR$21,"O",IF(C11=$CS$21,"O",IF(C11=$CT$21,"O","X"))))))))))))))))))))))))))))))))))))))))))))</f>
        <v>O</v>
      </c>
      <c r="D113" s="54" t="str">
        <f t="shared" ca="1" si="148"/>
        <v>O</v>
      </c>
      <c r="E113" s="54" t="str">
        <f t="shared" ca="1" si="148"/>
        <v>O</v>
      </c>
      <c r="F113" s="54" t="str">
        <f t="shared" ca="1" si="148"/>
        <v>O</v>
      </c>
      <c r="G113" s="54" t="str">
        <f t="shared" ca="1" si="148"/>
        <v>X</v>
      </c>
      <c r="H113" s="54" t="str">
        <f t="shared" ca="1" si="148"/>
        <v>O</v>
      </c>
      <c r="I113" s="54" t="str">
        <f t="shared" ca="1" si="148"/>
        <v>O</v>
      </c>
      <c r="J113" s="54" t="str">
        <f t="shared" ca="1" si="148"/>
        <v>O</v>
      </c>
      <c r="K113" s="54" t="str">
        <f t="shared" ca="1" si="148"/>
        <v>O</v>
      </c>
      <c r="L113" s="54" t="str">
        <f t="shared" ca="1" si="148"/>
        <v>X</v>
      </c>
      <c r="M113" s="54" t="str">
        <f t="shared" ca="1" si="148"/>
        <v>O</v>
      </c>
      <c r="N113" s="54" t="str">
        <f t="shared" ca="1" si="148"/>
        <v>O</v>
      </c>
      <c r="O113" s="54" t="str">
        <f t="shared" ca="1" si="148"/>
        <v>X</v>
      </c>
      <c r="P113" s="54" t="str">
        <f t="shared" ca="1" si="148"/>
        <v>O</v>
      </c>
      <c r="Q113" s="54" t="str">
        <f t="shared" ca="1" si="148"/>
        <v>X</v>
      </c>
      <c r="R113" s="54" t="str">
        <f t="shared" ref="R113:AU113" si="149">IF(R11=$BC$21,"O",IF(R11=$BD$21,"O",IF(R11=$BE$21,"O",IF(R11=$BF$21,"O",IF(R11=$BG$21,"O",IF(R11=$BH$21,"O",IF(R11=$BI$21,"O",IF(R11=$BJ$21,"O",IF(R11=$BK$21,"O",IF(R11=$BL$21,"O",IF(R11=$BM$21,"O",IF(R11=$BN$21,"O",IF(R11=$BO$21,"O",IF(R11=$BP$21,"O",IF(R11=$BQ$21,"O",IF(R11=$BR$21,"O",IF(R11=$BS$21,"O",IF(R11=$BT$21,"O",IF(R11=$BU$21,"O",IF(R11=$BV$21,"O",IF(R11=$BW$21,"O",IF(R11=$BX$21,"O",IF(R11=$BY$21,"O",IF(R11=$BZ$21,"O",IF(R11=$CA$21,"O",IF(R11=$CB$21,"O","X"))))))))))))))))))))))))))</f>
        <v>X</v>
      </c>
      <c r="S113" s="54" t="str">
        <f t="shared" si="149"/>
        <v>X</v>
      </c>
      <c r="T113" s="54" t="str">
        <f t="shared" si="149"/>
        <v>X</v>
      </c>
      <c r="U113" s="54" t="str">
        <f t="shared" si="149"/>
        <v>X</v>
      </c>
      <c r="V113" s="54" t="str">
        <f t="shared" si="149"/>
        <v>X</v>
      </c>
      <c r="W113" s="54" t="str">
        <f t="shared" si="149"/>
        <v>X</v>
      </c>
      <c r="X113" s="54" t="str">
        <f t="shared" si="149"/>
        <v>X</v>
      </c>
      <c r="Y113" s="54" t="str">
        <f t="shared" si="149"/>
        <v>X</v>
      </c>
      <c r="Z113" s="54" t="str">
        <f t="shared" si="149"/>
        <v>X</v>
      </c>
      <c r="AA113" s="54" t="str">
        <f t="shared" si="149"/>
        <v>X</v>
      </c>
      <c r="AB113" s="54" t="str">
        <f t="shared" si="149"/>
        <v>X</v>
      </c>
      <c r="AC113" s="54" t="str">
        <f t="shared" si="149"/>
        <v>X</v>
      </c>
      <c r="AD113" s="54" t="str">
        <f t="shared" si="149"/>
        <v>X</v>
      </c>
      <c r="AE113" s="54" t="str">
        <f t="shared" si="149"/>
        <v>X</v>
      </c>
      <c r="AF113" s="54" t="str">
        <f t="shared" si="149"/>
        <v>X</v>
      </c>
      <c r="AG113" s="54" t="str">
        <f t="shared" si="149"/>
        <v>X</v>
      </c>
      <c r="AH113" s="54" t="str">
        <f t="shared" si="149"/>
        <v>X</v>
      </c>
      <c r="AI113" s="54" t="str">
        <f t="shared" si="149"/>
        <v>X</v>
      </c>
      <c r="AJ113" s="54" t="str">
        <f t="shared" si="149"/>
        <v>X</v>
      </c>
      <c r="AK113" s="54" t="str">
        <f t="shared" si="149"/>
        <v>X</v>
      </c>
      <c r="AL113" s="54" t="str">
        <f t="shared" si="149"/>
        <v>X</v>
      </c>
      <c r="AM113" s="54" t="str">
        <f t="shared" si="149"/>
        <v>X</v>
      </c>
      <c r="AN113" s="54" t="str">
        <f t="shared" si="149"/>
        <v>X</v>
      </c>
      <c r="AO113" s="54" t="str">
        <f t="shared" si="149"/>
        <v>X</v>
      </c>
      <c r="AP113" s="54" t="str">
        <f t="shared" si="149"/>
        <v>X</v>
      </c>
      <c r="AQ113" s="54" t="str">
        <f t="shared" si="149"/>
        <v>X</v>
      </c>
      <c r="AR113" s="54" t="str">
        <f t="shared" si="149"/>
        <v>X</v>
      </c>
      <c r="AS113" s="54" t="str">
        <f t="shared" si="149"/>
        <v>X</v>
      </c>
      <c r="AT113" s="54" t="str">
        <f t="shared" si="149"/>
        <v>X</v>
      </c>
      <c r="AU113" s="54" t="str">
        <f t="shared" si="149"/>
        <v>X</v>
      </c>
      <c r="AV113" s="53"/>
      <c r="AW113" s="53"/>
      <c r="AX113" s="53"/>
      <c r="BG113" s="199"/>
      <c r="BJ113"/>
    </row>
    <row r="114" spans="1:66">
      <c r="A114" s="128"/>
      <c r="B114" s="54" t="s">
        <v>540</v>
      </c>
      <c r="C114" s="54" t="str">
        <f t="shared" ref="C114:P114" ca="1" si="150">IF(C12=$BC$21,"O",IF(C12=$BD$21,"O",IF(C12=$BE$21,"O",IF(C12=$BF$21,"O",IF(C12=$BG$21,"O",IF(C12=$BH$21,"O",IF(C12=$BI$21,"O",IF(C12=$BJ$21,"O",IF(C12=$BK$21,"O",IF(C12=$BL$21,"O",IF(C12=$BM$21,"O",IF(C12=$BN$21,"O",IF(C12=$BO$21,"O",IF(C12=$BP$21,"O",IF(C12=$BQ$21,"O",IF(C12=$BR$21,"O",IF(C12=$BS$21,"O",IF(C12=$BT$21,"O",IF(C12=$BU$21,"O",IF(C12=$BV$21,"O",IF(C12=$BW$21,"O",IF(C12=$BX$21,"O",IF(C12=$BY$21,"O",IF(C12=$BZ$21,"O",IF(C12=$CA$21,"O",IF(C12=$CB$21,"O",IF(C12=$CC$21,"O",IF(C12=$CD$21,"O",IF(C12=$CE$21,"O",IF(C12=$CF$21,"O",IF(C12=$CG$21,"O",IF(C12=$CH$21,"O",IF(C12=$CI$21,"O",IF(C12=$CJ$21,"O",IF(C12=$CK$21,"O",IF(C12=$CL$21,"O",IF(C12=$CM$21,"O",IF(C12=$CN$21,"O",IF(C12=$CO$21,"O",IF(C12=$CP$21,"O",IF(C12=$CQ$21,"O",IF(C12=$CR$21,"O",IF(C12=$CS$21,"O",IF(C12=$CT$21,"O","X"))))))))))))))))))))))))))))))))))))))))))))</f>
        <v>O</v>
      </c>
      <c r="D114" s="54" t="str">
        <f t="shared" ca="1" si="150"/>
        <v>O</v>
      </c>
      <c r="E114" s="54" t="str">
        <f t="shared" ca="1" si="150"/>
        <v>X</v>
      </c>
      <c r="F114" s="54" t="str">
        <f t="shared" ca="1" si="150"/>
        <v>O</v>
      </c>
      <c r="G114" s="54" t="str">
        <f t="shared" ca="1" si="150"/>
        <v>O</v>
      </c>
      <c r="H114" s="54" t="str">
        <f t="shared" ca="1" si="150"/>
        <v>X</v>
      </c>
      <c r="I114" s="54" t="str">
        <f t="shared" ca="1" si="150"/>
        <v>O</v>
      </c>
      <c r="J114" s="54" t="str">
        <f t="shared" ca="1" si="150"/>
        <v>O</v>
      </c>
      <c r="K114" s="54" t="str">
        <f t="shared" ca="1" si="150"/>
        <v>O</v>
      </c>
      <c r="L114" s="54" t="str">
        <f t="shared" ca="1" si="150"/>
        <v>O</v>
      </c>
      <c r="M114" s="54" t="str">
        <f t="shared" ca="1" si="150"/>
        <v>O</v>
      </c>
      <c r="N114" s="54" t="str">
        <f t="shared" ca="1" si="150"/>
        <v>O</v>
      </c>
      <c r="O114" s="54" t="str">
        <f t="shared" ca="1" si="150"/>
        <v>O</v>
      </c>
      <c r="P114" s="54" t="str">
        <f t="shared" ca="1" si="150"/>
        <v>O</v>
      </c>
      <c r="Q114" s="54" t="str">
        <f ca="1">IF(Q12=$BC$21,"O",IF(Q12=$BD$21,"O",IF(Q12=$BE$21,"O",IF(Q12=$BF$21,"O",IF(Q12=$BG$21,"O",IF(Q12=$BH$21,"O",IF(Q12=$BI$21,"O",IF(Q12=$BJ$21,"O",IF(Q12=$BK$21,"O",IF(Q12=$BL$21,"O",IF(Q12=$BM$21,"O",IF(Q12=$BN$21,"O",IF(Q12=$BO$21,"O",IF(Q12=$BP$21,"O",IF(Q12=$BQ$21,"O",IF(Q12=$BR$21,"O",IF(Q12=$BS$21,"O",IF(Q12=$BT$21,"O",IF(Q12=$BU$21,"O",IF(Q12=$BV$21,"O",IF(Q12=$BW$21,"O",IF(Q12=$BX$21,"O",IF(Q12=$BY$21,"O",IF(Q12=$BZ$21,"O",IF(Q12=$CA$21,"O",IF(Q12=$CB$21,"O",IF(Q12=$CC$21,"O",IF(Q12=$CD$21,"O",IF(Q12=$CE$21,"O",IF(Q12=$CF$21,"O",IF(Q12=$CG$21,"O",IF(Q12=$CH$21,"O",IF(Q12=$CI$21,"O",IF(Q12=$CJ$21,"O",IF(Q12=$CK$21,"O",IF(Q12=$CL$21,"O",IF(Q12=$CM$21,"O",IF(Q12=$CN$21,"O",IF(Q12=$CO$21,"O",IF(Q12=$CP$21,"O",IF(Q12=$CQ$21,"O",IF(Q12=$CR$21,"O",IF(Q12=$CS$21,"O",IF(Q12=$CT$21,"O","X"))))))))))))))))))))))))))))))))))))))))))))</f>
        <v>O</v>
      </c>
      <c r="R114" s="54" t="str">
        <f t="shared" ref="R114:AU114" si="151">IF(R12=$BC$21,"O",IF(R12=$BD$21,"O",IF(R12=$BE$21,"O",IF(R12=$BF$21,"O",IF(R12=$BG$21,"O",IF(R12=$BH$21,"O",IF(R12=$BI$21,"O",IF(R12=$BJ$21,"O",IF(R12=$BK$21,"O",IF(R12=$BL$21,"O",IF(R12=$BM$21,"O",IF(R12=$BN$21,"O",IF(R12=$BO$21,"O",IF(R12=$BP$21,"O",IF(R12=$BQ$21,"O",IF(R12=$BR$21,"O",IF(R12=$BS$21,"O",IF(R12=$BT$21,"O",IF(R12=$BU$21,"O",IF(R12=$BV$21,"O",IF(R12=$BW$21,"O",IF(R12=$BX$21,"O",IF(R12=$BY$21,"O",IF(R12=$BZ$21,"O",IF(R12=$CA$21,"O",IF(R12=$CB$21,"O","X"))))))))))))))))))))))))))</f>
        <v>X</v>
      </c>
      <c r="S114" s="54" t="str">
        <f t="shared" si="151"/>
        <v>X</v>
      </c>
      <c r="T114" s="54" t="str">
        <f t="shared" si="151"/>
        <v>X</v>
      </c>
      <c r="U114" s="54" t="str">
        <f t="shared" si="151"/>
        <v>X</v>
      </c>
      <c r="V114" s="54" t="str">
        <f t="shared" si="151"/>
        <v>X</v>
      </c>
      <c r="W114" s="54" t="str">
        <f t="shared" si="151"/>
        <v>X</v>
      </c>
      <c r="X114" s="54" t="str">
        <f t="shared" si="151"/>
        <v>X</v>
      </c>
      <c r="Y114" s="54" t="str">
        <f t="shared" si="151"/>
        <v>X</v>
      </c>
      <c r="Z114" s="54" t="str">
        <f t="shared" si="151"/>
        <v>X</v>
      </c>
      <c r="AA114" s="54" t="str">
        <f t="shared" si="151"/>
        <v>X</v>
      </c>
      <c r="AB114" s="54" t="str">
        <f t="shared" si="151"/>
        <v>X</v>
      </c>
      <c r="AC114" s="54" t="str">
        <f t="shared" si="151"/>
        <v>X</v>
      </c>
      <c r="AD114" s="54" t="str">
        <f t="shared" si="151"/>
        <v>X</v>
      </c>
      <c r="AE114" s="54" t="str">
        <f t="shared" si="151"/>
        <v>X</v>
      </c>
      <c r="AF114" s="54" t="str">
        <f t="shared" si="151"/>
        <v>X</v>
      </c>
      <c r="AG114" s="54" t="str">
        <f t="shared" si="151"/>
        <v>X</v>
      </c>
      <c r="AH114" s="54" t="str">
        <f t="shared" si="151"/>
        <v>X</v>
      </c>
      <c r="AI114" s="54" t="str">
        <f t="shared" si="151"/>
        <v>X</v>
      </c>
      <c r="AJ114" s="54" t="str">
        <f t="shared" si="151"/>
        <v>X</v>
      </c>
      <c r="AK114" s="54" t="str">
        <f t="shared" si="151"/>
        <v>X</v>
      </c>
      <c r="AL114" s="54" t="str">
        <f t="shared" si="151"/>
        <v>X</v>
      </c>
      <c r="AM114" s="54" t="str">
        <f t="shared" si="151"/>
        <v>X</v>
      </c>
      <c r="AN114" s="54" t="str">
        <f t="shared" si="151"/>
        <v>X</v>
      </c>
      <c r="AO114" s="54" t="str">
        <f t="shared" si="151"/>
        <v>X</v>
      </c>
      <c r="AP114" s="54" t="str">
        <f t="shared" si="151"/>
        <v>X</v>
      </c>
      <c r="AQ114" s="54" t="str">
        <f t="shared" si="151"/>
        <v>X</v>
      </c>
      <c r="AR114" s="54" t="str">
        <f t="shared" si="151"/>
        <v>X</v>
      </c>
      <c r="AS114" s="54" t="str">
        <f t="shared" si="151"/>
        <v>X</v>
      </c>
      <c r="AT114" s="54" t="str">
        <f t="shared" si="151"/>
        <v>X</v>
      </c>
      <c r="AU114" s="54" t="str">
        <f t="shared" si="151"/>
        <v>X</v>
      </c>
      <c r="AV114" s="53"/>
      <c r="AW114" s="53"/>
      <c r="AX114" s="53"/>
      <c r="BG114" s="200"/>
      <c r="BJ114"/>
    </row>
    <row r="115" spans="1:66">
      <c r="A115" s="129"/>
      <c r="B115" s="60" t="s">
        <v>663</v>
      </c>
      <c r="C115" s="55">
        <f ca="1">COUNTIF(C109:C114,"O")</f>
        <v>6</v>
      </c>
      <c r="D115" s="55">
        <f t="shared" ref="D115:P115" ca="1" si="152">COUNTIF(D109:D114,"O")</f>
        <v>5</v>
      </c>
      <c r="E115" s="55">
        <f t="shared" ca="1" si="152"/>
        <v>3</v>
      </c>
      <c r="F115" s="55">
        <f t="shared" ca="1" si="152"/>
        <v>6</v>
      </c>
      <c r="G115" s="55">
        <f t="shared" ca="1" si="152"/>
        <v>5</v>
      </c>
      <c r="H115" s="55">
        <f t="shared" ca="1" si="152"/>
        <v>4</v>
      </c>
      <c r="I115" s="55">
        <f t="shared" ca="1" si="152"/>
        <v>6</v>
      </c>
      <c r="J115" s="55">
        <f t="shared" ca="1" si="152"/>
        <v>4</v>
      </c>
      <c r="K115" s="55">
        <f t="shared" ca="1" si="152"/>
        <v>5</v>
      </c>
      <c r="L115" s="55">
        <f t="shared" ca="1" si="152"/>
        <v>5</v>
      </c>
      <c r="M115" s="55">
        <f t="shared" ca="1" si="152"/>
        <v>4</v>
      </c>
      <c r="N115" s="55">
        <f t="shared" ca="1" si="152"/>
        <v>5</v>
      </c>
      <c r="O115" s="55">
        <f t="shared" ca="1" si="152"/>
        <v>4</v>
      </c>
      <c r="P115" s="55">
        <f t="shared" ca="1" si="152"/>
        <v>5</v>
      </c>
      <c r="Q115" s="55">
        <f ca="1">COUNTIF(Q109:Q114,"O")</f>
        <v>4</v>
      </c>
      <c r="R115" s="55">
        <f t="shared" ref="R115:AJ115" si="153">COUNTIF(R109:R114,"O")</f>
        <v>0</v>
      </c>
      <c r="S115" s="55">
        <f t="shared" si="153"/>
        <v>0</v>
      </c>
      <c r="T115" s="55">
        <f t="shared" si="153"/>
        <v>0</v>
      </c>
      <c r="U115" s="55">
        <f t="shared" si="153"/>
        <v>0</v>
      </c>
      <c r="V115" s="55">
        <f t="shared" si="153"/>
        <v>0</v>
      </c>
      <c r="W115" s="55">
        <f t="shared" si="153"/>
        <v>0</v>
      </c>
      <c r="X115" s="55">
        <f t="shared" si="153"/>
        <v>0</v>
      </c>
      <c r="Y115" s="55">
        <f t="shared" si="153"/>
        <v>0</v>
      </c>
      <c r="Z115" s="55">
        <f t="shared" si="153"/>
        <v>0</v>
      </c>
      <c r="AA115" s="55">
        <f t="shared" si="153"/>
        <v>0</v>
      </c>
      <c r="AB115" s="55">
        <f t="shared" si="153"/>
        <v>0</v>
      </c>
      <c r="AC115" s="55">
        <f t="shared" si="153"/>
        <v>0</v>
      </c>
      <c r="AD115" s="55">
        <f t="shared" si="153"/>
        <v>0</v>
      </c>
      <c r="AE115" s="55">
        <f t="shared" si="153"/>
        <v>0</v>
      </c>
      <c r="AF115" s="55">
        <f t="shared" si="153"/>
        <v>0</v>
      </c>
      <c r="AG115" s="55">
        <f t="shared" si="153"/>
        <v>0</v>
      </c>
      <c r="AH115" s="55">
        <f t="shared" si="153"/>
        <v>0</v>
      </c>
      <c r="AI115" s="55">
        <f t="shared" si="153"/>
        <v>0</v>
      </c>
      <c r="AJ115" s="55">
        <f t="shared" si="153"/>
        <v>0</v>
      </c>
      <c r="AK115" s="55">
        <f>COUNTIF(AK109:AK114,"O")</f>
        <v>0</v>
      </c>
      <c r="AL115" s="55">
        <f t="shared" ref="AL115:AU115" si="154">COUNTIF(AL109:AL114,"O")</f>
        <v>0</v>
      </c>
      <c r="AM115" s="55">
        <f t="shared" si="154"/>
        <v>0</v>
      </c>
      <c r="AN115" s="55">
        <f t="shared" si="154"/>
        <v>0</v>
      </c>
      <c r="AO115" s="55">
        <f t="shared" si="154"/>
        <v>0</v>
      </c>
      <c r="AP115" s="55">
        <f t="shared" si="154"/>
        <v>0</v>
      </c>
      <c r="AQ115" s="55">
        <f t="shared" si="154"/>
        <v>0</v>
      </c>
      <c r="AR115" s="55">
        <f t="shared" si="154"/>
        <v>0</v>
      </c>
      <c r="AS115" s="55">
        <f t="shared" si="154"/>
        <v>0</v>
      </c>
      <c r="AT115" s="55">
        <f t="shared" si="154"/>
        <v>0</v>
      </c>
      <c r="AU115" s="55">
        <f t="shared" si="154"/>
        <v>0</v>
      </c>
      <c r="AV115" s="171"/>
      <c r="AW115" s="171"/>
      <c r="AX115" s="171"/>
      <c r="BC115"/>
      <c r="BD115"/>
      <c r="BE115"/>
      <c r="BF115"/>
      <c r="BG115" s="197"/>
      <c r="BJ115"/>
      <c r="BK115"/>
      <c r="BL115"/>
      <c r="BM115" s="120"/>
      <c r="BN115" s="120"/>
    </row>
    <row r="116" spans="1:66" ht="17.5">
      <c r="A116" s="127" t="s">
        <v>840</v>
      </c>
      <c r="B116" s="54" t="s">
        <v>560</v>
      </c>
      <c r="C116" s="54" t="str">
        <f ca="1">IF(C7=$BC$22,"O",IF(C7=$BD$22,"O",IF(C7=$BE$22,"O",IF(C7=$BF$22,"O",IF(C7=$BG$22,"O",IF(C7=$BH$22,"O",IF(C7=$BI$22,"O",IF(C7=$BJ$22,"O",IF(C7=$BK$22,"O",IF(C7=$BL$22,"O",IF(C7=$BM$22,"O",IF(C7=$BN$22,"O",IF(C7=$BO$22,"O",IF(C7=$BP$22,"O",IF(C7=$BQ$22,"O",IF(C7=$BR$22,"O",IF(C7=$BS$22,"O",IF(C7=$BT$22,"O",IF(C7=$BU$22,"O",IF(C7=$BV$22,"O",IF(C7=$BW$22,"O",IF(C7=$BX$22,"O",IF(C7=$BY$22,"O",IF(C7=$BZ$22,"O",IF(C7=$CA$22,"O",IF(C7=$CB$22,"O",IF(C7=$CC$22,"O",IF(C7=$CD$22,"O",IF(C7=$CE$22,"O",IF(C7=$CF$22,"O",IF(C7=$CG$22,"O",IF(C7=$CH$22,"O",IF(C7=$CI$22,"O",IF(C7=$CJ$22,"O",IF(C7=$CK$22,"O",IF(C7=$CL$22,"O",IF(C7=$CM$22,"O",IF(C7=$CN$22,"O",IF(C7=$CO$22,"O",IF(C7=$CP$22,"O","X"))))))))))))))))))))))))))))))))))))))))</f>
        <v>O</v>
      </c>
      <c r="D116" s="54" t="str">
        <f t="shared" ref="D116:Q116" ca="1" si="155">IF(D7=$BC$22,"O",IF(D7=$BD$22,"O",IF(D7=$BE$22,"O",IF(D7=$BF$22,"O",IF(D7=$BG$22,"O",IF(D7=$BH$22,"O",IF(D7=$BI$22,"O",IF(D7=$BJ$22,"O",IF(D7=$BK$22,"O",IF(D7=$BL$22,"O",IF(D7=$BM$22,"O",IF(D7=$BN$22,"O",IF(D7=$BO$22,"O",IF(D7=$BP$22,"O",IF(D7=$BQ$22,"O",IF(D7=$BR$22,"O",IF(D7=$BS$22,"O",IF(D7=$BT$22,"O",IF(D7=$BU$22,"O",IF(D7=$BV$22,"O",IF(D7=$BW$22,"O",IF(D7=$BX$22,"O",IF(D7=$BY$22,"O",IF(D7=$BZ$22,"O",IF(D7=$CA$22,"O",IF(D7=$CB$22,"O",IF(D7=$CC$22,"O",IF(D7=$CD$22,"O",IF(D7=$CE$22,"O",IF(D7=$CF$22,"O",IF(D7=$CG$22,"O",IF(D7=$CH$22,"O",IF(D7=$CI$22,"O",IF(D7=$CJ$22,"O",IF(D7=$CK$22,"O",IF(D7=$CL$22,"O",IF(D7=$CM$22,"O",IF(D7=$CN$22,"O",IF(D7=$CO$22,"O",IF(D7=$CP$22,"O","X"))))))))))))))))))))))))))))))))))))))))</f>
        <v>O</v>
      </c>
      <c r="E116" s="54" t="str">
        <f t="shared" ca="1" si="155"/>
        <v>O</v>
      </c>
      <c r="F116" s="54" t="str">
        <f t="shared" ca="1" si="155"/>
        <v>O</v>
      </c>
      <c r="G116" s="54" t="str">
        <f t="shared" ca="1" si="155"/>
        <v>O</v>
      </c>
      <c r="H116" s="54" t="str">
        <f t="shared" ca="1" si="155"/>
        <v>O</v>
      </c>
      <c r="I116" s="54" t="str">
        <f t="shared" ca="1" si="155"/>
        <v>O</v>
      </c>
      <c r="J116" s="54" t="str">
        <f t="shared" ca="1" si="155"/>
        <v>O</v>
      </c>
      <c r="K116" s="54" t="str">
        <f t="shared" ca="1" si="155"/>
        <v>O</v>
      </c>
      <c r="L116" s="54" t="str">
        <f t="shared" ca="1" si="155"/>
        <v>X</v>
      </c>
      <c r="M116" s="54" t="str">
        <f t="shared" ca="1" si="155"/>
        <v>X</v>
      </c>
      <c r="N116" s="54" t="str">
        <f t="shared" ca="1" si="155"/>
        <v>X</v>
      </c>
      <c r="O116" s="54" t="str">
        <f t="shared" ca="1" si="155"/>
        <v>X</v>
      </c>
      <c r="P116" s="54" t="str">
        <f t="shared" ca="1" si="155"/>
        <v>X</v>
      </c>
      <c r="Q116" s="54" t="str">
        <f t="shared" ca="1" si="155"/>
        <v>O</v>
      </c>
      <c r="R116" s="54" t="str">
        <f t="shared" ref="R116:AU116" si="156">IF(R7=$BC$22,"O",IF(R7=$BD$22,"O",IF(R7=$BE$22,"O",IF(R7=$BF$22,"O",IF(R7=$BG$22,"O",IF(R7=$BH$22,"O",IF(R7=$BI$22,"O",IF(R7=$BJ$22,"O",IF(R7=$BK$22,"O",IF(R7=$BL$22,"O",IF(R7=$BM$22,"O",IF(R7=$BN$22,"O",IF(R7=$BO$22,"O",IF(R7=$BP$22,"O",IF(R7=$BQ$22,"O",IF(R7=$BR$22,"O",IF(R7=$BS$22,"O",IF(R7=$BT$22,"O",IF(R7=$BU$22,"O",IF(R7=$BV$22,"O",IF(R7=$BW$22,"O",IF(R7=$BX$22,"O",IF(R7=$BY$22,"O",IF(R7=$BZ$22,"O",IF(R7=$CA$22,"O",IF(R7=$CB$22,"O","X"))))))))))))))))))))))))))</f>
        <v>X</v>
      </c>
      <c r="S116" s="54" t="str">
        <f t="shared" si="156"/>
        <v>X</v>
      </c>
      <c r="T116" s="54" t="str">
        <f t="shared" si="156"/>
        <v>X</v>
      </c>
      <c r="U116" s="54" t="str">
        <f t="shared" si="156"/>
        <v>X</v>
      </c>
      <c r="V116" s="54" t="str">
        <f t="shared" si="156"/>
        <v>X</v>
      </c>
      <c r="W116" s="54" t="str">
        <f t="shared" si="156"/>
        <v>X</v>
      </c>
      <c r="X116" s="54" t="str">
        <f t="shared" si="156"/>
        <v>X</v>
      </c>
      <c r="Y116" s="54" t="str">
        <f t="shared" si="156"/>
        <v>X</v>
      </c>
      <c r="Z116" s="54" t="str">
        <f t="shared" si="156"/>
        <v>X</v>
      </c>
      <c r="AA116" s="54" t="str">
        <f t="shared" si="156"/>
        <v>X</v>
      </c>
      <c r="AB116" s="54" t="str">
        <f t="shared" si="156"/>
        <v>X</v>
      </c>
      <c r="AC116" s="54" t="str">
        <f t="shared" si="156"/>
        <v>X</v>
      </c>
      <c r="AD116" s="54" t="str">
        <f t="shared" si="156"/>
        <v>X</v>
      </c>
      <c r="AE116" s="54" t="str">
        <f t="shared" si="156"/>
        <v>X</v>
      </c>
      <c r="AF116" s="54" t="str">
        <f t="shared" si="156"/>
        <v>X</v>
      </c>
      <c r="AG116" s="54" t="str">
        <f t="shared" si="156"/>
        <v>X</v>
      </c>
      <c r="AH116" s="54" t="str">
        <f t="shared" si="156"/>
        <v>X</v>
      </c>
      <c r="AI116" s="54" t="str">
        <f t="shared" si="156"/>
        <v>X</v>
      </c>
      <c r="AJ116" s="54" t="str">
        <f t="shared" si="156"/>
        <v>X</v>
      </c>
      <c r="AK116" s="54" t="str">
        <f t="shared" si="156"/>
        <v>X</v>
      </c>
      <c r="AL116" s="54" t="str">
        <f t="shared" si="156"/>
        <v>X</v>
      </c>
      <c r="AM116" s="54" t="str">
        <f t="shared" si="156"/>
        <v>X</v>
      </c>
      <c r="AN116" s="54" t="str">
        <f t="shared" si="156"/>
        <v>X</v>
      </c>
      <c r="AO116" s="54" t="str">
        <f t="shared" si="156"/>
        <v>X</v>
      </c>
      <c r="AP116" s="54" t="str">
        <f t="shared" si="156"/>
        <v>X</v>
      </c>
      <c r="AQ116" s="54" t="str">
        <f t="shared" si="156"/>
        <v>X</v>
      </c>
      <c r="AR116" s="54" t="str">
        <f t="shared" si="156"/>
        <v>X</v>
      </c>
      <c r="AS116" s="54" t="str">
        <f t="shared" si="156"/>
        <v>X</v>
      </c>
      <c r="AT116" s="54" t="str">
        <f t="shared" si="156"/>
        <v>X</v>
      </c>
      <c r="AU116" s="54" t="str">
        <f t="shared" si="156"/>
        <v>X</v>
      </c>
      <c r="AV116" s="53"/>
      <c r="AW116" s="53"/>
      <c r="AX116" s="53"/>
      <c r="BC116"/>
      <c r="BD116"/>
      <c r="BE116"/>
      <c r="BF116"/>
      <c r="BG116" s="118"/>
      <c r="BI116" s="119"/>
      <c r="BJ116"/>
    </row>
    <row r="117" spans="1:66" ht="17.5">
      <c r="A117" s="128"/>
      <c r="B117" s="54" t="s">
        <v>566</v>
      </c>
      <c r="C117" s="54" t="str">
        <f t="shared" ref="C117:Q117" ca="1" si="157">IF(C8=$BC$22,"O",IF(C8=$BD$22,"O",IF(C8=$BE$22,"O",IF(C8=$BF$22,"O",IF(C8=$BG$22,"O",IF(C8=$BH$22,"O",IF(C8=$BI$22,"O",IF(C8=$BJ$22,"O",IF(C8=$BK$22,"O",IF(C8=$BL$22,"O",IF(C8=$BM$22,"O",IF(C8=$BN$22,"O",IF(C8=$BO$22,"O",IF(C8=$BP$22,"O",IF(C8=$BQ$22,"O",IF(C8=$BR$22,"O",IF(C8=$BS$22,"O",IF(C8=$BT$22,"O",IF(C8=$BU$22,"O",IF(C8=$BV$22,"O",IF(C8=$BW$22,"O",IF(C8=$BX$22,"O",IF(C8=$BY$22,"O",IF(C8=$BZ$22,"O",IF(C8=$CA$22,"O",IF(C8=$CB$22,"O",IF(C8=$CC$22,"O",IF(C8=$CD$22,"O",IF(C8=$CE$22,"O",IF(C8=$CF$22,"O",IF(C8=$CG$22,"O",IF(C8=$CH$22,"O",IF(C8=$CI$22,"O",IF(C8=$CJ$22,"O",IF(C8=$CK$22,"O",IF(C8=$CL$22,"O",IF(C8=$CM$22,"O",IF(C8=$CN$22,"O",IF(C8=$CO$22,"O",IF(C8=$CP$22,"O","X"))))))))))))))))))))))))))))))))))))))))</f>
        <v>O</v>
      </c>
      <c r="D117" s="54" t="str">
        <f t="shared" ca="1" si="157"/>
        <v>X</v>
      </c>
      <c r="E117" s="54" t="str">
        <f t="shared" ca="1" si="157"/>
        <v>O</v>
      </c>
      <c r="F117" s="54" t="str">
        <f t="shared" ca="1" si="157"/>
        <v>O</v>
      </c>
      <c r="G117" s="54" t="str">
        <f t="shared" ca="1" si="157"/>
        <v>O</v>
      </c>
      <c r="H117" s="54" t="str">
        <f t="shared" ca="1" si="157"/>
        <v>O</v>
      </c>
      <c r="I117" s="54" t="str">
        <f t="shared" ca="1" si="157"/>
        <v>O</v>
      </c>
      <c r="J117" s="54" t="str">
        <f t="shared" ca="1" si="157"/>
        <v>O</v>
      </c>
      <c r="K117" s="54" t="str">
        <f t="shared" ca="1" si="157"/>
        <v>O</v>
      </c>
      <c r="L117" s="54" t="str">
        <f t="shared" ca="1" si="157"/>
        <v>X</v>
      </c>
      <c r="M117" s="54" t="str">
        <f t="shared" ca="1" si="157"/>
        <v>O</v>
      </c>
      <c r="N117" s="54" t="str">
        <f t="shared" ca="1" si="157"/>
        <v>X</v>
      </c>
      <c r="O117" s="54" t="str">
        <f t="shared" ca="1" si="157"/>
        <v>O</v>
      </c>
      <c r="P117" s="54" t="str">
        <f t="shared" ca="1" si="157"/>
        <v>O</v>
      </c>
      <c r="Q117" s="54" t="str">
        <f t="shared" ca="1" si="157"/>
        <v>X</v>
      </c>
      <c r="R117" s="54" t="str">
        <f t="shared" ref="R117:AU117" si="158">IF(R8=$BC$22,"O",IF(R8=$BD$22,"O",IF(R8=$BE$22,"O",IF(R8=$BF$22,"O",IF(R8=$BG$22,"O",IF(R8=$BH$22,"O",IF(R8=$BI$22,"O",IF(R8=$BJ$22,"O",IF(R8=$BK$22,"O",IF(R8=$BL$22,"O",IF(R8=$BM$22,"O",IF(R8=$BN$22,"O",IF(R8=$BO$22,"O",IF(R8=$BP$22,"O",IF(R8=$BQ$22,"O",IF(R8=$BR$22,"O",IF(R8=$BS$22,"O",IF(R8=$BT$22,"O",IF(R8=$BU$22,"O",IF(R8=$BV$22,"O",IF(R8=$BW$22,"O",IF(R8=$BX$22,"O",IF(R8=$BY$22,"O",IF(R8=$BZ$22,"O",IF(R8=$CA$22,"O",IF(R8=$CB$22,"O","X"))))))))))))))))))))))))))</f>
        <v>X</v>
      </c>
      <c r="S117" s="54" t="str">
        <f t="shared" si="158"/>
        <v>X</v>
      </c>
      <c r="T117" s="54" t="str">
        <f t="shared" si="158"/>
        <v>X</v>
      </c>
      <c r="U117" s="54" t="str">
        <f t="shared" si="158"/>
        <v>X</v>
      </c>
      <c r="V117" s="54" t="str">
        <f t="shared" si="158"/>
        <v>X</v>
      </c>
      <c r="W117" s="54" t="str">
        <f t="shared" si="158"/>
        <v>X</v>
      </c>
      <c r="X117" s="54" t="str">
        <f t="shared" si="158"/>
        <v>X</v>
      </c>
      <c r="Y117" s="54" t="str">
        <f t="shared" si="158"/>
        <v>X</v>
      </c>
      <c r="Z117" s="54" t="str">
        <f t="shared" si="158"/>
        <v>X</v>
      </c>
      <c r="AA117" s="54" t="str">
        <f t="shared" si="158"/>
        <v>X</v>
      </c>
      <c r="AB117" s="54" t="str">
        <f t="shared" si="158"/>
        <v>X</v>
      </c>
      <c r="AC117" s="54" t="str">
        <f t="shared" si="158"/>
        <v>X</v>
      </c>
      <c r="AD117" s="54" t="str">
        <f t="shared" si="158"/>
        <v>X</v>
      </c>
      <c r="AE117" s="54" t="str">
        <f t="shared" si="158"/>
        <v>X</v>
      </c>
      <c r="AF117" s="54" t="str">
        <f t="shared" si="158"/>
        <v>X</v>
      </c>
      <c r="AG117" s="54" t="str">
        <f t="shared" si="158"/>
        <v>X</v>
      </c>
      <c r="AH117" s="54" t="str">
        <f t="shared" si="158"/>
        <v>X</v>
      </c>
      <c r="AI117" s="54" t="str">
        <f t="shared" si="158"/>
        <v>X</v>
      </c>
      <c r="AJ117" s="54" t="str">
        <f t="shared" si="158"/>
        <v>X</v>
      </c>
      <c r="AK117" s="54" t="str">
        <f t="shared" si="158"/>
        <v>X</v>
      </c>
      <c r="AL117" s="54" t="str">
        <f t="shared" si="158"/>
        <v>X</v>
      </c>
      <c r="AM117" s="54" t="str">
        <f t="shared" si="158"/>
        <v>X</v>
      </c>
      <c r="AN117" s="54" t="str">
        <f t="shared" si="158"/>
        <v>X</v>
      </c>
      <c r="AO117" s="54" t="str">
        <f t="shared" si="158"/>
        <v>X</v>
      </c>
      <c r="AP117" s="54" t="str">
        <f t="shared" si="158"/>
        <v>X</v>
      </c>
      <c r="AQ117" s="54" t="str">
        <f t="shared" si="158"/>
        <v>X</v>
      </c>
      <c r="AR117" s="54" t="str">
        <f t="shared" si="158"/>
        <v>X</v>
      </c>
      <c r="AS117" s="54" t="str">
        <f t="shared" si="158"/>
        <v>X</v>
      </c>
      <c r="AT117" s="54" t="str">
        <f t="shared" si="158"/>
        <v>X</v>
      </c>
      <c r="AU117" s="54" t="str">
        <f t="shared" si="158"/>
        <v>X</v>
      </c>
      <c r="AV117" s="53"/>
      <c r="AW117" s="53"/>
      <c r="AX117" s="53"/>
      <c r="BC117"/>
      <c r="BD117"/>
      <c r="BE117"/>
      <c r="BF117"/>
      <c r="BG117" s="118"/>
      <c r="BJ117"/>
    </row>
    <row r="118" spans="1:66" ht="17.5">
      <c r="A118" s="128"/>
      <c r="B118" s="54" t="s">
        <v>567</v>
      </c>
      <c r="C118" s="54" t="str">
        <f t="shared" ref="C118:Q118" ca="1" si="159">IF(C9=$BC$22,"O",IF(C9=$BD$22,"O",IF(C9=$BE$22,"O",IF(C9=$BF$22,"O",IF(C9=$BG$22,"O",IF(C9=$BH$22,"O",IF(C9=$BI$22,"O",IF(C9=$BJ$22,"O",IF(C9=$BK$22,"O",IF(C9=$BL$22,"O",IF(C9=$BM$22,"O",IF(C9=$BN$22,"O",IF(C9=$BO$22,"O",IF(C9=$BP$22,"O",IF(C9=$BQ$22,"O",IF(C9=$BR$22,"O",IF(C9=$BS$22,"O",IF(C9=$BT$22,"O",IF(C9=$BU$22,"O",IF(C9=$BV$22,"O",IF(C9=$BW$22,"O",IF(C9=$BX$22,"O",IF(C9=$BY$22,"O",IF(C9=$BZ$22,"O",IF(C9=$CA$22,"O",IF(C9=$CB$22,"O",IF(C9=$CC$22,"O",IF(C9=$CD$22,"O",IF(C9=$CE$22,"O",IF(C9=$CF$22,"O",IF(C9=$CG$22,"O",IF(C9=$CH$22,"O",IF(C9=$CI$22,"O",IF(C9=$CJ$22,"O",IF(C9=$CK$22,"O",IF(C9=$CL$22,"O",IF(C9=$CM$22,"O",IF(C9=$CN$22,"O",IF(C9=$CO$22,"O",IF(C9=$CP$22,"O","X"))))))))))))))))))))))))))))))))))))))))</f>
        <v>O</v>
      </c>
      <c r="D118" s="54" t="str">
        <f t="shared" ca="1" si="159"/>
        <v>O</v>
      </c>
      <c r="E118" s="54" t="str">
        <f t="shared" ca="1" si="159"/>
        <v>X</v>
      </c>
      <c r="F118" s="54" t="str">
        <f t="shared" ca="1" si="159"/>
        <v>X</v>
      </c>
      <c r="G118" s="54" t="str">
        <f t="shared" ca="1" si="159"/>
        <v>O</v>
      </c>
      <c r="H118" s="54" t="str">
        <f t="shared" ca="1" si="159"/>
        <v>O</v>
      </c>
      <c r="I118" s="54" t="str">
        <f t="shared" ca="1" si="159"/>
        <v>O</v>
      </c>
      <c r="J118" s="54" t="str">
        <f t="shared" ca="1" si="159"/>
        <v>O</v>
      </c>
      <c r="K118" s="54" t="str">
        <f t="shared" ca="1" si="159"/>
        <v>X</v>
      </c>
      <c r="L118" s="54" t="str">
        <f t="shared" ca="1" si="159"/>
        <v>X</v>
      </c>
      <c r="M118" s="54" t="str">
        <f t="shared" ca="1" si="159"/>
        <v>O</v>
      </c>
      <c r="N118" s="54" t="str">
        <f t="shared" ca="1" si="159"/>
        <v>O</v>
      </c>
      <c r="O118" s="54" t="str">
        <f t="shared" ca="1" si="159"/>
        <v>O</v>
      </c>
      <c r="P118" s="54" t="str">
        <f t="shared" ca="1" si="159"/>
        <v>O</v>
      </c>
      <c r="Q118" s="54" t="str">
        <f t="shared" ca="1" si="159"/>
        <v>X</v>
      </c>
      <c r="R118" s="54" t="str">
        <f t="shared" ref="R118:AU118" si="160">IF(R9=$BC$22,"O",IF(R9=$BD$22,"O",IF(R9=$BE$22,"O",IF(R9=$BF$22,"O",IF(R9=$BG$22,"O",IF(R9=$BH$22,"O",IF(R9=$BI$22,"O",IF(R9=$BJ$22,"O",IF(R9=$BK$22,"O",IF(R9=$BL$22,"O",IF(R9=$BM$22,"O",IF(R9=$BN$22,"O",IF(R9=$BO$22,"O",IF(R9=$BP$22,"O",IF(R9=$BQ$22,"O",IF(R9=$BR$22,"O",IF(R9=$BS$22,"O",IF(R9=$BT$22,"O",IF(R9=$BU$22,"O",IF(R9=$BV$22,"O",IF(R9=$BW$22,"O",IF(R9=$BX$22,"O",IF(R9=$BY$22,"O",IF(R9=$BZ$22,"O",IF(R9=$CA$22,"O",IF(R9=$CB$22,"O","X"))))))))))))))))))))))))))</f>
        <v>X</v>
      </c>
      <c r="S118" s="54" t="str">
        <f t="shared" si="160"/>
        <v>X</v>
      </c>
      <c r="T118" s="54" t="str">
        <f t="shared" si="160"/>
        <v>X</v>
      </c>
      <c r="U118" s="54" t="str">
        <f t="shared" si="160"/>
        <v>X</v>
      </c>
      <c r="V118" s="54" t="str">
        <f t="shared" si="160"/>
        <v>X</v>
      </c>
      <c r="W118" s="54" t="str">
        <f t="shared" si="160"/>
        <v>X</v>
      </c>
      <c r="X118" s="54" t="str">
        <f t="shared" si="160"/>
        <v>X</v>
      </c>
      <c r="Y118" s="54" t="str">
        <f t="shared" si="160"/>
        <v>X</v>
      </c>
      <c r="Z118" s="54" t="str">
        <f t="shared" si="160"/>
        <v>X</v>
      </c>
      <c r="AA118" s="54" t="str">
        <f t="shared" si="160"/>
        <v>X</v>
      </c>
      <c r="AB118" s="54" t="str">
        <f t="shared" si="160"/>
        <v>X</v>
      </c>
      <c r="AC118" s="54" t="str">
        <f t="shared" si="160"/>
        <v>X</v>
      </c>
      <c r="AD118" s="54" t="str">
        <f t="shared" si="160"/>
        <v>X</v>
      </c>
      <c r="AE118" s="54" t="str">
        <f t="shared" si="160"/>
        <v>X</v>
      </c>
      <c r="AF118" s="54" t="str">
        <f t="shared" si="160"/>
        <v>X</v>
      </c>
      <c r="AG118" s="54" t="str">
        <f t="shared" si="160"/>
        <v>X</v>
      </c>
      <c r="AH118" s="54" t="str">
        <f t="shared" si="160"/>
        <v>X</v>
      </c>
      <c r="AI118" s="54" t="str">
        <f t="shared" si="160"/>
        <v>X</v>
      </c>
      <c r="AJ118" s="54" t="str">
        <f t="shared" si="160"/>
        <v>X</v>
      </c>
      <c r="AK118" s="54" t="str">
        <f t="shared" si="160"/>
        <v>X</v>
      </c>
      <c r="AL118" s="54" t="str">
        <f t="shared" si="160"/>
        <v>X</v>
      </c>
      <c r="AM118" s="54" t="str">
        <f t="shared" si="160"/>
        <v>X</v>
      </c>
      <c r="AN118" s="54" t="str">
        <f t="shared" si="160"/>
        <v>X</v>
      </c>
      <c r="AO118" s="54" t="str">
        <f t="shared" si="160"/>
        <v>X</v>
      </c>
      <c r="AP118" s="54" t="str">
        <f t="shared" si="160"/>
        <v>X</v>
      </c>
      <c r="AQ118" s="54" t="str">
        <f t="shared" si="160"/>
        <v>X</v>
      </c>
      <c r="AR118" s="54" t="str">
        <f t="shared" si="160"/>
        <v>X</v>
      </c>
      <c r="AS118" s="54" t="str">
        <f t="shared" si="160"/>
        <v>X</v>
      </c>
      <c r="AT118" s="54" t="str">
        <f t="shared" si="160"/>
        <v>X</v>
      </c>
      <c r="AU118" s="54" t="str">
        <f t="shared" si="160"/>
        <v>X</v>
      </c>
      <c r="AV118" s="53"/>
      <c r="AW118" s="53"/>
      <c r="AX118" s="53"/>
      <c r="BC118"/>
      <c r="BD118"/>
      <c r="BE118"/>
      <c r="BF118"/>
      <c r="BG118" s="118"/>
      <c r="BJ118"/>
    </row>
    <row r="119" spans="1:66" ht="17.5">
      <c r="A119" s="128"/>
      <c r="B119" s="54" t="s">
        <v>568</v>
      </c>
      <c r="C119" s="54" t="str">
        <f t="shared" ref="C119:Q119" ca="1" si="161">IF(C10=$BC$22,"O",IF(C10=$BD$22,"O",IF(C10=$BE$22,"O",IF(C10=$BF$22,"O",IF(C10=$BG$22,"O",IF(C10=$BH$22,"O",IF(C10=$BI$22,"O",IF(C10=$BJ$22,"O",IF(C10=$BK$22,"O",IF(C10=$BL$22,"O",IF(C10=$BM$22,"O",IF(C10=$BN$22,"O",IF(C10=$BO$22,"O",IF(C10=$BP$22,"O",IF(C10=$BQ$22,"O",IF(C10=$BR$22,"O",IF(C10=$BS$22,"O",IF(C10=$BT$22,"O",IF(C10=$BU$22,"O",IF(C10=$BV$22,"O",IF(C10=$BW$22,"O",IF(C10=$BX$22,"O",IF(C10=$BY$22,"O",IF(C10=$BZ$22,"O",IF(C10=$CA$22,"O",IF(C10=$CB$22,"O",IF(C10=$CC$22,"O",IF(C10=$CD$22,"O",IF(C10=$CE$22,"O",IF(C10=$CF$22,"O",IF(C10=$CG$22,"O",IF(C10=$CH$22,"O",IF(C10=$CI$22,"O",IF(C10=$CJ$22,"O",IF(C10=$CK$22,"O",IF(C10=$CL$22,"O",IF(C10=$CM$22,"O",IF(C10=$CN$22,"O",IF(C10=$CO$22,"O",IF(C10=$CP$22,"O","X"))))))))))))))))))))))))))))))))))))))))</f>
        <v>O</v>
      </c>
      <c r="D119" s="54" t="str">
        <f t="shared" ca="1" si="161"/>
        <v>O</v>
      </c>
      <c r="E119" s="54" t="str">
        <f t="shared" ca="1" si="161"/>
        <v>O</v>
      </c>
      <c r="F119" s="54" t="str">
        <f t="shared" ca="1" si="161"/>
        <v>O</v>
      </c>
      <c r="G119" s="54" t="str">
        <f t="shared" ca="1" si="161"/>
        <v>O</v>
      </c>
      <c r="H119" s="54" t="str">
        <f t="shared" ca="1" si="161"/>
        <v>X</v>
      </c>
      <c r="I119" s="54" t="str">
        <f t="shared" ca="1" si="161"/>
        <v>O</v>
      </c>
      <c r="J119" s="54" t="str">
        <f t="shared" ca="1" si="161"/>
        <v>X</v>
      </c>
      <c r="K119" s="54" t="str">
        <f t="shared" ca="1" si="161"/>
        <v>X</v>
      </c>
      <c r="L119" s="54" t="str">
        <f t="shared" ca="1" si="161"/>
        <v>O</v>
      </c>
      <c r="M119" s="54" t="str">
        <f t="shared" ca="1" si="161"/>
        <v>O</v>
      </c>
      <c r="N119" s="54" t="str">
        <f t="shared" ca="1" si="161"/>
        <v>X</v>
      </c>
      <c r="O119" s="54" t="str">
        <f t="shared" ca="1" si="161"/>
        <v>O</v>
      </c>
      <c r="P119" s="54" t="str">
        <f t="shared" ca="1" si="161"/>
        <v>O</v>
      </c>
      <c r="Q119" s="54" t="str">
        <f t="shared" ca="1" si="161"/>
        <v>X</v>
      </c>
      <c r="R119" s="54" t="str">
        <f t="shared" ref="R119:AU119" si="162">IF(R10=$BC$22,"O",IF(R10=$BD$22,"O",IF(R10=$BE$22,"O",IF(R10=$BF$22,"O",IF(R10=$BG$22,"O",IF(R10=$BH$22,"O",IF(R10=$BI$22,"O",IF(R10=$BJ$22,"O",IF(R10=$BK$22,"O",IF(R10=$BL$22,"O",IF(R10=$BM$22,"O",IF(R10=$BN$22,"O",IF(R10=$BO$22,"O",IF(R10=$BP$22,"O",IF(R10=$BQ$22,"O",IF(R10=$BR$22,"O",IF(R10=$BS$22,"O",IF(R10=$BT$22,"O",IF(R10=$BU$22,"O",IF(R10=$BV$22,"O",IF(R10=$BW$22,"O",IF(R10=$BX$22,"O",IF(R10=$BY$22,"O",IF(R10=$BZ$22,"O",IF(R10=$CA$22,"O",IF(R10=$CB$22,"O","X"))))))))))))))))))))))))))</f>
        <v>X</v>
      </c>
      <c r="S119" s="54" t="str">
        <f t="shared" si="162"/>
        <v>X</v>
      </c>
      <c r="T119" s="54" t="str">
        <f t="shared" si="162"/>
        <v>X</v>
      </c>
      <c r="U119" s="54" t="str">
        <f t="shared" si="162"/>
        <v>X</v>
      </c>
      <c r="V119" s="54" t="str">
        <f t="shared" si="162"/>
        <v>X</v>
      </c>
      <c r="W119" s="54" t="str">
        <f t="shared" si="162"/>
        <v>X</v>
      </c>
      <c r="X119" s="54" t="str">
        <f t="shared" si="162"/>
        <v>X</v>
      </c>
      <c r="Y119" s="54" t="str">
        <f t="shared" si="162"/>
        <v>X</v>
      </c>
      <c r="Z119" s="54" t="str">
        <f t="shared" si="162"/>
        <v>X</v>
      </c>
      <c r="AA119" s="54" t="str">
        <f t="shared" si="162"/>
        <v>X</v>
      </c>
      <c r="AB119" s="54" t="str">
        <f t="shared" si="162"/>
        <v>X</v>
      </c>
      <c r="AC119" s="54" t="str">
        <f t="shared" si="162"/>
        <v>X</v>
      </c>
      <c r="AD119" s="54" t="str">
        <f t="shared" si="162"/>
        <v>X</v>
      </c>
      <c r="AE119" s="54" t="str">
        <f t="shared" si="162"/>
        <v>X</v>
      </c>
      <c r="AF119" s="54" t="str">
        <f t="shared" si="162"/>
        <v>X</v>
      </c>
      <c r="AG119" s="54" t="str">
        <f t="shared" si="162"/>
        <v>X</v>
      </c>
      <c r="AH119" s="54" t="str">
        <f t="shared" si="162"/>
        <v>X</v>
      </c>
      <c r="AI119" s="54" t="str">
        <f t="shared" si="162"/>
        <v>X</v>
      </c>
      <c r="AJ119" s="54" t="str">
        <f t="shared" si="162"/>
        <v>X</v>
      </c>
      <c r="AK119" s="54" t="str">
        <f t="shared" si="162"/>
        <v>X</v>
      </c>
      <c r="AL119" s="54" t="str">
        <f t="shared" si="162"/>
        <v>X</v>
      </c>
      <c r="AM119" s="54" t="str">
        <f t="shared" si="162"/>
        <v>X</v>
      </c>
      <c r="AN119" s="54" t="str">
        <f t="shared" si="162"/>
        <v>X</v>
      </c>
      <c r="AO119" s="54" t="str">
        <f t="shared" si="162"/>
        <v>X</v>
      </c>
      <c r="AP119" s="54" t="str">
        <f t="shared" si="162"/>
        <v>X</v>
      </c>
      <c r="AQ119" s="54" t="str">
        <f t="shared" si="162"/>
        <v>X</v>
      </c>
      <c r="AR119" s="54" t="str">
        <f t="shared" si="162"/>
        <v>X</v>
      </c>
      <c r="AS119" s="54" t="str">
        <f t="shared" si="162"/>
        <v>X</v>
      </c>
      <c r="AT119" s="54" t="str">
        <f t="shared" si="162"/>
        <v>X</v>
      </c>
      <c r="AU119" s="54" t="str">
        <f t="shared" si="162"/>
        <v>X</v>
      </c>
      <c r="AV119" s="53"/>
      <c r="AW119" s="53"/>
      <c r="AX119" s="53"/>
      <c r="BC119"/>
      <c r="BD119"/>
      <c r="BE119"/>
      <c r="BF119"/>
      <c r="BG119" s="118"/>
      <c r="BJ119"/>
    </row>
    <row r="120" spans="1:66" ht="17.5">
      <c r="A120" s="128"/>
      <c r="B120" s="54" t="s">
        <v>569</v>
      </c>
      <c r="C120" s="54" t="str">
        <f t="shared" ref="C120:Q120" ca="1" si="163">IF(C11=$BC$22,"O",IF(C11=$BD$22,"O",IF(C11=$BE$22,"O",IF(C11=$BF$22,"O",IF(C11=$BG$22,"O",IF(C11=$BH$22,"O",IF(C11=$BI$22,"O",IF(C11=$BJ$22,"O",IF(C11=$BK$22,"O",IF(C11=$BL$22,"O",IF(C11=$BM$22,"O",IF(C11=$BN$22,"O",IF(C11=$BO$22,"O",IF(C11=$BP$22,"O",IF(C11=$BQ$22,"O",IF(C11=$BR$22,"O",IF(C11=$BS$22,"O",IF(C11=$BT$22,"O",IF(C11=$BU$22,"O",IF(C11=$BV$22,"O",IF(C11=$BW$22,"O",IF(C11=$BX$22,"O",IF(C11=$BY$22,"O",IF(C11=$BZ$22,"O",IF(C11=$CA$22,"O",IF(C11=$CB$22,"O",IF(C11=$CC$22,"O",IF(C11=$CD$22,"O",IF(C11=$CE$22,"O",IF(C11=$CF$22,"O",IF(C11=$CG$22,"O",IF(C11=$CH$22,"O",IF(C11=$CI$22,"O",IF(C11=$CJ$22,"O",IF(C11=$CK$22,"O",IF(C11=$CL$22,"O",IF(C11=$CM$22,"O",IF(C11=$CN$22,"O",IF(C11=$CO$22,"O",IF(C11=$CP$22,"O","X"))))))))))))))))))))))))))))))))))))))))</f>
        <v>O</v>
      </c>
      <c r="D120" s="54" t="str">
        <f t="shared" ca="1" si="163"/>
        <v>X</v>
      </c>
      <c r="E120" s="54" t="str">
        <f t="shared" ca="1" si="163"/>
        <v>O</v>
      </c>
      <c r="F120" s="54" t="str">
        <f t="shared" ca="1" si="163"/>
        <v>O</v>
      </c>
      <c r="G120" s="54" t="str">
        <f t="shared" ca="1" si="163"/>
        <v>X</v>
      </c>
      <c r="H120" s="54" t="str">
        <f t="shared" ca="1" si="163"/>
        <v>O</v>
      </c>
      <c r="I120" s="54" t="str">
        <f t="shared" ca="1" si="163"/>
        <v>X</v>
      </c>
      <c r="J120" s="54" t="str">
        <f t="shared" ca="1" si="163"/>
        <v>X</v>
      </c>
      <c r="K120" s="54" t="str">
        <f t="shared" ca="1" si="163"/>
        <v>O</v>
      </c>
      <c r="L120" s="54" t="str">
        <f t="shared" ca="1" si="163"/>
        <v>X</v>
      </c>
      <c r="M120" s="54" t="str">
        <f t="shared" ca="1" si="163"/>
        <v>O</v>
      </c>
      <c r="N120" s="54" t="str">
        <f t="shared" ca="1" si="163"/>
        <v>O</v>
      </c>
      <c r="O120" s="54" t="str">
        <f t="shared" ca="1" si="163"/>
        <v>O</v>
      </c>
      <c r="P120" s="54" t="str">
        <f t="shared" ca="1" si="163"/>
        <v>O</v>
      </c>
      <c r="Q120" s="54" t="str">
        <f t="shared" ca="1" si="163"/>
        <v>X</v>
      </c>
      <c r="R120" s="54" t="str">
        <f t="shared" ref="R120:AU120" si="164">IF(R11=$BC$22,"O",IF(R11=$BD$22,"O",IF(R11=$BE$22,"O",IF(R11=$BF$22,"O",IF(R11=$BG$22,"O",IF(R11=$BH$22,"O",IF(R11=$BI$22,"O",IF(R11=$BJ$22,"O",IF(R11=$BK$22,"O",IF(R11=$BL$22,"O",IF(R11=$BM$22,"O",IF(R11=$BN$22,"O",IF(R11=$BO$22,"O",IF(R11=$BP$22,"O",IF(R11=$BQ$22,"O",IF(R11=$BR$22,"O",IF(R11=$BS$22,"O",IF(R11=$BT$22,"O",IF(R11=$BU$22,"O",IF(R11=$BV$22,"O",IF(R11=$BW$22,"O",IF(R11=$BX$22,"O",IF(R11=$BY$22,"O",IF(R11=$BZ$22,"O",IF(R11=$CA$22,"O",IF(R11=$CB$22,"O","X"))))))))))))))))))))))))))</f>
        <v>X</v>
      </c>
      <c r="S120" s="54" t="str">
        <f t="shared" si="164"/>
        <v>X</v>
      </c>
      <c r="T120" s="54" t="str">
        <f t="shared" si="164"/>
        <v>X</v>
      </c>
      <c r="U120" s="54" t="str">
        <f t="shared" si="164"/>
        <v>X</v>
      </c>
      <c r="V120" s="54" t="str">
        <f t="shared" si="164"/>
        <v>X</v>
      </c>
      <c r="W120" s="54" t="str">
        <f t="shared" si="164"/>
        <v>X</v>
      </c>
      <c r="X120" s="54" t="str">
        <f t="shared" si="164"/>
        <v>X</v>
      </c>
      <c r="Y120" s="54" t="str">
        <f t="shared" si="164"/>
        <v>X</v>
      </c>
      <c r="Z120" s="54" t="str">
        <f t="shared" si="164"/>
        <v>X</v>
      </c>
      <c r="AA120" s="54" t="str">
        <f t="shared" si="164"/>
        <v>X</v>
      </c>
      <c r="AB120" s="54" t="str">
        <f t="shared" si="164"/>
        <v>X</v>
      </c>
      <c r="AC120" s="54" t="str">
        <f t="shared" si="164"/>
        <v>X</v>
      </c>
      <c r="AD120" s="54" t="str">
        <f t="shared" si="164"/>
        <v>X</v>
      </c>
      <c r="AE120" s="54" t="str">
        <f t="shared" si="164"/>
        <v>X</v>
      </c>
      <c r="AF120" s="54" t="str">
        <f t="shared" si="164"/>
        <v>X</v>
      </c>
      <c r="AG120" s="54" t="str">
        <f t="shared" si="164"/>
        <v>X</v>
      </c>
      <c r="AH120" s="54" t="str">
        <f t="shared" si="164"/>
        <v>X</v>
      </c>
      <c r="AI120" s="54" t="str">
        <f t="shared" si="164"/>
        <v>X</v>
      </c>
      <c r="AJ120" s="54" t="str">
        <f t="shared" si="164"/>
        <v>X</v>
      </c>
      <c r="AK120" s="54" t="str">
        <f t="shared" si="164"/>
        <v>X</v>
      </c>
      <c r="AL120" s="54" t="str">
        <f t="shared" si="164"/>
        <v>X</v>
      </c>
      <c r="AM120" s="54" t="str">
        <f t="shared" si="164"/>
        <v>X</v>
      </c>
      <c r="AN120" s="54" t="str">
        <f t="shared" si="164"/>
        <v>X</v>
      </c>
      <c r="AO120" s="54" t="str">
        <f t="shared" si="164"/>
        <v>X</v>
      </c>
      <c r="AP120" s="54" t="str">
        <f t="shared" si="164"/>
        <v>X</v>
      </c>
      <c r="AQ120" s="54" t="str">
        <f t="shared" si="164"/>
        <v>X</v>
      </c>
      <c r="AR120" s="54" t="str">
        <f t="shared" si="164"/>
        <v>X</v>
      </c>
      <c r="AS120" s="54" t="str">
        <f t="shared" si="164"/>
        <v>X</v>
      </c>
      <c r="AT120" s="54" t="str">
        <f t="shared" si="164"/>
        <v>X</v>
      </c>
      <c r="AU120" s="54" t="str">
        <f t="shared" si="164"/>
        <v>X</v>
      </c>
      <c r="AV120" s="53"/>
      <c r="AW120" s="53"/>
      <c r="AX120" s="53"/>
      <c r="BC120"/>
      <c r="BD120"/>
      <c r="BE120"/>
      <c r="BF120"/>
      <c r="BG120" s="118"/>
      <c r="BJ120"/>
    </row>
    <row r="121" spans="1:66" ht="17.5">
      <c r="A121" s="128"/>
      <c r="B121" s="54" t="s">
        <v>540</v>
      </c>
      <c r="C121" s="54" t="str">
        <f t="shared" ref="C121:P121" ca="1" si="165">IF(C12=$BC$22,"O",IF(C12=$BD$22,"O",IF(C12=$BE$22,"O",IF(C12=$BF$22,"O",IF(C12=$BG$22,"O",IF(C12=$BH$22,"O",IF(C12=$BI$22,"O",IF(C12=$BJ$22,"O",IF(C12=$BK$22,"O",IF(C12=$BL$22,"O",IF(C12=$BM$22,"O",IF(C12=$BN$22,"O",IF(C12=$BO$22,"O",IF(C12=$BP$22,"O",IF(C12=$BQ$22,"O",IF(C12=$BR$22,"O",IF(C12=$BS$22,"O",IF(C12=$BT$22,"O",IF(C12=$BU$22,"O",IF(C12=$BV$22,"O",IF(C12=$BW$22,"O",IF(C12=$BX$22,"O",IF(C12=$BY$22,"O",IF(C12=$BZ$22,"O",IF(C12=$CA$22,"O",IF(C12=$CB$22,"O",IF(C12=$CC$22,"O",IF(C12=$CD$22,"O",IF(C12=$CE$22,"O",IF(C12=$CF$22,"O",IF(C12=$CG$22,"O",IF(C12=$CH$22,"O",IF(C12=$CI$22,"O",IF(C12=$CJ$22,"O",IF(C12=$CK$22,"O",IF(C12=$CL$22,"O",IF(C12=$CM$22,"O",IF(C12=$CN$22,"O",IF(C12=$CO$22,"O",IF(C12=$CP$22,"O","X"))))))))))))))))))))))))))))))))))))))))</f>
        <v>O</v>
      </c>
      <c r="D121" s="54" t="str">
        <f t="shared" ca="1" si="165"/>
        <v>X</v>
      </c>
      <c r="E121" s="54" t="str">
        <f t="shared" ca="1" si="165"/>
        <v>X</v>
      </c>
      <c r="F121" s="54" t="str">
        <f t="shared" ca="1" si="165"/>
        <v>X</v>
      </c>
      <c r="G121" s="54" t="str">
        <f t="shared" ca="1" si="165"/>
        <v>X</v>
      </c>
      <c r="H121" s="54" t="str">
        <f t="shared" ca="1" si="165"/>
        <v>X</v>
      </c>
      <c r="I121" s="54" t="str">
        <f t="shared" ca="1" si="165"/>
        <v>O</v>
      </c>
      <c r="J121" s="54" t="str">
        <f t="shared" ca="1" si="165"/>
        <v>O</v>
      </c>
      <c r="K121" s="54" t="str">
        <f t="shared" ca="1" si="165"/>
        <v>O</v>
      </c>
      <c r="L121" s="54" t="str">
        <f t="shared" ca="1" si="165"/>
        <v>O</v>
      </c>
      <c r="M121" s="54" t="str">
        <f t="shared" ca="1" si="165"/>
        <v>X</v>
      </c>
      <c r="N121" s="54" t="str">
        <f t="shared" ca="1" si="165"/>
        <v>O</v>
      </c>
      <c r="O121" s="54" t="str">
        <f t="shared" ca="1" si="165"/>
        <v>O</v>
      </c>
      <c r="P121" s="54" t="str">
        <f t="shared" ca="1" si="165"/>
        <v>O</v>
      </c>
      <c r="Q121" s="54" t="str">
        <f ca="1">IF(Q12=$BC$22,"O",IF(Q12=$BD$22,"O",IF(Q12=$BE$22,"O",IF(Q12=$BF$22,"O",IF(Q12=$BG$22,"O",IF(Q12=$BH$22,"O",IF(Q12=$BI$22,"O",IF(Q12=$BJ$22,"O",IF(Q12=$BK$22,"O",IF(Q12=$BL$22,"O",IF(Q12=$BM$22,"O",IF(Q12=$BN$22,"O",IF(Q12=$BO$22,"O",IF(Q12=$BP$22,"O",IF(Q12=$BQ$22,"O",IF(Q12=$BR$22,"O",IF(Q12=$BS$22,"O",IF(Q12=$BT$22,"O",IF(Q12=$BU$22,"O",IF(Q12=$BV$22,"O",IF(Q12=$BW$22,"O",IF(Q12=$BX$22,"O",IF(Q12=$BY$22,"O",IF(Q12=$BZ$22,"O",IF(Q12=$CA$22,"O",IF(Q12=$CB$22,"O",IF(Q12=$CC$22,"O",IF(Q12=$CD$22,"O",IF(Q12=$CE$22,"O",IF(Q12=$CF$22,"O",IF(Q12=$CG$22,"O",IF(Q12=$CH$22,"O",IF(Q12=$CI$22,"O",IF(Q12=$CJ$22,"O",IF(Q12=$CK$22,"O",IF(Q12=$CL$22,"O",IF(Q12=$CM$22,"O",IF(Q12=$CN$22,"O",IF(Q12=$CO$22,"O",IF(Q12=$CP$22,"O","X"))))))))))))))))))))))))))))))))))))))))</f>
        <v>O</v>
      </c>
      <c r="R121" s="54" t="str">
        <f t="shared" ref="R121:AU121" si="166">IF(R12=$BC$22,"O",IF(R12=$BD$22,"O",IF(R12=$BE$22,"O",IF(R12=$BF$22,"O",IF(R12=$BG$22,"O",IF(R12=$BH$22,"O",IF(R12=$BI$22,"O",IF(R12=$BJ$22,"O",IF(R12=$BK$22,"O",IF(R12=$BL$22,"O",IF(R12=$BM$22,"O",IF(R12=$BN$22,"O",IF(R12=$BO$22,"O",IF(R12=$BP$22,"O",IF(R12=$BQ$22,"O",IF(R12=$BR$22,"O",IF(R12=$BS$22,"O",IF(R12=$BT$22,"O",IF(R12=$BU$22,"O",IF(R12=$BV$22,"O",IF(R12=$BW$22,"O",IF(R12=$BX$22,"O",IF(R12=$BY$22,"O",IF(R12=$BZ$22,"O",IF(R12=$CA$22,"O",IF(R12=$CB$22,"O","X"))))))))))))))))))))))))))</f>
        <v>X</v>
      </c>
      <c r="S121" s="54" t="str">
        <f t="shared" si="166"/>
        <v>X</v>
      </c>
      <c r="T121" s="54" t="str">
        <f t="shared" si="166"/>
        <v>X</v>
      </c>
      <c r="U121" s="54" t="str">
        <f t="shared" si="166"/>
        <v>X</v>
      </c>
      <c r="V121" s="54" t="str">
        <f t="shared" si="166"/>
        <v>X</v>
      </c>
      <c r="W121" s="54" t="str">
        <f t="shared" si="166"/>
        <v>X</v>
      </c>
      <c r="X121" s="54" t="str">
        <f t="shared" si="166"/>
        <v>X</v>
      </c>
      <c r="Y121" s="54" t="str">
        <f t="shared" si="166"/>
        <v>X</v>
      </c>
      <c r="Z121" s="54" t="str">
        <f t="shared" si="166"/>
        <v>X</v>
      </c>
      <c r="AA121" s="54" t="str">
        <f t="shared" si="166"/>
        <v>X</v>
      </c>
      <c r="AB121" s="54" t="str">
        <f t="shared" si="166"/>
        <v>X</v>
      </c>
      <c r="AC121" s="54" t="str">
        <f t="shared" si="166"/>
        <v>X</v>
      </c>
      <c r="AD121" s="54" t="str">
        <f t="shared" si="166"/>
        <v>X</v>
      </c>
      <c r="AE121" s="54" t="str">
        <f t="shared" si="166"/>
        <v>X</v>
      </c>
      <c r="AF121" s="54" t="str">
        <f t="shared" si="166"/>
        <v>X</v>
      </c>
      <c r="AG121" s="54" t="str">
        <f t="shared" si="166"/>
        <v>X</v>
      </c>
      <c r="AH121" s="54" t="str">
        <f t="shared" si="166"/>
        <v>X</v>
      </c>
      <c r="AI121" s="54" t="str">
        <f t="shared" si="166"/>
        <v>X</v>
      </c>
      <c r="AJ121" s="54" t="str">
        <f t="shared" si="166"/>
        <v>X</v>
      </c>
      <c r="AK121" s="54" t="str">
        <f t="shared" si="166"/>
        <v>X</v>
      </c>
      <c r="AL121" s="54" t="str">
        <f t="shared" si="166"/>
        <v>X</v>
      </c>
      <c r="AM121" s="54" t="str">
        <f t="shared" si="166"/>
        <v>X</v>
      </c>
      <c r="AN121" s="54" t="str">
        <f t="shared" si="166"/>
        <v>X</v>
      </c>
      <c r="AO121" s="54" t="str">
        <f t="shared" si="166"/>
        <v>X</v>
      </c>
      <c r="AP121" s="54" t="str">
        <f t="shared" si="166"/>
        <v>X</v>
      </c>
      <c r="AQ121" s="54" t="str">
        <f t="shared" si="166"/>
        <v>X</v>
      </c>
      <c r="AR121" s="54" t="str">
        <f t="shared" si="166"/>
        <v>X</v>
      </c>
      <c r="AS121" s="54" t="str">
        <f t="shared" si="166"/>
        <v>X</v>
      </c>
      <c r="AT121" s="54" t="str">
        <f t="shared" si="166"/>
        <v>X</v>
      </c>
      <c r="AU121" s="54" t="str">
        <f t="shared" si="166"/>
        <v>X</v>
      </c>
      <c r="AV121" s="53"/>
      <c r="AW121" s="53"/>
      <c r="AX121" s="53"/>
      <c r="BC121"/>
      <c r="BD121"/>
      <c r="BE121"/>
      <c r="BF121"/>
      <c r="BG121" s="118"/>
      <c r="BJ121"/>
    </row>
    <row r="122" spans="1:66" ht="17.5">
      <c r="A122" s="129"/>
      <c r="B122" s="60" t="s">
        <v>663</v>
      </c>
      <c r="C122" s="55">
        <f ca="1">COUNTIF(C116:C121,"O")</f>
        <v>6</v>
      </c>
      <c r="D122" s="55">
        <f t="shared" ref="D122:Q122" ca="1" si="167">COUNTIF(D116:D121,"O")</f>
        <v>3</v>
      </c>
      <c r="E122" s="55">
        <f t="shared" ca="1" si="167"/>
        <v>4</v>
      </c>
      <c r="F122" s="55">
        <f t="shared" ca="1" si="167"/>
        <v>4</v>
      </c>
      <c r="G122" s="55">
        <f t="shared" ca="1" si="167"/>
        <v>4</v>
      </c>
      <c r="H122" s="55">
        <f t="shared" ca="1" si="167"/>
        <v>4</v>
      </c>
      <c r="I122" s="55">
        <f t="shared" ca="1" si="167"/>
        <v>5</v>
      </c>
      <c r="J122" s="55">
        <f t="shared" ca="1" si="167"/>
        <v>4</v>
      </c>
      <c r="K122" s="55">
        <f t="shared" ca="1" si="167"/>
        <v>4</v>
      </c>
      <c r="L122" s="55">
        <f t="shared" ca="1" si="167"/>
        <v>2</v>
      </c>
      <c r="M122" s="55">
        <f t="shared" ca="1" si="167"/>
        <v>4</v>
      </c>
      <c r="N122" s="55">
        <f t="shared" ca="1" si="167"/>
        <v>3</v>
      </c>
      <c r="O122" s="55">
        <f t="shared" ca="1" si="167"/>
        <v>5</v>
      </c>
      <c r="P122" s="55">
        <f t="shared" ca="1" si="167"/>
        <v>5</v>
      </c>
      <c r="Q122" s="55">
        <f t="shared" ca="1" si="167"/>
        <v>2</v>
      </c>
      <c r="R122" s="55">
        <f t="shared" ref="R122:AK122" si="168">COUNTIF(R116:R121,"O")</f>
        <v>0</v>
      </c>
      <c r="S122" s="55">
        <f t="shared" si="168"/>
        <v>0</v>
      </c>
      <c r="T122" s="55">
        <f t="shared" si="168"/>
        <v>0</v>
      </c>
      <c r="U122" s="55">
        <f t="shared" si="168"/>
        <v>0</v>
      </c>
      <c r="V122" s="55">
        <f t="shared" si="168"/>
        <v>0</v>
      </c>
      <c r="W122" s="55">
        <f t="shared" si="168"/>
        <v>0</v>
      </c>
      <c r="X122" s="55">
        <f t="shared" si="168"/>
        <v>0</v>
      </c>
      <c r="Y122" s="55">
        <f t="shared" si="168"/>
        <v>0</v>
      </c>
      <c r="Z122" s="55">
        <f t="shared" si="168"/>
        <v>0</v>
      </c>
      <c r="AA122" s="55">
        <f t="shared" si="168"/>
        <v>0</v>
      </c>
      <c r="AB122" s="55">
        <f t="shared" si="168"/>
        <v>0</v>
      </c>
      <c r="AC122" s="55">
        <f t="shared" si="168"/>
        <v>0</v>
      </c>
      <c r="AD122" s="55">
        <f t="shared" si="168"/>
        <v>0</v>
      </c>
      <c r="AE122" s="55">
        <f t="shared" si="168"/>
        <v>0</v>
      </c>
      <c r="AF122" s="55">
        <f t="shared" si="168"/>
        <v>0</v>
      </c>
      <c r="AG122" s="55">
        <f t="shared" si="168"/>
        <v>0</v>
      </c>
      <c r="AH122" s="55">
        <f t="shared" si="168"/>
        <v>0</v>
      </c>
      <c r="AI122" s="55">
        <f t="shared" si="168"/>
        <v>0</v>
      </c>
      <c r="AJ122" s="55">
        <f t="shared" si="168"/>
        <v>0</v>
      </c>
      <c r="AK122" s="55">
        <f t="shared" si="168"/>
        <v>0</v>
      </c>
      <c r="AL122" s="55">
        <f t="shared" ref="AL122:AU122" si="169">COUNTIF(AL116:AL121,"O")</f>
        <v>0</v>
      </c>
      <c r="AM122" s="55">
        <f t="shared" si="169"/>
        <v>0</v>
      </c>
      <c r="AN122" s="55">
        <f t="shared" si="169"/>
        <v>0</v>
      </c>
      <c r="AO122" s="55">
        <f t="shared" si="169"/>
        <v>0</v>
      </c>
      <c r="AP122" s="55">
        <f t="shared" si="169"/>
        <v>0</v>
      </c>
      <c r="AQ122" s="55">
        <f t="shared" si="169"/>
        <v>0</v>
      </c>
      <c r="AR122" s="55">
        <f t="shared" si="169"/>
        <v>0</v>
      </c>
      <c r="AS122" s="55">
        <f t="shared" si="169"/>
        <v>0</v>
      </c>
      <c r="AT122" s="55">
        <f t="shared" si="169"/>
        <v>0</v>
      </c>
      <c r="AU122" s="55">
        <f t="shared" si="169"/>
        <v>0</v>
      </c>
      <c r="AV122" s="171"/>
      <c r="AW122" s="171"/>
      <c r="AX122" s="171"/>
      <c r="BC122"/>
      <c r="BD122"/>
      <c r="BE122"/>
      <c r="BF122"/>
      <c r="BG122" s="118"/>
      <c r="BJ122"/>
      <c r="BK122"/>
      <c r="BL122"/>
      <c r="BM122" s="120"/>
      <c r="BN122" s="120"/>
    </row>
    <row r="123" spans="1:66" ht="17.5">
      <c r="A123" s="127" t="s">
        <v>843</v>
      </c>
      <c r="B123" s="54" t="s">
        <v>560</v>
      </c>
      <c r="C123" s="54" t="str">
        <f ca="1">IF(C7=$BC$23,"O",IF(C7=$BD$23,"O",IF(C7=$BE$23,"O",IF(C7=$BF$23,"O",IF(C7=$BG$23,"O",IF(C7=$BH$23,"O",IF(C7=$BI$23,"O",IF(C7=$BJ$23,"O",IF(C7=$BK$23,"O",IF(C7=$BL$23,"O",IF(C7=$BM$23,"O",IF(C7=$BN$23,"O",IF(C7=$BO$23,"O",IF(C7=$BP$23,"O",IF(C7=$BQ$23,"O",IF(C7=$BR$23,"O",IF(C7=$BS$23,"O",IF(C7=$BT$23,"O",IF(C7=$BU$23,"O",IF(C7=$BV$23,"O",IF(C7=$BW$23,"O",IF(C7=$BX$23,"O",IF(C7=$BY$23,"O",IF(C7=$BZ$23,"O",IF(C7=$CA$23,"O",IF(C7=$CB$23,"O",IF(C7=$CC$23,"O",IF(C7=$CD$23,"O",IF(C7=$CE$23,"O",IF(C7=$CF$23,"O",IF(C7=$CG$23,"O",IF(C7=$CH$23,"O",IF(C7=$CI$23,"O",IF(C7=$CJ$23,"O",IF(C7=$CK$23,"O",IF(C7=$CL$23,"O",IF(C7=$CM$23,"O",IF(C7=$CN$23,"O",IF(C7=$CO$23,"O",IF(C7=$CP$23,"O","X"))))))))))))))))))))))))))))))))))))))))</f>
        <v>X</v>
      </c>
      <c r="D123" s="54" t="str">
        <f t="shared" ref="D123:P123" ca="1" si="170">IF(D7=$BC$23,"O",IF(D7=$BD$23,"O",IF(D7=$BE$23,"O",IF(D7=$BF$23,"O",IF(D7=$BG$23,"O",IF(D7=$BH$23,"O",IF(D7=$BI$23,"O",IF(D7=$BJ$23,"O",IF(D7=$BK$23,"O",IF(D7=$BL$23,"O",IF(D7=$BM$23,"O",IF(D7=$BN$23,"O",IF(D7=$BO$23,"O",IF(D7=$BP$23,"O",IF(D7=$BQ$23,"O",IF(D7=$BR$23,"O",IF(D7=$BS$23,"O",IF(D7=$BT$23,"O",IF(D7=$BU$23,"O",IF(D7=$BV$23,"O",IF(D7=$BW$23,"O",IF(D7=$BX$23,"O",IF(D7=$BY$23,"O",IF(D7=$BZ$23,"O",IF(D7=$CA$23,"O",IF(D7=$CB$23,"O",IF(D7=$CC$23,"O",IF(D7=$CD$23,"O",IF(D7=$CE$23,"O",IF(D7=$CF$23,"O",IF(D7=$CG$23,"O",IF(D7=$CH$23,"O",IF(D7=$CI$23,"O",IF(D7=$CJ$23,"O",IF(D7=$CK$23,"O",IF(D7=$CL$23,"O",IF(D7=$CM$23,"O",IF(D7=$CN$23,"O",IF(D7=$CO$23,"O",IF(D7=$CP$23,"O","X"))))))))))))))))))))))))))))))))))))))))</f>
        <v>O</v>
      </c>
      <c r="E123" s="54" t="str">
        <f t="shared" ca="1" si="170"/>
        <v>X</v>
      </c>
      <c r="F123" s="54" t="str">
        <f t="shared" ca="1" si="170"/>
        <v>X</v>
      </c>
      <c r="G123" s="54" t="str">
        <f t="shared" ca="1" si="170"/>
        <v>O</v>
      </c>
      <c r="H123" s="54" t="str">
        <f t="shared" ca="1" si="170"/>
        <v>X</v>
      </c>
      <c r="I123" s="54" t="str">
        <f t="shared" ca="1" si="170"/>
        <v>X</v>
      </c>
      <c r="J123" s="54" t="str">
        <f t="shared" ca="1" si="170"/>
        <v>X</v>
      </c>
      <c r="K123" s="54" t="str">
        <f t="shared" ca="1" si="170"/>
        <v>X</v>
      </c>
      <c r="L123" s="54" t="str">
        <f t="shared" ca="1" si="170"/>
        <v>O</v>
      </c>
      <c r="M123" s="54" t="str">
        <f t="shared" ca="1" si="170"/>
        <v>X</v>
      </c>
      <c r="N123" s="54" t="str">
        <f t="shared" ca="1" si="170"/>
        <v>O</v>
      </c>
      <c r="O123" s="54" t="str">
        <f t="shared" ca="1" si="170"/>
        <v>O</v>
      </c>
      <c r="P123" s="54" t="str">
        <f t="shared" ca="1" si="170"/>
        <v>X</v>
      </c>
      <c r="Q123" s="54" t="str">
        <f ca="1">IF(Q7=$BC$23,"O",IF(Q7=$BD$23,"O",IF(Q7=$BE$23,"O",IF(Q7=$BF$23,"O",IF(Q7=$BG$23,"O",IF(Q7=$BH$23,"O",IF(Q7=$BI$23,"O",IF(Q7=$BJ$23,"O",IF(Q7=$BK$23,"O",IF(Q7=$BL$23,"O",IF(Q7=$BM$23,"O",IF(Q7=$BN$23,"O",IF(Q7=$BO$23,"O",IF(Q7=$BP$23,"O",IF(Q7=$BQ$23,"O",IF(Q7=$BR$23,"O",IF(Q7=$BS$23,"O",IF(Q7=$BT$23,"O",IF(Q7=$BU$23,"O",IF(Q7=$BV$23,"O",IF(Q7=$BW$23,"O",IF(Q7=$BX$23,"O",IF(Q7=$BY$23,"O",IF(Q7=$BZ$23,"O",IF(Q7=$CA$23,"O",IF(Q7=$CB$23,"O",IF(Q7=$CC$23,"O",IF(Q7=$CD$23,"O",IF(Q7=$CE$23,"O",IF(Q7=$CF$23,"O",IF(Q7=$CG$23,"O",IF(Q7=$CH$23,"O",IF(Q7=$CI$23,"O",IF(Q7=$CJ$23,"O",IF(Q7=$CK$23,"O",IF(Q7=$CL$23,"O",IF(Q7=$CM$23,"O",IF(Q7=$CN$23,"O",IF(Q7=$CO$23,"O",IF(Q7=$CP$23,"O","X"))))))))))))))))))))))))))))))))))))))))</f>
        <v>X</v>
      </c>
      <c r="R123" s="54" t="str">
        <f t="shared" ref="R123:AU123" si="171">IF(R7=$BC$23,"O",IF(R7=$BD$23,"O",IF(R7=$BE$23,"O",IF(R7=$BF$23,"O",IF(R7=$BG$23,"O",IF(R7=$BH$23,"O",IF(R7=$BI$23,"O",IF(R7=$BJ$23,"O",IF(R7=$BK$23,"O",IF(R7=$BL$23,"O",IF(R7=$BM$23,"O",IF(R7=$BN$23,"O",IF(R7=$BO$23,"O",IF(R7=$BP$23,"O",IF(R7=$BQ$23,"O",IF(R7=$BR$23,"O",IF(R7=$BS$23,"O",IF(R7=$BT$23,"O",IF(R7=$BU$23,"O",IF(R7=$BV$23,"O",IF(R7=$BW$23,"O",IF(R7=$BX$23,"O",IF(R7=$BY$23,"O",IF(R7=$BZ$23,"O",IF(R7=$CA$23,"O",IF(R7=$CB$23,"O","X"))))))))))))))))))))))))))</f>
        <v>X</v>
      </c>
      <c r="S123" s="54" t="str">
        <f t="shared" si="171"/>
        <v>X</v>
      </c>
      <c r="T123" s="54" t="str">
        <f t="shared" si="171"/>
        <v>X</v>
      </c>
      <c r="U123" s="54" t="str">
        <f t="shared" si="171"/>
        <v>X</v>
      </c>
      <c r="V123" s="54" t="str">
        <f t="shared" si="171"/>
        <v>X</v>
      </c>
      <c r="W123" s="54" t="str">
        <f t="shared" si="171"/>
        <v>X</v>
      </c>
      <c r="X123" s="54" t="str">
        <f t="shared" si="171"/>
        <v>X</v>
      </c>
      <c r="Y123" s="54" t="str">
        <f t="shared" si="171"/>
        <v>X</v>
      </c>
      <c r="Z123" s="54" t="str">
        <f t="shared" si="171"/>
        <v>X</v>
      </c>
      <c r="AA123" s="54" t="str">
        <f t="shared" si="171"/>
        <v>X</v>
      </c>
      <c r="AB123" s="54" t="str">
        <f t="shared" si="171"/>
        <v>X</v>
      </c>
      <c r="AC123" s="54" t="str">
        <f t="shared" si="171"/>
        <v>X</v>
      </c>
      <c r="AD123" s="54" t="str">
        <f t="shared" si="171"/>
        <v>X</v>
      </c>
      <c r="AE123" s="54" t="str">
        <f t="shared" si="171"/>
        <v>X</v>
      </c>
      <c r="AF123" s="54" t="str">
        <f t="shared" si="171"/>
        <v>X</v>
      </c>
      <c r="AG123" s="54" t="str">
        <f t="shared" si="171"/>
        <v>X</v>
      </c>
      <c r="AH123" s="54" t="str">
        <f t="shared" si="171"/>
        <v>X</v>
      </c>
      <c r="AI123" s="54" t="str">
        <f t="shared" si="171"/>
        <v>X</v>
      </c>
      <c r="AJ123" s="54" t="str">
        <f t="shared" si="171"/>
        <v>X</v>
      </c>
      <c r="AK123" s="54" t="str">
        <f t="shared" si="171"/>
        <v>X</v>
      </c>
      <c r="AL123" s="54" t="str">
        <f t="shared" si="171"/>
        <v>X</v>
      </c>
      <c r="AM123" s="54" t="str">
        <f t="shared" si="171"/>
        <v>X</v>
      </c>
      <c r="AN123" s="54" t="str">
        <f t="shared" si="171"/>
        <v>X</v>
      </c>
      <c r="AO123" s="54" t="str">
        <f t="shared" si="171"/>
        <v>X</v>
      </c>
      <c r="AP123" s="54" t="str">
        <f t="shared" si="171"/>
        <v>X</v>
      </c>
      <c r="AQ123" s="54" t="str">
        <f t="shared" si="171"/>
        <v>X</v>
      </c>
      <c r="AR123" s="54" t="str">
        <f t="shared" si="171"/>
        <v>X</v>
      </c>
      <c r="AS123" s="54" t="str">
        <f t="shared" si="171"/>
        <v>X</v>
      </c>
      <c r="AT123" s="54" t="str">
        <f t="shared" si="171"/>
        <v>X</v>
      </c>
      <c r="AU123" s="54" t="str">
        <f t="shared" si="171"/>
        <v>X</v>
      </c>
      <c r="AV123" s="53"/>
      <c r="AW123" s="53"/>
      <c r="AX123" s="53"/>
      <c r="BC123"/>
      <c r="BD123"/>
      <c r="BE123"/>
      <c r="BF123"/>
      <c r="BG123" s="118"/>
      <c r="BI123" s="119"/>
      <c r="BJ123"/>
    </row>
    <row r="124" spans="1:66" ht="17.5">
      <c r="A124" s="128"/>
      <c r="B124" s="54" t="s">
        <v>566</v>
      </c>
      <c r="C124" s="54" t="str">
        <f t="shared" ref="C124:Q124" ca="1" si="172">IF(C8=$BC$23,"O",IF(C8=$BD$23,"O",IF(C8=$BE$23,"O",IF(C8=$BF$23,"O",IF(C8=$BG$23,"O",IF(C8=$BH$23,"O",IF(C8=$BI$23,"O",IF(C8=$BJ$23,"O",IF(C8=$BK$23,"O",IF(C8=$BL$23,"O",IF(C8=$BM$23,"O",IF(C8=$BN$23,"O",IF(C8=$BO$23,"O",IF(C8=$BP$23,"O",IF(C8=$BQ$23,"O",IF(C8=$BR$23,"O",IF(C8=$BS$23,"O",IF(C8=$BT$23,"O",IF(C8=$BU$23,"O",IF(C8=$BV$23,"O",IF(C8=$BW$23,"O",IF(C8=$BX$23,"O",IF(C8=$BY$23,"O",IF(C8=$BZ$23,"O",IF(C8=$CA$23,"O",IF(C8=$CB$23,"O",IF(C8=$CC$23,"O",IF(C8=$CD$23,"O",IF(C8=$CE$23,"O",IF(C8=$CF$23,"O",IF(C8=$CG$23,"O",IF(C8=$CH$23,"O",IF(C8=$CI$23,"O",IF(C8=$CJ$23,"O",IF(C8=$CK$23,"O",IF(C8=$CL$23,"O",IF(C8=$CM$23,"O",IF(C8=$CN$23,"O",IF(C8=$CO$23,"O",IF(C8=$CP$23,"O","X"))))))))))))))))))))))))))))))))))))))))</f>
        <v>X</v>
      </c>
      <c r="D124" s="54" t="str">
        <f t="shared" ca="1" si="172"/>
        <v>O</v>
      </c>
      <c r="E124" s="54" t="str">
        <f t="shared" ca="1" si="172"/>
        <v>O</v>
      </c>
      <c r="F124" s="54" t="str">
        <f t="shared" ca="1" si="172"/>
        <v>X</v>
      </c>
      <c r="G124" s="54" t="str">
        <f t="shared" ca="1" si="172"/>
        <v>X</v>
      </c>
      <c r="H124" s="54" t="str">
        <f t="shared" ca="1" si="172"/>
        <v>O</v>
      </c>
      <c r="I124" s="54" t="str">
        <f t="shared" ca="1" si="172"/>
        <v>X</v>
      </c>
      <c r="J124" s="54" t="str">
        <f t="shared" ca="1" si="172"/>
        <v>X</v>
      </c>
      <c r="K124" s="54" t="str">
        <f t="shared" ca="1" si="172"/>
        <v>O</v>
      </c>
      <c r="L124" s="54" t="str">
        <f t="shared" ca="1" si="172"/>
        <v>O</v>
      </c>
      <c r="M124" s="54" t="str">
        <f t="shared" ca="1" si="172"/>
        <v>X</v>
      </c>
      <c r="N124" s="54" t="str">
        <f t="shared" ca="1" si="172"/>
        <v>X</v>
      </c>
      <c r="O124" s="54" t="str">
        <f t="shared" ca="1" si="172"/>
        <v>O</v>
      </c>
      <c r="P124" s="54" t="str">
        <f t="shared" ca="1" si="172"/>
        <v>X</v>
      </c>
      <c r="Q124" s="54" t="str">
        <f t="shared" ca="1" si="172"/>
        <v>X</v>
      </c>
      <c r="R124" s="54" t="str">
        <f t="shared" ref="R124:AU124" si="173">IF(R8=$BC$23,"O",IF(R8=$BD$23,"O",IF(R8=$BE$23,"O",IF(R8=$BF$23,"O",IF(R8=$BG$23,"O",IF(R8=$BH$23,"O",IF(R8=$BI$23,"O",IF(R8=$BJ$23,"O",IF(R8=$BK$23,"O",IF(R8=$BL$23,"O",IF(R8=$BM$23,"O",IF(R8=$BN$23,"O",IF(R8=$BO$23,"O",IF(R8=$BP$23,"O",IF(R8=$BQ$23,"O",IF(R8=$BR$23,"O",IF(R8=$BS$23,"O",IF(R8=$BT$23,"O",IF(R8=$BU$23,"O",IF(R8=$BV$23,"O",IF(R8=$BW$23,"O",IF(R8=$BX$23,"O",IF(R8=$BY$23,"O",IF(R8=$BZ$23,"O",IF(R8=$CA$23,"O",IF(R8=$CB$23,"O","X"))))))))))))))))))))))))))</f>
        <v>X</v>
      </c>
      <c r="S124" s="54" t="str">
        <f t="shared" si="173"/>
        <v>X</v>
      </c>
      <c r="T124" s="54" t="str">
        <f t="shared" si="173"/>
        <v>X</v>
      </c>
      <c r="U124" s="54" t="str">
        <f t="shared" si="173"/>
        <v>X</v>
      </c>
      <c r="V124" s="54" t="str">
        <f t="shared" si="173"/>
        <v>X</v>
      </c>
      <c r="W124" s="54" t="str">
        <f t="shared" si="173"/>
        <v>X</v>
      </c>
      <c r="X124" s="54" t="str">
        <f t="shared" si="173"/>
        <v>X</v>
      </c>
      <c r="Y124" s="54" t="str">
        <f t="shared" si="173"/>
        <v>X</v>
      </c>
      <c r="Z124" s="54" t="str">
        <f t="shared" si="173"/>
        <v>X</v>
      </c>
      <c r="AA124" s="54" t="str">
        <f t="shared" si="173"/>
        <v>X</v>
      </c>
      <c r="AB124" s="54" t="str">
        <f t="shared" si="173"/>
        <v>X</v>
      </c>
      <c r="AC124" s="54" t="str">
        <f t="shared" si="173"/>
        <v>X</v>
      </c>
      <c r="AD124" s="54" t="str">
        <f t="shared" si="173"/>
        <v>X</v>
      </c>
      <c r="AE124" s="54" t="str">
        <f t="shared" si="173"/>
        <v>X</v>
      </c>
      <c r="AF124" s="54" t="str">
        <f t="shared" si="173"/>
        <v>X</v>
      </c>
      <c r="AG124" s="54" t="str">
        <f t="shared" si="173"/>
        <v>X</v>
      </c>
      <c r="AH124" s="54" t="str">
        <f t="shared" si="173"/>
        <v>X</v>
      </c>
      <c r="AI124" s="54" t="str">
        <f t="shared" si="173"/>
        <v>X</v>
      </c>
      <c r="AJ124" s="54" t="str">
        <f t="shared" si="173"/>
        <v>X</v>
      </c>
      <c r="AK124" s="54" t="str">
        <f t="shared" si="173"/>
        <v>X</v>
      </c>
      <c r="AL124" s="54" t="str">
        <f t="shared" si="173"/>
        <v>X</v>
      </c>
      <c r="AM124" s="54" t="str">
        <f t="shared" si="173"/>
        <v>X</v>
      </c>
      <c r="AN124" s="54" t="str">
        <f t="shared" si="173"/>
        <v>X</v>
      </c>
      <c r="AO124" s="54" t="str">
        <f t="shared" si="173"/>
        <v>X</v>
      </c>
      <c r="AP124" s="54" t="str">
        <f t="shared" si="173"/>
        <v>X</v>
      </c>
      <c r="AQ124" s="54" t="str">
        <f t="shared" si="173"/>
        <v>X</v>
      </c>
      <c r="AR124" s="54" t="str">
        <f t="shared" si="173"/>
        <v>X</v>
      </c>
      <c r="AS124" s="54" t="str">
        <f t="shared" si="173"/>
        <v>X</v>
      </c>
      <c r="AT124" s="54" t="str">
        <f t="shared" si="173"/>
        <v>X</v>
      </c>
      <c r="AU124" s="54" t="str">
        <f t="shared" si="173"/>
        <v>X</v>
      </c>
      <c r="AV124" s="53"/>
      <c r="AW124" s="53"/>
      <c r="AX124" s="53"/>
      <c r="BC124"/>
      <c r="BD124"/>
      <c r="BE124"/>
      <c r="BF124"/>
      <c r="BG124" s="118"/>
      <c r="BJ124"/>
    </row>
    <row r="125" spans="1:66" ht="17.5">
      <c r="A125" s="128"/>
      <c r="B125" s="54" t="s">
        <v>567</v>
      </c>
      <c r="C125" s="54" t="str">
        <f t="shared" ref="C125:Q125" ca="1" si="174">IF(C9=$BC$23,"O",IF(C9=$BD$23,"O",IF(C9=$BE$23,"O",IF(C9=$BF$23,"O",IF(C9=$BG$23,"O",IF(C9=$BH$23,"O",IF(C9=$BI$23,"O",IF(C9=$BJ$23,"O",IF(C9=$BK$23,"O",IF(C9=$BL$23,"O",IF(C9=$BM$23,"O",IF(C9=$BN$23,"O",IF(C9=$BO$23,"O",IF(C9=$BP$23,"O",IF(C9=$BQ$23,"O",IF(C9=$BR$23,"O",IF(C9=$BS$23,"O",IF(C9=$BT$23,"O",IF(C9=$BU$23,"O",IF(C9=$BV$23,"O",IF(C9=$BW$23,"O",IF(C9=$BX$23,"O",IF(C9=$BY$23,"O",IF(C9=$BZ$23,"O",IF(C9=$CA$23,"O",IF(C9=$CB$23,"O",IF(C9=$CC$23,"O",IF(C9=$CD$23,"O",IF(C9=$CE$23,"O",IF(C9=$CF$23,"O",IF(C9=$CG$23,"O",IF(C9=$CH$23,"O",IF(C9=$CI$23,"O",IF(C9=$CJ$23,"O",IF(C9=$CK$23,"O",IF(C9=$CL$23,"O",IF(C9=$CM$23,"O",IF(C9=$CN$23,"O",IF(C9=$CO$23,"O",IF(C9=$CP$23,"O","X"))))))))))))))))))))))))))))))))))))))))</f>
        <v>O</v>
      </c>
      <c r="D125" s="54" t="str">
        <f t="shared" ca="1" si="174"/>
        <v>X</v>
      </c>
      <c r="E125" s="54" t="str">
        <f t="shared" ca="1" si="174"/>
        <v>O</v>
      </c>
      <c r="F125" s="54" t="str">
        <f t="shared" ca="1" si="174"/>
        <v>X</v>
      </c>
      <c r="G125" s="54" t="str">
        <f t="shared" ca="1" si="174"/>
        <v>O</v>
      </c>
      <c r="H125" s="54" t="str">
        <f t="shared" ca="1" si="174"/>
        <v>X</v>
      </c>
      <c r="I125" s="54" t="str">
        <f t="shared" ca="1" si="174"/>
        <v>X</v>
      </c>
      <c r="J125" s="54" t="str">
        <f t="shared" ca="1" si="174"/>
        <v>X</v>
      </c>
      <c r="K125" s="54" t="str">
        <f t="shared" ca="1" si="174"/>
        <v>X</v>
      </c>
      <c r="L125" s="54" t="str">
        <f t="shared" ca="1" si="174"/>
        <v>O</v>
      </c>
      <c r="M125" s="54" t="str">
        <f t="shared" ca="1" si="174"/>
        <v>X</v>
      </c>
      <c r="N125" s="54" t="str">
        <f t="shared" ca="1" si="174"/>
        <v>X</v>
      </c>
      <c r="O125" s="54" t="str">
        <f t="shared" ca="1" si="174"/>
        <v>O</v>
      </c>
      <c r="P125" s="54" t="str">
        <f t="shared" ca="1" si="174"/>
        <v>X</v>
      </c>
      <c r="Q125" s="54" t="str">
        <f t="shared" ca="1" si="174"/>
        <v>X</v>
      </c>
      <c r="R125" s="54" t="str">
        <f t="shared" ref="R125:AU125" si="175">IF(R9=$BC$23,"O",IF(R9=$BD$23,"O",IF(R9=$BE$23,"O",IF(R9=$BF$23,"O",IF(R9=$BG$23,"O",IF(R9=$BH$23,"O",IF(R9=$BI$23,"O",IF(R9=$BJ$23,"O",IF(R9=$BK$23,"O",IF(R9=$BL$23,"O",IF(R9=$BM$23,"O",IF(R9=$BN$23,"O",IF(R9=$BO$23,"O",IF(R9=$BP$23,"O",IF(R9=$BQ$23,"O",IF(R9=$BR$23,"O",IF(R9=$BS$23,"O",IF(R9=$BT$23,"O",IF(R9=$BU$23,"O",IF(R9=$BV$23,"O",IF(R9=$BW$23,"O",IF(R9=$BX$23,"O",IF(R9=$BY$23,"O",IF(R9=$BZ$23,"O",IF(R9=$CA$23,"O",IF(R9=$CB$23,"O","X"))))))))))))))))))))))))))</f>
        <v>X</v>
      </c>
      <c r="S125" s="54" t="str">
        <f t="shared" si="175"/>
        <v>X</v>
      </c>
      <c r="T125" s="54" t="str">
        <f t="shared" si="175"/>
        <v>X</v>
      </c>
      <c r="U125" s="54" t="str">
        <f t="shared" si="175"/>
        <v>X</v>
      </c>
      <c r="V125" s="54" t="str">
        <f t="shared" si="175"/>
        <v>X</v>
      </c>
      <c r="W125" s="54" t="str">
        <f t="shared" si="175"/>
        <v>X</v>
      </c>
      <c r="X125" s="54" t="str">
        <f t="shared" si="175"/>
        <v>X</v>
      </c>
      <c r="Y125" s="54" t="str">
        <f t="shared" si="175"/>
        <v>X</v>
      </c>
      <c r="Z125" s="54" t="str">
        <f t="shared" si="175"/>
        <v>X</v>
      </c>
      <c r="AA125" s="54" t="str">
        <f t="shared" si="175"/>
        <v>X</v>
      </c>
      <c r="AB125" s="54" t="str">
        <f t="shared" si="175"/>
        <v>X</v>
      </c>
      <c r="AC125" s="54" t="str">
        <f t="shared" si="175"/>
        <v>X</v>
      </c>
      <c r="AD125" s="54" t="str">
        <f t="shared" si="175"/>
        <v>X</v>
      </c>
      <c r="AE125" s="54" t="str">
        <f t="shared" si="175"/>
        <v>X</v>
      </c>
      <c r="AF125" s="54" t="str">
        <f t="shared" si="175"/>
        <v>X</v>
      </c>
      <c r="AG125" s="54" t="str">
        <f t="shared" si="175"/>
        <v>X</v>
      </c>
      <c r="AH125" s="54" t="str">
        <f t="shared" si="175"/>
        <v>X</v>
      </c>
      <c r="AI125" s="54" t="str">
        <f t="shared" si="175"/>
        <v>X</v>
      </c>
      <c r="AJ125" s="54" t="str">
        <f t="shared" si="175"/>
        <v>X</v>
      </c>
      <c r="AK125" s="54" t="str">
        <f t="shared" si="175"/>
        <v>X</v>
      </c>
      <c r="AL125" s="54" t="str">
        <f t="shared" si="175"/>
        <v>X</v>
      </c>
      <c r="AM125" s="54" t="str">
        <f t="shared" si="175"/>
        <v>X</v>
      </c>
      <c r="AN125" s="54" t="str">
        <f t="shared" si="175"/>
        <v>X</v>
      </c>
      <c r="AO125" s="54" t="str">
        <f t="shared" si="175"/>
        <v>X</v>
      </c>
      <c r="AP125" s="54" t="str">
        <f t="shared" si="175"/>
        <v>X</v>
      </c>
      <c r="AQ125" s="54" t="str">
        <f t="shared" si="175"/>
        <v>X</v>
      </c>
      <c r="AR125" s="54" t="str">
        <f t="shared" si="175"/>
        <v>X</v>
      </c>
      <c r="AS125" s="54" t="str">
        <f t="shared" si="175"/>
        <v>X</v>
      </c>
      <c r="AT125" s="54" t="str">
        <f t="shared" si="175"/>
        <v>X</v>
      </c>
      <c r="AU125" s="54" t="str">
        <f t="shared" si="175"/>
        <v>X</v>
      </c>
      <c r="AV125" s="53"/>
      <c r="AW125" s="53"/>
      <c r="AX125" s="53"/>
      <c r="BC125"/>
      <c r="BD125"/>
      <c r="BE125"/>
      <c r="BF125"/>
      <c r="BG125" s="118"/>
      <c r="BJ125"/>
    </row>
    <row r="126" spans="1:66" ht="17.5">
      <c r="A126" s="128"/>
      <c r="B126" s="54" t="s">
        <v>568</v>
      </c>
      <c r="C126" s="54" t="str">
        <f t="shared" ref="C126:Q126" ca="1" si="176">IF(C10=$BC$23,"O",IF(C10=$BD$23,"O",IF(C10=$BE$23,"O",IF(C10=$BF$23,"O",IF(C10=$BG$23,"O",IF(C10=$BH$23,"O",IF(C10=$BI$23,"O",IF(C10=$BJ$23,"O",IF(C10=$BK$23,"O",IF(C10=$BL$23,"O",IF(C10=$BM$23,"O",IF(C10=$BN$23,"O",IF(C10=$BO$23,"O",IF(C10=$BP$23,"O",IF(C10=$BQ$23,"O",IF(C10=$BR$23,"O",IF(C10=$BS$23,"O",IF(C10=$BT$23,"O",IF(C10=$BU$23,"O",IF(C10=$BV$23,"O",IF(C10=$BW$23,"O",IF(C10=$BX$23,"O",IF(C10=$BY$23,"O",IF(C10=$BZ$23,"O",IF(C10=$CA$23,"O",IF(C10=$CB$23,"O",IF(C10=$CC$23,"O",IF(C10=$CD$23,"O",IF(C10=$CE$23,"O",IF(C10=$CF$23,"O",IF(C10=$CG$23,"O",IF(C10=$CH$23,"O",IF(C10=$CI$23,"O",IF(C10=$CJ$23,"O",IF(C10=$CK$23,"O",IF(C10=$CL$23,"O",IF(C10=$CM$23,"O",IF(C10=$CN$23,"O",IF(C10=$CO$23,"O",IF(C10=$CP$23,"O","X"))))))))))))))))))))))))))))))))))))))))</f>
        <v>X</v>
      </c>
      <c r="D126" s="54" t="str">
        <f t="shared" ca="1" si="176"/>
        <v>O</v>
      </c>
      <c r="E126" s="54" t="str">
        <f t="shared" ca="1" si="176"/>
        <v>X</v>
      </c>
      <c r="F126" s="54" t="str">
        <f t="shared" ca="1" si="176"/>
        <v>X</v>
      </c>
      <c r="G126" s="54" t="str">
        <f t="shared" ca="1" si="176"/>
        <v>O</v>
      </c>
      <c r="H126" s="54" t="str">
        <f t="shared" ca="1" si="176"/>
        <v>X</v>
      </c>
      <c r="I126" s="54" t="str">
        <f t="shared" ca="1" si="176"/>
        <v>X</v>
      </c>
      <c r="J126" s="54" t="str">
        <f t="shared" ca="1" si="176"/>
        <v>X</v>
      </c>
      <c r="K126" s="54" t="str">
        <f t="shared" ca="1" si="176"/>
        <v>O</v>
      </c>
      <c r="L126" s="54" t="str">
        <f t="shared" ca="1" si="176"/>
        <v>X</v>
      </c>
      <c r="M126" s="54" t="str">
        <f t="shared" ca="1" si="176"/>
        <v>O</v>
      </c>
      <c r="N126" s="54" t="str">
        <f t="shared" ca="1" si="176"/>
        <v>X</v>
      </c>
      <c r="O126" s="54" t="str">
        <f t="shared" ca="1" si="176"/>
        <v>X</v>
      </c>
      <c r="P126" s="54" t="str">
        <f t="shared" ca="1" si="176"/>
        <v>X</v>
      </c>
      <c r="Q126" s="54" t="str">
        <f t="shared" ca="1" si="176"/>
        <v>X</v>
      </c>
      <c r="R126" s="54" t="str">
        <f t="shared" ref="R126:AU126" si="177">IF(R10=$BC$23,"O",IF(R10=$BD$23,"O",IF(R10=$BE$23,"O",IF(R10=$BF$23,"O",IF(R10=$BG$23,"O",IF(R10=$BH$23,"O",IF(R10=$BI$23,"O",IF(R10=$BJ$23,"O",IF(R10=$BK$23,"O",IF(R10=$BL$23,"O",IF(R10=$BM$23,"O",IF(R10=$BN$23,"O",IF(R10=$BO$23,"O",IF(R10=$BP$23,"O",IF(R10=$BQ$23,"O",IF(R10=$BR$23,"O",IF(R10=$BS$23,"O",IF(R10=$BT$23,"O",IF(R10=$BU$23,"O",IF(R10=$BV$23,"O",IF(R10=$BW$23,"O",IF(R10=$BX$23,"O",IF(R10=$BY$23,"O",IF(R10=$BZ$23,"O",IF(R10=$CA$23,"O",IF(R10=$CB$23,"O","X"))))))))))))))))))))))))))</f>
        <v>X</v>
      </c>
      <c r="S126" s="54" t="str">
        <f t="shared" si="177"/>
        <v>X</v>
      </c>
      <c r="T126" s="54" t="str">
        <f t="shared" si="177"/>
        <v>X</v>
      </c>
      <c r="U126" s="54" t="str">
        <f t="shared" si="177"/>
        <v>X</v>
      </c>
      <c r="V126" s="54" t="str">
        <f t="shared" si="177"/>
        <v>X</v>
      </c>
      <c r="W126" s="54" t="str">
        <f t="shared" si="177"/>
        <v>X</v>
      </c>
      <c r="X126" s="54" t="str">
        <f t="shared" si="177"/>
        <v>X</v>
      </c>
      <c r="Y126" s="54" t="str">
        <f t="shared" si="177"/>
        <v>X</v>
      </c>
      <c r="Z126" s="54" t="str">
        <f t="shared" si="177"/>
        <v>X</v>
      </c>
      <c r="AA126" s="54" t="str">
        <f t="shared" si="177"/>
        <v>X</v>
      </c>
      <c r="AB126" s="54" t="str">
        <f t="shared" si="177"/>
        <v>X</v>
      </c>
      <c r="AC126" s="54" t="str">
        <f t="shared" si="177"/>
        <v>X</v>
      </c>
      <c r="AD126" s="54" t="str">
        <f t="shared" si="177"/>
        <v>X</v>
      </c>
      <c r="AE126" s="54" t="str">
        <f t="shared" si="177"/>
        <v>X</v>
      </c>
      <c r="AF126" s="54" t="str">
        <f t="shared" si="177"/>
        <v>X</v>
      </c>
      <c r="AG126" s="54" t="str">
        <f t="shared" si="177"/>
        <v>X</v>
      </c>
      <c r="AH126" s="54" t="str">
        <f t="shared" si="177"/>
        <v>X</v>
      </c>
      <c r="AI126" s="54" t="str">
        <f t="shared" si="177"/>
        <v>X</v>
      </c>
      <c r="AJ126" s="54" t="str">
        <f t="shared" si="177"/>
        <v>X</v>
      </c>
      <c r="AK126" s="54" t="str">
        <f t="shared" si="177"/>
        <v>X</v>
      </c>
      <c r="AL126" s="54" t="str">
        <f t="shared" si="177"/>
        <v>X</v>
      </c>
      <c r="AM126" s="54" t="str">
        <f t="shared" si="177"/>
        <v>X</v>
      </c>
      <c r="AN126" s="54" t="str">
        <f t="shared" si="177"/>
        <v>X</v>
      </c>
      <c r="AO126" s="54" t="str">
        <f t="shared" si="177"/>
        <v>X</v>
      </c>
      <c r="AP126" s="54" t="str">
        <f t="shared" si="177"/>
        <v>X</v>
      </c>
      <c r="AQ126" s="54" t="str">
        <f t="shared" si="177"/>
        <v>X</v>
      </c>
      <c r="AR126" s="54" t="str">
        <f t="shared" si="177"/>
        <v>X</v>
      </c>
      <c r="AS126" s="54" t="str">
        <f t="shared" si="177"/>
        <v>X</v>
      </c>
      <c r="AT126" s="54" t="str">
        <f t="shared" si="177"/>
        <v>X</v>
      </c>
      <c r="AU126" s="54" t="str">
        <f t="shared" si="177"/>
        <v>X</v>
      </c>
      <c r="AV126" s="53"/>
      <c r="AW126" s="53"/>
      <c r="AX126" s="53"/>
      <c r="BC126"/>
      <c r="BD126"/>
      <c r="BE126"/>
      <c r="BF126"/>
      <c r="BG126" s="118"/>
      <c r="BJ126"/>
    </row>
    <row r="127" spans="1:66" ht="17.5">
      <c r="A127" s="128"/>
      <c r="B127" s="54" t="s">
        <v>569</v>
      </c>
      <c r="C127" s="54" t="str">
        <f t="shared" ref="C127:Q127" ca="1" si="178">IF(C11=$BC$23,"O",IF(C11=$BD$23,"O",IF(C11=$BE$23,"O",IF(C11=$BF$23,"O",IF(C11=$BG$23,"O",IF(C11=$BH$23,"O",IF(C11=$BI$23,"O",IF(C11=$BJ$23,"O",IF(C11=$BK$23,"O",IF(C11=$BL$23,"O",IF(C11=$BM$23,"O",IF(C11=$BN$23,"O",IF(C11=$BO$23,"O",IF(C11=$BP$23,"O",IF(C11=$BQ$23,"O",IF(C11=$BR$23,"O",IF(C11=$BS$23,"O",IF(C11=$BT$23,"O",IF(C11=$BU$23,"O",IF(C11=$BV$23,"O",IF(C11=$BW$23,"O",IF(C11=$BX$23,"O",IF(C11=$BY$23,"O",IF(C11=$BZ$23,"O",IF(C11=$CA$23,"O",IF(C11=$CB$23,"O",IF(C11=$CC$23,"O",IF(C11=$CD$23,"O",IF(C11=$CE$23,"O",IF(C11=$CF$23,"O",IF(C11=$CG$23,"O",IF(C11=$CH$23,"O",IF(C11=$CI$23,"O",IF(C11=$CJ$23,"O",IF(C11=$CK$23,"O",IF(C11=$CL$23,"O",IF(C11=$CM$23,"O",IF(C11=$CN$23,"O",IF(C11=$CO$23,"O",IF(C11=$CP$23,"O","X"))))))))))))))))))))))))))))))))))))))))</f>
        <v>X</v>
      </c>
      <c r="D127" s="54" t="str">
        <f t="shared" ca="1" si="178"/>
        <v>O</v>
      </c>
      <c r="E127" s="54" t="str">
        <f t="shared" ca="1" si="178"/>
        <v>X</v>
      </c>
      <c r="F127" s="54" t="str">
        <f t="shared" ca="1" si="178"/>
        <v>O</v>
      </c>
      <c r="G127" s="54" t="str">
        <f t="shared" ca="1" si="178"/>
        <v>O</v>
      </c>
      <c r="H127" s="54" t="str">
        <f t="shared" ca="1" si="178"/>
        <v>X</v>
      </c>
      <c r="I127" s="54" t="str">
        <f t="shared" ca="1" si="178"/>
        <v>X</v>
      </c>
      <c r="J127" s="54" t="str">
        <f t="shared" ca="1" si="178"/>
        <v>X</v>
      </c>
      <c r="K127" s="54" t="str">
        <f t="shared" ca="1" si="178"/>
        <v>X</v>
      </c>
      <c r="L127" s="54" t="str">
        <f t="shared" ca="1" si="178"/>
        <v>X</v>
      </c>
      <c r="M127" s="54" t="str">
        <f t="shared" ca="1" si="178"/>
        <v>O</v>
      </c>
      <c r="N127" s="54" t="str">
        <f t="shared" ca="1" si="178"/>
        <v>X</v>
      </c>
      <c r="O127" s="54" t="str">
        <f t="shared" ca="1" si="178"/>
        <v>O</v>
      </c>
      <c r="P127" s="54" t="str">
        <f t="shared" ca="1" si="178"/>
        <v>X</v>
      </c>
      <c r="Q127" s="54" t="str">
        <f t="shared" ca="1" si="178"/>
        <v>X</v>
      </c>
      <c r="R127" s="54" t="str">
        <f t="shared" ref="R127:AU127" si="179">IF(R11=$BC$23,"O",IF(R11=$BD$23,"O",IF(R11=$BE$23,"O",IF(R11=$BF$23,"O",IF(R11=$BG$23,"O",IF(R11=$BH$23,"O",IF(R11=$BI$23,"O",IF(R11=$BJ$23,"O",IF(R11=$BK$23,"O",IF(R11=$BL$23,"O",IF(R11=$BM$23,"O",IF(R11=$BN$23,"O",IF(R11=$BO$23,"O",IF(R11=$BP$23,"O",IF(R11=$BQ$23,"O",IF(R11=$BR$23,"O",IF(R11=$BS$23,"O",IF(R11=$BT$23,"O",IF(R11=$BU$23,"O",IF(R11=$BV$23,"O",IF(R11=$BW$23,"O",IF(R11=$BX$23,"O",IF(R11=$BY$23,"O",IF(R11=$BZ$23,"O",IF(R11=$CA$23,"O",IF(R11=$CB$23,"O","X"))))))))))))))))))))))))))</f>
        <v>X</v>
      </c>
      <c r="S127" s="54" t="str">
        <f t="shared" si="179"/>
        <v>X</v>
      </c>
      <c r="T127" s="54" t="str">
        <f t="shared" si="179"/>
        <v>X</v>
      </c>
      <c r="U127" s="54" t="str">
        <f t="shared" si="179"/>
        <v>X</v>
      </c>
      <c r="V127" s="54" t="str">
        <f t="shared" si="179"/>
        <v>X</v>
      </c>
      <c r="W127" s="54" t="str">
        <f t="shared" si="179"/>
        <v>X</v>
      </c>
      <c r="X127" s="54" t="str">
        <f t="shared" si="179"/>
        <v>X</v>
      </c>
      <c r="Y127" s="54" t="str">
        <f t="shared" si="179"/>
        <v>X</v>
      </c>
      <c r="Z127" s="54" t="str">
        <f t="shared" si="179"/>
        <v>X</v>
      </c>
      <c r="AA127" s="54" t="str">
        <f t="shared" si="179"/>
        <v>X</v>
      </c>
      <c r="AB127" s="54" t="str">
        <f t="shared" si="179"/>
        <v>X</v>
      </c>
      <c r="AC127" s="54" t="str">
        <f t="shared" si="179"/>
        <v>X</v>
      </c>
      <c r="AD127" s="54" t="str">
        <f t="shared" si="179"/>
        <v>X</v>
      </c>
      <c r="AE127" s="54" t="str">
        <f t="shared" si="179"/>
        <v>X</v>
      </c>
      <c r="AF127" s="54" t="str">
        <f t="shared" si="179"/>
        <v>X</v>
      </c>
      <c r="AG127" s="54" t="str">
        <f t="shared" si="179"/>
        <v>X</v>
      </c>
      <c r="AH127" s="54" t="str">
        <f t="shared" si="179"/>
        <v>X</v>
      </c>
      <c r="AI127" s="54" t="str">
        <f t="shared" si="179"/>
        <v>X</v>
      </c>
      <c r="AJ127" s="54" t="str">
        <f t="shared" si="179"/>
        <v>X</v>
      </c>
      <c r="AK127" s="54" t="str">
        <f t="shared" si="179"/>
        <v>X</v>
      </c>
      <c r="AL127" s="54" t="str">
        <f t="shared" si="179"/>
        <v>X</v>
      </c>
      <c r="AM127" s="54" t="str">
        <f t="shared" si="179"/>
        <v>X</v>
      </c>
      <c r="AN127" s="54" t="str">
        <f t="shared" si="179"/>
        <v>X</v>
      </c>
      <c r="AO127" s="54" t="str">
        <f t="shared" si="179"/>
        <v>X</v>
      </c>
      <c r="AP127" s="54" t="str">
        <f t="shared" si="179"/>
        <v>X</v>
      </c>
      <c r="AQ127" s="54" t="str">
        <f t="shared" si="179"/>
        <v>X</v>
      </c>
      <c r="AR127" s="54" t="str">
        <f t="shared" si="179"/>
        <v>X</v>
      </c>
      <c r="AS127" s="54" t="str">
        <f t="shared" si="179"/>
        <v>X</v>
      </c>
      <c r="AT127" s="54" t="str">
        <f t="shared" si="179"/>
        <v>X</v>
      </c>
      <c r="AU127" s="54" t="str">
        <f t="shared" si="179"/>
        <v>X</v>
      </c>
      <c r="AV127" s="53"/>
      <c r="AW127" s="53"/>
      <c r="AX127" s="53"/>
      <c r="BC127"/>
      <c r="BD127"/>
      <c r="BE127"/>
      <c r="BF127"/>
      <c r="BG127" s="118"/>
      <c r="BJ127"/>
    </row>
    <row r="128" spans="1:66" ht="17.5">
      <c r="A128" s="128"/>
      <c r="B128" s="54" t="s">
        <v>540</v>
      </c>
      <c r="C128" s="54" t="str">
        <f t="shared" ref="C128:P128" ca="1" si="180">IF(C12=$BC$23,"O",IF(C12=$BD$23,"O",IF(C12=$BE$23,"O",IF(C12=$BF$23,"O",IF(C12=$BG$23,"O",IF(C12=$BH$23,"O",IF(C12=$BI$23,"O",IF(C12=$BJ$23,"O",IF(C12=$BK$23,"O",IF(C12=$BL$23,"O",IF(C12=$BM$23,"O",IF(C12=$BN$23,"O",IF(C12=$BO$23,"O",IF(C12=$BP$23,"O",IF(C12=$BQ$23,"O",IF(C12=$BR$23,"O",IF(C12=$BS$23,"O",IF(C12=$BT$23,"O",IF(C12=$BU$23,"O",IF(C12=$BV$23,"O",IF(C12=$BW$23,"O",IF(C12=$BX$23,"O",IF(C12=$BY$23,"O",IF(C12=$BZ$23,"O",IF(C12=$CA$23,"O",IF(C12=$CB$23,"O",IF(C12=$CC$23,"O",IF(C12=$CD$23,"O",IF(C12=$CE$23,"O",IF(C12=$CF$23,"O",IF(C12=$CG$23,"O",IF(C12=$CH$23,"O",IF(C12=$CI$23,"O",IF(C12=$CJ$23,"O",IF(C12=$CK$23,"O",IF(C12=$CL$23,"O",IF(C12=$CM$23,"O",IF(C12=$CN$23,"O",IF(C12=$CO$23,"O",IF(C12=$CP$23,"O","X"))))))))))))))))))))))))))))))))))))))))</f>
        <v>O</v>
      </c>
      <c r="D128" s="54" t="str">
        <f t="shared" ca="1" si="180"/>
        <v>O</v>
      </c>
      <c r="E128" s="54" t="str">
        <f t="shared" ca="1" si="180"/>
        <v>X</v>
      </c>
      <c r="F128" s="54" t="str">
        <f t="shared" ca="1" si="180"/>
        <v>O</v>
      </c>
      <c r="G128" s="54" t="str">
        <f t="shared" ca="1" si="180"/>
        <v>X</v>
      </c>
      <c r="H128" s="54" t="str">
        <f t="shared" ca="1" si="180"/>
        <v>X</v>
      </c>
      <c r="I128" s="54" t="str">
        <f t="shared" ca="1" si="180"/>
        <v>O</v>
      </c>
      <c r="J128" s="54" t="str">
        <f t="shared" ca="1" si="180"/>
        <v>O</v>
      </c>
      <c r="K128" s="54" t="str">
        <f t="shared" ca="1" si="180"/>
        <v>X</v>
      </c>
      <c r="L128" s="54" t="str">
        <f t="shared" ca="1" si="180"/>
        <v>X</v>
      </c>
      <c r="M128" s="54" t="str">
        <f t="shared" ca="1" si="180"/>
        <v>O</v>
      </c>
      <c r="N128" s="54" t="str">
        <f t="shared" ca="1" si="180"/>
        <v>X</v>
      </c>
      <c r="O128" s="54" t="str">
        <f t="shared" ca="1" si="180"/>
        <v>X</v>
      </c>
      <c r="P128" s="54" t="str">
        <f t="shared" ca="1" si="180"/>
        <v>O</v>
      </c>
      <c r="Q128" s="54" t="str">
        <f ca="1">IF(Q12=$BC$23,"O",IF(Q12=$BD$23,"O",IF(Q12=$BE$23,"O",IF(Q12=$BF$23,"O",IF(Q12=$BG$23,"O",IF(Q12=$BH$23,"O",IF(Q12=$BI$23,"O",IF(Q12=$BJ$23,"O",IF(Q12=$BK$23,"O",IF(Q12=$BL$23,"O",IF(Q12=$BM$23,"O",IF(Q12=$BN$23,"O",IF(Q12=$BO$23,"O",IF(Q12=$BP$23,"O",IF(Q12=$BQ$23,"O",IF(Q12=$BR$23,"O",IF(Q12=$BS$23,"O",IF(Q12=$BT$23,"O",IF(Q12=$BU$23,"O",IF(Q12=$BV$23,"O",IF(Q12=$BW$23,"O",IF(Q12=$BX$23,"O",IF(Q12=$BY$23,"O",IF(Q12=$BZ$23,"O",IF(Q12=$CA$23,"O",IF(Q12=$CB$23,"O",IF(Q12=$CC$23,"O",IF(Q12=$CD$23,"O",IF(Q12=$CE$23,"O",IF(Q12=$CF$23,"O",IF(Q12=$CG$23,"O",IF(Q12=$CH$23,"O",IF(Q12=$CI$23,"O",IF(Q12=$CJ$23,"O",IF(Q12=$CK$23,"O",IF(Q12=$CL$23,"O",IF(Q12=$CM$23,"O",IF(Q12=$CN$23,"O",IF(Q12=$CO$23,"O",IF(Q12=$CP$23,"O","X"))))))))))))))))))))))))))))))))))))))))</f>
        <v>O</v>
      </c>
      <c r="R128" s="54" t="str">
        <f t="shared" ref="R128:AU128" si="181">IF(R12=$BC$23,"O",IF(R12=$BD$23,"O",IF(R12=$BE$23,"O",IF(R12=$BF$23,"O",IF(R12=$BG$23,"O",IF(R12=$BH$23,"O",IF(R12=$BI$23,"O",IF(R12=$BJ$23,"O",IF(R12=$BK$23,"O",IF(R12=$BL$23,"O",IF(R12=$BM$23,"O",IF(R12=$BN$23,"O",IF(R12=$BO$23,"O",IF(R12=$BP$23,"O",IF(R12=$BQ$23,"O",IF(R12=$BR$23,"O",IF(R12=$BS$23,"O",IF(R12=$BT$23,"O",IF(R12=$BU$23,"O",IF(R12=$BV$23,"O",IF(R12=$BW$23,"O",IF(R12=$BX$23,"O",IF(R12=$BY$23,"O",IF(R12=$BZ$23,"O",IF(R12=$CA$23,"O",IF(R12=$CB$23,"O","X"))))))))))))))))))))))))))</f>
        <v>X</v>
      </c>
      <c r="S128" s="54" t="str">
        <f t="shared" si="181"/>
        <v>X</v>
      </c>
      <c r="T128" s="54" t="str">
        <f t="shared" si="181"/>
        <v>X</v>
      </c>
      <c r="U128" s="54" t="str">
        <f t="shared" si="181"/>
        <v>X</v>
      </c>
      <c r="V128" s="54" t="str">
        <f t="shared" si="181"/>
        <v>X</v>
      </c>
      <c r="W128" s="54" t="str">
        <f t="shared" si="181"/>
        <v>X</v>
      </c>
      <c r="X128" s="54" t="str">
        <f t="shared" si="181"/>
        <v>X</v>
      </c>
      <c r="Y128" s="54" t="str">
        <f t="shared" si="181"/>
        <v>X</v>
      </c>
      <c r="Z128" s="54" t="str">
        <f t="shared" si="181"/>
        <v>X</v>
      </c>
      <c r="AA128" s="54" t="str">
        <f t="shared" si="181"/>
        <v>X</v>
      </c>
      <c r="AB128" s="54" t="str">
        <f t="shared" si="181"/>
        <v>X</v>
      </c>
      <c r="AC128" s="54" t="str">
        <f t="shared" si="181"/>
        <v>X</v>
      </c>
      <c r="AD128" s="54" t="str">
        <f t="shared" si="181"/>
        <v>X</v>
      </c>
      <c r="AE128" s="54" t="str">
        <f t="shared" si="181"/>
        <v>X</v>
      </c>
      <c r="AF128" s="54" t="str">
        <f t="shared" si="181"/>
        <v>X</v>
      </c>
      <c r="AG128" s="54" t="str">
        <f t="shared" si="181"/>
        <v>X</v>
      </c>
      <c r="AH128" s="54" t="str">
        <f t="shared" si="181"/>
        <v>X</v>
      </c>
      <c r="AI128" s="54" t="str">
        <f t="shared" si="181"/>
        <v>X</v>
      </c>
      <c r="AJ128" s="54" t="str">
        <f t="shared" si="181"/>
        <v>X</v>
      </c>
      <c r="AK128" s="54" t="str">
        <f t="shared" si="181"/>
        <v>X</v>
      </c>
      <c r="AL128" s="54" t="str">
        <f t="shared" si="181"/>
        <v>X</v>
      </c>
      <c r="AM128" s="54" t="str">
        <f t="shared" si="181"/>
        <v>X</v>
      </c>
      <c r="AN128" s="54" t="str">
        <f t="shared" si="181"/>
        <v>X</v>
      </c>
      <c r="AO128" s="54" t="str">
        <f t="shared" si="181"/>
        <v>X</v>
      </c>
      <c r="AP128" s="54" t="str">
        <f t="shared" si="181"/>
        <v>X</v>
      </c>
      <c r="AQ128" s="54" t="str">
        <f t="shared" si="181"/>
        <v>X</v>
      </c>
      <c r="AR128" s="54" t="str">
        <f t="shared" si="181"/>
        <v>X</v>
      </c>
      <c r="AS128" s="54" t="str">
        <f t="shared" si="181"/>
        <v>X</v>
      </c>
      <c r="AT128" s="54" t="str">
        <f t="shared" si="181"/>
        <v>X</v>
      </c>
      <c r="AU128" s="54" t="str">
        <f t="shared" si="181"/>
        <v>X</v>
      </c>
      <c r="AV128" s="53"/>
      <c r="AW128" s="53"/>
      <c r="AX128" s="53"/>
      <c r="BC128"/>
      <c r="BD128"/>
      <c r="BE128"/>
      <c r="BF128"/>
      <c r="BG128" s="118"/>
      <c r="BJ128"/>
    </row>
    <row r="129" spans="1:66" ht="17.5">
      <c r="A129" s="129"/>
      <c r="B129" s="60" t="s">
        <v>663</v>
      </c>
      <c r="C129" s="55">
        <f ca="1">COUNTIF(C123:C128,"O")</f>
        <v>2</v>
      </c>
      <c r="D129" s="55">
        <f t="shared" ref="D129:Q129" ca="1" si="182">COUNTIF(D123:D128,"O")</f>
        <v>5</v>
      </c>
      <c r="E129" s="55">
        <f t="shared" ca="1" si="182"/>
        <v>2</v>
      </c>
      <c r="F129" s="55">
        <f t="shared" ca="1" si="182"/>
        <v>2</v>
      </c>
      <c r="G129" s="55">
        <f t="shared" ca="1" si="182"/>
        <v>4</v>
      </c>
      <c r="H129" s="55">
        <f t="shared" ca="1" si="182"/>
        <v>1</v>
      </c>
      <c r="I129" s="55">
        <f t="shared" ca="1" si="182"/>
        <v>1</v>
      </c>
      <c r="J129" s="55">
        <f t="shared" ca="1" si="182"/>
        <v>1</v>
      </c>
      <c r="K129" s="55">
        <f t="shared" ca="1" si="182"/>
        <v>2</v>
      </c>
      <c r="L129" s="55">
        <f t="shared" ca="1" si="182"/>
        <v>3</v>
      </c>
      <c r="M129" s="55">
        <f t="shared" ca="1" si="182"/>
        <v>3</v>
      </c>
      <c r="N129" s="55">
        <f t="shared" ca="1" si="182"/>
        <v>1</v>
      </c>
      <c r="O129" s="55">
        <f t="shared" ca="1" si="182"/>
        <v>4</v>
      </c>
      <c r="P129" s="55">
        <f t="shared" ca="1" si="182"/>
        <v>1</v>
      </c>
      <c r="Q129" s="55">
        <f t="shared" ca="1" si="182"/>
        <v>1</v>
      </c>
      <c r="R129" s="55">
        <f t="shared" ref="R129:AK129" si="183">COUNTIF(R123:R128,"O")</f>
        <v>0</v>
      </c>
      <c r="S129" s="55">
        <f t="shared" si="183"/>
        <v>0</v>
      </c>
      <c r="T129" s="55">
        <f t="shared" si="183"/>
        <v>0</v>
      </c>
      <c r="U129" s="55">
        <f t="shared" si="183"/>
        <v>0</v>
      </c>
      <c r="V129" s="55">
        <f t="shared" si="183"/>
        <v>0</v>
      </c>
      <c r="W129" s="55">
        <f t="shared" si="183"/>
        <v>0</v>
      </c>
      <c r="X129" s="55">
        <f t="shared" si="183"/>
        <v>0</v>
      </c>
      <c r="Y129" s="55">
        <f t="shared" si="183"/>
        <v>0</v>
      </c>
      <c r="Z129" s="55">
        <f t="shared" si="183"/>
        <v>0</v>
      </c>
      <c r="AA129" s="55">
        <f t="shared" si="183"/>
        <v>0</v>
      </c>
      <c r="AB129" s="55">
        <f t="shared" si="183"/>
        <v>0</v>
      </c>
      <c r="AC129" s="55">
        <f t="shared" si="183"/>
        <v>0</v>
      </c>
      <c r="AD129" s="55">
        <f t="shared" si="183"/>
        <v>0</v>
      </c>
      <c r="AE129" s="55">
        <f t="shared" si="183"/>
        <v>0</v>
      </c>
      <c r="AF129" s="55">
        <f t="shared" si="183"/>
        <v>0</v>
      </c>
      <c r="AG129" s="55">
        <f t="shared" si="183"/>
        <v>0</v>
      </c>
      <c r="AH129" s="55">
        <f t="shared" si="183"/>
        <v>0</v>
      </c>
      <c r="AI129" s="55">
        <f t="shared" si="183"/>
        <v>0</v>
      </c>
      <c r="AJ129" s="55">
        <f t="shared" si="183"/>
        <v>0</v>
      </c>
      <c r="AK129" s="55">
        <f t="shared" si="183"/>
        <v>0</v>
      </c>
      <c r="AL129" s="55">
        <f t="shared" ref="AL129:AU129" si="184">COUNTIF(AL123:AL128,"O")</f>
        <v>0</v>
      </c>
      <c r="AM129" s="55">
        <f t="shared" si="184"/>
        <v>0</v>
      </c>
      <c r="AN129" s="55">
        <f t="shared" si="184"/>
        <v>0</v>
      </c>
      <c r="AO129" s="55">
        <f t="shared" si="184"/>
        <v>0</v>
      </c>
      <c r="AP129" s="55">
        <f t="shared" si="184"/>
        <v>0</v>
      </c>
      <c r="AQ129" s="55">
        <f t="shared" si="184"/>
        <v>0</v>
      </c>
      <c r="AR129" s="55">
        <f t="shared" si="184"/>
        <v>0</v>
      </c>
      <c r="AS129" s="55">
        <f t="shared" si="184"/>
        <v>0</v>
      </c>
      <c r="AT129" s="55">
        <f t="shared" si="184"/>
        <v>0</v>
      </c>
      <c r="AU129" s="55">
        <f t="shared" si="184"/>
        <v>0</v>
      </c>
      <c r="AV129" s="171"/>
      <c r="AW129" s="171"/>
      <c r="AX129" s="171"/>
      <c r="BC129"/>
      <c r="BD129"/>
      <c r="BE129"/>
      <c r="BF129"/>
      <c r="BG129" s="118"/>
      <c r="BJ129"/>
      <c r="BK129"/>
      <c r="BL129"/>
      <c r="BM129" s="120"/>
      <c r="BN129" s="120"/>
    </row>
    <row r="130" spans="1:66" ht="17.5">
      <c r="A130" s="127" t="s">
        <v>844</v>
      </c>
      <c r="B130" s="54" t="s">
        <v>560</v>
      </c>
      <c r="C130" s="54" t="str">
        <f ca="1">IF(C7=$BC$24,"O",IF(C7=$BD$24,"O",IF(C7=$BE$24,"O",IF(C7=$BF$24,"O",IF(C7=$BG$24,"O",IF(C7=$BH$24,"O",IF(C7=$BI$24,"O",IF(C7=$BJ$24,"O",IF(C7=$BK$24,"O",IF(C7=$BL$24,"O",IF(C7=$BM$24,"O",IF(C7=$BN$24,"O",IF(C7=$BO$24,"O",IF(C7=$BP$24,"O",IF(C7=$BQ$24,"O",IF(C7=$BR$24,"O",IF(C7=$BS$24,"O",IF(C7=$BT$24,"O",IF(C7=$BU$24,"O",IF(C7=$BV$24,"O",IF(C7=$BW$24,"O",IF(C7=$BX$24,"O",IF(C7=$BY$24,"O",IF(C7=$BZ$24,"O",IF(C7=$CA$24,"O",IF(C7=$CB$24,"O",IF(C7=$CC$24,"O",IF(C7=$CD$24,"O",IF(C7=$CE$24,"O",IF(C7=$CF$24,"O",IF(C7=$CG$24,"O",IF(C7=$CH$24,"O",IF(C7=$CI$24,"O",IF(C7=$CJ$24,"O",IF(C7=$CK$24,"O",IF(C7=$CL$24,"O",IF(C7=$CM$24,"O",IF(C7=$CN$24,"O",IF(C7=$CO$24,"O",IF(C7=$CP$24,"O","X"))))))))))))))))))))))))))))))))))))))))</f>
        <v>X</v>
      </c>
      <c r="D130" s="54" t="str">
        <f t="shared" ref="D130:Q130" ca="1" si="185">IF(D7=$BC$24,"O",IF(D7=$BD$24,"O",IF(D7=$BE$24,"O",IF(D7=$BF$24,"O",IF(D7=$BG$24,"O",IF(D7=$BH$24,"O",IF(D7=$BI$24,"O",IF(D7=$BJ$24,"O",IF(D7=$BK$24,"O",IF(D7=$BL$24,"O",IF(D7=$BM$24,"O",IF(D7=$BN$24,"O",IF(D7=$BO$24,"O",IF(D7=$BP$24,"O",IF(D7=$BQ$24,"O",IF(D7=$BR$24,"O",IF(D7=$BS$24,"O",IF(D7=$BT$24,"O",IF(D7=$BU$24,"O",IF(D7=$BV$24,"O",IF(D7=$BW$24,"O",IF(D7=$BX$24,"O",IF(D7=$BY$24,"O",IF(D7=$BZ$24,"O",IF(D7=$CA$24,"O",IF(D7=$CB$24,"O",IF(D7=$CC$24,"O",IF(D7=$CD$24,"O",IF(D7=$CE$24,"O",IF(D7=$CF$24,"O",IF(D7=$CG$24,"O",IF(D7=$CH$24,"O",IF(D7=$CI$24,"O",IF(D7=$CJ$24,"O",IF(D7=$CK$24,"O",IF(D7=$CL$24,"O",IF(D7=$CM$24,"O",IF(D7=$CN$24,"O",IF(D7=$CO$24,"O",IF(D7=$CP$24,"O","X"))))))))))))))))))))))))))))))))))))))))</f>
        <v>O</v>
      </c>
      <c r="E130" s="54" t="str">
        <f t="shared" ca="1" si="185"/>
        <v>O</v>
      </c>
      <c r="F130" s="54" t="str">
        <f t="shared" ca="1" si="185"/>
        <v>O</v>
      </c>
      <c r="G130" s="54" t="str">
        <f t="shared" ca="1" si="185"/>
        <v>O</v>
      </c>
      <c r="H130" s="54" t="str">
        <f t="shared" ca="1" si="185"/>
        <v>O</v>
      </c>
      <c r="I130" s="54" t="str">
        <f t="shared" ca="1" si="185"/>
        <v>X</v>
      </c>
      <c r="J130" s="54" t="str">
        <f t="shared" ca="1" si="185"/>
        <v>X</v>
      </c>
      <c r="K130" s="54" t="str">
        <f t="shared" ca="1" si="185"/>
        <v>O</v>
      </c>
      <c r="L130" s="54" t="str">
        <f t="shared" ca="1" si="185"/>
        <v>O</v>
      </c>
      <c r="M130" s="54" t="str">
        <f t="shared" ca="1" si="185"/>
        <v>X</v>
      </c>
      <c r="N130" s="54" t="str">
        <f t="shared" ca="1" si="185"/>
        <v>X</v>
      </c>
      <c r="O130" s="54" t="str">
        <f t="shared" ca="1" si="185"/>
        <v>O</v>
      </c>
      <c r="P130" s="54" t="str">
        <f t="shared" ca="1" si="185"/>
        <v>O</v>
      </c>
      <c r="Q130" s="54" t="str">
        <f t="shared" ca="1" si="185"/>
        <v>O</v>
      </c>
      <c r="R130" s="54" t="e">
        <f>IF(R7=$BC$24,"O",IF(R7=$BD$24,"O",IF(R7=$BE$24,"O",IF(R7=$BF$24,"O",IF(R7=$BG$24,"O",IF(R7=$BH$24,"O",IF(R7=$BI$24,"O",IF(R7=$BJ$24,"O",IF(R7=$BK$24,"O",IF(R7=$BL$24,"O",IF(R7=$BM$24,"O",IF(R7=$BN$24,"O",IF(R7=$BO$24,"O",IF(R7=$BP$24,"O",IF(R7=$BQ$24,"O",IF(R7=#REF!,"O",IF(R7=$BS$24,"O",IF(R7=$BT$24,"O",IF(R7=$BU$24,"O",IF(R7=$BV$24,"O",IF(R7=$BW$24,"O",IF(R7=$BX$24,"O",IF(R7=$BY$24,"O",IF(R7=$BZ$24,"O",IF(R7=$CA$24,"O",IF(R7=$CB$24,"O","X"))))))))))))))))))))))))))</f>
        <v>#REF!</v>
      </c>
      <c r="S130" s="54" t="e">
        <f>IF(S7=$BC$24,"O",IF(S7=$BD$24,"O",IF(S7=$BE$24,"O",IF(S7=$BF$24,"O",IF(S7=$BG$24,"O",IF(S7=$BH$24,"O",IF(S7=$BI$24,"O",IF(S7=$BJ$24,"O",IF(S7=$BK$24,"O",IF(S7=$BL$24,"O",IF(S7=$BM$24,"O",IF(S7=$BN$24,"O",IF(S7=$BO$24,"O",IF(S7=$BP$24,"O",IF(S7=$BQ$24,"O",IF(S7=#REF!,"O",IF(S7=$BS$24,"O",IF(S7=$BT$24,"O",IF(S7=$BU$24,"O",IF(S7=$BV$24,"O",IF(S7=$BW$24,"O",IF(S7=$BX$24,"O",IF(S7=$BY$24,"O",IF(S7=$BZ$24,"O",IF(S7=$CA$24,"O",IF(S7=$CB$24,"O","X"))))))))))))))))))))))))))</f>
        <v>#REF!</v>
      </c>
      <c r="T130" s="54" t="e">
        <f>IF(T7=$BC$24,"O",IF(T7=$BD$24,"O",IF(T7=$BE$24,"O",IF(T7=$BF$24,"O",IF(T7=$BG$24,"O",IF(T7=$BH$24,"O",IF(T7=$BI$24,"O",IF(T7=$BJ$24,"O",IF(T7=$BK$24,"O",IF(T7=$BL$24,"O",IF(T7=$BM$24,"O",IF(T7=$BN$24,"O",IF(T7=$BO$24,"O",IF(T7=$BP$24,"O",IF(T7=$BQ$24,"O",IF(T7=#REF!,"O",IF(T7=$BS$24,"O",IF(T7=$BT$24,"O",IF(T7=$BU$24,"O",IF(T7=$BV$24,"O",IF(T7=$BW$24,"O",IF(T7=$BX$24,"O",IF(T7=$BY$24,"O",IF(T7=$BZ$24,"O",IF(T7=$CA$24,"O",IF(T7=$CB$24,"O","X"))))))))))))))))))))))))))</f>
        <v>#REF!</v>
      </c>
      <c r="U130" s="54" t="e">
        <f>IF(U7=$BC$24,"O",IF(U7=$BD$24,"O",IF(U7=$BE$24,"O",IF(U7=$BF$24,"O",IF(U7=$BG$24,"O",IF(U7=$BH$24,"O",IF(U7=$BI$24,"O",IF(U7=$BJ$24,"O",IF(U7=$BK$24,"O",IF(U7=$BL$24,"O",IF(U7=$BM$24,"O",IF(U7=$BN$24,"O",IF(U7=$BO$24,"O",IF(U7=$BP$24,"O",IF(U7=$BQ$24,"O",IF(U7=#REF!,"O",IF(U7=$BS$24,"O",IF(U7=$BT$24,"O",IF(U7=$BU$24,"O",IF(U7=$BV$24,"O",IF(U7=$BW$24,"O",IF(U7=$BX$24,"O",IF(U7=$BY$24,"O",IF(U7=$BZ$24,"O",IF(U7=$CA$24,"O",IF(U7=$CB$24,"O","X"))))))))))))))))))))))))))</f>
        <v>#REF!</v>
      </c>
      <c r="V130" s="54" t="e">
        <f>IF(V7=$BC$24,"O",IF(V7=$BD$24,"O",IF(V7=$BE$24,"O",IF(V7=$BF$24,"O",IF(V7=$BG$24,"O",IF(V7=$BH$24,"O",IF(V7=$BI$24,"O",IF(V7=$BJ$24,"O",IF(V7=$BK$24,"O",IF(V7=$BL$24,"O",IF(V7=$BM$24,"O",IF(V7=$BN$24,"O",IF(V7=$BO$24,"O",IF(V7=$BP$24,"O",IF(V7=$BQ$24,"O",IF(V7=#REF!,"O",IF(V7=$BS$24,"O",IF(V7=$BT$24,"O",IF(V7=$BU$24,"O",IF(V7=$BV$24,"O",IF(V7=$BW$24,"O",IF(V7=$BX$24,"O",IF(V7=$BY$24,"O",IF(V7=$BZ$24,"O",IF(V7=$CA$24,"O",IF(V7=$CB$24,"O","X"))))))))))))))))))))))))))</f>
        <v>#REF!</v>
      </c>
      <c r="W130" s="54" t="e">
        <f>IF(W7=$BC$24,"O",IF(W7=$BD$24,"O",IF(W7=$BE$24,"O",IF(W7=$BF$24,"O",IF(W7=$BG$24,"O",IF(W7=$BH$24,"O",IF(W7=$BI$24,"O",IF(W7=$BJ$24,"O",IF(W7=$BK$24,"O",IF(W7=$BL$24,"O",IF(W7=$BM$24,"O",IF(W7=$BN$24,"O",IF(W7=$BO$24,"O",IF(W7=$BP$24,"O",IF(W7=$BQ$24,"O",IF(W7=#REF!,"O",IF(W7=$BS$24,"O",IF(W7=$BT$24,"O",IF(W7=$BU$24,"O",IF(W7=$BV$24,"O",IF(W7=$BW$24,"O",IF(W7=$BX$24,"O",IF(W7=$BY$24,"O",IF(W7=$BZ$24,"O",IF(W7=$CA$24,"O",IF(W7=$CB$24,"O","X"))))))))))))))))))))))))))</f>
        <v>#REF!</v>
      </c>
      <c r="X130" s="54" t="e">
        <f>IF(X7=$BC$24,"O",IF(X7=$BD$24,"O",IF(X7=$BE$24,"O",IF(X7=$BF$24,"O",IF(X7=$BG$24,"O",IF(X7=$BH$24,"O",IF(X7=$BI$24,"O",IF(X7=$BJ$24,"O",IF(X7=$BK$24,"O",IF(X7=$BL$24,"O",IF(X7=$BM$24,"O",IF(X7=$BN$24,"O",IF(X7=$BO$24,"O",IF(X7=$BP$24,"O",IF(X7=$BQ$24,"O",IF(X7=#REF!,"O",IF(X7=$BS$24,"O",IF(X7=$BT$24,"O",IF(X7=$BU$24,"O",IF(X7=$BV$24,"O",IF(X7=$BW$24,"O",IF(X7=$BX$24,"O",IF(X7=$BY$24,"O",IF(X7=$BZ$24,"O",IF(X7=$CA$24,"O",IF(X7=$CB$24,"O","X"))))))))))))))))))))))))))</f>
        <v>#REF!</v>
      </c>
      <c r="Y130" s="54" t="e">
        <f>IF(Y7=$BC$24,"O",IF(Y7=$BD$24,"O",IF(Y7=$BE$24,"O",IF(Y7=$BF$24,"O",IF(Y7=$BG$24,"O",IF(Y7=$BH$24,"O",IF(Y7=$BI$24,"O",IF(Y7=$BJ$24,"O",IF(Y7=$BK$24,"O",IF(Y7=$BL$24,"O",IF(Y7=$BM$24,"O",IF(Y7=$BN$24,"O",IF(Y7=$BO$24,"O",IF(Y7=$BP$24,"O",IF(Y7=$BQ$24,"O",IF(Y7=#REF!,"O",IF(Y7=$BS$24,"O",IF(Y7=$BT$24,"O",IF(Y7=$BU$24,"O",IF(Y7=$BV$24,"O",IF(Y7=$BW$24,"O",IF(Y7=$BX$24,"O",IF(Y7=$BY$24,"O",IF(Y7=$BZ$24,"O",IF(Y7=$CA$24,"O",IF(Y7=$CB$24,"O","X"))))))))))))))))))))))))))</f>
        <v>#REF!</v>
      </c>
      <c r="Z130" s="54" t="e">
        <f>IF(Z7=$BC$24,"O",IF(Z7=$BD$24,"O",IF(Z7=$BE$24,"O",IF(Z7=$BF$24,"O",IF(Z7=$BG$24,"O",IF(Z7=$BH$24,"O",IF(Z7=$BI$24,"O",IF(Z7=$BJ$24,"O",IF(Z7=$BK$24,"O",IF(Z7=$BL$24,"O",IF(Z7=$BM$24,"O",IF(Z7=$BN$24,"O",IF(Z7=$BO$24,"O",IF(Z7=$BP$24,"O",IF(Z7=$BQ$24,"O",IF(Z7=#REF!,"O",IF(Z7=$BS$24,"O",IF(Z7=$BT$24,"O",IF(Z7=$BU$24,"O",IF(Z7=$BV$24,"O",IF(Z7=$BW$24,"O",IF(Z7=$BX$24,"O",IF(Z7=$BY$24,"O",IF(Z7=$BZ$24,"O",IF(Z7=$CA$24,"O",IF(Z7=$CB$24,"O","X"))))))))))))))))))))))))))</f>
        <v>#REF!</v>
      </c>
      <c r="AA130" s="54" t="e">
        <f>IF(AA7=$BC$24,"O",IF(AA7=$BD$24,"O",IF(AA7=$BE$24,"O",IF(AA7=$BF$24,"O",IF(AA7=$BG$24,"O",IF(AA7=$BH$24,"O",IF(AA7=$BI$24,"O",IF(AA7=$BJ$24,"O",IF(AA7=$BK$24,"O",IF(AA7=$BL$24,"O",IF(AA7=$BM$24,"O",IF(AA7=$BN$24,"O",IF(AA7=$BO$24,"O",IF(AA7=$BP$24,"O",IF(AA7=$BQ$24,"O",IF(AA7=#REF!,"O",IF(AA7=$BS$24,"O",IF(AA7=$BT$24,"O",IF(AA7=$BU$24,"O",IF(AA7=$BV$24,"O",IF(AA7=$BW$24,"O",IF(AA7=$BX$24,"O",IF(AA7=$BY$24,"O",IF(AA7=$BZ$24,"O",IF(AA7=$CA$24,"O",IF(AA7=$CB$24,"O","X"))))))))))))))))))))))))))</f>
        <v>#REF!</v>
      </c>
      <c r="AB130" s="54" t="e">
        <f>IF(AB7=$BC$24,"O",IF(AB7=$BD$24,"O",IF(AB7=$BE$24,"O",IF(AB7=$BF$24,"O",IF(AB7=$BG$24,"O",IF(AB7=$BH$24,"O",IF(AB7=$BI$24,"O",IF(AB7=$BJ$24,"O",IF(AB7=$BK$24,"O",IF(AB7=$BL$24,"O",IF(AB7=$BM$24,"O",IF(AB7=$BN$24,"O",IF(AB7=$BO$24,"O",IF(AB7=$BP$24,"O",IF(AB7=$BQ$24,"O",IF(AB7=#REF!,"O",IF(AB7=$BS$24,"O",IF(AB7=$BT$24,"O",IF(AB7=$BU$24,"O",IF(AB7=$BV$24,"O",IF(AB7=$BW$24,"O",IF(AB7=$BX$24,"O",IF(AB7=$BY$24,"O",IF(AB7=$BZ$24,"O",IF(AB7=$CA$24,"O",IF(AB7=$CB$24,"O","X"))))))))))))))))))))))))))</f>
        <v>#REF!</v>
      </c>
      <c r="AC130" s="54" t="e">
        <f>IF(AC7=$BC$24,"O",IF(AC7=$BD$24,"O",IF(AC7=$BE$24,"O",IF(AC7=$BF$24,"O",IF(AC7=$BG$24,"O",IF(AC7=$BH$24,"O",IF(AC7=$BI$24,"O",IF(AC7=$BJ$24,"O",IF(AC7=$BK$24,"O",IF(AC7=$BL$24,"O",IF(AC7=$BM$24,"O",IF(AC7=$BN$24,"O",IF(AC7=$BO$24,"O",IF(AC7=$BP$24,"O",IF(AC7=$BQ$24,"O",IF(AC7=#REF!,"O",IF(AC7=$BS$24,"O",IF(AC7=$BT$24,"O",IF(AC7=$BU$24,"O",IF(AC7=$BV$24,"O",IF(AC7=$BW$24,"O",IF(AC7=$BX$24,"O",IF(AC7=$BY$24,"O",IF(AC7=$BZ$24,"O",IF(AC7=$CA$24,"O",IF(AC7=$CB$24,"O","X"))))))))))))))))))))))))))</f>
        <v>#REF!</v>
      </c>
      <c r="AD130" s="54" t="e">
        <f>IF(AD7=$BC$24,"O",IF(AD7=$BD$24,"O",IF(AD7=$BE$24,"O",IF(AD7=$BF$24,"O",IF(AD7=$BG$24,"O",IF(AD7=$BH$24,"O",IF(AD7=$BI$24,"O",IF(AD7=$BJ$24,"O",IF(AD7=$BK$24,"O",IF(AD7=$BL$24,"O",IF(AD7=$BM$24,"O",IF(AD7=$BN$24,"O",IF(AD7=$BO$24,"O",IF(AD7=$BP$24,"O",IF(AD7=$BQ$24,"O",IF(AD7=#REF!,"O",IF(AD7=$BS$24,"O",IF(AD7=$BT$24,"O",IF(AD7=$BU$24,"O",IF(AD7=$BV$24,"O",IF(AD7=$BW$24,"O",IF(AD7=$BX$24,"O",IF(AD7=$BY$24,"O",IF(AD7=$BZ$24,"O",IF(AD7=$CA$24,"O",IF(AD7=$CB$24,"O","X"))))))))))))))))))))))))))</f>
        <v>#REF!</v>
      </c>
      <c r="AE130" s="54" t="e">
        <f>IF(AE7=$BC$24,"O",IF(AE7=$BD$24,"O",IF(AE7=$BE$24,"O",IF(AE7=$BF$24,"O",IF(AE7=$BG$24,"O",IF(AE7=$BH$24,"O",IF(AE7=$BI$24,"O",IF(AE7=$BJ$24,"O",IF(AE7=$BK$24,"O",IF(AE7=$BL$24,"O",IF(AE7=$BM$24,"O",IF(AE7=$BN$24,"O",IF(AE7=$BO$24,"O",IF(AE7=$BP$24,"O",IF(AE7=$BQ$24,"O",IF(AE7=#REF!,"O",IF(AE7=$BS$24,"O",IF(AE7=$BT$24,"O",IF(AE7=$BU$24,"O",IF(AE7=$BV$24,"O",IF(AE7=$BW$24,"O",IF(AE7=$BX$24,"O",IF(AE7=$BY$24,"O",IF(AE7=$BZ$24,"O",IF(AE7=$CA$24,"O",IF(AE7=$CB$24,"O","X"))))))))))))))))))))))))))</f>
        <v>#REF!</v>
      </c>
      <c r="AF130" s="54" t="e">
        <f>IF(AF7=$BC$24,"O",IF(AF7=$BD$24,"O",IF(AF7=$BE$24,"O",IF(AF7=$BF$24,"O",IF(AF7=$BG$24,"O",IF(AF7=$BH$24,"O",IF(AF7=$BI$24,"O",IF(AF7=$BJ$24,"O",IF(AF7=$BK$24,"O",IF(AF7=$BL$24,"O",IF(AF7=$BM$24,"O",IF(AF7=$BN$24,"O",IF(AF7=$BO$24,"O",IF(AF7=$BP$24,"O",IF(AF7=$BQ$24,"O",IF(AF7=#REF!,"O",IF(AF7=$BS$24,"O",IF(AF7=$BT$24,"O",IF(AF7=$BU$24,"O",IF(AF7=$BV$24,"O",IF(AF7=$BW$24,"O",IF(AF7=$BX$24,"O",IF(AF7=$BY$24,"O",IF(AF7=$BZ$24,"O",IF(AF7=$CA$24,"O",IF(AF7=$CB$24,"O","X"))))))))))))))))))))))))))</f>
        <v>#REF!</v>
      </c>
      <c r="AG130" s="54" t="e">
        <f>IF(AG7=$BC$24,"O",IF(AG7=$BD$24,"O",IF(AG7=$BE$24,"O",IF(AG7=$BF$24,"O",IF(AG7=$BG$24,"O",IF(AG7=$BH$24,"O",IF(AG7=$BI$24,"O",IF(AG7=$BJ$24,"O",IF(AG7=$BK$24,"O",IF(AG7=$BL$24,"O",IF(AG7=$BM$24,"O",IF(AG7=$BN$24,"O",IF(AG7=$BO$24,"O",IF(AG7=$BP$24,"O",IF(AG7=$BQ$24,"O",IF(AG7=#REF!,"O",IF(AG7=$BS$24,"O",IF(AG7=$BT$24,"O",IF(AG7=$BU$24,"O",IF(AG7=$BV$24,"O",IF(AG7=$BW$24,"O",IF(AG7=$BX$24,"O",IF(AG7=$BY$24,"O",IF(AG7=$BZ$24,"O",IF(AG7=$CA$24,"O",IF(AG7=$CB$24,"O","X"))))))))))))))))))))))))))</f>
        <v>#REF!</v>
      </c>
      <c r="AH130" s="54" t="e">
        <f>IF(AH7=$BC$24,"O",IF(AH7=$BD$24,"O",IF(AH7=$BE$24,"O",IF(AH7=$BF$24,"O",IF(AH7=$BG$24,"O",IF(AH7=$BH$24,"O",IF(AH7=$BI$24,"O",IF(AH7=$BJ$24,"O",IF(AH7=$BK$24,"O",IF(AH7=$BL$24,"O",IF(AH7=$BM$24,"O",IF(AH7=$BN$24,"O",IF(AH7=$BO$24,"O",IF(AH7=$BP$24,"O",IF(AH7=$BQ$24,"O",IF(AH7=#REF!,"O",IF(AH7=$BS$24,"O",IF(AH7=$BT$24,"O",IF(AH7=$BU$24,"O",IF(AH7=$BV$24,"O",IF(AH7=$BW$24,"O",IF(AH7=$BX$24,"O",IF(AH7=$BY$24,"O",IF(AH7=$BZ$24,"O",IF(AH7=$CA$24,"O",IF(AH7=$CB$24,"O","X"))))))))))))))))))))))))))</f>
        <v>#REF!</v>
      </c>
      <c r="AI130" s="54" t="e">
        <f>IF(AI7=$BC$24,"O",IF(AI7=$BD$24,"O",IF(AI7=$BE$24,"O",IF(AI7=$BF$24,"O",IF(AI7=$BG$24,"O",IF(AI7=$BH$24,"O",IF(AI7=$BI$24,"O",IF(AI7=$BJ$24,"O",IF(AI7=$BK$24,"O",IF(AI7=$BL$24,"O",IF(AI7=$BM$24,"O",IF(AI7=$BN$24,"O",IF(AI7=$BO$24,"O",IF(AI7=$BP$24,"O",IF(AI7=$BQ$24,"O",IF(AI7=#REF!,"O",IF(AI7=$BS$24,"O",IF(AI7=$BT$24,"O",IF(AI7=$BU$24,"O",IF(AI7=$BV$24,"O",IF(AI7=$BW$24,"O",IF(AI7=$BX$24,"O",IF(AI7=$BY$24,"O",IF(AI7=$BZ$24,"O",IF(AI7=$CA$24,"O",IF(AI7=$CB$24,"O","X"))))))))))))))))))))))))))</f>
        <v>#REF!</v>
      </c>
      <c r="AJ130" s="54" t="e">
        <f>IF(AJ7=$BC$24,"O",IF(AJ7=$BD$24,"O",IF(AJ7=$BE$24,"O",IF(AJ7=$BF$24,"O",IF(AJ7=$BG$24,"O",IF(AJ7=$BH$24,"O",IF(AJ7=$BI$24,"O",IF(AJ7=$BJ$24,"O",IF(AJ7=$BK$24,"O",IF(AJ7=$BL$24,"O",IF(AJ7=$BM$24,"O",IF(AJ7=$BN$24,"O",IF(AJ7=$BO$24,"O",IF(AJ7=$BP$24,"O",IF(AJ7=$BQ$24,"O",IF(AJ7=#REF!,"O",IF(AJ7=$BS$24,"O",IF(AJ7=$BT$24,"O",IF(AJ7=$BU$24,"O",IF(AJ7=$BV$24,"O",IF(AJ7=$BW$24,"O",IF(AJ7=$BX$24,"O",IF(AJ7=$BY$24,"O",IF(AJ7=$BZ$24,"O",IF(AJ7=$CA$24,"O",IF(AJ7=$CB$24,"O","X"))))))))))))))))))))))))))</f>
        <v>#REF!</v>
      </c>
      <c r="AK130" s="54" t="e">
        <f>IF(AK7=$BC$24,"O",IF(AK7=$BD$24,"O",IF(AK7=$BE$24,"O",IF(AK7=$BF$24,"O",IF(AK7=$BG$24,"O",IF(AK7=$BH$24,"O",IF(AK7=$BI$24,"O",IF(AK7=$BJ$24,"O",IF(AK7=$BK$24,"O",IF(AK7=$BL$24,"O",IF(AK7=$BM$24,"O",IF(AK7=$BN$24,"O",IF(AK7=$BO$24,"O",IF(AK7=$BP$24,"O",IF(AK7=$BQ$24,"O",IF(AK7=#REF!,"O",IF(AK7=$BS$24,"O",IF(AK7=$BT$24,"O",IF(AK7=$BU$24,"O",IF(AK7=$BV$24,"O",IF(AK7=$BW$24,"O",IF(AK7=$BX$24,"O",IF(AK7=$BY$24,"O",IF(AK7=$BZ$24,"O",IF(AK7=$CA$24,"O",IF(AK7=$CB$24,"O","X"))))))))))))))))))))))))))</f>
        <v>#REF!</v>
      </c>
      <c r="AL130" s="54" t="e">
        <f>IF(AL7=$BC$24,"O",IF(AL7=$BD$24,"O",IF(AL7=$BE$24,"O",IF(AL7=$BF$24,"O",IF(AL7=$BG$24,"O",IF(AL7=$BH$24,"O",IF(AL7=$BI$24,"O",IF(AL7=$BJ$24,"O",IF(AL7=$BK$24,"O",IF(AL7=$BL$24,"O",IF(AL7=$BM$24,"O",IF(AL7=$BN$24,"O",IF(AL7=$BO$24,"O",IF(AL7=$BP$24,"O",IF(AL7=$BQ$24,"O",IF(AL7=#REF!,"O",IF(AL7=$BS$24,"O",IF(AL7=$BT$24,"O",IF(AL7=$BU$24,"O",IF(AL7=$BV$24,"O",IF(AL7=$BW$24,"O",IF(AL7=$BX$24,"O",IF(AL7=$BY$24,"O",IF(AL7=$BZ$24,"O",IF(AL7=$CA$24,"O",IF(AL7=$CB$24,"O","X"))))))))))))))))))))))))))</f>
        <v>#REF!</v>
      </c>
      <c r="AM130" s="54" t="e">
        <f>IF(AM7=$BC$24,"O",IF(AM7=$BD$24,"O",IF(AM7=$BE$24,"O",IF(AM7=$BF$24,"O",IF(AM7=$BG$24,"O",IF(AM7=$BH$24,"O",IF(AM7=$BI$24,"O",IF(AM7=$BJ$24,"O",IF(AM7=$BK$24,"O",IF(AM7=$BL$24,"O",IF(AM7=$BM$24,"O",IF(AM7=$BN$24,"O",IF(AM7=$BO$24,"O",IF(AM7=$BP$24,"O",IF(AM7=$BQ$24,"O",IF(AM7=#REF!,"O",IF(AM7=$BS$24,"O",IF(AM7=$BT$24,"O",IF(AM7=$BU$24,"O",IF(AM7=$BV$24,"O",IF(AM7=$BW$24,"O",IF(AM7=$BX$24,"O",IF(AM7=$BY$24,"O",IF(AM7=$BZ$24,"O",IF(AM7=$CA$24,"O",IF(AM7=$CB$24,"O","X"))))))))))))))))))))))))))</f>
        <v>#REF!</v>
      </c>
      <c r="AN130" s="54" t="e">
        <f>IF(AN7=$BC$24,"O",IF(AN7=$BD$24,"O",IF(AN7=$BE$24,"O",IF(AN7=$BF$24,"O",IF(AN7=$BG$24,"O",IF(AN7=$BH$24,"O",IF(AN7=$BI$24,"O",IF(AN7=$BJ$24,"O",IF(AN7=$BK$24,"O",IF(AN7=$BL$24,"O",IF(AN7=$BM$24,"O",IF(AN7=$BN$24,"O",IF(AN7=$BO$24,"O",IF(AN7=$BP$24,"O",IF(AN7=$BQ$24,"O",IF(AN7=#REF!,"O",IF(AN7=$BS$24,"O",IF(AN7=$BT$24,"O",IF(AN7=$BU$24,"O",IF(AN7=$BV$24,"O",IF(AN7=$BW$24,"O",IF(AN7=$BX$24,"O",IF(AN7=$BY$24,"O",IF(AN7=$BZ$24,"O",IF(AN7=$CA$24,"O",IF(AN7=$CB$24,"O","X"))))))))))))))))))))))))))</f>
        <v>#REF!</v>
      </c>
      <c r="AO130" s="54" t="e">
        <f>IF(AO7=$BC$24,"O",IF(AO7=$BD$24,"O",IF(AO7=$BE$24,"O",IF(AO7=$BF$24,"O",IF(AO7=$BG$24,"O",IF(AO7=$BH$24,"O",IF(AO7=$BI$24,"O",IF(AO7=$BJ$24,"O",IF(AO7=$BK$24,"O",IF(AO7=$BL$24,"O",IF(AO7=$BM$24,"O",IF(AO7=$BN$24,"O",IF(AO7=$BO$24,"O",IF(AO7=$BP$24,"O",IF(AO7=$BQ$24,"O",IF(AO7=#REF!,"O",IF(AO7=$BS$24,"O",IF(AO7=$BT$24,"O",IF(AO7=$BU$24,"O",IF(AO7=$BV$24,"O",IF(AO7=$BW$24,"O",IF(AO7=$BX$24,"O",IF(AO7=$BY$24,"O",IF(AO7=$BZ$24,"O",IF(AO7=$CA$24,"O",IF(AO7=$CB$24,"O","X"))))))))))))))))))))))))))</f>
        <v>#REF!</v>
      </c>
      <c r="AP130" s="54" t="e">
        <f>IF(AP7=$BC$24,"O",IF(AP7=$BD$24,"O",IF(AP7=$BE$24,"O",IF(AP7=$BF$24,"O",IF(AP7=$BG$24,"O",IF(AP7=$BH$24,"O",IF(AP7=$BI$24,"O",IF(AP7=$BJ$24,"O",IF(AP7=$BK$24,"O",IF(AP7=$BL$24,"O",IF(AP7=$BM$24,"O",IF(AP7=$BN$24,"O",IF(AP7=$BO$24,"O",IF(AP7=$BP$24,"O",IF(AP7=$BQ$24,"O",IF(AP7=#REF!,"O",IF(AP7=$BS$24,"O",IF(AP7=$BT$24,"O",IF(AP7=$BU$24,"O",IF(AP7=$BV$24,"O",IF(AP7=$BW$24,"O",IF(AP7=$BX$24,"O",IF(AP7=$BY$24,"O",IF(AP7=$BZ$24,"O",IF(AP7=$CA$24,"O",IF(AP7=$CB$24,"O","X"))))))))))))))))))))))))))</f>
        <v>#REF!</v>
      </c>
      <c r="AQ130" s="54" t="e">
        <f>IF(AQ7=$BC$24,"O",IF(AQ7=$BD$24,"O",IF(AQ7=$BE$24,"O",IF(AQ7=$BF$24,"O",IF(AQ7=$BG$24,"O",IF(AQ7=$BH$24,"O",IF(AQ7=$BI$24,"O",IF(AQ7=$BJ$24,"O",IF(AQ7=$BK$24,"O",IF(AQ7=$BL$24,"O",IF(AQ7=$BM$24,"O",IF(AQ7=$BN$24,"O",IF(AQ7=$BO$24,"O",IF(AQ7=$BP$24,"O",IF(AQ7=$BQ$24,"O",IF(AQ7=#REF!,"O",IF(AQ7=$BS$24,"O",IF(AQ7=$BT$24,"O",IF(AQ7=$BU$24,"O",IF(AQ7=$BV$24,"O",IF(AQ7=$BW$24,"O",IF(AQ7=$BX$24,"O",IF(AQ7=$BY$24,"O",IF(AQ7=$BZ$24,"O",IF(AQ7=$CA$24,"O",IF(AQ7=$CB$24,"O","X"))))))))))))))))))))))))))</f>
        <v>#REF!</v>
      </c>
      <c r="AR130" s="54" t="e">
        <f>IF(AR7=$BC$24,"O",IF(AR7=$BD$24,"O",IF(AR7=$BE$24,"O",IF(AR7=$BF$24,"O",IF(AR7=$BG$24,"O",IF(AR7=$BH$24,"O",IF(AR7=$BI$24,"O",IF(AR7=$BJ$24,"O",IF(AR7=$BK$24,"O",IF(AR7=$BL$24,"O",IF(AR7=$BM$24,"O",IF(AR7=$BN$24,"O",IF(AR7=$BO$24,"O",IF(AR7=$BP$24,"O",IF(AR7=$BQ$24,"O",IF(AR7=#REF!,"O",IF(AR7=$BS$24,"O",IF(AR7=$BT$24,"O",IF(AR7=$BU$24,"O",IF(AR7=$BV$24,"O",IF(AR7=$BW$24,"O",IF(AR7=$BX$24,"O",IF(AR7=$BY$24,"O",IF(AR7=$BZ$24,"O",IF(AR7=$CA$24,"O",IF(AR7=$CB$24,"O","X"))))))))))))))))))))))))))</f>
        <v>#REF!</v>
      </c>
      <c r="AS130" s="54" t="e">
        <f>IF(AS7=$BC$24,"O",IF(AS7=$BD$24,"O",IF(AS7=$BE$24,"O",IF(AS7=$BF$24,"O",IF(AS7=$BG$24,"O",IF(AS7=$BH$24,"O",IF(AS7=$BI$24,"O",IF(AS7=$BJ$24,"O",IF(AS7=$BK$24,"O",IF(AS7=$BL$24,"O",IF(AS7=$BM$24,"O",IF(AS7=$BN$24,"O",IF(AS7=$BO$24,"O",IF(AS7=$BP$24,"O",IF(AS7=$BQ$24,"O",IF(AS7=#REF!,"O",IF(AS7=$BS$24,"O",IF(AS7=$BT$24,"O",IF(AS7=$BU$24,"O",IF(AS7=$BV$24,"O",IF(AS7=$BW$24,"O",IF(AS7=$BX$24,"O",IF(AS7=$BY$24,"O",IF(AS7=$BZ$24,"O",IF(AS7=$CA$24,"O",IF(AS7=$CB$24,"O","X"))))))))))))))))))))))))))</f>
        <v>#REF!</v>
      </c>
      <c r="AT130" s="54" t="e">
        <f>IF(AT7=$BC$24,"O",IF(AT7=$BD$24,"O",IF(AT7=$BE$24,"O",IF(AT7=$BF$24,"O",IF(AT7=$BG$24,"O",IF(AT7=$BH$24,"O",IF(AT7=$BI$24,"O",IF(AT7=$BJ$24,"O",IF(AT7=$BK$24,"O",IF(AT7=$BL$24,"O",IF(AT7=$BM$24,"O",IF(AT7=$BN$24,"O",IF(AT7=$BO$24,"O",IF(AT7=$BP$24,"O",IF(AT7=$BQ$24,"O",IF(AT7=#REF!,"O",IF(AT7=$BS$24,"O",IF(AT7=$BT$24,"O",IF(AT7=$BU$24,"O",IF(AT7=$BV$24,"O",IF(AT7=$BW$24,"O",IF(AT7=$BX$24,"O",IF(AT7=$BY$24,"O",IF(AT7=$BZ$24,"O",IF(AT7=$CA$24,"O",IF(AT7=$CB$24,"O","X"))))))))))))))))))))))))))</f>
        <v>#REF!</v>
      </c>
      <c r="AU130" s="54" t="e">
        <f>IF(AU7=$BC$24,"O",IF(AU7=$BD$24,"O",IF(AU7=$BE$24,"O",IF(AU7=$BF$24,"O",IF(AU7=$BG$24,"O",IF(AU7=$BH$24,"O",IF(AU7=$BI$24,"O",IF(AU7=$BJ$24,"O",IF(AU7=$BK$24,"O",IF(AU7=$BL$24,"O",IF(AU7=$BM$24,"O",IF(AU7=$BN$24,"O",IF(AU7=$BO$24,"O",IF(AU7=$BP$24,"O",IF(AU7=$BQ$24,"O",IF(AU7=#REF!,"O",IF(AU7=$BS$24,"O",IF(AU7=$BT$24,"O",IF(AU7=$BU$24,"O",IF(AU7=$BV$24,"O",IF(AU7=$BW$24,"O",IF(AU7=$BX$24,"O",IF(AU7=$BY$24,"O",IF(AU7=$BZ$24,"O",IF(AU7=$CA$24,"O",IF(AU7=$CB$24,"O","X"))))))))))))))))))))))))))</f>
        <v>#REF!</v>
      </c>
      <c r="AV130" s="53"/>
      <c r="AW130" s="53"/>
      <c r="AX130" s="53"/>
      <c r="BC130"/>
      <c r="BD130"/>
      <c r="BE130"/>
      <c r="BF130"/>
      <c r="BG130" s="118"/>
      <c r="BI130" s="119"/>
      <c r="BJ130"/>
    </row>
    <row r="131" spans="1:66" ht="17.5">
      <c r="A131" s="128"/>
      <c r="B131" s="54" t="s">
        <v>566</v>
      </c>
      <c r="C131" s="54" t="str">
        <f t="shared" ref="C131:Q131" ca="1" si="186">IF(C8=$BC$24,"O",IF(C8=$BD$24,"O",IF(C8=$BE$24,"O",IF(C8=$BF$24,"O",IF(C8=$BG$24,"O",IF(C8=$BH$24,"O",IF(C8=$BI$24,"O",IF(C8=$BJ$24,"O",IF(C8=$BK$24,"O",IF(C8=$BL$24,"O",IF(C8=$BM$24,"O",IF(C8=$BN$24,"O",IF(C8=$BO$24,"O",IF(C8=$BP$24,"O",IF(C8=$BQ$24,"O",IF(C8=$BR$24,"O",IF(C8=$BS$24,"O",IF(C8=$BT$24,"O",IF(C8=$BU$24,"O",IF(C8=$BV$24,"O",IF(C8=$BW$24,"O",IF(C8=$BX$24,"O",IF(C8=$BY$24,"O",IF(C8=$BZ$24,"O",IF(C8=$CA$24,"O",IF(C8=$CB$24,"O",IF(C8=$CC$24,"O",IF(C8=$CD$24,"O",IF(C8=$CE$24,"O",IF(C8=$CF$24,"O",IF(C8=$CG$24,"O",IF(C8=$CH$24,"O",IF(C8=$CI$24,"O",IF(C8=$CJ$24,"O",IF(C8=$CK$24,"O",IF(C8=$CL$24,"O",IF(C8=$CM$24,"O",IF(C8=$CN$24,"O",IF(C8=$CO$24,"O",IF(C8=$CP$24,"O","X"))))))))))))))))))))))))))))))))))))))))</f>
        <v>X</v>
      </c>
      <c r="D131" s="54" t="str">
        <f t="shared" ca="1" si="186"/>
        <v>X</v>
      </c>
      <c r="E131" s="54" t="str">
        <f t="shared" ca="1" si="186"/>
        <v>O</v>
      </c>
      <c r="F131" s="54" t="str">
        <f t="shared" ca="1" si="186"/>
        <v>X</v>
      </c>
      <c r="G131" s="54" t="str">
        <f t="shared" ca="1" si="186"/>
        <v>X</v>
      </c>
      <c r="H131" s="54" t="str">
        <f t="shared" ca="1" si="186"/>
        <v>O</v>
      </c>
      <c r="I131" s="54" t="str">
        <f t="shared" ca="1" si="186"/>
        <v>O</v>
      </c>
      <c r="J131" s="54" t="str">
        <f t="shared" ca="1" si="186"/>
        <v>X</v>
      </c>
      <c r="K131" s="54" t="str">
        <f t="shared" ca="1" si="186"/>
        <v>O</v>
      </c>
      <c r="L131" s="54" t="str">
        <f t="shared" ca="1" si="186"/>
        <v>O</v>
      </c>
      <c r="M131" s="54" t="str">
        <f t="shared" ca="1" si="186"/>
        <v>O</v>
      </c>
      <c r="N131" s="54" t="str">
        <f t="shared" ca="1" si="186"/>
        <v>X</v>
      </c>
      <c r="O131" s="54" t="str">
        <f t="shared" ca="1" si="186"/>
        <v>O</v>
      </c>
      <c r="P131" s="54" t="str">
        <f t="shared" ca="1" si="186"/>
        <v>X</v>
      </c>
      <c r="Q131" s="54" t="str">
        <f t="shared" ca="1" si="186"/>
        <v>O</v>
      </c>
      <c r="R131" s="54" t="e">
        <f>IF(R8=$BC$24,"O",IF(R8=$BD$24,"O",IF(R8=$BE$24,"O",IF(R8=$BF$24,"O",IF(R8=$BG$24,"O",IF(R8=$BH$24,"O",IF(R8=$BI$24,"O",IF(R8=$BJ$24,"O",IF(R8=$BK$24,"O",IF(R8=$BL$24,"O",IF(R8=$BM$24,"O",IF(R8=$BN$24,"O",IF(R8=$BO$24,"O",IF(R8=$BP$24,"O",IF(R8=$BQ$24,"O",IF(R8=#REF!,"O",IF(R8=$BS$24,"O",IF(R8=$BT$24,"O",IF(R8=$BU$24,"O",IF(R8=$BV$24,"O",IF(R8=$BW$24,"O",IF(R8=$BX$24,"O",IF(R8=$BY$24,"O",IF(R8=$BZ$24,"O",IF(R8=$CA$24,"O",IF(R8=$CB$24,"O","X"))))))))))))))))))))))))))</f>
        <v>#REF!</v>
      </c>
      <c r="S131" s="54" t="e">
        <f>IF(S8=$BC$24,"O",IF(S8=$BD$24,"O",IF(S8=$BE$24,"O",IF(S8=$BF$24,"O",IF(S8=$BG$24,"O",IF(S8=$BH$24,"O",IF(S8=$BI$24,"O",IF(S8=$BJ$24,"O",IF(S8=$BK$24,"O",IF(S8=$BL$24,"O",IF(S8=$BM$24,"O",IF(S8=$BN$24,"O",IF(S8=$BO$24,"O",IF(S8=$BP$24,"O",IF(S8=$BQ$24,"O",IF(S8=#REF!,"O",IF(S8=$BS$24,"O",IF(S8=$BT$24,"O",IF(S8=$BU$24,"O",IF(S8=$BV$24,"O",IF(S8=$BW$24,"O",IF(S8=$BX$24,"O",IF(S8=$BY$24,"O",IF(S8=$BZ$24,"O",IF(S8=$CA$24,"O",IF(S8=$CB$24,"O","X"))))))))))))))))))))))))))</f>
        <v>#REF!</v>
      </c>
      <c r="T131" s="54" t="e">
        <f>IF(T8=$BC$24,"O",IF(T8=$BD$24,"O",IF(T8=$BE$24,"O",IF(T8=$BF$24,"O",IF(T8=$BG$24,"O",IF(T8=$BH$24,"O",IF(T8=$BI$24,"O",IF(T8=$BJ$24,"O",IF(T8=$BK$24,"O",IF(T8=$BL$24,"O",IF(T8=$BM$24,"O",IF(T8=$BN$24,"O",IF(T8=$BO$24,"O",IF(T8=$BP$24,"O",IF(T8=$BQ$24,"O",IF(T8=#REF!,"O",IF(T8=$BS$24,"O",IF(T8=$BT$24,"O",IF(T8=$BU$24,"O",IF(T8=$BV$24,"O",IF(T8=$BW$24,"O",IF(T8=$BX$24,"O",IF(T8=$BY$24,"O",IF(T8=$BZ$24,"O",IF(T8=$CA$24,"O",IF(T8=$CB$24,"O","X"))))))))))))))))))))))))))</f>
        <v>#REF!</v>
      </c>
      <c r="U131" s="54" t="e">
        <f>IF(U8=$BC$24,"O",IF(U8=$BD$24,"O",IF(U8=$BE$24,"O",IF(U8=$BF$24,"O",IF(U8=$BG$24,"O",IF(U8=$BH$24,"O",IF(U8=$BI$24,"O",IF(U8=$BJ$24,"O",IF(U8=$BK$24,"O",IF(U8=$BL$24,"O",IF(U8=$BM$24,"O",IF(U8=$BN$24,"O",IF(U8=$BO$24,"O",IF(U8=$BP$24,"O",IF(U8=$BQ$24,"O",IF(U8=#REF!,"O",IF(U8=$BS$24,"O",IF(U8=$BT$24,"O",IF(U8=$BU$24,"O",IF(U8=$BV$24,"O",IF(U8=$BW$24,"O",IF(U8=$BX$24,"O",IF(U8=$BY$24,"O",IF(U8=$BZ$24,"O",IF(U8=$CA$24,"O",IF(U8=$CB$24,"O","X"))))))))))))))))))))))))))</f>
        <v>#REF!</v>
      </c>
      <c r="V131" s="54" t="e">
        <f>IF(V8=$BC$24,"O",IF(V8=$BD$24,"O",IF(V8=$BE$24,"O",IF(V8=$BF$24,"O",IF(V8=$BG$24,"O",IF(V8=$BH$24,"O",IF(V8=$BI$24,"O",IF(V8=$BJ$24,"O",IF(V8=$BK$24,"O",IF(V8=$BL$24,"O",IF(V8=$BM$24,"O",IF(V8=$BN$24,"O",IF(V8=$BO$24,"O",IF(V8=$BP$24,"O",IF(V8=$BQ$24,"O",IF(V8=#REF!,"O",IF(V8=$BS$24,"O",IF(V8=$BT$24,"O",IF(V8=$BU$24,"O",IF(V8=$BV$24,"O",IF(V8=$BW$24,"O",IF(V8=$BX$24,"O",IF(V8=$BY$24,"O",IF(V8=$BZ$24,"O",IF(V8=$CA$24,"O",IF(V8=$CB$24,"O","X"))))))))))))))))))))))))))</f>
        <v>#REF!</v>
      </c>
      <c r="W131" s="54" t="e">
        <f>IF(W8=$BC$24,"O",IF(W8=$BD$24,"O",IF(W8=$BE$24,"O",IF(W8=$BF$24,"O",IF(W8=$BG$24,"O",IF(W8=$BH$24,"O",IF(W8=$BI$24,"O",IF(W8=$BJ$24,"O",IF(W8=$BK$24,"O",IF(W8=$BL$24,"O",IF(W8=$BM$24,"O",IF(W8=$BN$24,"O",IF(W8=$BO$24,"O",IF(W8=$BP$24,"O",IF(W8=$BQ$24,"O",IF(W8=#REF!,"O",IF(W8=$BS$24,"O",IF(W8=$BT$24,"O",IF(W8=$BU$24,"O",IF(W8=$BV$24,"O",IF(W8=$BW$24,"O",IF(W8=$BX$24,"O",IF(W8=$BY$24,"O",IF(W8=$BZ$24,"O",IF(W8=$CA$24,"O",IF(W8=$CB$24,"O","X"))))))))))))))))))))))))))</f>
        <v>#REF!</v>
      </c>
      <c r="X131" s="54" t="e">
        <f>IF(X8=$BC$24,"O",IF(X8=$BD$24,"O",IF(X8=$BE$24,"O",IF(X8=$BF$24,"O",IF(X8=$BG$24,"O",IF(X8=$BH$24,"O",IF(X8=$BI$24,"O",IF(X8=$BJ$24,"O",IF(X8=$BK$24,"O",IF(X8=$BL$24,"O",IF(X8=$BM$24,"O",IF(X8=$BN$24,"O",IF(X8=$BO$24,"O",IF(X8=$BP$24,"O",IF(X8=$BQ$24,"O",IF(X8=#REF!,"O",IF(X8=$BS$24,"O",IF(X8=$BT$24,"O",IF(X8=$BU$24,"O",IF(X8=$BV$24,"O",IF(X8=$BW$24,"O",IF(X8=$BX$24,"O",IF(X8=$BY$24,"O",IF(X8=$BZ$24,"O",IF(X8=$CA$24,"O",IF(X8=$CB$24,"O","X"))))))))))))))))))))))))))</f>
        <v>#REF!</v>
      </c>
      <c r="Y131" s="54" t="e">
        <f>IF(Y8=$BC$24,"O",IF(Y8=$BD$24,"O",IF(Y8=$BE$24,"O",IF(Y8=$BF$24,"O",IF(Y8=$BG$24,"O",IF(Y8=$BH$24,"O",IF(Y8=$BI$24,"O",IF(Y8=$BJ$24,"O",IF(Y8=$BK$24,"O",IF(Y8=$BL$24,"O",IF(Y8=$BM$24,"O",IF(Y8=$BN$24,"O",IF(Y8=$BO$24,"O",IF(Y8=$BP$24,"O",IF(Y8=$BQ$24,"O",IF(Y8=#REF!,"O",IF(Y8=$BS$24,"O",IF(Y8=$BT$24,"O",IF(Y8=$BU$24,"O",IF(Y8=$BV$24,"O",IF(Y8=$BW$24,"O",IF(Y8=$BX$24,"O",IF(Y8=$BY$24,"O",IF(Y8=$BZ$24,"O",IF(Y8=$CA$24,"O",IF(Y8=$CB$24,"O","X"))))))))))))))))))))))))))</f>
        <v>#REF!</v>
      </c>
      <c r="Z131" s="54" t="e">
        <f>IF(Z8=$BC$24,"O",IF(Z8=$BD$24,"O",IF(Z8=$BE$24,"O",IF(Z8=$BF$24,"O",IF(Z8=$BG$24,"O",IF(Z8=$BH$24,"O",IF(Z8=$BI$24,"O",IF(Z8=$BJ$24,"O",IF(Z8=$BK$24,"O",IF(Z8=$BL$24,"O",IF(Z8=$BM$24,"O",IF(Z8=$BN$24,"O",IF(Z8=$BO$24,"O",IF(Z8=$BP$24,"O",IF(Z8=$BQ$24,"O",IF(Z8=#REF!,"O",IF(Z8=$BS$24,"O",IF(Z8=$BT$24,"O",IF(Z8=$BU$24,"O",IF(Z8=$BV$24,"O",IF(Z8=$BW$24,"O",IF(Z8=$BX$24,"O",IF(Z8=$BY$24,"O",IF(Z8=$BZ$24,"O",IF(Z8=$CA$24,"O",IF(Z8=$CB$24,"O","X"))))))))))))))))))))))))))</f>
        <v>#REF!</v>
      </c>
      <c r="AA131" s="54" t="e">
        <f>IF(AA8=$BC$24,"O",IF(AA8=$BD$24,"O",IF(AA8=$BE$24,"O",IF(AA8=$BF$24,"O",IF(AA8=$BG$24,"O",IF(AA8=$BH$24,"O",IF(AA8=$BI$24,"O",IF(AA8=$BJ$24,"O",IF(AA8=$BK$24,"O",IF(AA8=$BL$24,"O",IF(AA8=$BM$24,"O",IF(AA8=$BN$24,"O",IF(AA8=$BO$24,"O",IF(AA8=$BP$24,"O",IF(AA8=$BQ$24,"O",IF(AA8=#REF!,"O",IF(AA8=$BS$24,"O",IF(AA8=$BT$24,"O",IF(AA8=$BU$24,"O",IF(AA8=$BV$24,"O",IF(AA8=$BW$24,"O",IF(AA8=$BX$24,"O",IF(AA8=$BY$24,"O",IF(AA8=$BZ$24,"O",IF(AA8=$CA$24,"O",IF(AA8=$CB$24,"O","X"))))))))))))))))))))))))))</f>
        <v>#REF!</v>
      </c>
      <c r="AB131" s="54" t="e">
        <f>IF(AB8=$BC$24,"O",IF(AB8=$BD$24,"O",IF(AB8=$BE$24,"O",IF(AB8=$BF$24,"O",IF(AB8=$BG$24,"O",IF(AB8=$BH$24,"O",IF(AB8=$BI$24,"O",IF(AB8=$BJ$24,"O",IF(AB8=$BK$24,"O",IF(AB8=$BL$24,"O",IF(AB8=$BM$24,"O",IF(AB8=$BN$24,"O",IF(AB8=$BO$24,"O",IF(AB8=$BP$24,"O",IF(AB8=$BQ$24,"O",IF(AB8=#REF!,"O",IF(AB8=$BS$24,"O",IF(AB8=$BT$24,"O",IF(AB8=$BU$24,"O",IF(AB8=$BV$24,"O",IF(AB8=$BW$24,"O",IF(AB8=$BX$24,"O",IF(AB8=$BY$24,"O",IF(AB8=$BZ$24,"O",IF(AB8=$CA$24,"O",IF(AB8=$CB$24,"O","X"))))))))))))))))))))))))))</f>
        <v>#REF!</v>
      </c>
      <c r="AC131" s="54" t="e">
        <f>IF(AC8=$BC$24,"O",IF(AC8=$BD$24,"O",IF(AC8=$BE$24,"O",IF(AC8=$BF$24,"O",IF(AC8=$BG$24,"O",IF(AC8=$BH$24,"O",IF(AC8=$BI$24,"O",IF(AC8=$BJ$24,"O",IF(AC8=$BK$24,"O",IF(AC8=$BL$24,"O",IF(AC8=$BM$24,"O",IF(AC8=$BN$24,"O",IF(AC8=$BO$24,"O",IF(AC8=$BP$24,"O",IF(AC8=$BQ$24,"O",IF(AC8=#REF!,"O",IF(AC8=$BS$24,"O",IF(AC8=$BT$24,"O",IF(AC8=$BU$24,"O",IF(AC8=$BV$24,"O",IF(AC8=$BW$24,"O",IF(AC8=$BX$24,"O",IF(AC8=$BY$24,"O",IF(AC8=$BZ$24,"O",IF(AC8=$CA$24,"O",IF(AC8=$CB$24,"O","X"))))))))))))))))))))))))))</f>
        <v>#REF!</v>
      </c>
      <c r="AD131" s="54" t="e">
        <f>IF(AD8=$BC$24,"O",IF(AD8=$BD$24,"O",IF(AD8=$BE$24,"O",IF(AD8=$BF$24,"O",IF(AD8=$BG$24,"O",IF(AD8=$BH$24,"O",IF(AD8=$BI$24,"O",IF(AD8=$BJ$24,"O",IF(AD8=$BK$24,"O",IF(AD8=$BL$24,"O",IF(AD8=$BM$24,"O",IF(AD8=$BN$24,"O",IF(AD8=$BO$24,"O",IF(AD8=$BP$24,"O",IF(AD8=$BQ$24,"O",IF(AD8=#REF!,"O",IF(AD8=$BS$24,"O",IF(AD8=$BT$24,"O",IF(AD8=$BU$24,"O",IF(AD8=$BV$24,"O",IF(AD8=$BW$24,"O",IF(AD8=$BX$24,"O",IF(AD8=$BY$24,"O",IF(AD8=$BZ$24,"O",IF(AD8=$CA$24,"O",IF(AD8=$CB$24,"O","X"))))))))))))))))))))))))))</f>
        <v>#REF!</v>
      </c>
      <c r="AE131" s="54" t="e">
        <f>IF(AE8=$BC$24,"O",IF(AE8=$BD$24,"O",IF(AE8=$BE$24,"O",IF(AE8=$BF$24,"O",IF(AE8=$BG$24,"O",IF(AE8=$BH$24,"O",IF(AE8=$BI$24,"O",IF(AE8=$BJ$24,"O",IF(AE8=$BK$24,"O",IF(AE8=$BL$24,"O",IF(AE8=$BM$24,"O",IF(AE8=$BN$24,"O",IF(AE8=$BO$24,"O",IF(AE8=$BP$24,"O",IF(AE8=$BQ$24,"O",IF(AE8=#REF!,"O",IF(AE8=$BS$24,"O",IF(AE8=$BT$24,"O",IF(AE8=$BU$24,"O",IF(AE8=$BV$24,"O",IF(AE8=$BW$24,"O",IF(AE8=$BX$24,"O",IF(AE8=$BY$24,"O",IF(AE8=$BZ$24,"O",IF(AE8=$CA$24,"O",IF(AE8=$CB$24,"O","X"))))))))))))))))))))))))))</f>
        <v>#REF!</v>
      </c>
      <c r="AF131" s="54" t="e">
        <f>IF(AF8=$BC$24,"O",IF(AF8=$BD$24,"O",IF(AF8=$BE$24,"O",IF(AF8=$BF$24,"O",IF(AF8=$BG$24,"O",IF(AF8=$BH$24,"O",IF(AF8=$BI$24,"O",IF(AF8=$BJ$24,"O",IF(AF8=$BK$24,"O",IF(AF8=$BL$24,"O",IF(AF8=$BM$24,"O",IF(AF8=$BN$24,"O",IF(AF8=$BO$24,"O",IF(AF8=$BP$24,"O",IF(AF8=$BQ$24,"O",IF(AF8=#REF!,"O",IF(AF8=$BS$24,"O",IF(AF8=$BT$24,"O",IF(AF8=$BU$24,"O",IF(AF8=$BV$24,"O",IF(AF8=$BW$24,"O",IF(AF8=$BX$24,"O",IF(AF8=$BY$24,"O",IF(AF8=$BZ$24,"O",IF(AF8=$CA$24,"O",IF(AF8=$CB$24,"O","X"))))))))))))))))))))))))))</f>
        <v>#REF!</v>
      </c>
      <c r="AG131" s="54" t="e">
        <f>IF(AG8=$BC$24,"O",IF(AG8=$BD$24,"O",IF(AG8=$BE$24,"O",IF(AG8=$BF$24,"O",IF(AG8=$BG$24,"O",IF(AG8=$BH$24,"O",IF(AG8=$BI$24,"O",IF(AG8=$BJ$24,"O",IF(AG8=$BK$24,"O",IF(AG8=$BL$24,"O",IF(AG8=$BM$24,"O",IF(AG8=$BN$24,"O",IF(AG8=$BO$24,"O",IF(AG8=$BP$24,"O",IF(AG8=$BQ$24,"O",IF(AG8=#REF!,"O",IF(AG8=$BS$24,"O",IF(AG8=$BT$24,"O",IF(AG8=$BU$24,"O",IF(AG8=$BV$24,"O",IF(AG8=$BW$24,"O",IF(AG8=$BX$24,"O",IF(AG8=$BY$24,"O",IF(AG8=$BZ$24,"O",IF(AG8=$CA$24,"O",IF(AG8=$CB$24,"O","X"))))))))))))))))))))))))))</f>
        <v>#REF!</v>
      </c>
      <c r="AH131" s="54" t="e">
        <f>IF(AH8=$BC$24,"O",IF(AH8=$BD$24,"O",IF(AH8=$BE$24,"O",IF(AH8=$BF$24,"O",IF(AH8=$BG$24,"O",IF(AH8=$BH$24,"O",IF(AH8=$BI$24,"O",IF(AH8=$BJ$24,"O",IF(AH8=$BK$24,"O",IF(AH8=$BL$24,"O",IF(AH8=$BM$24,"O",IF(AH8=$BN$24,"O",IF(AH8=$BO$24,"O",IF(AH8=$BP$24,"O",IF(AH8=$BQ$24,"O",IF(AH8=#REF!,"O",IF(AH8=$BS$24,"O",IF(AH8=$BT$24,"O",IF(AH8=$BU$24,"O",IF(AH8=$BV$24,"O",IF(AH8=$BW$24,"O",IF(AH8=$BX$24,"O",IF(AH8=$BY$24,"O",IF(AH8=$BZ$24,"O",IF(AH8=$CA$24,"O",IF(AH8=$CB$24,"O","X"))))))))))))))))))))))))))</f>
        <v>#REF!</v>
      </c>
      <c r="AI131" s="54" t="e">
        <f>IF(AI8=$BC$24,"O",IF(AI8=$BD$24,"O",IF(AI8=$BE$24,"O",IF(AI8=$BF$24,"O",IF(AI8=$BG$24,"O",IF(AI8=$BH$24,"O",IF(AI8=$BI$24,"O",IF(AI8=$BJ$24,"O",IF(AI8=$BK$24,"O",IF(AI8=$BL$24,"O",IF(AI8=$BM$24,"O",IF(AI8=$BN$24,"O",IF(AI8=$BO$24,"O",IF(AI8=$BP$24,"O",IF(AI8=$BQ$24,"O",IF(AI8=#REF!,"O",IF(AI8=$BS$24,"O",IF(AI8=$BT$24,"O",IF(AI8=$BU$24,"O",IF(AI8=$BV$24,"O",IF(AI8=$BW$24,"O",IF(AI8=$BX$24,"O",IF(AI8=$BY$24,"O",IF(AI8=$BZ$24,"O",IF(AI8=$CA$24,"O",IF(AI8=$CB$24,"O","X"))))))))))))))))))))))))))</f>
        <v>#REF!</v>
      </c>
      <c r="AJ131" s="54" t="e">
        <f>IF(AJ8=$BC$24,"O",IF(AJ8=$BD$24,"O",IF(AJ8=$BE$24,"O",IF(AJ8=$BF$24,"O",IF(AJ8=$BG$24,"O",IF(AJ8=$BH$24,"O",IF(AJ8=$BI$24,"O",IF(AJ8=$BJ$24,"O",IF(AJ8=$BK$24,"O",IF(AJ8=$BL$24,"O",IF(AJ8=$BM$24,"O",IF(AJ8=$BN$24,"O",IF(AJ8=$BO$24,"O",IF(AJ8=$BP$24,"O",IF(AJ8=$BQ$24,"O",IF(AJ8=#REF!,"O",IF(AJ8=$BS$24,"O",IF(AJ8=$BT$24,"O",IF(AJ8=$BU$24,"O",IF(AJ8=$BV$24,"O",IF(AJ8=$BW$24,"O",IF(AJ8=$BX$24,"O",IF(AJ8=$BY$24,"O",IF(AJ8=$BZ$24,"O",IF(AJ8=$CA$24,"O",IF(AJ8=$CB$24,"O","X"))))))))))))))))))))))))))</f>
        <v>#REF!</v>
      </c>
      <c r="AK131" s="54" t="e">
        <f>IF(AK8=$BC$24,"O",IF(AK8=$BD$24,"O",IF(AK8=$BE$24,"O",IF(AK8=$BF$24,"O",IF(AK8=$BG$24,"O",IF(AK8=$BH$24,"O",IF(AK8=$BI$24,"O",IF(AK8=$BJ$24,"O",IF(AK8=$BK$24,"O",IF(AK8=$BL$24,"O",IF(AK8=$BM$24,"O",IF(AK8=$BN$24,"O",IF(AK8=$BO$24,"O",IF(AK8=$BP$24,"O",IF(AK8=$BQ$24,"O",IF(AK8=#REF!,"O",IF(AK8=$BS$24,"O",IF(AK8=$BT$24,"O",IF(AK8=$BU$24,"O",IF(AK8=$BV$24,"O",IF(AK8=$BW$24,"O",IF(AK8=$BX$24,"O",IF(AK8=$BY$24,"O",IF(AK8=$BZ$24,"O",IF(AK8=$CA$24,"O",IF(AK8=$CB$24,"O","X"))))))))))))))))))))))))))</f>
        <v>#REF!</v>
      </c>
      <c r="AL131" s="54" t="e">
        <f>IF(AL8=$BC$24,"O",IF(AL8=$BD$24,"O",IF(AL8=$BE$24,"O",IF(AL8=$BF$24,"O",IF(AL8=$BG$24,"O",IF(AL8=$BH$24,"O",IF(AL8=$BI$24,"O",IF(AL8=$BJ$24,"O",IF(AL8=$BK$24,"O",IF(AL8=$BL$24,"O",IF(AL8=$BM$24,"O",IF(AL8=$BN$24,"O",IF(AL8=$BO$24,"O",IF(AL8=$BP$24,"O",IF(AL8=$BQ$24,"O",IF(AL8=#REF!,"O",IF(AL8=$BS$24,"O",IF(AL8=$BT$24,"O",IF(AL8=$BU$24,"O",IF(AL8=$BV$24,"O",IF(AL8=$BW$24,"O",IF(AL8=$BX$24,"O",IF(AL8=$BY$24,"O",IF(AL8=$BZ$24,"O",IF(AL8=$CA$24,"O",IF(AL8=$CB$24,"O","X"))))))))))))))))))))))))))</f>
        <v>#REF!</v>
      </c>
      <c r="AM131" s="54" t="e">
        <f>IF(AM8=$BC$24,"O",IF(AM8=$BD$24,"O",IF(AM8=$BE$24,"O",IF(AM8=$BF$24,"O",IF(AM8=$BG$24,"O",IF(AM8=$BH$24,"O",IF(AM8=$BI$24,"O",IF(AM8=$BJ$24,"O",IF(AM8=$BK$24,"O",IF(AM8=$BL$24,"O",IF(AM8=$BM$24,"O",IF(AM8=$BN$24,"O",IF(AM8=$BO$24,"O",IF(AM8=$BP$24,"O",IF(AM8=$BQ$24,"O",IF(AM8=#REF!,"O",IF(AM8=$BS$24,"O",IF(AM8=$BT$24,"O",IF(AM8=$BU$24,"O",IF(AM8=$BV$24,"O",IF(AM8=$BW$24,"O",IF(AM8=$BX$24,"O",IF(AM8=$BY$24,"O",IF(AM8=$BZ$24,"O",IF(AM8=$CA$24,"O",IF(AM8=$CB$24,"O","X"))))))))))))))))))))))))))</f>
        <v>#REF!</v>
      </c>
      <c r="AN131" s="54" t="e">
        <f>IF(AN8=$BC$24,"O",IF(AN8=$BD$24,"O",IF(AN8=$BE$24,"O",IF(AN8=$BF$24,"O",IF(AN8=$BG$24,"O",IF(AN8=$BH$24,"O",IF(AN8=$BI$24,"O",IF(AN8=$BJ$24,"O",IF(AN8=$BK$24,"O",IF(AN8=$BL$24,"O",IF(AN8=$BM$24,"O",IF(AN8=$BN$24,"O",IF(AN8=$BO$24,"O",IF(AN8=$BP$24,"O",IF(AN8=$BQ$24,"O",IF(AN8=#REF!,"O",IF(AN8=$BS$24,"O",IF(AN8=$BT$24,"O",IF(AN8=$BU$24,"O",IF(AN8=$BV$24,"O",IF(AN8=$BW$24,"O",IF(AN8=$BX$24,"O",IF(AN8=$BY$24,"O",IF(AN8=$BZ$24,"O",IF(AN8=$CA$24,"O",IF(AN8=$CB$24,"O","X"))))))))))))))))))))))))))</f>
        <v>#REF!</v>
      </c>
      <c r="AO131" s="54" t="e">
        <f>IF(AO8=$BC$24,"O",IF(AO8=$BD$24,"O",IF(AO8=$BE$24,"O",IF(AO8=$BF$24,"O",IF(AO8=$BG$24,"O",IF(AO8=$BH$24,"O",IF(AO8=$BI$24,"O",IF(AO8=$BJ$24,"O",IF(AO8=$BK$24,"O",IF(AO8=$BL$24,"O",IF(AO8=$BM$24,"O",IF(AO8=$BN$24,"O",IF(AO8=$BO$24,"O",IF(AO8=$BP$24,"O",IF(AO8=$BQ$24,"O",IF(AO8=#REF!,"O",IF(AO8=$BS$24,"O",IF(AO8=$BT$24,"O",IF(AO8=$BU$24,"O",IF(AO8=$BV$24,"O",IF(AO8=$BW$24,"O",IF(AO8=$BX$24,"O",IF(AO8=$BY$24,"O",IF(AO8=$BZ$24,"O",IF(AO8=$CA$24,"O",IF(AO8=$CB$24,"O","X"))))))))))))))))))))))))))</f>
        <v>#REF!</v>
      </c>
      <c r="AP131" s="54" t="e">
        <f>IF(AP8=$BC$24,"O",IF(AP8=$BD$24,"O",IF(AP8=$BE$24,"O",IF(AP8=$BF$24,"O",IF(AP8=$BG$24,"O",IF(AP8=$BH$24,"O",IF(AP8=$BI$24,"O",IF(AP8=$BJ$24,"O",IF(AP8=$BK$24,"O",IF(AP8=$BL$24,"O",IF(AP8=$BM$24,"O",IF(AP8=$BN$24,"O",IF(AP8=$BO$24,"O",IF(AP8=$BP$24,"O",IF(AP8=$BQ$24,"O",IF(AP8=#REF!,"O",IF(AP8=$BS$24,"O",IF(AP8=$BT$24,"O",IF(AP8=$BU$24,"O",IF(AP8=$BV$24,"O",IF(AP8=$BW$24,"O",IF(AP8=$BX$24,"O",IF(AP8=$BY$24,"O",IF(AP8=$BZ$24,"O",IF(AP8=$CA$24,"O",IF(AP8=$CB$24,"O","X"))))))))))))))))))))))))))</f>
        <v>#REF!</v>
      </c>
      <c r="AQ131" s="54" t="e">
        <f>IF(AQ8=$BC$24,"O",IF(AQ8=$BD$24,"O",IF(AQ8=$BE$24,"O",IF(AQ8=$BF$24,"O",IF(AQ8=$BG$24,"O",IF(AQ8=$BH$24,"O",IF(AQ8=$BI$24,"O",IF(AQ8=$BJ$24,"O",IF(AQ8=$BK$24,"O",IF(AQ8=$BL$24,"O",IF(AQ8=$BM$24,"O",IF(AQ8=$BN$24,"O",IF(AQ8=$BO$24,"O",IF(AQ8=$BP$24,"O",IF(AQ8=$BQ$24,"O",IF(AQ8=#REF!,"O",IF(AQ8=$BS$24,"O",IF(AQ8=$BT$24,"O",IF(AQ8=$BU$24,"O",IF(AQ8=$BV$24,"O",IF(AQ8=$BW$24,"O",IF(AQ8=$BX$24,"O",IF(AQ8=$BY$24,"O",IF(AQ8=$BZ$24,"O",IF(AQ8=$CA$24,"O",IF(AQ8=$CB$24,"O","X"))))))))))))))))))))))))))</f>
        <v>#REF!</v>
      </c>
      <c r="AR131" s="54" t="e">
        <f>IF(AR8=$BC$24,"O",IF(AR8=$BD$24,"O",IF(AR8=$BE$24,"O",IF(AR8=$BF$24,"O",IF(AR8=$BG$24,"O",IF(AR8=$BH$24,"O",IF(AR8=$BI$24,"O",IF(AR8=$BJ$24,"O",IF(AR8=$BK$24,"O",IF(AR8=$BL$24,"O",IF(AR8=$BM$24,"O",IF(AR8=$BN$24,"O",IF(AR8=$BO$24,"O",IF(AR8=$BP$24,"O",IF(AR8=$BQ$24,"O",IF(AR8=#REF!,"O",IF(AR8=$BS$24,"O",IF(AR8=$BT$24,"O",IF(AR8=$BU$24,"O",IF(AR8=$BV$24,"O",IF(AR8=$BW$24,"O",IF(AR8=$BX$24,"O",IF(AR8=$BY$24,"O",IF(AR8=$BZ$24,"O",IF(AR8=$CA$24,"O",IF(AR8=$CB$24,"O","X"))))))))))))))))))))))))))</f>
        <v>#REF!</v>
      </c>
      <c r="AS131" s="54" t="e">
        <f>IF(AS8=$BC$24,"O",IF(AS8=$BD$24,"O",IF(AS8=$BE$24,"O",IF(AS8=$BF$24,"O",IF(AS8=$BG$24,"O",IF(AS8=$BH$24,"O",IF(AS8=$BI$24,"O",IF(AS8=$BJ$24,"O",IF(AS8=$BK$24,"O",IF(AS8=$BL$24,"O",IF(AS8=$BM$24,"O",IF(AS8=$BN$24,"O",IF(AS8=$BO$24,"O",IF(AS8=$BP$24,"O",IF(AS8=$BQ$24,"O",IF(AS8=#REF!,"O",IF(AS8=$BS$24,"O",IF(AS8=$BT$24,"O",IF(AS8=$BU$24,"O",IF(AS8=$BV$24,"O",IF(AS8=$BW$24,"O",IF(AS8=$BX$24,"O",IF(AS8=$BY$24,"O",IF(AS8=$BZ$24,"O",IF(AS8=$CA$24,"O",IF(AS8=$CB$24,"O","X"))))))))))))))))))))))))))</f>
        <v>#REF!</v>
      </c>
      <c r="AT131" s="54" t="e">
        <f>IF(AT8=$BC$24,"O",IF(AT8=$BD$24,"O",IF(AT8=$BE$24,"O",IF(AT8=$BF$24,"O",IF(AT8=$BG$24,"O",IF(AT8=$BH$24,"O",IF(AT8=$BI$24,"O",IF(AT8=$BJ$24,"O",IF(AT8=$BK$24,"O",IF(AT8=$BL$24,"O",IF(AT8=$BM$24,"O",IF(AT8=$BN$24,"O",IF(AT8=$BO$24,"O",IF(AT8=$BP$24,"O",IF(AT8=$BQ$24,"O",IF(AT8=#REF!,"O",IF(AT8=$BS$24,"O",IF(AT8=$BT$24,"O",IF(AT8=$BU$24,"O",IF(AT8=$BV$24,"O",IF(AT8=$BW$24,"O",IF(AT8=$BX$24,"O",IF(AT8=$BY$24,"O",IF(AT8=$BZ$24,"O",IF(AT8=$CA$24,"O",IF(AT8=$CB$24,"O","X"))))))))))))))))))))))))))</f>
        <v>#REF!</v>
      </c>
      <c r="AU131" s="54" t="e">
        <f>IF(AU8=$BC$24,"O",IF(AU8=$BD$24,"O",IF(AU8=$BE$24,"O",IF(AU8=$BF$24,"O",IF(AU8=$BG$24,"O",IF(AU8=$BH$24,"O",IF(AU8=$BI$24,"O",IF(AU8=$BJ$24,"O",IF(AU8=$BK$24,"O",IF(AU8=$BL$24,"O",IF(AU8=$BM$24,"O",IF(AU8=$BN$24,"O",IF(AU8=$BO$24,"O",IF(AU8=$BP$24,"O",IF(AU8=$BQ$24,"O",IF(AU8=#REF!,"O",IF(AU8=$BS$24,"O",IF(AU8=$BT$24,"O",IF(AU8=$BU$24,"O",IF(AU8=$BV$24,"O",IF(AU8=$BW$24,"O",IF(AU8=$BX$24,"O",IF(AU8=$BY$24,"O",IF(AU8=$BZ$24,"O",IF(AU8=$CA$24,"O",IF(AU8=$CB$24,"O","X"))))))))))))))))))))))))))</f>
        <v>#REF!</v>
      </c>
      <c r="AV131" s="53"/>
      <c r="AW131" s="53"/>
      <c r="AX131" s="53"/>
      <c r="BC131"/>
      <c r="BD131"/>
      <c r="BE131"/>
      <c r="BF131"/>
      <c r="BG131" s="118"/>
      <c r="BJ131"/>
    </row>
    <row r="132" spans="1:66" ht="17.5">
      <c r="A132" s="128"/>
      <c r="B132" s="54" t="s">
        <v>567</v>
      </c>
      <c r="C132" s="54" t="str">
        <f t="shared" ref="C132:Q132" ca="1" si="187">IF(C9=$BC$24,"O",IF(C9=$BD$24,"O",IF(C9=$BE$24,"O",IF(C9=$BF$24,"O",IF(C9=$BG$24,"O",IF(C9=$BH$24,"O",IF(C9=$BI$24,"O",IF(C9=$BJ$24,"O",IF(C9=$BK$24,"O",IF(C9=$BL$24,"O",IF(C9=$BM$24,"O",IF(C9=$BN$24,"O",IF(C9=$BO$24,"O",IF(C9=$BP$24,"O",IF(C9=$BQ$24,"O",IF(C9=$BR$24,"O",IF(C9=$BS$24,"O",IF(C9=$BT$24,"O",IF(C9=$BU$24,"O",IF(C9=$BV$24,"O",IF(C9=$BW$24,"O",IF(C9=$BX$24,"O",IF(C9=$BY$24,"O",IF(C9=$BZ$24,"O",IF(C9=$CA$24,"O",IF(C9=$CB$24,"O",IF(C9=$CC$24,"O",IF(C9=$CD$24,"O",IF(C9=$CE$24,"O",IF(C9=$CF$24,"O",IF(C9=$CG$24,"O",IF(C9=$CH$24,"O",IF(C9=$CI$24,"O",IF(C9=$CJ$24,"O",IF(C9=$CK$24,"O",IF(C9=$CL$24,"O",IF(C9=$CM$24,"O",IF(C9=$CN$24,"O",IF(C9=$CO$24,"O",IF(C9=$CP$24,"O","X"))))))))))))))))))))))))))))))))))))))))</f>
        <v>O</v>
      </c>
      <c r="D132" s="54" t="str">
        <f t="shared" ca="1" si="187"/>
        <v>O</v>
      </c>
      <c r="E132" s="54" t="str">
        <f t="shared" ca="1" si="187"/>
        <v>O</v>
      </c>
      <c r="F132" s="54" t="str">
        <f t="shared" ca="1" si="187"/>
        <v>O</v>
      </c>
      <c r="G132" s="54" t="str">
        <f t="shared" ca="1" si="187"/>
        <v>O</v>
      </c>
      <c r="H132" s="54" t="str">
        <f t="shared" ca="1" si="187"/>
        <v>X</v>
      </c>
      <c r="I132" s="54" t="str">
        <f t="shared" ca="1" si="187"/>
        <v>O</v>
      </c>
      <c r="J132" s="54" t="str">
        <f t="shared" ca="1" si="187"/>
        <v>X</v>
      </c>
      <c r="K132" s="54" t="str">
        <f t="shared" ca="1" si="187"/>
        <v>O</v>
      </c>
      <c r="L132" s="54" t="str">
        <f t="shared" ca="1" si="187"/>
        <v>X</v>
      </c>
      <c r="M132" s="54" t="str">
        <f t="shared" ca="1" si="187"/>
        <v>X</v>
      </c>
      <c r="N132" s="54" t="str">
        <f t="shared" ca="1" si="187"/>
        <v>X</v>
      </c>
      <c r="O132" s="54" t="str">
        <f t="shared" ca="1" si="187"/>
        <v>O</v>
      </c>
      <c r="P132" s="54" t="str">
        <f t="shared" ca="1" si="187"/>
        <v>O</v>
      </c>
      <c r="Q132" s="54" t="str">
        <f t="shared" ca="1" si="187"/>
        <v>X</v>
      </c>
      <c r="R132" s="54" t="e">
        <f>IF(R9=$BC$24,"O",IF(R9=$BD$24,"O",IF(R9=$BE$24,"O",IF(R9=$BF$24,"O",IF(R9=$BG$24,"O",IF(R9=$BH$24,"O",IF(R9=$BI$24,"O",IF(R9=$BJ$24,"O",IF(R9=$BK$24,"O",IF(R9=$BL$24,"O",IF(R9=$BM$24,"O",IF(R9=$BN$24,"O",IF(R9=$BO$24,"O",IF(R9=$BP$24,"O",IF(R9=$BQ$24,"O",IF(R9=#REF!,"O",IF(R9=$BS$24,"O",IF(R9=$BT$24,"O",IF(R9=$BU$24,"O",IF(R9=$BV$24,"O",IF(R9=$BW$24,"O",IF(R9=$BX$24,"O",IF(R9=$BY$24,"O",IF(R9=$BZ$24,"O",IF(R9=$CA$24,"O",IF(R9=$CB$24,"O","X"))))))))))))))))))))))))))</f>
        <v>#REF!</v>
      </c>
      <c r="S132" s="54" t="e">
        <f>IF(S9=$BC$24,"O",IF(S9=$BD$24,"O",IF(S9=$BE$24,"O",IF(S9=$BF$24,"O",IF(S9=$BG$24,"O",IF(S9=$BH$24,"O",IF(S9=$BI$24,"O",IF(S9=$BJ$24,"O",IF(S9=$BK$24,"O",IF(S9=$BL$24,"O",IF(S9=$BM$24,"O",IF(S9=$BN$24,"O",IF(S9=$BO$24,"O",IF(S9=$BP$24,"O",IF(S9=$BQ$24,"O",IF(S9=#REF!,"O",IF(S9=$BS$24,"O",IF(S9=$BT$24,"O",IF(S9=$BU$24,"O",IF(S9=$BV$24,"O",IF(S9=$BW$24,"O",IF(S9=$BX$24,"O",IF(S9=$BY$24,"O",IF(S9=$BZ$24,"O",IF(S9=$CA$24,"O",IF(S9=$CB$24,"O","X"))))))))))))))))))))))))))</f>
        <v>#REF!</v>
      </c>
      <c r="T132" s="54" t="e">
        <f>IF(T9=$BC$24,"O",IF(T9=$BD$24,"O",IF(T9=$BE$24,"O",IF(T9=$BF$24,"O",IF(T9=$BG$24,"O",IF(T9=$BH$24,"O",IF(T9=$BI$24,"O",IF(T9=$BJ$24,"O",IF(T9=$BK$24,"O",IF(T9=$BL$24,"O",IF(T9=$BM$24,"O",IF(T9=$BN$24,"O",IF(T9=$BO$24,"O",IF(T9=$BP$24,"O",IF(T9=$BQ$24,"O",IF(T9=#REF!,"O",IF(T9=$BS$24,"O",IF(T9=$BT$24,"O",IF(T9=$BU$24,"O",IF(T9=$BV$24,"O",IF(T9=$BW$24,"O",IF(T9=$BX$24,"O",IF(T9=$BY$24,"O",IF(T9=$BZ$24,"O",IF(T9=$CA$24,"O",IF(T9=$CB$24,"O","X"))))))))))))))))))))))))))</f>
        <v>#REF!</v>
      </c>
      <c r="U132" s="54" t="e">
        <f>IF(U9=$BC$24,"O",IF(U9=$BD$24,"O",IF(U9=$BE$24,"O",IF(U9=$BF$24,"O",IF(U9=$BG$24,"O",IF(U9=$BH$24,"O",IF(U9=$BI$24,"O",IF(U9=$BJ$24,"O",IF(U9=$BK$24,"O",IF(U9=$BL$24,"O",IF(U9=$BM$24,"O",IF(U9=$BN$24,"O",IF(U9=$BO$24,"O",IF(U9=$BP$24,"O",IF(U9=$BQ$24,"O",IF(U9=#REF!,"O",IF(U9=$BS$24,"O",IF(U9=$BT$24,"O",IF(U9=$BU$24,"O",IF(U9=$BV$24,"O",IF(U9=$BW$24,"O",IF(U9=$BX$24,"O",IF(U9=$BY$24,"O",IF(U9=$BZ$24,"O",IF(U9=$CA$24,"O",IF(U9=$CB$24,"O","X"))))))))))))))))))))))))))</f>
        <v>#REF!</v>
      </c>
      <c r="V132" s="54" t="e">
        <f>IF(V9=$BC$24,"O",IF(V9=$BD$24,"O",IF(V9=$BE$24,"O",IF(V9=$BF$24,"O",IF(V9=$BG$24,"O",IF(V9=$BH$24,"O",IF(V9=$BI$24,"O",IF(V9=$BJ$24,"O",IF(V9=$BK$24,"O",IF(V9=$BL$24,"O",IF(V9=$BM$24,"O",IF(V9=$BN$24,"O",IF(V9=$BO$24,"O",IF(V9=$BP$24,"O",IF(V9=$BQ$24,"O",IF(V9=#REF!,"O",IF(V9=$BS$24,"O",IF(V9=$BT$24,"O",IF(V9=$BU$24,"O",IF(V9=$BV$24,"O",IF(V9=$BW$24,"O",IF(V9=$BX$24,"O",IF(V9=$BY$24,"O",IF(V9=$BZ$24,"O",IF(V9=$CA$24,"O",IF(V9=$CB$24,"O","X"))))))))))))))))))))))))))</f>
        <v>#REF!</v>
      </c>
      <c r="W132" s="54" t="e">
        <f>IF(W9=$BC$24,"O",IF(W9=$BD$24,"O",IF(W9=$BE$24,"O",IF(W9=$BF$24,"O",IF(W9=$BG$24,"O",IF(W9=$BH$24,"O",IF(W9=$BI$24,"O",IF(W9=$BJ$24,"O",IF(W9=$BK$24,"O",IF(W9=$BL$24,"O",IF(W9=$BM$24,"O",IF(W9=$BN$24,"O",IF(W9=$BO$24,"O",IF(W9=$BP$24,"O",IF(W9=$BQ$24,"O",IF(W9=#REF!,"O",IF(W9=$BS$24,"O",IF(W9=$BT$24,"O",IF(W9=$BU$24,"O",IF(W9=$BV$24,"O",IF(W9=$BW$24,"O",IF(W9=$BX$24,"O",IF(W9=$BY$24,"O",IF(W9=$BZ$24,"O",IF(W9=$CA$24,"O",IF(W9=$CB$24,"O","X"))))))))))))))))))))))))))</f>
        <v>#REF!</v>
      </c>
      <c r="X132" s="54" t="e">
        <f>IF(X9=$BC$24,"O",IF(X9=$BD$24,"O",IF(X9=$BE$24,"O",IF(X9=$BF$24,"O",IF(X9=$BG$24,"O",IF(X9=$BH$24,"O",IF(X9=$BI$24,"O",IF(X9=$BJ$24,"O",IF(X9=$BK$24,"O",IF(X9=$BL$24,"O",IF(X9=$BM$24,"O",IF(X9=$BN$24,"O",IF(X9=$BO$24,"O",IF(X9=$BP$24,"O",IF(X9=$BQ$24,"O",IF(X9=#REF!,"O",IF(X9=$BS$24,"O",IF(X9=$BT$24,"O",IF(X9=$BU$24,"O",IF(X9=$BV$24,"O",IF(X9=$BW$24,"O",IF(X9=$BX$24,"O",IF(X9=$BY$24,"O",IF(X9=$BZ$24,"O",IF(X9=$CA$24,"O",IF(X9=$CB$24,"O","X"))))))))))))))))))))))))))</f>
        <v>#REF!</v>
      </c>
      <c r="Y132" s="54" t="e">
        <f>IF(Y9=$BC$24,"O",IF(Y9=$BD$24,"O",IF(Y9=$BE$24,"O",IF(Y9=$BF$24,"O",IF(Y9=$BG$24,"O",IF(Y9=$BH$24,"O",IF(Y9=$BI$24,"O",IF(Y9=$BJ$24,"O",IF(Y9=$BK$24,"O",IF(Y9=$BL$24,"O",IF(Y9=$BM$24,"O",IF(Y9=$BN$24,"O",IF(Y9=$BO$24,"O",IF(Y9=$BP$24,"O",IF(Y9=$BQ$24,"O",IF(Y9=#REF!,"O",IF(Y9=$BS$24,"O",IF(Y9=$BT$24,"O",IF(Y9=$BU$24,"O",IF(Y9=$BV$24,"O",IF(Y9=$BW$24,"O",IF(Y9=$BX$24,"O",IF(Y9=$BY$24,"O",IF(Y9=$BZ$24,"O",IF(Y9=$CA$24,"O",IF(Y9=$CB$24,"O","X"))))))))))))))))))))))))))</f>
        <v>#REF!</v>
      </c>
      <c r="Z132" s="54" t="e">
        <f>IF(Z9=$BC$24,"O",IF(Z9=$BD$24,"O",IF(Z9=$BE$24,"O",IF(Z9=$BF$24,"O",IF(Z9=$BG$24,"O",IF(Z9=$BH$24,"O",IF(Z9=$BI$24,"O",IF(Z9=$BJ$24,"O",IF(Z9=$BK$24,"O",IF(Z9=$BL$24,"O",IF(Z9=$BM$24,"O",IF(Z9=$BN$24,"O",IF(Z9=$BO$24,"O",IF(Z9=$BP$24,"O",IF(Z9=$BQ$24,"O",IF(Z9=#REF!,"O",IF(Z9=$BS$24,"O",IF(Z9=$BT$24,"O",IF(Z9=$BU$24,"O",IF(Z9=$BV$24,"O",IF(Z9=$BW$24,"O",IF(Z9=$BX$24,"O",IF(Z9=$BY$24,"O",IF(Z9=$BZ$24,"O",IF(Z9=$CA$24,"O",IF(Z9=$CB$24,"O","X"))))))))))))))))))))))))))</f>
        <v>#REF!</v>
      </c>
      <c r="AA132" s="54" t="e">
        <f>IF(AA9=$BC$24,"O",IF(AA9=$BD$24,"O",IF(AA9=$BE$24,"O",IF(AA9=$BF$24,"O",IF(AA9=$BG$24,"O",IF(AA9=$BH$24,"O",IF(AA9=$BI$24,"O",IF(AA9=$BJ$24,"O",IF(AA9=$BK$24,"O",IF(AA9=$BL$24,"O",IF(AA9=$BM$24,"O",IF(AA9=$BN$24,"O",IF(AA9=$BO$24,"O",IF(AA9=$BP$24,"O",IF(AA9=$BQ$24,"O",IF(AA9=#REF!,"O",IF(AA9=$BS$24,"O",IF(AA9=$BT$24,"O",IF(AA9=$BU$24,"O",IF(AA9=$BV$24,"O",IF(AA9=$BW$24,"O",IF(AA9=$BX$24,"O",IF(AA9=$BY$24,"O",IF(AA9=$BZ$24,"O",IF(AA9=$CA$24,"O",IF(AA9=$CB$24,"O","X"))))))))))))))))))))))))))</f>
        <v>#REF!</v>
      </c>
      <c r="AB132" s="54" t="e">
        <f>IF(AB9=$BC$24,"O",IF(AB9=$BD$24,"O",IF(AB9=$BE$24,"O",IF(AB9=$BF$24,"O",IF(AB9=$BG$24,"O",IF(AB9=$BH$24,"O",IF(AB9=$BI$24,"O",IF(AB9=$BJ$24,"O",IF(AB9=$BK$24,"O",IF(AB9=$BL$24,"O",IF(AB9=$BM$24,"O",IF(AB9=$BN$24,"O",IF(AB9=$BO$24,"O",IF(AB9=$BP$24,"O",IF(AB9=$BQ$24,"O",IF(AB9=#REF!,"O",IF(AB9=$BS$24,"O",IF(AB9=$BT$24,"O",IF(AB9=$BU$24,"O",IF(AB9=$BV$24,"O",IF(AB9=$BW$24,"O",IF(AB9=$BX$24,"O",IF(AB9=$BY$24,"O",IF(AB9=$BZ$24,"O",IF(AB9=$CA$24,"O",IF(AB9=$CB$24,"O","X"))))))))))))))))))))))))))</f>
        <v>#REF!</v>
      </c>
      <c r="AC132" s="54" t="e">
        <f>IF(AC9=$BC$24,"O",IF(AC9=$BD$24,"O",IF(AC9=$BE$24,"O",IF(AC9=$BF$24,"O",IF(AC9=$BG$24,"O",IF(AC9=$BH$24,"O",IF(AC9=$BI$24,"O",IF(AC9=$BJ$24,"O",IF(AC9=$BK$24,"O",IF(AC9=$BL$24,"O",IF(AC9=$BM$24,"O",IF(AC9=$BN$24,"O",IF(AC9=$BO$24,"O",IF(AC9=$BP$24,"O",IF(AC9=$BQ$24,"O",IF(AC9=#REF!,"O",IF(AC9=$BS$24,"O",IF(AC9=$BT$24,"O",IF(AC9=$BU$24,"O",IF(AC9=$BV$24,"O",IF(AC9=$BW$24,"O",IF(AC9=$BX$24,"O",IF(AC9=$BY$24,"O",IF(AC9=$BZ$24,"O",IF(AC9=$CA$24,"O",IF(AC9=$CB$24,"O","X"))))))))))))))))))))))))))</f>
        <v>#REF!</v>
      </c>
      <c r="AD132" s="54" t="e">
        <f>IF(AD9=$BC$24,"O",IF(AD9=$BD$24,"O",IF(AD9=$BE$24,"O",IF(AD9=$BF$24,"O",IF(AD9=$BG$24,"O",IF(AD9=$BH$24,"O",IF(AD9=$BI$24,"O",IF(AD9=$BJ$24,"O",IF(AD9=$BK$24,"O",IF(AD9=$BL$24,"O",IF(AD9=$BM$24,"O",IF(AD9=$BN$24,"O",IF(AD9=$BO$24,"O",IF(AD9=$BP$24,"O",IF(AD9=$BQ$24,"O",IF(AD9=#REF!,"O",IF(AD9=$BS$24,"O",IF(AD9=$BT$24,"O",IF(AD9=$BU$24,"O",IF(AD9=$BV$24,"O",IF(AD9=$BW$24,"O",IF(AD9=$BX$24,"O",IF(AD9=$BY$24,"O",IF(AD9=$BZ$24,"O",IF(AD9=$CA$24,"O",IF(AD9=$CB$24,"O","X"))))))))))))))))))))))))))</f>
        <v>#REF!</v>
      </c>
      <c r="AE132" s="54" t="e">
        <f>IF(AE9=$BC$24,"O",IF(AE9=$BD$24,"O",IF(AE9=$BE$24,"O",IF(AE9=$BF$24,"O",IF(AE9=$BG$24,"O",IF(AE9=$BH$24,"O",IF(AE9=$BI$24,"O",IF(AE9=$BJ$24,"O",IF(AE9=$BK$24,"O",IF(AE9=$BL$24,"O",IF(AE9=$BM$24,"O",IF(AE9=$BN$24,"O",IF(AE9=$BO$24,"O",IF(AE9=$BP$24,"O",IF(AE9=$BQ$24,"O",IF(AE9=#REF!,"O",IF(AE9=$BS$24,"O",IF(AE9=$BT$24,"O",IF(AE9=$BU$24,"O",IF(AE9=$BV$24,"O",IF(AE9=$BW$24,"O",IF(AE9=$BX$24,"O",IF(AE9=$BY$24,"O",IF(AE9=$BZ$24,"O",IF(AE9=$CA$24,"O",IF(AE9=$CB$24,"O","X"))))))))))))))))))))))))))</f>
        <v>#REF!</v>
      </c>
      <c r="AF132" s="54" t="e">
        <f>IF(AF9=$BC$24,"O",IF(AF9=$BD$24,"O",IF(AF9=$BE$24,"O",IF(AF9=$BF$24,"O",IF(AF9=$BG$24,"O",IF(AF9=$BH$24,"O",IF(AF9=$BI$24,"O",IF(AF9=$BJ$24,"O",IF(AF9=$BK$24,"O",IF(AF9=$BL$24,"O",IF(AF9=$BM$24,"O",IF(AF9=$BN$24,"O",IF(AF9=$BO$24,"O",IF(AF9=$BP$24,"O",IF(AF9=$BQ$24,"O",IF(AF9=#REF!,"O",IF(AF9=$BS$24,"O",IF(AF9=$BT$24,"O",IF(AF9=$BU$24,"O",IF(AF9=$BV$24,"O",IF(AF9=$BW$24,"O",IF(AF9=$BX$24,"O",IF(AF9=$BY$24,"O",IF(AF9=$BZ$24,"O",IF(AF9=$CA$24,"O",IF(AF9=$CB$24,"O","X"))))))))))))))))))))))))))</f>
        <v>#REF!</v>
      </c>
      <c r="AG132" s="54" t="e">
        <f>IF(AG9=$BC$24,"O",IF(AG9=$BD$24,"O",IF(AG9=$BE$24,"O",IF(AG9=$BF$24,"O",IF(AG9=$BG$24,"O",IF(AG9=$BH$24,"O",IF(AG9=$BI$24,"O",IF(AG9=$BJ$24,"O",IF(AG9=$BK$24,"O",IF(AG9=$BL$24,"O",IF(AG9=$BM$24,"O",IF(AG9=$BN$24,"O",IF(AG9=$BO$24,"O",IF(AG9=$BP$24,"O",IF(AG9=$BQ$24,"O",IF(AG9=#REF!,"O",IF(AG9=$BS$24,"O",IF(AG9=$BT$24,"O",IF(AG9=$BU$24,"O",IF(AG9=$BV$24,"O",IF(AG9=$BW$24,"O",IF(AG9=$BX$24,"O",IF(AG9=$BY$24,"O",IF(AG9=$BZ$24,"O",IF(AG9=$CA$24,"O",IF(AG9=$CB$24,"O","X"))))))))))))))))))))))))))</f>
        <v>#REF!</v>
      </c>
      <c r="AH132" s="54" t="e">
        <f>IF(AH9=$BC$24,"O",IF(AH9=$BD$24,"O",IF(AH9=$BE$24,"O",IF(AH9=$BF$24,"O",IF(AH9=$BG$24,"O",IF(AH9=$BH$24,"O",IF(AH9=$BI$24,"O",IF(AH9=$BJ$24,"O",IF(AH9=$BK$24,"O",IF(AH9=$BL$24,"O",IF(AH9=$BM$24,"O",IF(AH9=$BN$24,"O",IF(AH9=$BO$24,"O",IF(AH9=$BP$24,"O",IF(AH9=$BQ$24,"O",IF(AH9=#REF!,"O",IF(AH9=$BS$24,"O",IF(AH9=$BT$24,"O",IF(AH9=$BU$24,"O",IF(AH9=$BV$24,"O",IF(AH9=$BW$24,"O",IF(AH9=$BX$24,"O",IF(AH9=$BY$24,"O",IF(AH9=$BZ$24,"O",IF(AH9=$CA$24,"O",IF(AH9=$CB$24,"O","X"))))))))))))))))))))))))))</f>
        <v>#REF!</v>
      </c>
      <c r="AI132" s="54" t="e">
        <f>IF(AI9=$BC$24,"O",IF(AI9=$BD$24,"O",IF(AI9=$BE$24,"O",IF(AI9=$BF$24,"O",IF(AI9=$BG$24,"O",IF(AI9=$BH$24,"O",IF(AI9=$BI$24,"O",IF(AI9=$BJ$24,"O",IF(AI9=$BK$24,"O",IF(AI9=$BL$24,"O",IF(AI9=$BM$24,"O",IF(AI9=$BN$24,"O",IF(AI9=$BO$24,"O",IF(AI9=$BP$24,"O",IF(AI9=$BQ$24,"O",IF(AI9=#REF!,"O",IF(AI9=$BS$24,"O",IF(AI9=$BT$24,"O",IF(AI9=$BU$24,"O",IF(AI9=$BV$24,"O",IF(AI9=$BW$24,"O",IF(AI9=$BX$24,"O",IF(AI9=$BY$24,"O",IF(AI9=$BZ$24,"O",IF(AI9=$CA$24,"O",IF(AI9=$CB$24,"O","X"))))))))))))))))))))))))))</f>
        <v>#REF!</v>
      </c>
      <c r="AJ132" s="54" t="e">
        <f>IF(AJ9=$BC$24,"O",IF(AJ9=$BD$24,"O",IF(AJ9=$BE$24,"O",IF(AJ9=$BF$24,"O",IF(AJ9=$BG$24,"O",IF(AJ9=$BH$24,"O",IF(AJ9=$BI$24,"O",IF(AJ9=$BJ$24,"O",IF(AJ9=$BK$24,"O",IF(AJ9=$BL$24,"O",IF(AJ9=$BM$24,"O",IF(AJ9=$BN$24,"O",IF(AJ9=$BO$24,"O",IF(AJ9=$BP$24,"O",IF(AJ9=$BQ$24,"O",IF(AJ9=#REF!,"O",IF(AJ9=$BS$24,"O",IF(AJ9=$BT$24,"O",IF(AJ9=$BU$24,"O",IF(AJ9=$BV$24,"O",IF(AJ9=$BW$24,"O",IF(AJ9=$BX$24,"O",IF(AJ9=$BY$24,"O",IF(AJ9=$BZ$24,"O",IF(AJ9=$CA$24,"O",IF(AJ9=$CB$24,"O","X"))))))))))))))))))))))))))</f>
        <v>#REF!</v>
      </c>
      <c r="AK132" s="54" t="e">
        <f>IF(AK9=$BC$24,"O",IF(AK9=$BD$24,"O",IF(AK9=$BE$24,"O",IF(AK9=$BF$24,"O",IF(AK9=$BG$24,"O",IF(AK9=$BH$24,"O",IF(AK9=$BI$24,"O",IF(AK9=$BJ$24,"O",IF(AK9=$BK$24,"O",IF(AK9=$BL$24,"O",IF(AK9=$BM$24,"O",IF(AK9=$BN$24,"O",IF(AK9=$BO$24,"O",IF(AK9=$BP$24,"O",IF(AK9=$BQ$24,"O",IF(AK9=#REF!,"O",IF(AK9=$BS$24,"O",IF(AK9=$BT$24,"O",IF(AK9=$BU$24,"O",IF(AK9=$BV$24,"O",IF(AK9=$BW$24,"O",IF(AK9=$BX$24,"O",IF(AK9=$BY$24,"O",IF(AK9=$BZ$24,"O",IF(AK9=$CA$24,"O",IF(AK9=$CB$24,"O","X"))))))))))))))))))))))))))</f>
        <v>#REF!</v>
      </c>
      <c r="AL132" s="54" t="e">
        <f>IF(AL9=$BC$24,"O",IF(AL9=$BD$24,"O",IF(AL9=$BE$24,"O",IF(AL9=$BF$24,"O",IF(AL9=$BG$24,"O",IF(AL9=$BH$24,"O",IF(AL9=$BI$24,"O",IF(AL9=$BJ$24,"O",IF(AL9=$BK$24,"O",IF(AL9=$BL$24,"O",IF(AL9=$BM$24,"O",IF(AL9=$BN$24,"O",IF(AL9=$BO$24,"O",IF(AL9=$BP$24,"O",IF(AL9=$BQ$24,"O",IF(AL9=#REF!,"O",IF(AL9=$BS$24,"O",IF(AL9=$BT$24,"O",IF(AL9=$BU$24,"O",IF(AL9=$BV$24,"O",IF(AL9=$BW$24,"O",IF(AL9=$BX$24,"O",IF(AL9=$BY$24,"O",IF(AL9=$BZ$24,"O",IF(AL9=$CA$24,"O",IF(AL9=$CB$24,"O","X"))))))))))))))))))))))))))</f>
        <v>#REF!</v>
      </c>
      <c r="AM132" s="54" t="e">
        <f>IF(AM9=$BC$24,"O",IF(AM9=$BD$24,"O",IF(AM9=$BE$24,"O",IF(AM9=$BF$24,"O",IF(AM9=$BG$24,"O",IF(AM9=$BH$24,"O",IF(AM9=$BI$24,"O",IF(AM9=$BJ$24,"O",IF(AM9=$BK$24,"O",IF(AM9=$BL$24,"O",IF(AM9=$BM$24,"O",IF(AM9=$BN$24,"O",IF(AM9=$BO$24,"O",IF(AM9=$BP$24,"O",IF(AM9=$BQ$24,"O",IF(AM9=#REF!,"O",IF(AM9=$BS$24,"O",IF(AM9=$BT$24,"O",IF(AM9=$BU$24,"O",IF(AM9=$BV$24,"O",IF(AM9=$BW$24,"O",IF(AM9=$BX$24,"O",IF(AM9=$BY$24,"O",IF(AM9=$BZ$24,"O",IF(AM9=$CA$24,"O",IF(AM9=$CB$24,"O","X"))))))))))))))))))))))))))</f>
        <v>#REF!</v>
      </c>
      <c r="AN132" s="54" t="e">
        <f>IF(AN9=$BC$24,"O",IF(AN9=$BD$24,"O",IF(AN9=$BE$24,"O",IF(AN9=$BF$24,"O",IF(AN9=$BG$24,"O",IF(AN9=$BH$24,"O",IF(AN9=$BI$24,"O",IF(AN9=$BJ$24,"O",IF(AN9=$BK$24,"O",IF(AN9=$BL$24,"O",IF(AN9=$BM$24,"O",IF(AN9=$BN$24,"O",IF(AN9=$BO$24,"O",IF(AN9=$BP$24,"O",IF(AN9=$BQ$24,"O",IF(AN9=#REF!,"O",IF(AN9=$BS$24,"O",IF(AN9=$BT$24,"O",IF(AN9=$BU$24,"O",IF(AN9=$BV$24,"O",IF(AN9=$BW$24,"O",IF(AN9=$BX$24,"O",IF(AN9=$BY$24,"O",IF(AN9=$BZ$24,"O",IF(AN9=$CA$24,"O",IF(AN9=$CB$24,"O","X"))))))))))))))))))))))))))</f>
        <v>#REF!</v>
      </c>
      <c r="AO132" s="54" t="e">
        <f>IF(AO9=$BC$24,"O",IF(AO9=$BD$24,"O",IF(AO9=$BE$24,"O",IF(AO9=$BF$24,"O",IF(AO9=$BG$24,"O",IF(AO9=$BH$24,"O",IF(AO9=$BI$24,"O",IF(AO9=$BJ$24,"O",IF(AO9=$BK$24,"O",IF(AO9=$BL$24,"O",IF(AO9=$BM$24,"O",IF(AO9=$BN$24,"O",IF(AO9=$BO$24,"O",IF(AO9=$BP$24,"O",IF(AO9=$BQ$24,"O",IF(AO9=#REF!,"O",IF(AO9=$BS$24,"O",IF(AO9=$BT$24,"O",IF(AO9=$BU$24,"O",IF(AO9=$BV$24,"O",IF(AO9=$BW$24,"O",IF(AO9=$BX$24,"O",IF(AO9=$BY$24,"O",IF(AO9=$BZ$24,"O",IF(AO9=$CA$24,"O",IF(AO9=$CB$24,"O","X"))))))))))))))))))))))))))</f>
        <v>#REF!</v>
      </c>
      <c r="AP132" s="54" t="e">
        <f>IF(AP9=$BC$24,"O",IF(AP9=$BD$24,"O",IF(AP9=$BE$24,"O",IF(AP9=$BF$24,"O",IF(AP9=$BG$24,"O",IF(AP9=$BH$24,"O",IF(AP9=$BI$24,"O",IF(AP9=$BJ$24,"O",IF(AP9=$BK$24,"O",IF(AP9=$BL$24,"O",IF(AP9=$BM$24,"O",IF(AP9=$BN$24,"O",IF(AP9=$BO$24,"O",IF(AP9=$BP$24,"O",IF(AP9=$BQ$24,"O",IF(AP9=#REF!,"O",IF(AP9=$BS$24,"O",IF(AP9=$BT$24,"O",IF(AP9=$BU$24,"O",IF(AP9=$BV$24,"O",IF(AP9=$BW$24,"O",IF(AP9=$BX$24,"O",IF(AP9=$BY$24,"O",IF(AP9=$BZ$24,"O",IF(AP9=$CA$24,"O",IF(AP9=$CB$24,"O","X"))))))))))))))))))))))))))</f>
        <v>#REF!</v>
      </c>
      <c r="AQ132" s="54" t="e">
        <f>IF(AQ9=$BC$24,"O",IF(AQ9=$BD$24,"O",IF(AQ9=$BE$24,"O",IF(AQ9=$BF$24,"O",IF(AQ9=$BG$24,"O",IF(AQ9=$BH$24,"O",IF(AQ9=$BI$24,"O",IF(AQ9=$BJ$24,"O",IF(AQ9=$BK$24,"O",IF(AQ9=$BL$24,"O",IF(AQ9=$BM$24,"O",IF(AQ9=$BN$24,"O",IF(AQ9=$BO$24,"O",IF(AQ9=$BP$24,"O",IF(AQ9=$BQ$24,"O",IF(AQ9=#REF!,"O",IF(AQ9=$BS$24,"O",IF(AQ9=$BT$24,"O",IF(AQ9=$BU$24,"O",IF(AQ9=$BV$24,"O",IF(AQ9=$BW$24,"O",IF(AQ9=$BX$24,"O",IF(AQ9=$BY$24,"O",IF(AQ9=$BZ$24,"O",IF(AQ9=$CA$24,"O",IF(AQ9=$CB$24,"O","X"))))))))))))))))))))))))))</f>
        <v>#REF!</v>
      </c>
      <c r="AR132" s="54" t="e">
        <f>IF(AR9=$BC$24,"O",IF(AR9=$BD$24,"O",IF(AR9=$BE$24,"O",IF(AR9=$BF$24,"O",IF(AR9=$BG$24,"O",IF(AR9=$BH$24,"O",IF(AR9=$BI$24,"O",IF(AR9=$BJ$24,"O",IF(AR9=$BK$24,"O",IF(AR9=$BL$24,"O",IF(AR9=$BM$24,"O",IF(AR9=$BN$24,"O",IF(AR9=$BO$24,"O",IF(AR9=$BP$24,"O",IF(AR9=$BQ$24,"O",IF(AR9=#REF!,"O",IF(AR9=$BS$24,"O",IF(AR9=$BT$24,"O",IF(AR9=$BU$24,"O",IF(AR9=$BV$24,"O",IF(AR9=$BW$24,"O",IF(AR9=$BX$24,"O",IF(AR9=$BY$24,"O",IF(AR9=$BZ$24,"O",IF(AR9=$CA$24,"O",IF(AR9=$CB$24,"O","X"))))))))))))))))))))))))))</f>
        <v>#REF!</v>
      </c>
      <c r="AS132" s="54" t="e">
        <f>IF(AS9=$BC$24,"O",IF(AS9=$BD$24,"O",IF(AS9=$BE$24,"O",IF(AS9=$BF$24,"O",IF(AS9=$BG$24,"O",IF(AS9=$BH$24,"O",IF(AS9=$BI$24,"O",IF(AS9=$BJ$24,"O",IF(AS9=$BK$24,"O",IF(AS9=$BL$24,"O",IF(AS9=$BM$24,"O",IF(AS9=$BN$24,"O",IF(AS9=$BO$24,"O",IF(AS9=$BP$24,"O",IF(AS9=$BQ$24,"O",IF(AS9=#REF!,"O",IF(AS9=$BS$24,"O",IF(AS9=$BT$24,"O",IF(AS9=$BU$24,"O",IF(AS9=$BV$24,"O",IF(AS9=$BW$24,"O",IF(AS9=$BX$24,"O",IF(AS9=$BY$24,"O",IF(AS9=$BZ$24,"O",IF(AS9=$CA$24,"O",IF(AS9=$CB$24,"O","X"))))))))))))))))))))))))))</f>
        <v>#REF!</v>
      </c>
      <c r="AT132" s="54" t="e">
        <f>IF(AT9=$BC$24,"O",IF(AT9=$BD$24,"O",IF(AT9=$BE$24,"O",IF(AT9=$BF$24,"O",IF(AT9=$BG$24,"O",IF(AT9=$BH$24,"O",IF(AT9=$BI$24,"O",IF(AT9=$BJ$24,"O",IF(AT9=$BK$24,"O",IF(AT9=$BL$24,"O",IF(AT9=$BM$24,"O",IF(AT9=$BN$24,"O",IF(AT9=$BO$24,"O",IF(AT9=$BP$24,"O",IF(AT9=$BQ$24,"O",IF(AT9=#REF!,"O",IF(AT9=$BS$24,"O",IF(AT9=$BT$24,"O",IF(AT9=$BU$24,"O",IF(AT9=$BV$24,"O",IF(AT9=$BW$24,"O",IF(AT9=$BX$24,"O",IF(AT9=$BY$24,"O",IF(AT9=$BZ$24,"O",IF(AT9=$CA$24,"O",IF(AT9=$CB$24,"O","X"))))))))))))))))))))))))))</f>
        <v>#REF!</v>
      </c>
      <c r="AU132" s="54" t="e">
        <f>IF(AU9=$BC$24,"O",IF(AU9=$BD$24,"O",IF(AU9=$BE$24,"O",IF(AU9=$BF$24,"O",IF(AU9=$BG$24,"O",IF(AU9=$BH$24,"O",IF(AU9=$BI$24,"O",IF(AU9=$BJ$24,"O",IF(AU9=$BK$24,"O",IF(AU9=$BL$24,"O",IF(AU9=$BM$24,"O",IF(AU9=$BN$24,"O",IF(AU9=$BO$24,"O",IF(AU9=$BP$24,"O",IF(AU9=$BQ$24,"O",IF(AU9=#REF!,"O",IF(AU9=$BS$24,"O",IF(AU9=$BT$24,"O",IF(AU9=$BU$24,"O",IF(AU9=$BV$24,"O",IF(AU9=$BW$24,"O",IF(AU9=$BX$24,"O",IF(AU9=$BY$24,"O",IF(AU9=$BZ$24,"O",IF(AU9=$CA$24,"O",IF(AU9=$CB$24,"O","X"))))))))))))))))))))))))))</f>
        <v>#REF!</v>
      </c>
      <c r="AV132" s="53"/>
      <c r="AW132" s="53"/>
      <c r="AX132" s="53"/>
      <c r="BC132"/>
      <c r="BD132"/>
      <c r="BE132"/>
      <c r="BF132"/>
      <c r="BG132" s="118"/>
      <c r="BJ132"/>
    </row>
    <row r="133" spans="1:66" ht="17.5">
      <c r="A133" s="128"/>
      <c r="B133" s="54" t="s">
        <v>568</v>
      </c>
      <c r="C133" s="54" t="str">
        <f t="shared" ref="C133:Q133" ca="1" si="188">IF(C10=$BC$24,"O",IF(C10=$BD$24,"O",IF(C10=$BE$24,"O",IF(C10=$BF$24,"O",IF(C10=$BG$24,"O",IF(C10=$BH$24,"O",IF(C10=$BI$24,"O",IF(C10=$BJ$24,"O",IF(C10=$BK$24,"O",IF(C10=$BL$24,"O",IF(C10=$BM$24,"O",IF(C10=$BN$24,"O",IF(C10=$BO$24,"O",IF(C10=$BP$24,"O",IF(C10=$BQ$24,"O",IF(C10=$BR$24,"O",IF(C10=$BS$24,"O",IF(C10=$BT$24,"O",IF(C10=$BU$24,"O",IF(C10=$BV$24,"O",IF(C10=$BW$24,"O",IF(C10=$BX$24,"O",IF(C10=$BY$24,"O",IF(C10=$BZ$24,"O",IF(C10=$CA$24,"O",IF(C10=$CB$24,"O",IF(C10=$CC$24,"O",IF(C10=$CD$24,"O",IF(C10=$CE$24,"O",IF(C10=$CF$24,"O",IF(C10=$CG$24,"O",IF(C10=$CH$24,"O",IF(C10=$CI$24,"O",IF(C10=$CJ$24,"O",IF(C10=$CK$24,"O",IF(C10=$CL$24,"O",IF(C10=$CM$24,"O",IF(C10=$CN$24,"O",IF(C10=$CO$24,"O",IF(C10=$CP$24,"O","X"))))))))))))))))))))))))))))))))))))))))</f>
        <v>X</v>
      </c>
      <c r="D133" s="54" t="str">
        <f t="shared" ca="1" si="188"/>
        <v>O</v>
      </c>
      <c r="E133" s="54" t="str">
        <f t="shared" ca="1" si="188"/>
        <v>X</v>
      </c>
      <c r="F133" s="54" t="str">
        <f t="shared" ca="1" si="188"/>
        <v>X</v>
      </c>
      <c r="G133" s="54" t="str">
        <f t="shared" ca="1" si="188"/>
        <v>O</v>
      </c>
      <c r="H133" s="54" t="str">
        <f t="shared" ca="1" si="188"/>
        <v>X</v>
      </c>
      <c r="I133" s="54" t="str">
        <f t="shared" ca="1" si="188"/>
        <v>O</v>
      </c>
      <c r="J133" s="54" t="str">
        <f t="shared" ca="1" si="188"/>
        <v>X</v>
      </c>
      <c r="K133" s="54" t="str">
        <f t="shared" ca="1" si="188"/>
        <v>X</v>
      </c>
      <c r="L133" s="54" t="str">
        <f t="shared" ca="1" si="188"/>
        <v>X</v>
      </c>
      <c r="M133" s="54" t="str">
        <f t="shared" ca="1" si="188"/>
        <v>O</v>
      </c>
      <c r="N133" s="54" t="str">
        <f t="shared" ca="1" si="188"/>
        <v>O</v>
      </c>
      <c r="O133" s="54" t="str">
        <f t="shared" ca="1" si="188"/>
        <v>O</v>
      </c>
      <c r="P133" s="54" t="str">
        <f t="shared" ca="1" si="188"/>
        <v>O</v>
      </c>
      <c r="Q133" s="54" t="str">
        <f t="shared" ca="1" si="188"/>
        <v>O</v>
      </c>
      <c r="R133" s="54" t="e">
        <f>IF(R10=$BC$24,"O",IF(R10=$BD$24,"O",IF(R10=$BE$24,"O",IF(R10=$BF$24,"O",IF(R10=$BG$24,"O",IF(R10=$BH$24,"O",IF(R10=$BI$24,"O",IF(R10=$BJ$24,"O",IF(R10=$BK$24,"O",IF(R10=$BL$24,"O",IF(R10=$BM$24,"O",IF(R10=$BN$24,"O",IF(R10=$BO$24,"O",IF(R10=$BP$24,"O",IF(R10=$BQ$24,"O",IF(R10=#REF!,"O",IF(R10=$BS$24,"O",IF(R10=$BT$24,"O",IF(R10=$BU$24,"O",IF(R10=$BV$24,"O",IF(R10=$BW$24,"O",IF(R10=$BX$24,"O",IF(R10=$BY$24,"O",IF(R10=$BZ$24,"O",IF(R10=$CA$24,"O",IF(R10=$CB$24,"O","X"))))))))))))))))))))))))))</f>
        <v>#REF!</v>
      </c>
      <c r="S133" s="54" t="e">
        <f>IF(S10=$BC$24,"O",IF(S10=$BD$24,"O",IF(S10=$BE$24,"O",IF(S10=$BF$24,"O",IF(S10=$BG$24,"O",IF(S10=$BH$24,"O",IF(S10=$BI$24,"O",IF(S10=$BJ$24,"O",IF(S10=$BK$24,"O",IF(S10=$BL$24,"O",IF(S10=$BM$24,"O",IF(S10=$BN$24,"O",IF(S10=$BO$24,"O",IF(S10=$BP$24,"O",IF(S10=$BQ$24,"O",IF(S10=#REF!,"O",IF(S10=$BS$24,"O",IF(S10=$BT$24,"O",IF(S10=$BU$24,"O",IF(S10=$BV$24,"O",IF(S10=$BW$24,"O",IF(S10=$BX$24,"O",IF(S10=$BY$24,"O",IF(S10=$BZ$24,"O",IF(S10=$CA$24,"O",IF(S10=$CB$24,"O","X"))))))))))))))))))))))))))</f>
        <v>#REF!</v>
      </c>
      <c r="T133" s="54" t="e">
        <f>IF(T10=$BC$24,"O",IF(T10=$BD$24,"O",IF(T10=$BE$24,"O",IF(T10=$BF$24,"O",IF(T10=$BG$24,"O",IF(T10=$BH$24,"O",IF(T10=$BI$24,"O",IF(T10=$BJ$24,"O",IF(T10=$BK$24,"O",IF(T10=$BL$24,"O",IF(T10=$BM$24,"O",IF(T10=$BN$24,"O",IF(T10=$BO$24,"O",IF(T10=$BP$24,"O",IF(T10=$BQ$24,"O",IF(T10=#REF!,"O",IF(T10=$BS$24,"O",IF(T10=$BT$24,"O",IF(T10=$BU$24,"O",IF(T10=$BV$24,"O",IF(T10=$BW$24,"O",IF(T10=$BX$24,"O",IF(T10=$BY$24,"O",IF(T10=$BZ$24,"O",IF(T10=$CA$24,"O",IF(T10=$CB$24,"O","X"))))))))))))))))))))))))))</f>
        <v>#REF!</v>
      </c>
      <c r="U133" s="54" t="e">
        <f>IF(U10=$BC$24,"O",IF(U10=$BD$24,"O",IF(U10=$BE$24,"O",IF(U10=$BF$24,"O",IF(U10=$BG$24,"O",IF(U10=$BH$24,"O",IF(U10=$BI$24,"O",IF(U10=$BJ$24,"O",IF(U10=$BK$24,"O",IF(U10=$BL$24,"O",IF(U10=$BM$24,"O",IF(U10=$BN$24,"O",IF(U10=$BO$24,"O",IF(U10=$BP$24,"O",IF(U10=$BQ$24,"O",IF(U10=#REF!,"O",IF(U10=$BS$24,"O",IF(U10=$BT$24,"O",IF(U10=$BU$24,"O",IF(U10=$BV$24,"O",IF(U10=$BW$24,"O",IF(U10=$BX$24,"O",IF(U10=$BY$24,"O",IF(U10=$BZ$24,"O",IF(U10=$CA$24,"O",IF(U10=$CB$24,"O","X"))))))))))))))))))))))))))</f>
        <v>#REF!</v>
      </c>
      <c r="V133" s="54" t="e">
        <f>IF(V10=$BC$24,"O",IF(V10=$BD$24,"O",IF(V10=$BE$24,"O",IF(V10=$BF$24,"O",IF(V10=$BG$24,"O",IF(V10=$BH$24,"O",IF(V10=$BI$24,"O",IF(V10=$BJ$24,"O",IF(V10=$BK$24,"O",IF(V10=$BL$24,"O",IF(V10=$BM$24,"O",IF(V10=$BN$24,"O",IF(V10=$BO$24,"O",IF(V10=$BP$24,"O",IF(V10=$BQ$24,"O",IF(V10=#REF!,"O",IF(V10=$BS$24,"O",IF(V10=$BT$24,"O",IF(V10=$BU$24,"O",IF(V10=$BV$24,"O",IF(V10=$BW$24,"O",IF(V10=$BX$24,"O",IF(V10=$BY$24,"O",IF(V10=$BZ$24,"O",IF(V10=$CA$24,"O",IF(V10=$CB$24,"O","X"))))))))))))))))))))))))))</f>
        <v>#REF!</v>
      </c>
      <c r="W133" s="54" t="e">
        <f>IF(W10=$BC$24,"O",IF(W10=$BD$24,"O",IF(W10=$BE$24,"O",IF(W10=$BF$24,"O",IF(W10=$BG$24,"O",IF(W10=$BH$24,"O",IF(W10=$BI$24,"O",IF(W10=$BJ$24,"O",IF(W10=$BK$24,"O",IF(W10=$BL$24,"O",IF(W10=$BM$24,"O",IF(W10=$BN$24,"O",IF(W10=$BO$24,"O",IF(W10=$BP$24,"O",IF(W10=$BQ$24,"O",IF(W10=#REF!,"O",IF(W10=$BS$24,"O",IF(W10=$BT$24,"O",IF(W10=$BU$24,"O",IF(W10=$BV$24,"O",IF(W10=$BW$24,"O",IF(W10=$BX$24,"O",IF(W10=$BY$24,"O",IF(W10=$BZ$24,"O",IF(W10=$CA$24,"O",IF(W10=$CB$24,"O","X"))))))))))))))))))))))))))</f>
        <v>#REF!</v>
      </c>
      <c r="X133" s="54" t="e">
        <f>IF(X10=$BC$24,"O",IF(X10=$BD$24,"O",IF(X10=$BE$24,"O",IF(X10=$BF$24,"O",IF(X10=$BG$24,"O",IF(X10=$BH$24,"O",IF(X10=$BI$24,"O",IF(X10=$BJ$24,"O",IF(X10=$BK$24,"O",IF(X10=$BL$24,"O",IF(X10=$BM$24,"O",IF(X10=$BN$24,"O",IF(X10=$BO$24,"O",IF(X10=$BP$24,"O",IF(X10=$BQ$24,"O",IF(X10=#REF!,"O",IF(X10=$BS$24,"O",IF(X10=$BT$24,"O",IF(X10=$BU$24,"O",IF(X10=$BV$24,"O",IF(X10=$BW$24,"O",IF(X10=$BX$24,"O",IF(X10=$BY$24,"O",IF(X10=$BZ$24,"O",IF(X10=$CA$24,"O",IF(X10=$CB$24,"O","X"))))))))))))))))))))))))))</f>
        <v>#REF!</v>
      </c>
      <c r="Y133" s="54" t="e">
        <f>IF(Y10=$BC$24,"O",IF(Y10=$BD$24,"O",IF(Y10=$BE$24,"O",IF(Y10=$BF$24,"O",IF(Y10=$BG$24,"O",IF(Y10=$BH$24,"O",IF(Y10=$BI$24,"O",IF(Y10=$BJ$24,"O",IF(Y10=$BK$24,"O",IF(Y10=$BL$24,"O",IF(Y10=$BM$24,"O",IF(Y10=$BN$24,"O",IF(Y10=$BO$24,"O",IF(Y10=$BP$24,"O",IF(Y10=$BQ$24,"O",IF(Y10=#REF!,"O",IF(Y10=$BS$24,"O",IF(Y10=$BT$24,"O",IF(Y10=$BU$24,"O",IF(Y10=$BV$24,"O",IF(Y10=$BW$24,"O",IF(Y10=$BX$24,"O",IF(Y10=$BY$24,"O",IF(Y10=$BZ$24,"O",IF(Y10=$CA$24,"O",IF(Y10=$CB$24,"O","X"))))))))))))))))))))))))))</f>
        <v>#REF!</v>
      </c>
      <c r="Z133" s="54" t="e">
        <f>IF(Z10=$BC$24,"O",IF(Z10=$BD$24,"O",IF(Z10=$BE$24,"O",IF(Z10=$BF$24,"O",IF(Z10=$BG$24,"O",IF(Z10=$BH$24,"O",IF(Z10=$BI$24,"O",IF(Z10=$BJ$24,"O",IF(Z10=$BK$24,"O",IF(Z10=$BL$24,"O",IF(Z10=$BM$24,"O",IF(Z10=$BN$24,"O",IF(Z10=$BO$24,"O",IF(Z10=$BP$24,"O",IF(Z10=$BQ$24,"O",IF(Z10=#REF!,"O",IF(Z10=$BS$24,"O",IF(Z10=$BT$24,"O",IF(Z10=$BU$24,"O",IF(Z10=$BV$24,"O",IF(Z10=$BW$24,"O",IF(Z10=$BX$24,"O",IF(Z10=$BY$24,"O",IF(Z10=$BZ$24,"O",IF(Z10=$CA$24,"O",IF(Z10=$CB$24,"O","X"))))))))))))))))))))))))))</f>
        <v>#REF!</v>
      </c>
      <c r="AA133" s="54" t="e">
        <f>IF(AA10=$BC$24,"O",IF(AA10=$BD$24,"O",IF(AA10=$BE$24,"O",IF(AA10=$BF$24,"O",IF(AA10=$BG$24,"O",IF(AA10=$BH$24,"O",IF(AA10=$BI$24,"O",IF(AA10=$BJ$24,"O",IF(AA10=$BK$24,"O",IF(AA10=$BL$24,"O",IF(AA10=$BM$24,"O",IF(AA10=$BN$24,"O",IF(AA10=$BO$24,"O",IF(AA10=$BP$24,"O",IF(AA10=$BQ$24,"O",IF(AA10=#REF!,"O",IF(AA10=$BS$24,"O",IF(AA10=$BT$24,"O",IF(AA10=$BU$24,"O",IF(AA10=$BV$24,"O",IF(AA10=$BW$24,"O",IF(AA10=$BX$24,"O",IF(AA10=$BY$24,"O",IF(AA10=$BZ$24,"O",IF(AA10=$CA$24,"O",IF(AA10=$CB$24,"O","X"))))))))))))))))))))))))))</f>
        <v>#REF!</v>
      </c>
      <c r="AB133" s="54" t="e">
        <f>IF(AB10=$BC$24,"O",IF(AB10=$BD$24,"O",IF(AB10=$BE$24,"O",IF(AB10=$BF$24,"O",IF(AB10=$BG$24,"O",IF(AB10=$BH$24,"O",IF(AB10=$BI$24,"O",IF(AB10=$BJ$24,"O",IF(AB10=$BK$24,"O",IF(AB10=$BL$24,"O",IF(AB10=$BM$24,"O",IF(AB10=$BN$24,"O",IF(AB10=$BO$24,"O",IF(AB10=$BP$24,"O",IF(AB10=$BQ$24,"O",IF(AB10=#REF!,"O",IF(AB10=$BS$24,"O",IF(AB10=$BT$24,"O",IF(AB10=$BU$24,"O",IF(AB10=$BV$24,"O",IF(AB10=$BW$24,"O",IF(AB10=$BX$24,"O",IF(AB10=$BY$24,"O",IF(AB10=$BZ$24,"O",IF(AB10=$CA$24,"O",IF(AB10=$CB$24,"O","X"))))))))))))))))))))))))))</f>
        <v>#REF!</v>
      </c>
      <c r="AC133" s="54" t="e">
        <f>IF(AC10=$BC$24,"O",IF(AC10=$BD$24,"O",IF(AC10=$BE$24,"O",IF(AC10=$BF$24,"O",IF(AC10=$BG$24,"O",IF(AC10=$BH$24,"O",IF(AC10=$BI$24,"O",IF(AC10=$BJ$24,"O",IF(AC10=$BK$24,"O",IF(AC10=$BL$24,"O",IF(AC10=$BM$24,"O",IF(AC10=$BN$24,"O",IF(AC10=$BO$24,"O",IF(AC10=$BP$24,"O",IF(AC10=$BQ$24,"O",IF(AC10=#REF!,"O",IF(AC10=$BS$24,"O",IF(AC10=$BT$24,"O",IF(AC10=$BU$24,"O",IF(AC10=$BV$24,"O",IF(AC10=$BW$24,"O",IF(AC10=$BX$24,"O",IF(AC10=$BY$24,"O",IF(AC10=$BZ$24,"O",IF(AC10=$CA$24,"O",IF(AC10=$CB$24,"O","X"))))))))))))))))))))))))))</f>
        <v>#REF!</v>
      </c>
      <c r="AD133" s="54" t="e">
        <f>IF(AD10=$BC$24,"O",IF(AD10=$BD$24,"O",IF(AD10=$BE$24,"O",IF(AD10=$BF$24,"O",IF(AD10=$BG$24,"O",IF(AD10=$BH$24,"O",IF(AD10=$BI$24,"O",IF(AD10=$BJ$24,"O",IF(AD10=$BK$24,"O",IF(AD10=$BL$24,"O",IF(AD10=$BM$24,"O",IF(AD10=$BN$24,"O",IF(AD10=$BO$24,"O",IF(AD10=$BP$24,"O",IF(AD10=$BQ$24,"O",IF(AD10=#REF!,"O",IF(AD10=$BS$24,"O",IF(AD10=$BT$24,"O",IF(AD10=$BU$24,"O",IF(AD10=$BV$24,"O",IF(AD10=$BW$24,"O",IF(AD10=$BX$24,"O",IF(AD10=$BY$24,"O",IF(AD10=$BZ$24,"O",IF(AD10=$CA$24,"O",IF(AD10=$CB$24,"O","X"))))))))))))))))))))))))))</f>
        <v>#REF!</v>
      </c>
      <c r="AE133" s="54" t="e">
        <f>IF(AE10=$BC$24,"O",IF(AE10=$BD$24,"O",IF(AE10=$BE$24,"O",IF(AE10=$BF$24,"O",IF(AE10=$BG$24,"O",IF(AE10=$BH$24,"O",IF(AE10=$BI$24,"O",IF(AE10=$BJ$24,"O",IF(AE10=$BK$24,"O",IF(AE10=$BL$24,"O",IF(AE10=$BM$24,"O",IF(AE10=$BN$24,"O",IF(AE10=$BO$24,"O",IF(AE10=$BP$24,"O",IF(AE10=$BQ$24,"O",IF(AE10=#REF!,"O",IF(AE10=$BS$24,"O",IF(AE10=$BT$24,"O",IF(AE10=$BU$24,"O",IF(AE10=$BV$24,"O",IF(AE10=$BW$24,"O",IF(AE10=$BX$24,"O",IF(AE10=$BY$24,"O",IF(AE10=$BZ$24,"O",IF(AE10=$CA$24,"O",IF(AE10=$CB$24,"O","X"))))))))))))))))))))))))))</f>
        <v>#REF!</v>
      </c>
      <c r="AF133" s="54" t="e">
        <f>IF(AF10=$BC$24,"O",IF(AF10=$BD$24,"O",IF(AF10=$BE$24,"O",IF(AF10=$BF$24,"O",IF(AF10=$BG$24,"O",IF(AF10=$BH$24,"O",IF(AF10=$BI$24,"O",IF(AF10=$BJ$24,"O",IF(AF10=$BK$24,"O",IF(AF10=$BL$24,"O",IF(AF10=$BM$24,"O",IF(AF10=$BN$24,"O",IF(AF10=$BO$24,"O",IF(AF10=$BP$24,"O",IF(AF10=$BQ$24,"O",IF(AF10=#REF!,"O",IF(AF10=$BS$24,"O",IF(AF10=$BT$24,"O",IF(AF10=$BU$24,"O",IF(AF10=$BV$24,"O",IF(AF10=$BW$24,"O",IF(AF10=$BX$24,"O",IF(AF10=$BY$24,"O",IF(AF10=$BZ$24,"O",IF(AF10=$CA$24,"O",IF(AF10=$CB$24,"O","X"))))))))))))))))))))))))))</f>
        <v>#REF!</v>
      </c>
      <c r="AG133" s="54" t="e">
        <f>IF(AG10=$BC$24,"O",IF(AG10=$BD$24,"O",IF(AG10=$BE$24,"O",IF(AG10=$BF$24,"O",IF(AG10=$BG$24,"O",IF(AG10=$BH$24,"O",IF(AG10=$BI$24,"O",IF(AG10=$BJ$24,"O",IF(AG10=$BK$24,"O",IF(AG10=$BL$24,"O",IF(AG10=$BM$24,"O",IF(AG10=$BN$24,"O",IF(AG10=$BO$24,"O",IF(AG10=$BP$24,"O",IF(AG10=$BQ$24,"O",IF(AG10=#REF!,"O",IF(AG10=$BS$24,"O",IF(AG10=$BT$24,"O",IF(AG10=$BU$24,"O",IF(AG10=$BV$24,"O",IF(AG10=$BW$24,"O",IF(AG10=$BX$24,"O",IF(AG10=$BY$24,"O",IF(AG10=$BZ$24,"O",IF(AG10=$CA$24,"O",IF(AG10=$CB$24,"O","X"))))))))))))))))))))))))))</f>
        <v>#REF!</v>
      </c>
      <c r="AH133" s="54" t="e">
        <f>IF(AH10=$BC$24,"O",IF(AH10=$BD$24,"O",IF(AH10=$BE$24,"O",IF(AH10=$BF$24,"O",IF(AH10=$BG$24,"O",IF(AH10=$BH$24,"O",IF(AH10=$BI$24,"O",IF(AH10=$BJ$24,"O",IF(AH10=$BK$24,"O",IF(AH10=$BL$24,"O",IF(AH10=$BM$24,"O",IF(AH10=$BN$24,"O",IF(AH10=$BO$24,"O",IF(AH10=$BP$24,"O",IF(AH10=$BQ$24,"O",IF(AH10=#REF!,"O",IF(AH10=$BS$24,"O",IF(AH10=$BT$24,"O",IF(AH10=$BU$24,"O",IF(AH10=$BV$24,"O",IF(AH10=$BW$24,"O",IF(AH10=$BX$24,"O",IF(AH10=$BY$24,"O",IF(AH10=$BZ$24,"O",IF(AH10=$CA$24,"O",IF(AH10=$CB$24,"O","X"))))))))))))))))))))))))))</f>
        <v>#REF!</v>
      </c>
      <c r="AI133" s="54" t="e">
        <f>IF(AI10=$BC$24,"O",IF(AI10=$BD$24,"O",IF(AI10=$BE$24,"O",IF(AI10=$BF$24,"O",IF(AI10=$BG$24,"O",IF(AI10=$BH$24,"O",IF(AI10=$BI$24,"O",IF(AI10=$BJ$24,"O",IF(AI10=$BK$24,"O",IF(AI10=$BL$24,"O",IF(AI10=$BM$24,"O",IF(AI10=$BN$24,"O",IF(AI10=$BO$24,"O",IF(AI10=$BP$24,"O",IF(AI10=$BQ$24,"O",IF(AI10=#REF!,"O",IF(AI10=$BS$24,"O",IF(AI10=$BT$24,"O",IF(AI10=$BU$24,"O",IF(AI10=$BV$24,"O",IF(AI10=$BW$24,"O",IF(AI10=$BX$24,"O",IF(AI10=$BY$24,"O",IF(AI10=$BZ$24,"O",IF(AI10=$CA$24,"O",IF(AI10=$CB$24,"O","X"))))))))))))))))))))))))))</f>
        <v>#REF!</v>
      </c>
      <c r="AJ133" s="54" t="e">
        <f>IF(AJ10=$BC$24,"O",IF(AJ10=$BD$24,"O",IF(AJ10=$BE$24,"O",IF(AJ10=$BF$24,"O",IF(AJ10=$BG$24,"O",IF(AJ10=$BH$24,"O",IF(AJ10=$BI$24,"O",IF(AJ10=$BJ$24,"O",IF(AJ10=$BK$24,"O",IF(AJ10=$BL$24,"O",IF(AJ10=$BM$24,"O",IF(AJ10=$BN$24,"O",IF(AJ10=$BO$24,"O",IF(AJ10=$BP$24,"O",IF(AJ10=$BQ$24,"O",IF(AJ10=#REF!,"O",IF(AJ10=$BS$24,"O",IF(AJ10=$BT$24,"O",IF(AJ10=$BU$24,"O",IF(AJ10=$BV$24,"O",IF(AJ10=$BW$24,"O",IF(AJ10=$BX$24,"O",IF(AJ10=$BY$24,"O",IF(AJ10=$BZ$24,"O",IF(AJ10=$CA$24,"O",IF(AJ10=$CB$24,"O","X"))))))))))))))))))))))))))</f>
        <v>#REF!</v>
      </c>
      <c r="AK133" s="54" t="e">
        <f>IF(AK10=$BC$24,"O",IF(AK10=$BD$24,"O",IF(AK10=$BE$24,"O",IF(AK10=$BF$24,"O",IF(AK10=$BG$24,"O",IF(AK10=$BH$24,"O",IF(AK10=$BI$24,"O",IF(AK10=$BJ$24,"O",IF(AK10=$BK$24,"O",IF(AK10=$BL$24,"O",IF(AK10=$BM$24,"O",IF(AK10=$BN$24,"O",IF(AK10=$BO$24,"O",IF(AK10=$BP$24,"O",IF(AK10=$BQ$24,"O",IF(AK10=#REF!,"O",IF(AK10=$BS$24,"O",IF(AK10=$BT$24,"O",IF(AK10=$BU$24,"O",IF(AK10=$BV$24,"O",IF(AK10=$BW$24,"O",IF(AK10=$BX$24,"O",IF(AK10=$BY$24,"O",IF(AK10=$BZ$24,"O",IF(AK10=$CA$24,"O",IF(AK10=$CB$24,"O","X"))))))))))))))))))))))))))</f>
        <v>#REF!</v>
      </c>
      <c r="AL133" s="54" t="e">
        <f>IF(AL10=$BC$24,"O",IF(AL10=$BD$24,"O",IF(AL10=$BE$24,"O",IF(AL10=$BF$24,"O",IF(AL10=$BG$24,"O",IF(AL10=$BH$24,"O",IF(AL10=$BI$24,"O",IF(AL10=$BJ$24,"O",IF(AL10=$BK$24,"O",IF(AL10=$BL$24,"O",IF(AL10=$BM$24,"O",IF(AL10=$BN$24,"O",IF(AL10=$BO$24,"O",IF(AL10=$BP$24,"O",IF(AL10=$BQ$24,"O",IF(AL10=#REF!,"O",IF(AL10=$BS$24,"O",IF(AL10=$BT$24,"O",IF(AL10=$BU$24,"O",IF(AL10=$BV$24,"O",IF(AL10=$BW$24,"O",IF(AL10=$BX$24,"O",IF(AL10=$BY$24,"O",IF(AL10=$BZ$24,"O",IF(AL10=$CA$24,"O",IF(AL10=$CB$24,"O","X"))))))))))))))))))))))))))</f>
        <v>#REF!</v>
      </c>
      <c r="AM133" s="54" t="e">
        <f>IF(AM10=$BC$24,"O",IF(AM10=$BD$24,"O",IF(AM10=$BE$24,"O",IF(AM10=$BF$24,"O",IF(AM10=$BG$24,"O",IF(AM10=$BH$24,"O",IF(AM10=$BI$24,"O",IF(AM10=$BJ$24,"O",IF(AM10=$BK$24,"O",IF(AM10=$BL$24,"O",IF(AM10=$BM$24,"O",IF(AM10=$BN$24,"O",IF(AM10=$BO$24,"O",IF(AM10=$BP$24,"O",IF(AM10=$BQ$24,"O",IF(AM10=#REF!,"O",IF(AM10=$BS$24,"O",IF(AM10=$BT$24,"O",IF(AM10=$BU$24,"O",IF(AM10=$BV$24,"O",IF(AM10=$BW$24,"O",IF(AM10=$BX$24,"O",IF(AM10=$BY$24,"O",IF(AM10=$BZ$24,"O",IF(AM10=$CA$24,"O",IF(AM10=$CB$24,"O","X"))))))))))))))))))))))))))</f>
        <v>#REF!</v>
      </c>
      <c r="AN133" s="54" t="e">
        <f>IF(AN10=$BC$24,"O",IF(AN10=$BD$24,"O",IF(AN10=$BE$24,"O",IF(AN10=$BF$24,"O",IF(AN10=$BG$24,"O",IF(AN10=$BH$24,"O",IF(AN10=$BI$24,"O",IF(AN10=$BJ$24,"O",IF(AN10=$BK$24,"O",IF(AN10=$BL$24,"O",IF(AN10=$BM$24,"O",IF(AN10=$BN$24,"O",IF(AN10=$BO$24,"O",IF(AN10=$BP$24,"O",IF(AN10=$BQ$24,"O",IF(AN10=#REF!,"O",IF(AN10=$BS$24,"O",IF(AN10=$BT$24,"O",IF(AN10=$BU$24,"O",IF(AN10=$BV$24,"O",IF(AN10=$BW$24,"O",IF(AN10=$BX$24,"O",IF(AN10=$BY$24,"O",IF(AN10=$BZ$24,"O",IF(AN10=$CA$24,"O",IF(AN10=$CB$24,"O","X"))))))))))))))))))))))))))</f>
        <v>#REF!</v>
      </c>
      <c r="AO133" s="54" t="e">
        <f>IF(AO10=$BC$24,"O",IF(AO10=$BD$24,"O",IF(AO10=$BE$24,"O",IF(AO10=$BF$24,"O",IF(AO10=$BG$24,"O",IF(AO10=$BH$24,"O",IF(AO10=$BI$24,"O",IF(AO10=$BJ$24,"O",IF(AO10=$BK$24,"O",IF(AO10=$BL$24,"O",IF(AO10=$BM$24,"O",IF(AO10=$BN$24,"O",IF(AO10=$BO$24,"O",IF(AO10=$BP$24,"O",IF(AO10=$BQ$24,"O",IF(AO10=#REF!,"O",IF(AO10=$BS$24,"O",IF(AO10=$BT$24,"O",IF(AO10=$BU$24,"O",IF(AO10=$BV$24,"O",IF(AO10=$BW$24,"O",IF(AO10=$BX$24,"O",IF(AO10=$BY$24,"O",IF(AO10=$BZ$24,"O",IF(AO10=$CA$24,"O",IF(AO10=$CB$24,"O","X"))))))))))))))))))))))))))</f>
        <v>#REF!</v>
      </c>
      <c r="AP133" s="54" t="e">
        <f>IF(AP10=$BC$24,"O",IF(AP10=$BD$24,"O",IF(AP10=$BE$24,"O",IF(AP10=$BF$24,"O",IF(AP10=$BG$24,"O",IF(AP10=$BH$24,"O",IF(AP10=$BI$24,"O",IF(AP10=$BJ$24,"O",IF(AP10=$BK$24,"O",IF(AP10=$BL$24,"O",IF(AP10=$BM$24,"O",IF(AP10=$BN$24,"O",IF(AP10=$BO$24,"O",IF(AP10=$BP$24,"O",IF(AP10=$BQ$24,"O",IF(AP10=#REF!,"O",IF(AP10=$BS$24,"O",IF(AP10=$BT$24,"O",IF(AP10=$BU$24,"O",IF(AP10=$BV$24,"O",IF(AP10=$BW$24,"O",IF(AP10=$BX$24,"O",IF(AP10=$BY$24,"O",IF(AP10=$BZ$24,"O",IF(AP10=$CA$24,"O",IF(AP10=$CB$24,"O","X"))))))))))))))))))))))))))</f>
        <v>#REF!</v>
      </c>
      <c r="AQ133" s="54" t="e">
        <f>IF(AQ10=$BC$24,"O",IF(AQ10=$BD$24,"O",IF(AQ10=$BE$24,"O",IF(AQ10=$BF$24,"O",IF(AQ10=$BG$24,"O",IF(AQ10=$BH$24,"O",IF(AQ10=$BI$24,"O",IF(AQ10=$BJ$24,"O",IF(AQ10=$BK$24,"O",IF(AQ10=$BL$24,"O",IF(AQ10=$BM$24,"O",IF(AQ10=$BN$24,"O",IF(AQ10=$BO$24,"O",IF(AQ10=$BP$24,"O",IF(AQ10=$BQ$24,"O",IF(AQ10=#REF!,"O",IF(AQ10=$BS$24,"O",IF(AQ10=$BT$24,"O",IF(AQ10=$BU$24,"O",IF(AQ10=$BV$24,"O",IF(AQ10=$BW$24,"O",IF(AQ10=$BX$24,"O",IF(AQ10=$BY$24,"O",IF(AQ10=$BZ$24,"O",IF(AQ10=$CA$24,"O",IF(AQ10=$CB$24,"O","X"))))))))))))))))))))))))))</f>
        <v>#REF!</v>
      </c>
      <c r="AR133" s="54" t="e">
        <f>IF(AR10=$BC$24,"O",IF(AR10=$BD$24,"O",IF(AR10=$BE$24,"O",IF(AR10=$BF$24,"O",IF(AR10=$BG$24,"O",IF(AR10=$BH$24,"O",IF(AR10=$BI$24,"O",IF(AR10=$BJ$24,"O",IF(AR10=$BK$24,"O",IF(AR10=$BL$24,"O",IF(AR10=$BM$24,"O",IF(AR10=$BN$24,"O",IF(AR10=$BO$24,"O",IF(AR10=$BP$24,"O",IF(AR10=$BQ$24,"O",IF(AR10=#REF!,"O",IF(AR10=$BS$24,"O",IF(AR10=$BT$24,"O",IF(AR10=$BU$24,"O",IF(AR10=$BV$24,"O",IF(AR10=$BW$24,"O",IF(AR10=$BX$24,"O",IF(AR10=$BY$24,"O",IF(AR10=$BZ$24,"O",IF(AR10=$CA$24,"O",IF(AR10=$CB$24,"O","X"))))))))))))))))))))))))))</f>
        <v>#REF!</v>
      </c>
      <c r="AS133" s="54" t="e">
        <f>IF(AS10=$BC$24,"O",IF(AS10=$BD$24,"O",IF(AS10=$BE$24,"O",IF(AS10=$BF$24,"O",IF(AS10=$BG$24,"O",IF(AS10=$BH$24,"O",IF(AS10=$BI$24,"O",IF(AS10=$BJ$24,"O",IF(AS10=$BK$24,"O",IF(AS10=$BL$24,"O",IF(AS10=$BM$24,"O",IF(AS10=$BN$24,"O",IF(AS10=$BO$24,"O",IF(AS10=$BP$24,"O",IF(AS10=$BQ$24,"O",IF(AS10=#REF!,"O",IF(AS10=$BS$24,"O",IF(AS10=$BT$24,"O",IF(AS10=$BU$24,"O",IF(AS10=$BV$24,"O",IF(AS10=$BW$24,"O",IF(AS10=$BX$24,"O",IF(AS10=$BY$24,"O",IF(AS10=$BZ$24,"O",IF(AS10=$CA$24,"O",IF(AS10=$CB$24,"O","X"))))))))))))))))))))))))))</f>
        <v>#REF!</v>
      </c>
      <c r="AT133" s="54" t="e">
        <f>IF(AT10=$BC$24,"O",IF(AT10=$BD$24,"O",IF(AT10=$BE$24,"O",IF(AT10=$BF$24,"O",IF(AT10=$BG$24,"O",IF(AT10=$BH$24,"O",IF(AT10=$BI$24,"O",IF(AT10=$BJ$24,"O",IF(AT10=$BK$24,"O",IF(AT10=$BL$24,"O",IF(AT10=$BM$24,"O",IF(AT10=$BN$24,"O",IF(AT10=$BO$24,"O",IF(AT10=$BP$24,"O",IF(AT10=$BQ$24,"O",IF(AT10=#REF!,"O",IF(AT10=$BS$24,"O",IF(AT10=$BT$24,"O",IF(AT10=$BU$24,"O",IF(AT10=$BV$24,"O",IF(AT10=$BW$24,"O",IF(AT10=$BX$24,"O",IF(AT10=$BY$24,"O",IF(AT10=$BZ$24,"O",IF(AT10=$CA$24,"O",IF(AT10=$CB$24,"O","X"))))))))))))))))))))))))))</f>
        <v>#REF!</v>
      </c>
      <c r="AU133" s="54" t="e">
        <f>IF(AU10=$BC$24,"O",IF(AU10=$BD$24,"O",IF(AU10=$BE$24,"O",IF(AU10=$BF$24,"O",IF(AU10=$BG$24,"O",IF(AU10=$BH$24,"O",IF(AU10=$BI$24,"O",IF(AU10=$BJ$24,"O",IF(AU10=$BK$24,"O",IF(AU10=$BL$24,"O",IF(AU10=$BM$24,"O",IF(AU10=$BN$24,"O",IF(AU10=$BO$24,"O",IF(AU10=$BP$24,"O",IF(AU10=$BQ$24,"O",IF(AU10=#REF!,"O",IF(AU10=$BS$24,"O",IF(AU10=$BT$24,"O",IF(AU10=$BU$24,"O",IF(AU10=$BV$24,"O",IF(AU10=$BW$24,"O",IF(AU10=$BX$24,"O",IF(AU10=$BY$24,"O",IF(AU10=$BZ$24,"O",IF(AU10=$CA$24,"O",IF(AU10=$CB$24,"O","X"))))))))))))))))))))))))))</f>
        <v>#REF!</v>
      </c>
      <c r="AV133" s="53"/>
      <c r="AW133" s="53"/>
      <c r="AX133" s="53"/>
      <c r="BC133"/>
      <c r="BD133"/>
      <c r="BE133"/>
      <c r="BF133"/>
      <c r="BG133" s="118"/>
      <c r="BJ133"/>
    </row>
    <row r="134" spans="1:66" ht="17.5">
      <c r="A134" s="128"/>
      <c r="B134" s="54" t="s">
        <v>569</v>
      </c>
      <c r="C134" s="54" t="str">
        <f t="shared" ref="C134:Q134" ca="1" si="189">IF(C11=$BC$24,"O",IF(C11=$BD$24,"O",IF(C11=$BE$24,"O",IF(C11=$BF$24,"O",IF(C11=$BG$24,"O",IF(C11=$BH$24,"O",IF(C11=$BI$24,"O",IF(C11=$BJ$24,"O",IF(C11=$BK$24,"O",IF(C11=$BL$24,"O",IF(C11=$BM$24,"O",IF(C11=$BN$24,"O",IF(C11=$BO$24,"O",IF(C11=$BP$24,"O",IF(C11=$BQ$24,"O",IF(C11=$BR$24,"O",IF(C11=$BS$24,"O",IF(C11=$BT$24,"O",IF(C11=$BU$24,"O",IF(C11=$BV$24,"O",IF(C11=$BW$24,"O",IF(C11=$BX$24,"O",IF(C11=$BY$24,"O",IF(C11=$BZ$24,"O",IF(C11=$CA$24,"O",IF(C11=$CB$24,"O",IF(C11=$CC$24,"O",IF(C11=$CD$24,"O",IF(C11=$CE$24,"O",IF(C11=$CF$24,"O",IF(C11=$CG$24,"O",IF(C11=$CH$24,"O",IF(C11=$CI$24,"O",IF(C11=$CJ$24,"O",IF(C11=$CK$24,"O",IF(C11=$CL$24,"O",IF(C11=$CM$24,"O",IF(C11=$CN$24,"O",IF(C11=$CO$24,"O",IF(C11=$CP$24,"O","X"))))))))))))))))))))))))))))))))))))))))</f>
        <v>X</v>
      </c>
      <c r="D134" s="54" t="str">
        <f t="shared" ca="1" si="189"/>
        <v>X</v>
      </c>
      <c r="E134" s="54" t="str">
        <f t="shared" ca="1" si="189"/>
        <v>X</v>
      </c>
      <c r="F134" s="54" t="str">
        <f t="shared" ca="1" si="189"/>
        <v>O</v>
      </c>
      <c r="G134" s="54" t="str">
        <f t="shared" ca="1" si="189"/>
        <v>X</v>
      </c>
      <c r="H134" s="54" t="str">
        <f t="shared" ca="1" si="189"/>
        <v>O</v>
      </c>
      <c r="I134" s="54" t="str">
        <f t="shared" ca="1" si="189"/>
        <v>O</v>
      </c>
      <c r="J134" s="54" t="str">
        <f t="shared" ca="1" si="189"/>
        <v>X</v>
      </c>
      <c r="K134" s="54" t="str">
        <f t="shared" ca="1" si="189"/>
        <v>X</v>
      </c>
      <c r="L134" s="54" t="str">
        <f t="shared" ca="1" si="189"/>
        <v>X</v>
      </c>
      <c r="M134" s="54" t="str">
        <f t="shared" ca="1" si="189"/>
        <v>O</v>
      </c>
      <c r="N134" s="54" t="str">
        <f t="shared" ca="1" si="189"/>
        <v>X</v>
      </c>
      <c r="O134" s="54" t="str">
        <f t="shared" ca="1" si="189"/>
        <v>O</v>
      </c>
      <c r="P134" s="54" t="str">
        <f t="shared" ca="1" si="189"/>
        <v>X</v>
      </c>
      <c r="Q134" s="54" t="str">
        <f t="shared" ca="1" si="189"/>
        <v>O</v>
      </c>
      <c r="R134" s="54" t="e">
        <f>IF(R11=$BC$24,"O",IF(R11=$BD$24,"O",IF(R11=$BE$24,"O",IF(R11=$BF$24,"O",IF(R11=$BG$24,"O",IF(R11=$BH$24,"O",IF(R11=$BI$24,"O",IF(R11=$BJ$24,"O",IF(R11=$BK$24,"O",IF(R11=$BL$24,"O",IF(R11=$BM$24,"O",IF(R11=$BN$24,"O",IF(R11=$BO$24,"O",IF(R11=$BP$24,"O",IF(R11=$BQ$24,"O",IF(R11=#REF!,"O",IF(R11=$BS$24,"O",IF(R11=$BT$24,"O",IF(R11=$BU$24,"O",IF(R11=$BV$24,"O",IF(R11=$BW$24,"O",IF(R11=$BX$24,"O",IF(R11=$BY$24,"O",IF(R11=$BZ$24,"O",IF(R11=$CA$24,"O",IF(R11=$CB$24,"O","X"))))))))))))))))))))))))))</f>
        <v>#REF!</v>
      </c>
      <c r="S134" s="54" t="e">
        <f>IF(S11=$BC$24,"O",IF(S11=$BD$24,"O",IF(S11=$BE$24,"O",IF(S11=$BF$24,"O",IF(S11=$BG$24,"O",IF(S11=$BH$24,"O",IF(S11=$BI$24,"O",IF(S11=$BJ$24,"O",IF(S11=$BK$24,"O",IF(S11=$BL$24,"O",IF(S11=$BM$24,"O",IF(S11=$BN$24,"O",IF(S11=$BO$24,"O",IF(S11=$BP$24,"O",IF(S11=$BQ$24,"O",IF(S11=#REF!,"O",IF(S11=$BS$24,"O",IF(S11=$BT$24,"O",IF(S11=$BU$24,"O",IF(S11=$BV$24,"O",IF(S11=$BW$24,"O",IF(S11=$BX$24,"O",IF(S11=$BY$24,"O",IF(S11=$BZ$24,"O",IF(S11=$CA$24,"O",IF(S11=$CB$24,"O","X"))))))))))))))))))))))))))</f>
        <v>#REF!</v>
      </c>
      <c r="T134" s="54" t="e">
        <f>IF(T11=$BC$24,"O",IF(T11=$BD$24,"O",IF(T11=$BE$24,"O",IF(T11=$BF$24,"O",IF(T11=$BG$24,"O",IF(T11=$BH$24,"O",IF(T11=$BI$24,"O",IF(T11=$BJ$24,"O",IF(T11=$BK$24,"O",IF(T11=$BL$24,"O",IF(T11=$BM$24,"O",IF(T11=$BN$24,"O",IF(T11=$BO$24,"O",IF(T11=$BP$24,"O",IF(T11=$BQ$24,"O",IF(T11=#REF!,"O",IF(T11=$BS$24,"O",IF(T11=$BT$24,"O",IF(T11=$BU$24,"O",IF(T11=$BV$24,"O",IF(T11=$BW$24,"O",IF(T11=$BX$24,"O",IF(T11=$BY$24,"O",IF(T11=$BZ$24,"O",IF(T11=$CA$24,"O",IF(T11=$CB$24,"O","X"))))))))))))))))))))))))))</f>
        <v>#REF!</v>
      </c>
      <c r="U134" s="54" t="e">
        <f>IF(U11=$BC$24,"O",IF(U11=$BD$24,"O",IF(U11=$BE$24,"O",IF(U11=$BF$24,"O",IF(U11=$BG$24,"O",IF(U11=$BH$24,"O",IF(U11=$BI$24,"O",IF(U11=$BJ$24,"O",IF(U11=$BK$24,"O",IF(U11=$BL$24,"O",IF(U11=$BM$24,"O",IF(U11=$BN$24,"O",IF(U11=$BO$24,"O",IF(U11=$BP$24,"O",IF(U11=$BQ$24,"O",IF(U11=#REF!,"O",IF(U11=$BS$24,"O",IF(U11=$BT$24,"O",IF(U11=$BU$24,"O",IF(U11=$BV$24,"O",IF(U11=$BW$24,"O",IF(U11=$BX$24,"O",IF(U11=$BY$24,"O",IF(U11=$BZ$24,"O",IF(U11=$CA$24,"O",IF(U11=$CB$24,"O","X"))))))))))))))))))))))))))</f>
        <v>#REF!</v>
      </c>
      <c r="V134" s="54" t="e">
        <f>IF(V11=$BC$24,"O",IF(V11=$BD$24,"O",IF(V11=$BE$24,"O",IF(V11=$BF$24,"O",IF(V11=$BG$24,"O",IF(V11=$BH$24,"O",IF(V11=$BI$24,"O",IF(V11=$BJ$24,"O",IF(V11=$BK$24,"O",IF(V11=$BL$24,"O",IF(V11=$BM$24,"O",IF(V11=$BN$24,"O",IF(V11=$BO$24,"O",IF(V11=$BP$24,"O",IF(V11=$BQ$24,"O",IF(V11=#REF!,"O",IF(V11=$BS$24,"O",IF(V11=$BT$24,"O",IF(V11=$BU$24,"O",IF(V11=$BV$24,"O",IF(V11=$BW$24,"O",IF(V11=$BX$24,"O",IF(V11=$BY$24,"O",IF(V11=$BZ$24,"O",IF(V11=$CA$24,"O",IF(V11=$CB$24,"O","X"))))))))))))))))))))))))))</f>
        <v>#REF!</v>
      </c>
      <c r="W134" s="54" t="e">
        <f>IF(W11=$BC$24,"O",IF(W11=$BD$24,"O",IF(W11=$BE$24,"O",IF(W11=$BF$24,"O",IF(W11=$BG$24,"O",IF(W11=$BH$24,"O",IF(W11=$BI$24,"O",IF(W11=$BJ$24,"O",IF(W11=$BK$24,"O",IF(W11=$BL$24,"O",IF(W11=$BM$24,"O",IF(W11=$BN$24,"O",IF(W11=$BO$24,"O",IF(W11=$BP$24,"O",IF(W11=$BQ$24,"O",IF(W11=#REF!,"O",IF(W11=$BS$24,"O",IF(W11=$BT$24,"O",IF(W11=$BU$24,"O",IF(W11=$BV$24,"O",IF(W11=$BW$24,"O",IF(W11=$BX$24,"O",IF(W11=$BY$24,"O",IF(W11=$BZ$24,"O",IF(W11=$CA$24,"O",IF(W11=$CB$24,"O","X"))))))))))))))))))))))))))</f>
        <v>#REF!</v>
      </c>
      <c r="X134" s="54" t="e">
        <f>IF(X11=$BC$24,"O",IF(X11=$BD$24,"O",IF(X11=$BE$24,"O",IF(X11=$BF$24,"O",IF(X11=$BG$24,"O",IF(X11=$BH$24,"O",IF(X11=$BI$24,"O",IF(X11=$BJ$24,"O",IF(X11=$BK$24,"O",IF(X11=$BL$24,"O",IF(X11=$BM$24,"O",IF(X11=$BN$24,"O",IF(X11=$BO$24,"O",IF(X11=$BP$24,"O",IF(X11=$BQ$24,"O",IF(X11=#REF!,"O",IF(X11=$BS$24,"O",IF(X11=$BT$24,"O",IF(X11=$BU$24,"O",IF(X11=$BV$24,"O",IF(X11=$BW$24,"O",IF(X11=$BX$24,"O",IF(X11=$BY$24,"O",IF(X11=$BZ$24,"O",IF(X11=$CA$24,"O",IF(X11=$CB$24,"O","X"))))))))))))))))))))))))))</f>
        <v>#REF!</v>
      </c>
      <c r="Y134" s="54" t="e">
        <f>IF(Y11=$BC$24,"O",IF(Y11=$BD$24,"O",IF(Y11=$BE$24,"O",IF(Y11=$BF$24,"O",IF(Y11=$BG$24,"O",IF(Y11=$BH$24,"O",IF(Y11=$BI$24,"O",IF(Y11=$BJ$24,"O",IF(Y11=$BK$24,"O",IF(Y11=$BL$24,"O",IF(Y11=$BM$24,"O",IF(Y11=$BN$24,"O",IF(Y11=$BO$24,"O",IF(Y11=$BP$24,"O",IF(Y11=$BQ$24,"O",IF(Y11=#REF!,"O",IF(Y11=$BS$24,"O",IF(Y11=$BT$24,"O",IF(Y11=$BU$24,"O",IF(Y11=$BV$24,"O",IF(Y11=$BW$24,"O",IF(Y11=$BX$24,"O",IF(Y11=$BY$24,"O",IF(Y11=$BZ$24,"O",IF(Y11=$CA$24,"O",IF(Y11=$CB$24,"O","X"))))))))))))))))))))))))))</f>
        <v>#REF!</v>
      </c>
      <c r="Z134" s="54" t="e">
        <f>IF(Z11=$BC$24,"O",IF(Z11=$BD$24,"O",IF(Z11=$BE$24,"O",IF(Z11=$BF$24,"O",IF(Z11=$BG$24,"O",IF(Z11=$BH$24,"O",IF(Z11=$BI$24,"O",IF(Z11=$BJ$24,"O",IF(Z11=$BK$24,"O",IF(Z11=$BL$24,"O",IF(Z11=$BM$24,"O",IF(Z11=$BN$24,"O",IF(Z11=$BO$24,"O",IF(Z11=$BP$24,"O",IF(Z11=$BQ$24,"O",IF(Z11=#REF!,"O",IF(Z11=$BS$24,"O",IF(Z11=$BT$24,"O",IF(Z11=$BU$24,"O",IF(Z11=$BV$24,"O",IF(Z11=$BW$24,"O",IF(Z11=$BX$24,"O",IF(Z11=$BY$24,"O",IF(Z11=$BZ$24,"O",IF(Z11=$CA$24,"O",IF(Z11=$CB$24,"O","X"))))))))))))))))))))))))))</f>
        <v>#REF!</v>
      </c>
      <c r="AA134" s="54" t="e">
        <f>IF(AA11=$BC$24,"O",IF(AA11=$BD$24,"O",IF(AA11=$BE$24,"O",IF(AA11=$BF$24,"O",IF(AA11=$BG$24,"O",IF(AA11=$BH$24,"O",IF(AA11=$BI$24,"O",IF(AA11=$BJ$24,"O",IF(AA11=$BK$24,"O",IF(AA11=$BL$24,"O",IF(AA11=$BM$24,"O",IF(AA11=$BN$24,"O",IF(AA11=$BO$24,"O",IF(AA11=$BP$24,"O",IF(AA11=$BQ$24,"O",IF(AA11=#REF!,"O",IF(AA11=$BS$24,"O",IF(AA11=$BT$24,"O",IF(AA11=$BU$24,"O",IF(AA11=$BV$24,"O",IF(AA11=$BW$24,"O",IF(AA11=$BX$24,"O",IF(AA11=$BY$24,"O",IF(AA11=$BZ$24,"O",IF(AA11=$CA$24,"O",IF(AA11=$CB$24,"O","X"))))))))))))))))))))))))))</f>
        <v>#REF!</v>
      </c>
      <c r="AB134" s="54" t="e">
        <f>IF(AB11=$BC$24,"O",IF(AB11=$BD$24,"O",IF(AB11=$BE$24,"O",IF(AB11=$BF$24,"O",IF(AB11=$BG$24,"O",IF(AB11=$BH$24,"O",IF(AB11=$BI$24,"O",IF(AB11=$BJ$24,"O",IF(AB11=$BK$24,"O",IF(AB11=$BL$24,"O",IF(AB11=$BM$24,"O",IF(AB11=$BN$24,"O",IF(AB11=$BO$24,"O",IF(AB11=$BP$24,"O",IF(AB11=$BQ$24,"O",IF(AB11=#REF!,"O",IF(AB11=$BS$24,"O",IF(AB11=$BT$24,"O",IF(AB11=$BU$24,"O",IF(AB11=$BV$24,"O",IF(AB11=$BW$24,"O",IF(AB11=$BX$24,"O",IF(AB11=$BY$24,"O",IF(AB11=$BZ$24,"O",IF(AB11=$CA$24,"O",IF(AB11=$CB$24,"O","X"))))))))))))))))))))))))))</f>
        <v>#REF!</v>
      </c>
      <c r="AC134" s="54" t="e">
        <f>IF(AC11=$BC$24,"O",IF(AC11=$BD$24,"O",IF(AC11=$BE$24,"O",IF(AC11=$BF$24,"O",IF(AC11=$BG$24,"O",IF(AC11=$BH$24,"O",IF(AC11=$BI$24,"O",IF(AC11=$BJ$24,"O",IF(AC11=$BK$24,"O",IF(AC11=$BL$24,"O",IF(AC11=$BM$24,"O",IF(AC11=$BN$24,"O",IF(AC11=$BO$24,"O",IF(AC11=$BP$24,"O",IF(AC11=$BQ$24,"O",IF(AC11=#REF!,"O",IF(AC11=$BS$24,"O",IF(AC11=$BT$24,"O",IF(AC11=$BU$24,"O",IF(AC11=$BV$24,"O",IF(AC11=$BW$24,"O",IF(AC11=$BX$24,"O",IF(AC11=$BY$24,"O",IF(AC11=$BZ$24,"O",IF(AC11=$CA$24,"O",IF(AC11=$CB$24,"O","X"))))))))))))))))))))))))))</f>
        <v>#REF!</v>
      </c>
      <c r="AD134" s="54" t="e">
        <f>IF(AD11=$BC$24,"O",IF(AD11=$BD$24,"O",IF(AD11=$BE$24,"O",IF(AD11=$BF$24,"O",IF(AD11=$BG$24,"O",IF(AD11=$BH$24,"O",IF(AD11=$BI$24,"O",IF(AD11=$BJ$24,"O",IF(AD11=$BK$24,"O",IF(AD11=$BL$24,"O",IF(AD11=$BM$24,"O",IF(AD11=$BN$24,"O",IF(AD11=$BO$24,"O",IF(AD11=$BP$24,"O",IF(AD11=$BQ$24,"O",IF(AD11=#REF!,"O",IF(AD11=$BS$24,"O",IF(AD11=$BT$24,"O",IF(AD11=$BU$24,"O",IF(AD11=$BV$24,"O",IF(AD11=$BW$24,"O",IF(AD11=$BX$24,"O",IF(AD11=$BY$24,"O",IF(AD11=$BZ$24,"O",IF(AD11=$CA$24,"O",IF(AD11=$CB$24,"O","X"))))))))))))))))))))))))))</f>
        <v>#REF!</v>
      </c>
      <c r="AE134" s="54" t="e">
        <f>IF(AE11=$BC$24,"O",IF(AE11=$BD$24,"O",IF(AE11=$BE$24,"O",IF(AE11=$BF$24,"O",IF(AE11=$BG$24,"O",IF(AE11=$BH$24,"O",IF(AE11=$BI$24,"O",IF(AE11=$BJ$24,"O",IF(AE11=$BK$24,"O",IF(AE11=$BL$24,"O",IF(AE11=$BM$24,"O",IF(AE11=$BN$24,"O",IF(AE11=$BO$24,"O",IF(AE11=$BP$24,"O",IF(AE11=$BQ$24,"O",IF(AE11=#REF!,"O",IF(AE11=$BS$24,"O",IF(AE11=$BT$24,"O",IF(AE11=$BU$24,"O",IF(AE11=$BV$24,"O",IF(AE11=$BW$24,"O",IF(AE11=$BX$24,"O",IF(AE11=$BY$24,"O",IF(AE11=$BZ$24,"O",IF(AE11=$CA$24,"O",IF(AE11=$CB$24,"O","X"))))))))))))))))))))))))))</f>
        <v>#REF!</v>
      </c>
      <c r="AF134" s="54" t="e">
        <f>IF(AF11=$BC$24,"O",IF(AF11=$BD$24,"O",IF(AF11=$BE$24,"O",IF(AF11=$BF$24,"O",IF(AF11=$BG$24,"O",IF(AF11=$BH$24,"O",IF(AF11=$BI$24,"O",IF(AF11=$BJ$24,"O",IF(AF11=$BK$24,"O",IF(AF11=$BL$24,"O",IF(AF11=$BM$24,"O",IF(AF11=$BN$24,"O",IF(AF11=$BO$24,"O",IF(AF11=$BP$24,"O",IF(AF11=$BQ$24,"O",IF(AF11=#REF!,"O",IF(AF11=$BS$24,"O",IF(AF11=$BT$24,"O",IF(AF11=$BU$24,"O",IF(AF11=$BV$24,"O",IF(AF11=$BW$24,"O",IF(AF11=$BX$24,"O",IF(AF11=$BY$24,"O",IF(AF11=$BZ$24,"O",IF(AF11=$CA$24,"O",IF(AF11=$CB$24,"O","X"))))))))))))))))))))))))))</f>
        <v>#REF!</v>
      </c>
      <c r="AG134" s="54" t="e">
        <f>IF(AG11=$BC$24,"O",IF(AG11=$BD$24,"O",IF(AG11=$BE$24,"O",IF(AG11=$BF$24,"O",IF(AG11=$BG$24,"O",IF(AG11=$BH$24,"O",IF(AG11=$BI$24,"O",IF(AG11=$BJ$24,"O",IF(AG11=$BK$24,"O",IF(AG11=$BL$24,"O",IF(AG11=$BM$24,"O",IF(AG11=$BN$24,"O",IF(AG11=$BO$24,"O",IF(AG11=$BP$24,"O",IF(AG11=$BQ$24,"O",IF(AG11=#REF!,"O",IF(AG11=$BS$24,"O",IF(AG11=$BT$24,"O",IF(AG11=$BU$24,"O",IF(AG11=$BV$24,"O",IF(AG11=$BW$24,"O",IF(AG11=$BX$24,"O",IF(AG11=$BY$24,"O",IF(AG11=$BZ$24,"O",IF(AG11=$CA$24,"O",IF(AG11=$CB$24,"O","X"))))))))))))))))))))))))))</f>
        <v>#REF!</v>
      </c>
      <c r="AH134" s="54" t="e">
        <f>IF(AH11=$BC$24,"O",IF(AH11=$BD$24,"O",IF(AH11=$BE$24,"O",IF(AH11=$BF$24,"O",IF(AH11=$BG$24,"O",IF(AH11=$BH$24,"O",IF(AH11=$BI$24,"O",IF(AH11=$BJ$24,"O",IF(AH11=$BK$24,"O",IF(AH11=$BL$24,"O",IF(AH11=$BM$24,"O",IF(AH11=$BN$24,"O",IF(AH11=$BO$24,"O",IF(AH11=$BP$24,"O",IF(AH11=$BQ$24,"O",IF(AH11=#REF!,"O",IF(AH11=$BS$24,"O",IF(AH11=$BT$24,"O",IF(AH11=$BU$24,"O",IF(AH11=$BV$24,"O",IF(AH11=$BW$24,"O",IF(AH11=$BX$24,"O",IF(AH11=$BY$24,"O",IF(AH11=$BZ$24,"O",IF(AH11=$CA$24,"O",IF(AH11=$CB$24,"O","X"))))))))))))))))))))))))))</f>
        <v>#REF!</v>
      </c>
      <c r="AI134" s="54" t="e">
        <f>IF(AI11=$BC$24,"O",IF(AI11=$BD$24,"O",IF(AI11=$BE$24,"O",IF(AI11=$BF$24,"O",IF(AI11=$BG$24,"O",IF(AI11=$BH$24,"O",IF(AI11=$BI$24,"O",IF(AI11=$BJ$24,"O",IF(AI11=$BK$24,"O",IF(AI11=$BL$24,"O",IF(AI11=$BM$24,"O",IF(AI11=$BN$24,"O",IF(AI11=$BO$24,"O",IF(AI11=$BP$24,"O",IF(AI11=$BQ$24,"O",IF(AI11=#REF!,"O",IF(AI11=$BS$24,"O",IF(AI11=$BT$24,"O",IF(AI11=$BU$24,"O",IF(AI11=$BV$24,"O",IF(AI11=$BW$24,"O",IF(AI11=$BX$24,"O",IF(AI11=$BY$24,"O",IF(AI11=$BZ$24,"O",IF(AI11=$CA$24,"O",IF(AI11=$CB$24,"O","X"))))))))))))))))))))))))))</f>
        <v>#REF!</v>
      </c>
      <c r="AJ134" s="54" t="e">
        <f>IF(AJ11=$BC$24,"O",IF(AJ11=$BD$24,"O",IF(AJ11=$BE$24,"O",IF(AJ11=$BF$24,"O",IF(AJ11=$BG$24,"O",IF(AJ11=$BH$24,"O",IF(AJ11=$BI$24,"O",IF(AJ11=$BJ$24,"O",IF(AJ11=$BK$24,"O",IF(AJ11=$BL$24,"O",IF(AJ11=$BM$24,"O",IF(AJ11=$BN$24,"O",IF(AJ11=$BO$24,"O",IF(AJ11=$BP$24,"O",IF(AJ11=$BQ$24,"O",IF(AJ11=#REF!,"O",IF(AJ11=$BS$24,"O",IF(AJ11=$BT$24,"O",IF(AJ11=$BU$24,"O",IF(AJ11=$BV$24,"O",IF(AJ11=$BW$24,"O",IF(AJ11=$BX$24,"O",IF(AJ11=$BY$24,"O",IF(AJ11=$BZ$24,"O",IF(AJ11=$CA$24,"O",IF(AJ11=$CB$24,"O","X"))))))))))))))))))))))))))</f>
        <v>#REF!</v>
      </c>
      <c r="AK134" s="54" t="e">
        <f>IF(AK11=$BC$24,"O",IF(AK11=$BD$24,"O",IF(AK11=$BE$24,"O",IF(AK11=$BF$24,"O",IF(AK11=$BG$24,"O",IF(AK11=$BH$24,"O",IF(AK11=$BI$24,"O",IF(AK11=$BJ$24,"O",IF(AK11=$BK$24,"O",IF(AK11=$BL$24,"O",IF(AK11=$BM$24,"O",IF(AK11=$BN$24,"O",IF(AK11=$BO$24,"O",IF(AK11=$BP$24,"O",IF(AK11=$BQ$24,"O",IF(AK11=#REF!,"O",IF(AK11=$BS$24,"O",IF(AK11=$BT$24,"O",IF(AK11=$BU$24,"O",IF(AK11=$BV$24,"O",IF(AK11=$BW$24,"O",IF(AK11=$BX$24,"O",IF(AK11=$BY$24,"O",IF(AK11=$BZ$24,"O",IF(AK11=$CA$24,"O",IF(AK11=$CB$24,"O","X"))))))))))))))))))))))))))</f>
        <v>#REF!</v>
      </c>
      <c r="AL134" s="54" t="e">
        <f>IF(AL11=$BC$24,"O",IF(AL11=$BD$24,"O",IF(AL11=$BE$24,"O",IF(AL11=$BF$24,"O",IF(AL11=$BG$24,"O",IF(AL11=$BH$24,"O",IF(AL11=$BI$24,"O",IF(AL11=$BJ$24,"O",IF(AL11=$BK$24,"O",IF(AL11=$BL$24,"O",IF(AL11=$BM$24,"O",IF(AL11=$BN$24,"O",IF(AL11=$BO$24,"O",IF(AL11=$BP$24,"O",IF(AL11=$BQ$24,"O",IF(AL11=#REF!,"O",IF(AL11=$BS$24,"O",IF(AL11=$BT$24,"O",IF(AL11=$BU$24,"O",IF(AL11=$BV$24,"O",IF(AL11=$BW$24,"O",IF(AL11=$BX$24,"O",IF(AL11=$BY$24,"O",IF(AL11=$BZ$24,"O",IF(AL11=$CA$24,"O",IF(AL11=$CB$24,"O","X"))))))))))))))))))))))))))</f>
        <v>#REF!</v>
      </c>
      <c r="AM134" s="54" t="e">
        <f>IF(AM11=$BC$24,"O",IF(AM11=$BD$24,"O",IF(AM11=$BE$24,"O",IF(AM11=$BF$24,"O",IF(AM11=$BG$24,"O",IF(AM11=$BH$24,"O",IF(AM11=$BI$24,"O",IF(AM11=$BJ$24,"O",IF(AM11=$BK$24,"O",IF(AM11=$BL$24,"O",IF(AM11=$BM$24,"O",IF(AM11=$BN$24,"O",IF(AM11=$BO$24,"O",IF(AM11=$BP$24,"O",IF(AM11=$BQ$24,"O",IF(AM11=#REF!,"O",IF(AM11=$BS$24,"O",IF(AM11=$BT$24,"O",IF(AM11=$BU$24,"O",IF(AM11=$BV$24,"O",IF(AM11=$BW$24,"O",IF(AM11=$BX$24,"O",IF(AM11=$BY$24,"O",IF(AM11=$BZ$24,"O",IF(AM11=$CA$24,"O",IF(AM11=$CB$24,"O","X"))))))))))))))))))))))))))</f>
        <v>#REF!</v>
      </c>
      <c r="AN134" s="54" t="e">
        <f>IF(AN11=$BC$24,"O",IF(AN11=$BD$24,"O",IF(AN11=$BE$24,"O",IF(AN11=$BF$24,"O",IF(AN11=$BG$24,"O",IF(AN11=$BH$24,"O",IF(AN11=$BI$24,"O",IF(AN11=$BJ$24,"O",IF(AN11=$BK$24,"O",IF(AN11=$BL$24,"O",IF(AN11=$BM$24,"O",IF(AN11=$BN$24,"O",IF(AN11=$BO$24,"O",IF(AN11=$BP$24,"O",IF(AN11=$BQ$24,"O",IF(AN11=#REF!,"O",IF(AN11=$BS$24,"O",IF(AN11=$BT$24,"O",IF(AN11=$BU$24,"O",IF(AN11=$BV$24,"O",IF(AN11=$BW$24,"O",IF(AN11=$BX$24,"O",IF(AN11=$BY$24,"O",IF(AN11=$BZ$24,"O",IF(AN11=$CA$24,"O",IF(AN11=$CB$24,"O","X"))))))))))))))))))))))))))</f>
        <v>#REF!</v>
      </c>
      <c r="AO134" s="54" t="e">
        <f>IF(AO11=$BC$24,"O",IF(AO11=$BD$24,"O",IF(AO11=$BE$24,"O",IF(AO11=$BF$24,"O",IF(AO11=$BG$24,"O",IF(AO11=$BH$24,"O",IF(AO11=$BI$24,"O",IF(AO11=$BJ$24,"O",IF(AO11=$BK$24,"O",IF(AO11=$BL$24,"O",IF(AO11=$BM$24,"O",IF(AO11=$BN$24,"O",IF(AO11=$BO$24,"O",IF(AO11=$BP$24,"O",IF(AO11=$BQ$24,"O",IF(AO11=#REF!,"O",IF(AO11=$BS$24,"O",IF(AO11=$BT$24,"O",IF(AO11=$BU$24,"O",IF(AO11=$BV$24,"O",IF(AO11=$BW$24,"O",IF(AO11=$BX$24,"O",IF(AO11=$BY$24,"O",IF(AO11=$BZ$24,"O",IF(AO11=$CA$24,"O",IF(AO11=$CB$24,"O","X"))))))))))))))))))))))))))</f>
        <v>#REF!</v>
      </c>
      <c r="AP134" s="54" t="e">
        <f>IF(AP11=$BC$24,"O",IF(AP11=$BD$24,"O",IF(AP11=$BE$24,"O",IF(AP11=$BF$24,"O",IF(AP11=$BG$24,"O",IF(AP11=$BH$24,"O",IF(AP11=$BI$24,"O",IF(AP11=$BJ$24,"O",IF(AP11=$BK$24,"O",IF(AP11=$BL$24,"O",IF(AP11=$BM$24,"O",IF(AP11=$BN$24,"O",IF(AP11=$BO$24,"O",IF(AP11=$BP$24,"O",IF(AP11=$BQ$24,"O",IF(AP11=#REF!,"O",IF(AP11=$BS$24,"O",IF(AP11=$BT$24,"O",IF(AP11=$BU$24,"O",IF(AP11=$BV$24,"O",IF(AP11=$BW$24,"O",IF(AP11=$BX$24,"O",IF(AP11=$BY$24,"O",IF(AP11=$BZ$24,"O",IF(AP11=$CA$24,"O",IF(AP11=$CB$24,"O","X"))))))))))))))))))))))))))</f>
        <v>#REF!</v>
      </c>
      <c r="AQ134" s="54" t="e">
        <f>IF(AQ11=$BC$24,"O",IF(AQ11=$BD$24,"O",IF(AQ11=$BE$24,"O",IF(AQ11=$BF$24,"O",IF(AQ11=$BG$24,"O",IF(AQ11=$BH$24,"O",IF(AQ11=$BI$24,"O",IF(AQ11=$BJ$24,"O",IF(AQ11=$BK$24,"O",IF(AQ11=$BL$24,"O",IF(AQ11=$BM$24,"O",IF(AQ11=$BN$24,"O",IF(AQ11=$BO$24,"O",IF(AQ11=$BP$24,"O",IF(AQ11=$BQ$24,"O",IF(AQ11=#REF!,"O",IF(AQ11=$BS$24,"O",IF(AQ11=$BT$24,"O",IF(AQ11=$BU$24,"O",IF(AQ11=$BV$24,"O",IF(AQ11=$BW$24,"O",IF(AQ11=$BX$24,"O",IF(AQ11=$BY$24,"O",IF(AQ11=$BZ$24,"O",IF(AQ11=$CA$24,"O",IF(AQ11=$CB$24,"O","X"))))))))))))))))))))))))))</f>
        <v>#REF!</v>
      </c>
      <c r="AR134" s="54" t="e">
        <f>IF(AR11=$BC$24,"O",IF(AR11=$BD$24,"O",IF(AR11=$BE$24,"O",IF(AR11=$BF$24,"O",IF(AR11=$BG$24,"O",IF(AR11=$BH$24,"O",IF(AR11=$BI$24,"O",IF(AR11=$BJ$24,"O",IF(AR11=$BK$24,"O",IF(AR11=$BL$24,"O",IF(AR11=$BM$24,"O",IF(AR11=$BN$24,"O",IF(AR11=$BO$24,"O",IF(AR11=$BP$24,"O",IF(AR11=$BQ$24,"O",IF(AR11=#REF!,"O",IF(AR11=$BS$24,"O",IF(AR11=$BT$24,"O",IF(AR11=$BU$24,"O",IF(AR11=$BV$24,"O",IF(AR11=$BW$24,"O",IF(AR11=$BX$24,"O",IF(AR11=$BY$24,"O",IF(AR11=$BZ$24,"O",IF(AR11=$CA$24,"O",IF(AR11=$CB$24,"O","X"))))))))))))))))))))))))))</f>
        <v>#REF!</v>
      </c>
      <c r="AS134" s="54" t="e">
        <f>IF(AS11=$BC$24,"O",IF(AS11=$BD$24,"O",IF(AS11=$BE$24,"O",IF(AS11=$BF$24,"O",IF(AS11=$BG$24,"O",IF(AS11=$BH$24,"O",IF(AS11=$BI$24,"O",IF(AS11=$BJ$24,"O",IF(AS11=$BK$24,"O",IF(AS11=$BL$24,"O",IF(AS11=$BM$24,"O",IF(AS11=$BN$24,"O",IF(AS11=$BO$24,"O",IF(AS11=$BP$24,"O",IF(AS11=$BQ$24,"O",IF(AS11=#REF!,"O",IF(AS11=$BS$24,"O",IF(AS11=$BT$24,"O",IF(AS11=$BU$24,"O",IF(AS11=$BV$24,"O",IF(AS11=$BW$24,"O",IF(AS11=$BX$24,"O",IF(AS11=$BY$24,"O",IF(AS11=$BZ$24,"O",IF(AS11=$CA$24,"O",IF(AS11=$CB$24,"O","X"))))))))))))))))))))))))))</f>
        <v>#REF!</v>
      </c>
      <c r="AT134" s="54" t="e">
        <f>IF(AT11=$BC$24,"O",IF(AT11=$BD$24,"O",IF(AT11=$BE$24,"O",IF(AT11=$BF$24,"O",IF(AT11=$BG$24,"O",IF(AT11=$BH$24,"O",IF(AT11=$BI$24,"O",IF(AT11=$BJ$24,"O",IF(AT11=$BK$24,"O",IF(AT11=$BL$24,"O",IF(AT11=$BM$24,"O",IF(AT11=$BN$24,"O",IF(AT11=$BO$24,"O",IF(AT11=$BP$24,"O",IF(AT11=$BQ$24,"O",IF(AT11=#REF!,"O",IF(AT11=$BS$24,"O",IF(AT11=$BT$24,"O",IF(AT11=$BU$24,"O",IF(AT11=$BV$24,"O",IF(AT11=$BW$24,"O",IF(AT11=$BX$24,"O",IF(AT11=$BY$24,"O",IF(AT11=$BZ$24,"O",IF(AT11=$CA$24,"O",IF(AT11=$CB$24,"O","X"))))))))))))))))))))))))))</f>
        <v>#REF!</v>
      </c>
      <c r="AU134" s="54" t="e">
        <f>IF(AU11=$BC$24,"O",IF(AU11=$BD$24,"O",IF(AU11=$BE$24,"O",IF(AU11=$BF$24,"O",IF(AU11=$BG$24,"O",IF(AU11=$BH$24,"O",IF(AU11=$BI$24,"O",IF(AU11=$BJ$24,"O",IF(AU11=$BK$24,"O",IF(AU11=$BL$24,"O",IF(AU11=$BM$24,"O",IF(AU11=$BN$24,"O",IF(AU11=$BO$24,"O",IF(AU11=$BP$24,"O",IF(AU11=$BQ$24,"O",IF(AU11=#REF!,"O",IF(AU11=$BS$24,"O",IF(AU11=$BT$24,"O",IF(AU11=$BU$24,"O",IF(AU11=$BV$24,"O",IF(AU11=$BW$24,"O",IF(AU11=$BX$24,"O",IF(AU11=$BY$24,"O",IF(AU11=$BZ$24,"O",IF(AU11=$CA$24,"O",IF(AU11=$CB$24,"O","X"))))))))))))))))))))))))))</f>
        <v>#REF!</v>
      </c>
      <c r="AV134" s="53"/>
      <c r="AW134" s="53"/>
      <c r="AX134" s="53"/>
      <c r="BC134"/>
      <c r="BD134"/>
      <c r="BE134"/>
      <c r="BF134"/>
      <c r="BG134" s="118"/>
      <c r="BJ134"/>
    </row>
    <row r="135" spans="1:66" ht="17.5">
      <c r="A135" s="128"/>
      <c r="B135" s="54" t="s">
        <v>540</v>
      </c>
      <c r="C135" s="54" t="str">
        <f t="shared" ref="C135:P135" ca="1" si="190">IF(C12=$BC$24,"O",IF(C12=$BD$24,"O",IF(C12=$BE$24,"O",IF(C12=$BF$24,"O",IF(C12=$BG$24,"O",IF(C12=$BH$24,"O",IF(C12=$BI$24,"O",IF(C12=$BJ$24,"O",IF(C12=$BK$24,"O",IF(C12=$BL$24,"O",IF(C12=$BM$24,"O",IF(C12=$BN$24,"O",IF(C12=$BO$24,"O",IF(C12=$BP$24,"O",IF(C12=$BQ$24,"O",IF(C12=$BR$24,"O",IF(C12=$BS$24,"O",IF(C12=$BT$24,"O",IF(C12=$BU$24,"O",IF(C12=$BV$24,"O",IF(C12=$BW$24,"O",IF(C12=$BX$24,"O",IF(C12=$BY$24,"O",IF(C12=$BZ$24,"O",IF(C12=$CA$24,"O",IF(C12=$CB$24,"O",IF(C12=$CC$24,"O",IF(C12=$CD$24,"O",IF(C12=$CE$24,"O",IF(C12=$CF$24,"O",IF(C12=$CG$24,"O",IF(C12=$CH$24,"O",IF(C12=$CI$24,"O",IF(C12=$CJ$24,"O",IF(C12=$CK$24,"O",IF(C12=$CL$24,"O",IF(C12=$CM$24,"O",IF(C12=$CN$24,"O",IF(C12=$CO$24,"O",IF(C12=$CP$24,"O","X"))))))))))))))))))))))))))))))))))))))))</f>
        <v>O</v>
      </c>
      <c r="D135" s="54" t="str">
        <f t="shared" ca="1" si="190"/>
        <v>O</v>
      </c>
      <c r="E135" s="54" t="str">
        <f t="shared" ca="1" si="190"/>
        <v>O</v>
      </c>
      <c r="F135" s="54" t="str">
        <f t="shared" ca="1" si="190"/>
        <v>O</v>
      </c>
      <c r="G135" s="54" t="str">
        <f t="shared" ca="1" si="190"/>
        <v>X</v>
      </c>
      <c r="H135" s="54" t="str">
        <f t="shared" ca="1" si="190"/>
        <v>O</v>
      </c>
      <c r="I135" s="54" t="str">
        <f t="shared" ca="1" si="190"/>
        <v>O</v>
      </c>
      <c r="J135" s="54" t="str">
        <f t="shared" ca="1" si="190"/>
        <v>O</v>
      </c>
      <c r="K135" s="54" t="str">
        <f t="shared" ca="1" si="190"/>
        <v>X</v>
      </c>
      <c r="L135" s="54" t="str">
        <f t="shared" ca="1" si="190"/>
        <v>X</v>
      </c>
      <c r="M135" s="54" t="str">
        <f t="shared" ca="1" si="190"/>
        <v>X</v>
      </c>
      <c r="N135" s="54" t="str">
        <f t="shared" ca="1" si="190"/>
        <v>O</v>
      </c>
      <c r="O135" s="54" t="str">
        <f t="shared" ca="1" si="190"/>
        <v>O</v>
      </c>
      <c r="P135" s="54" t="str">
        <f t="shared" ca="1" si="190"/>
        <v>O</v>
      </c>
      <c r="Q135" s="54" t="str">
        <f ca="1">IF(Q12=$BC$24,"O",IF(Q12=$BD$24,"O",IF(Q12=$BE$24,"O",IF(Q12=$BF$24,"O",IF(Q12=$BG$24,"O",IF(Q12=$BH$24,"O",IF(Q12=$BI$24,"O",IF(Q12=$BJ$24,"O",IF(Q12=$BK$24,"O",IF(Q12=$BL$24,"O",IF(Q12=$BM$24,"O",IF(Q12=$BN$24,"O",IF(Q12=$BO$24,"O",IF(Q12=$BP$24,"O",IF(Q12=$BQ$24,"O",IF(Q12=$BR$24,"O",IF(Q12=$BS$24,"O",IF(Q12=$BT$24,"O",IF(Q12=$BU$24,"O",IF(Q12=$BV$24,"O",IF(Q12=$BW$24,"O",IF(Q12=$BX$24,"O",IF(Q12=$BY$24,"O",IF(Q12=$BZ$24,"O",IF(Q12=$CA$24,"O",IF(Q12=$CB$24,"O",IF(Q12=$CC$24,"O",IF(Q12=$CD$24,"O",IF(Q12=$CE$24,"O",IF(Q12=$CF$24,"O",IF(Q12=$CG$24,"O",IF(Q12=$CH$24,"O",IF(Q12=$CI$24,"O",IF(Q12=$CJ$24,"O",IF(Q12=$CK$24,"O",IF(Q12=$CL$24,"O",IF(Q12=$CM$24,"O",IF(Q12=$CN$24,"O",IF(Q12=$CO$24,"O",IF(Q12=$CP$24,"O","X"))))))))))))))))))))))))))))))))))))))))</f>
        <v>O</v>
      </c>
      <c r="R135" s="54" t="e">
        <f>IF(R12=$BC$24,"O",IF(R12=$BD$24,"O",IF(R12=$BE$24,"O",IF(R12=$BF$24,"O",IF(R12=$BG$24,"O",IF(R12=$BH$24,"O",IF(R12=$BI$24,"O",IF(R12=$BJ$24,"O",IF(R12=$BK$24,"O",IF(R12=$BL$24,"O",IF(R12=$BM$24,"O",IF(R12=$BN$24,"O",IF(R12=$BO$24,"O",IF(R12=$BP$24,"O",IF(R12=$BQ$24,"O",IF(R12=#REF!,"O",IF(R12=$BS$24,"O",IF(R12=$BT$24,"O",IF(R12=$BU$24,"O",IF(R12=$BV$24,"O",IF(R12=$BW$24,"O",IF(R12=$BX$24,"O",IF(R12=$BY$24,"O",IF(R12=$BZ$24,"O",IF(R12=$CA$24,"O",IF(R12=$CB$24,"O","X"))))))))))))))))))))))))))</f>
        <v>#REF!</v>
      </c>
      <c r="S135" s="54" t="e">
        <f>IF(S12=$BC$24,"O",IF(S12=$BD$24,"O",IF(S12=$BE$24,"O",IF(S12=$BF$24,"O",IF(S12=$BG$24,"O",IF(S12=$BH$24,"O",IF(S12=$BI$24,"O",IF(S12=$BJ$24,"O",IF(S12=$BK$24,"O",IF(S12=$BL$24,"O",IF(S12=$BM$24,"O",IF(S12=$BN$24,"O",IF(S12=$BO$24,"O",IF(S12=$BP$24,"O",IF(S12=$BQ$24,"O",IF(S12=#REF!,"O",IF(S12=$BS$24,"O",IF(S12=$BT$24,"O",IF(S12=$BU$24,"O",IF(S12=$BV$24,"O",IF(S12=$BW$24,"O",IF(S12=$BX$24,"O",IF(S12=$BY$24,"O",IF(S12=$BZ$24,"O",IF(S12=$CA$24,"O",IF(S12=$CB$24,"O","X"))))))))))))))))))))))))))</f>
        <v>#REF!</v>
      </c>
      <c r="T135" s="54" t="e">
        <f>IF(T12=$BC$24,"O",IF(T12=$BD$24,"O",IF(T12=$BE$24,"O",IF(T12=$BF$24,"O",IF(T12=$BG$24,"O",IF(T12=$BH$24,"O",IF(T12=$BI$24,"O",IF(T12=$BJ$24,"O",IF(T12=$BK$24,"O",IF(T12=$BL$24,"O",IF(T12=$BM$24,"O",IF(T12=$BN$24,"O",IF(T12=$BO$24,"O",IF(T12=$BP$24,"O",IF(T12=$BQ$24,"O",IF(T12=#REF!,"O",IF(T12=$BS$24,"O",IF(T12=$BT$24,"O",IF(T12=$BU$24,"O",IF(T12=$BV$24,"O",IF(T12=$BW$24,"O",IF(T12=$BX$24,"O",IF(T12=$BY$24,"O",IF(T12=$BZ$24,"O",IF(T12=$CA$24,"O",IF(T12=$CB$24,"O","X"))))))))))))))))))))))))))</f>
        <v>#REF!</v>
      </c>
      <c r="U135" s="54" t="e">
        <f>IF(U12=$BC$24,"O",IF(U12=$BD$24,"O",IF(U12=$BE$24,"O",IF(U12=$BF$24,"O",IF(U12=$BG$24,"O",IF(U12=$BH$24,"O",IF(U12=$BI$24,"O",IF(U12=$BJ$24,"O",IF(U12=$BK$24,"O",IF(U12=$BL$24,"O",IF(U12=$BM$24,"O",IF(U12=$BN$24,"O",IF(U12=$BO$24,"O",IF(U12=$BP$24,"O",IF(U12=$BQ$24,"O",IF(U12=#REF!,"O",IF(U12=$BS$24,"O",IF(U12=$BT$24,"O",IF(U12=$BU$24,"O",IF(U12=$BV$24,"O",IF(U12=$BW$24,"O",IF(U12=$BX$24,"O",IF(U12=$BY$24,"O",IF(U12=$BZ$24,"O",IF(U12=$CA$24,"O",IF(U12=$CB$24,"O","X"))))))))))))))))))))))))))</f>
        <v>#REF!</v>
      </c>
      <c r="V135" s="54" t="e">
        <f>IF(V12=$BC$24,"O",IF(V12=$BD$24,"O",IF(V12=$BE$24,"O",IF(V12=$BF$24,"O",IF(V12=$BG$24,"O",IF(V12=$BH$24,"O",IF(V12=$BI$24,"O",IF(V12=$BJ$24,"O",IF(V12=$BK$24,"O",IF(V12=$BL$24,"O",IF(V12=$BM$24,"O",IF(V12=$BN$24,"O",IF(V12=$BO$24,"O",IF(V12=$BP$24,"O",IF(V12=$BQ$24,"O",IF(V12=#REF!,"O",IF(V12=$BS$24,"O",IF(V12=$BT$24,"O",IF(V12=$BU$24,"O",IF(V12=$BV$24,"O",IF(V12=$BW$24,"O",IF(V12=$BX$24,"O",IF(V12=$BY$24,"O",IF(V12=$BZ$24,"O",IF(V12=$CA$24,"O",IF(V12=$CB$24,"O","X"))))))))))))))))))))))))))</f>
        <v>#REF!</v>
      </c>
      <c r="W135" s="54" t="e">
        <f>IF(W12=$BC$24,"O",IF(W12=$BD$24,"O",IF(W12=$BE$24,"O",IF(W12=$BF$24,"O",IF(W12=$BG$24,"O",IF(W12=$BH$24,"O",IF(W12=$BI$24,"O",IF(W12=$BJ$24,"O",IF(W12=$BK$24,"O",IF(W12=$BL$24,"O",IF(W12=$BM$24,"O",IF(W12=$BN$24,"O",IF(W12=$BO$24,"O",IF(W12=$BP$24,"O",IF(W12=$BQ$24,"O",IF(W12=#REF!,"O",IF(W12=$BS$24,"O",IF(W12=$BT$24,"O",IF(W12=$BU$24,"O",IF(W12=$BV$24,"O",IF(W12=$BW$24,"O",IF(W12=$BX$24,"O",IF(W12=$BY$24,"O",IF(W12=$BZ$24,"O",IF(W12=$CA$24,"O",IF(W12=$CB$24,"O","X"))))))))))))))))))))))))))</f>
        <v>#REF!</v>
      </c>
      <c r="X135" s="54" t="e">
        <f>IF(X12=$BC$24,"O",IF(X12=$BD$24,"O",IF(X12=$BE$24,"O",IF(X12=$BF$24,"O",IF(X12=$BG$24,"O",IF(X12=$BH$24,"O",IF(X12=$BI$24,"O",IF(X12=$BJ$24,"O",IF(X12=$BK$24,"O",IF(X12=$BL$24,"O",IF(X12=$BM$24,"O",IF(X12=$BN$24,"O",IF(X12=$BO$24,"O",IF(X12=$BP$24,"O",IF(X12=$BQ$24,"O",IF(X12=#REF!,"O",IF(X12=$BS$24,"O",IF(X12=$BT$24,"O",IF(X12=$BU$24,"O",IF(X12=$BV$24,"O",IF(X12=$BW$24,"O",IF(X12=$BX$24,"O",IF(X12=$BY$24,"O",IF(X12=$BZ$24,"O",IF(X12=$CA$24,"O",IF(X12=$CB$24,"O","X"))))))))))))))))))))))))))</f>
        <v>#REF!</v>
      </c>
      <c r="Y135" s="54" t="e">
        <f>IF(Y12=$BC$24,"O",IF(Y12=$BD$24,"O",IF(Y12=$BE$24,"O",IF(Y12=$BF$24,"O",IF(Y12=$BG$24,"O",IF(Y12=$BH$24,"O",IF(Y12=$BI$24,"O",IF(Y12=$BJ$24,"O",IF(Y12=$BK$24,"O",IF(Y12=$BL$24,"O",IF(Y12=$BM$24,"O",IF(Y12=$BN$24,"O",IF(Y12=$BO$24,"O",IF(Y12=$BP$24,"O",IF(Y12=$BQ$24,"O",IF(Y12=#REF!,"O",IF(Y12=$BS$24,"O",IF(Y12=$BT$24,"O",IF(Y12=$BU$24,"O",IF(Y12=$BV$24,"O",IF(Y12=$BW$24,"O",IF(Y12=$BX$24,"O",IF(Y12=$BY$24,"O",IF(Y12=$BZ$24,"O",IF(Y12=$CA$24,"O",IF(Y12=$CB$24,"O","X"))))))))))))))))))))))))))</f>
        <v>#REF!</v>
      </c>
      <c r="Z135" s="54" t="e">
        <f>IF(Z12=$BC$24,"O",IF(Z12=$BD$24,"O",IF(Z12=$BE$24,"O",IF(Z12=$BF$24,"O",IF(Z12=$BG$24,"O",IF(Z12=$BH$24,"O",IF(Z12=$BI$24,"O",IF(Z12=$BJ$24,"O",IF(Z12=$BK$24,"O",IF(Z12=$BL$24,"O",IF(Z12=$BM$24,"O",IF(Z12=$BN$24,"O",IF(Z12=$BO$24,"O",IF(Z12=$BP$24,"O",IF(Z12=$BQ$24,"O",IF(Z12=#REF!,"O",IF(Z12=$BS$24,"O",IF(Z12=$BT$24,"O",IF(Z12=$BU$24,"O",IF(Z12=$BV$24,"O",IF(Z12=$BW$24,"O",IF(Z12=$BX$24,"O",IF(Z12=$BY$24,"O",IF(Z12=$BZ$24,"O",IF(Z12=$CA$24,"O",IF(Z12=$CB$24,"O","X"))))))))))))))))))))))))))</f>
        <v>#REF!</v>
      </c>
      <c r="AA135" s="54" t="e">
        <f>IF(AA12=$BC$24,"O",IF(AA12=$BD$24,"O",IF(AA12=$BE$24,"O",IF(AA12=$BF$24,"O",IF(AA12=$BG$24,"O",IF(AA12=$BH$24,"O",IF(AA12=$BI$24,"O",IF(AA12=$BJ$24,"O",IF(AA12=$BK$24,"O",IF(AA12=$BL$24,"O",IF(AA12=$BM$24,"O",IF(AA12=$BN$24,"O",IF(AA12=$BO$24,"O",IF(AA12=$BP$24,"O",IF(AA12=$BQ$24,"O",IF(AA12=#REF!,"O",IF(AA12=$BS$24,"O",IF(AA12=$BT$24,"O",IF(AA12=$BU$24,"O",IF(AA12=$BV$24,"O",IF(AA12=$BW$24,"O",IF(AA12=$BX$24,"O",IF(AA12=$BY$24,"O",IF(AA12=$BZ$24,"O",IF(AA12=$CA$24,"O",IF(AA12=$CB$24,"O","X"))))))))))))))))))))))))))</f>
        <v>#REF!</v>
      </c>
      <c r="AB135" s="54" t="e">
        <f>IF(AB12=$BC$24,"O",IF(AB12=$BD$24,"O",IF(AB12=$BE$24,"O",IF(AB12=$BF$24,"O",IF(AB12=$BG$24,"O",IF(AB12=$BH$24,"O",IF(AB12=$BI$24,"O",IF(AB12=$BJ$24,"O",IF(AB12=$BK$24,"O",IF(AB12=$BL$24,"O",IF(AB12=$BM$24,"O",IF(AB12=$BN$24,"O",IF(AB12=$BO$24,"O",IF(AB12=$BP$24,"O",IF(AB12=$BQ$24,"O",IF(AB12=#REF!,"O",IF(AB12=$BS$24,"O",IF(AB12=$BT$24,"O",IF(AB12=$BU$24,"O",IF(AB12=$BV$24,"O",IF(AB12=$BW$24,"O",IF(AB12=$BX$24,"O",IF(AB12=$BY$24,"O",IF(AB12=$BZ$24,"O",IF(AB12=$CA$24,"O",IF(AB12=$CB$24,"O","X"))))))))))))))))))))))))))</f>
        <v>#REF!</v>
      </c>
      <c r="AC135" s="54" t="e">
        <f>IF(AC12=$BC$24,"O",IF(AC12=$BD$24,"O",IF(AC12=$BE$24,"O",IF(AC12=$BF$24,"O",IF(AC12=$BG$24,"O",IF(AC12=$BH$24,"O",IF(AC12=$BI$24,"O",IF(AC12=$BJ$24,"O",IF(AC12=$BK$24,"O",IF(AC12=$BL$24,"O",IF(AC12=$BM$24,"O",IF(AC12=$BN$24,"O",IF(AC12=$BO$24,"O",IF(AC12=$BP$24,"O",IF(AC12=$BQ$24,"O",IF(AC12=#REF!,"O",IF(AC12=$BS$24,"O",IF(AC12=$BT$24,"O",IF(AC12=$BU$24,"O",IF(AC12=$BV$24,"O",IF(AC12=$BW$24,"O",IF(AC12=$BX$24,"O",IF(AC12=$BY$24,"O",IF(AC12=$BZ$24,"O",IF(AC12=$CA$24,"O",IF(AC12=$CB$24,"O","X"))))))))))))))))))))))))))</f>
        <v>#REF!</v>
      </c>
      <c r="AD135" s="54" t="e">
        <f>IF(AD12=$BC$24,"O",IF(AD12=$BD$24,"O",IF(AD12=$BE$24,"O",IF(AD12=$BF$24,"O",IF(AD12=$BG$24,"O",IF(AD12=$BH$24,"O",IF(AD12=$BI$24,"O",IF(AD12=$BJ$24,"O",IF(AD12=$BK$24,"O",IF(AD12=$BL$24,"O",IF(AD12=$BM$24,"O",IF(AD12=$BN$24,"O",IF(AD12=$BO$24,"O",IF(AD12=$BP$24,"O",IF(AD12=$BQ$24,"O",IF(AD12=#REF!,"O",IF(AD12=$BS$24,"O",IF(AD12=$BT$24,"O",IF(AD12=$BU$24,"O",IF(AD12=$BV$24,"O",IF(AD12=$BW$24,"O",IF(AD12=$BX$24,"O",IF(AD12=$BY$24,"O",IF(AD12=$BZ$24,"O",IF(AD12=$CA$24,"O",IF(AD12=$CB$24,"O","X"))))))))))))))))))))))))))</f>
        <v>#REF!</v>
      </c>
      <c r="AE135" s="54" t="e">
        <f>IF(AE12=$BC$24,"O",IF(AE12=$BD$24,"O",IF(AE12=$BE$24,"O",IF(AE12=$BF$24,"O",IF(AE12=$BG$24,"O",IF(AE12=$BH$24,"O",IF(AE12=$BI$24,"O",IF(AE12=$BJ$24,"O",IF(AE12=$BK$24,"O",IF(AE12=$BL$24,"O",IF(AE12=$BM$24,"O",IF(AE12=$BN$24,"O",IF(AE12=$BO$24,"O",IF(AE12=$BP$24,"O",IF(AE12=$BQ$24,"O",IF(AE12=#REF!,"O",IF(AE12=$BS$24,"O",IF(AE12=$BT$24,"O",IF(AE12=$BU$24,"O",IF(AE12=$BV$24,"O",IF(AE12=$BW$24,"O",IF(AE12=$BX$24,"O",IF(AE12=$BY$24,"O",IF(AE12=$BZ$24,"O",IF(AE12=$CA$24,"O",IF(AE12=$CB$24,"O","X"))))))))))))))))))))))))))</f>
        <v>#REF!</v>
      </c>
      <c r="AF135" s="54" t="e">
        <f>IF(AF12=$BC$24,"O",IF(AF12=$BD$24,"O",IF(AF12=$BE$24,"O",IF(AF12=$BF$24,"O",IF(AF12=$BG$24,"O",IF(AF12=$BH$24,"O",IF(AF12=$BI$24,"O",IF(AF12=$BJ$24,"O",IF(AF12=$BK$24,"O",IF(AF12=$BL$24,"O",IF(AF12=$BM$24,"O",IF(AF12=$BN$24,"O",IF(AF12=$BO$24,"O",IF(AF12=$BP$24,"O",IF(AF12=$BQ$24,"O",IF(AF12=#REF!,"O",IF(AF12=$BS$24,"O",IF(AF12=$BT$24,"O",IF(AF12=$BU$24,"O",IF(AF12=$BV$24,"O",IF(AF12=$BW$24,"O",IF(AF12=$BX$24,"O",IF(AF12=$BY$24,"O",IF(AF12=$BZ$24,"O",IF(AF12=$CA$24,"O",IF(AF12=$CB$24,"O","X"))))))))))))))))))))))))))</f>
        <v>#REF!</v>
      </c>
      <c r="AG135" s="54" t="e">
        <f>IF(AG12=$BC$24,"O",IF(AG12=$BD$24,"O",IF(AG12=$BE$24,"O",IF(AG12=$BF$24,"O",IF(AG12=$BG$24,"O",IF(AG12=$BH$24,"O",IF(AG12=$BI$24,"O",IF(AG12=$BJ$24,"O",IF(AG12=$BK$24,"O",IF(AG12=$BL$24,"O",IF(AG12=$BM$24,"O",IF(AG12=$BN$24,"O",IF(AG12=$BO$24,"O",IF(AG12=$BP$24,"O",IF(AG12=$BQ$24,"O",IF(AG12=#REF!,"O",IF(AG12=$BS$24,"O",IF(AG12=$BT$24,"O",IF(AG12=$BU$24,"O",IF(AG12=$BV$24,"O",IF(AG12=$BW$24,"O",IF(AG12=$BX$24,"O",IF(AG12=$BY$24,"O",IF(AG12=$BZ$24,"O",IF(AG12=$CA$24,"O",IF(AG12=$CB$24,"O","X"))))))))))))))))))))))))))</f>
        <v>#REF!</v>
      </c>
      <c r="AH135" s="54" t="e">
        <f>IF(AH12=$BC$24,"O",IF(AH12=$BD$24,"O",IF(AH12=$BE$24,"O",IF(AH12=$BF$24,"O",IF(AH12=$BG$24,"O",IF(AH12=$BH$24,"O",IF(AH12=$BI$24,"O",IF(AH12=$BJ$24,"O",IF(AH12=$BK$24,"O",IF(AH12=$BL$24,"O",IF(AH12=$BM$24,"O",IF(AH12=$BN$24,"O",IF(AH12=$BO$24,"O",IF(AH12=$BP$24,"O",IF(AH12=$BQ$24,"O",IF(AH12=#REF!,"O",IF(AH12=$BS$24,"O",IF(AH12=$BT$24,"O",IF(AH12=$BU$24,"O",IF(AH12=$BV$24,"O",IF(AH12=$BW$24,"O",IF(AH12=$BX$24,"O",IF(AH12=$BY$24,"O",IF(AH12=$BZ$24,"O",IF(AH12=$CA$24,"O",IF(AH12=$CB$24,"O","X"))))))))))))))))))))))))))</f>
        <v>#REF!</v>
      </c>
      <c r="AI135" s="54" t="e">
        <f>IF(AI12=$BC$24,"O",IF(AI12=$BD$24,"O",IF(AI12=$BE$24,"O",IF(AI12=$BF$24,"O",IF(AI12=$BG$24,"O",IF(AI12=$BH$24,"O",IF(AI12=$BI$24,"O",IF(AI12=$BJ$24,"O",IF(AI12=$BK$24,"O",IF(AI12=$BL$24,"O",IF(AI12=$BM$24,"O",IF(AI12=$BN$24,"O",IF(AI12=$BO$24,"O",IF(AI12=$BP$24,"O",IF(AI12=$BQ$24,"O",IF(AI12=#REF!,"O",IF(AI12=$BS$24,"O",IF(AI12=$BT$24,"O",IF(AI12=$BU$24,"O",IF(AI12=$BV$24,"O",IF(AI12=$BW$24,"O",IF(AI12=$BX$24,"O",IF(AI12=$BY$24,"O",IF(AI12=$BZ$24,"O",IF(AI12=$CA$24,"O",IF(AI12=$CB$24,"O","X"))))))))))))))))))))))))))</f>
        <v>#REF!</v>
      </c>
      <c r="AJ135" s="54" t="e">
        <f>IF(AJ12=$BC$24,"O",IF(AJ12=$BD$24,"O",IF(AJ12=$BE$24,"O",IF(AJ12=$BF$24,"O",IF(AJ12=$BG$24,"O",IF(AJ12=$BH$24,"O",IF(AJ12=$BI$24,"O",IF(AJ12=$BJ$24,"O",IF(AJ12=$BK$24,"O",IF(AJ12=$BL$24,"O",IF(AJ12=$BM$24,"O",IF(AJ12=$BN$24,"O",IF(AJ12=$BO$24,"O",IF(AJ12=$BP$24,"O",IF(AJ12=$BQ$24,"O",IF(AJ12=#REF!,"O",IF(AJ12=$BS$24,"O",IF(AJ12=$BT$24,"O",IF(AJ12=$BU$24,"O",IF(AJ12=$BV$24,"O",IF(AJ12=$BW$24,"O",IF(AJ12=$BX$24,"O",IF(AJ12=$BY$24,"O",IF(AJ12=$BZ$24,"O",IF(AJ12=$CA$24,"O",IF(AJ12=$CB$24,"O","X"))))))))))))))))))))))))))</f>
        <v>#REF!</v>
      </c>
      <c r="AK135" s="54" t="e">
        <f>IF(AK12=$BC$24,"O",IF(AK12=$BD$24,"O",IF(AK12=$BE$24,"O",IF(AK12=$BF$24,"O",IF(AK12=$BG$24,"O",IF(AK12=$BH$24,"O",IF(AK12=$BI$24,"O",IF(AK12=$BJ$24,"O",IF(AK12=$BK$24,"O",IF(AK12=$BL$24,"O",IF(AK12=$BM$24,"O",IF(AK12=$BN$24,"O",IF(AK12=$BO$24,"O",IF(AK12=$BP$24,"O",IF(AK12=$BQ$24,"O",IF(AK12=#REF!,"O",IF(AK12=$BS$24,"O",IF(AK12=$BT$24,"O",IF(AK12=$BU$24,"O",IF(AK12=$BV$24,"O",IF(AK12=$BW$24,"O",IF(AK12=$BX$24,"O",IF(AK12=$BY$24,"O",IF(AK12=$BZ$24,"O",IF(AK12=$CA$24,"O",IF(AK12=$CB$24,"O","X"))))))))))))))))))))))))))</f>
        <v>#REF!</v>
      </c>
      <c r="AL135" s="54" t="e">
        <f>IF(AL12=$BC$24,"O",IF(AL12=$BD$24,"O",IF(AL12=$BE$24,"O",IF(AL12=$BF$24,"O",IF(AL12=$BG$24,"O",IF(AL12=$BH$24,"O",IF(AL12=$BI$24,"O",IF(AL12=$BJ$24,"O",IF(AL12=$BK$24,"O",IF(AL12=$BL$24,"O",IF(AL12=$BM$24,"O",IF(AL12=$BN$24,"O",IF(AL12=$BO$24,"O",IF(AL12=$BP$24,"O",IF(AL12=$BQ$24,"O",IF(AL12=#REF!,"O",IF(AL12=$BS$24,"O",IF(AL12=$BT$24,"O",IF(AL12=$BU$24,"O",IF(AL12=$BV$24,"O",IF(AL12=$BW$24,"O",IF(AL12=$BX$24,"O",IF(AL12=$BY$24,"O",IF(AL12=$BZ$24,"O",IF(AL12=$CA$24,"O",IF(AL12=$CB$24,"O","X"))))))))))))))))))))))))))</f>
        <v>#REF!</v>
      </c>
      <c r="AM135" s="54" t="e">
        <f>IF(AM12=$BC$24,"O",IF(AM12=$BD$24,"O",IF(AM12=$BE$24,"O",IF(AM12=$BF$24,"O",IF(AM12=$BG$24,"O",IF(AM12=$BH$24,"O",IF(AM12=$BI$24,"O",IF(AM12=$BJ$24,"O",IF(AM12=$BK$24,"O",IF(AM12=$BL$24,"O",IF(AM12=$BM$24,"O",IF(AM12=$BN$24,"O",IF(AM12=$BO$24,"O",IF(AM12=$BP$24,"O",IF(AM12=$BQ$24,"O",IF(AM12=#REF!,"O",IF(AM12=$BS$24,"O",IF(AM12=$BT$24,"O",IF(AM12=$BU$24,"O",IF(AM12=$BV$24,"O",IF(AM12=$BW$24,"O",IF(AM12=$BX$24,"O",IF(AM12=$BY$24,"O",IF(AM12=$BZ$24,"O",IF(AM12=$CA$24,"O",IF(AM12=$CB$24,"O","X"))))))))))))))))))))))))))</f>
        <v>#REF!</v>
      </c>
      <c r="AN135" s="54" t="e">
        <f>IF(AN12=$BC$24,"O",IF(AN12=$BD$24,"O",IF(AN12=$BE$24,"O",IF(AN12=$BF$24,"O",IF(AN12=$BG$24,"O",IF(AN12=$BH$24,"O",IF(AN12=$BI$24,"O",IF(AN12=$BJ$24,"O",IF(AN12=$BK$24,"O",IF(AN12=$BL$24,"O",IF(AN12=$BM$24,"O",IF(AN12=$BN$24,"O",IF(AN12=$BO$24,"O",IF(AN12=$BP$24,"O",IF(AN12=$BQ$24,"O",IF(AN12=#REF!,"O",IF(AN12=$BS$24,"O",IF(AN12=$BT$24,"O",IF(AN12=$BU$24,"O",IF(AN12=$BV$24,"O",IF(AN12=$BW$24,"O",IF(AN12=$BX$24,"O",IF(AN12=$BY$24,"O",IF(AN12=$BZ$24,"O",IF(AN12=$CA$24,"O",IF(AN12=$CB$24,"O","X"))))))))))))))))))))))))))</f>
        <v>#REF!</v>
      </c>
      <c r="AO135" s="54" t="e">
        <f>IF(AO12=$BC$24,"O",IF(AO12=$BD$24,"O",IF(AO12=$BE$24,"O",IF(AO12=$BF$24,"O",IF(AO12=$BG$24,"O",IF(AO12=$BH$24,"O",IF(AO12=$BI$24,"O",IF(AO12=$BJ$24,"O",IF(AO12=$BK$24,"O",IF(AO12=$BL$24,"O",IF(AO12=$BM$24,"O",IF(AO12=$BN$24,"O",IF(AO12=$BO$24,"O",IF(AO12=$BP$24,"O",IF(AO12=$BQ$24,"O",IF(AO12=#REF!,"O",IF(AO12=$BS$24,"O",IF(AO12=$BT$24,"O",IF(AO12=$BU$24,"O",IF(AO12=$BV$24,"O",IF(AO12=$BW$24,"O",IF(AO12=$BX$24,"O",IF(AO12=$BY$24,"O",IF(AO12=$BZ$24,"O",IF(AO12=$CA$24,"O",IF(AO12=$CB$24,"O","X"))))))))))))))))))))))))))</f>
        <v>#REF!</v>
      </c>
      <c r="AP135" s="54" t="e">
        <f>IF(AP12=$BC$24,"O",IF(AP12=$BD$24,"O",IF(AP12=$BE$24,"O",IF(AP12=$BF$24,"O",IF(AP12=$BG$24,"O",IF(AP12=$BH$24,"O",IF(AP12=$BI$24,"O",IF(AP12=$BJ$24,"O",IF(AP12=$BK$24,"O",IF(AP12=$BL$24,"O",IF(AP12=$BM$24,"O",IF(AP12=$BN$24,"O",IF(AP12=$BO$24,"O",IF(AP12=$BP$24,"O",IF(AP12=$BQ$24,"O",IF(AP12=#REF!,"O",IF(AP12=$BS$24,"O",IF(AP12=$BT$24,"O",IF(AP12=$BU$24,"O",IF(AP12=$BV$24,"O",IF(AP12=$BW$24,"O",IF(AP12=$BX$24,"O",IF(AP12=$BY$24,"O",IF(AP12=$BZ$24,"O",IF(AP12=$CA$24,"O",IF(AP12=$CB$24,"O","X"))))))))))))))))))))))))))</f>
        <v>#REF!</v>
      </c>
      <c r="AQ135" s="54" t="e">
        <f>IF(AQ12=$BC$24,"O",IF(AQ12=$BD$24,"O",IF(AQ12=$BE$24,"O",IF(AQ12=$BF$24,"O",IF(AQ12=$BG$24,"O",IF(AQ12=$BH$24,"O",IF(AQ12=$BI$24,"O",IF(AQ12=$BJ$24,"O",IF(AQ12=$BK$24,"O",IF(AQ12=$BL$24,"O",IF(AQ12=$BM$24,"O",IF(AQ12=$BN$24,"O",IF(AQ12=$BO$24,"O",IF(AQ12=$BP$24,"O",IF(AQ12=$BQ$24,"O",IF(AQ12=#REF!,"O",IF(AQ12=$BS$24,"O",IF(AQ12=$BT$24,"O",IF(AQ12=$BU$24,"O",IF(AQ12=$BV$24,"O",IF(AQ12=$BW$24,"O",IF(AQ12=$BX$24,"O",IF(AQ12=$BY$24,"O",IF(AQ12=$BZ$24,"O",IF(AQ12=$CA$24,"O",IF(AQ12=$CB$24,"O","X"))))))))))))))))))))))))))</f>
        <v>#REF!</v>
      </c>
      <c r="AR135" s="54" t="e">
        <f>IF(AR12=$BC$24,"O",IF(AR12=$BD$24,"O",IF(AR12=$BE$24,"O",IF(AR12=$BF$24,"O",IF(AR12=$BG$24,"O",IF(AR12=$BH$24,"O",IF(AR12=$BI$24,"O",IF(AR12=$BJ$24,"O",IF(AR12=$BK$24,"O",IF(AR12=$BL$24,"O",IF(AR12=$BM$24,"O",IF(AR12=$BN$24,"O",IF(AR12=$BO$24,"O",IF(AR12=$BP$24,"O",IF(AR12=$BQ$24,"O",IF(AR12=#REF!,"O",IF(AR12=$BS$24,"O",IF(AR12=$BT$24,"O",IF(AR12=$BU$24,"O",IF(AR12=$BV$24,"O",IF(AR12=$BW$24,"O",IF(AR12=$BX$24,"O",IF(AR12=$BY$24,"O",IF(AR12=$BZ$24,"O",IF(AR12=$CA$24,"O",IF(AR12=$CB$24,"O","X"))))))))))))))))))))))))))</f>
        <v>#REF!</v>
      </c>
      <c r="AS135" s="54" t="e">
        <f>IF(AS12=$BC$24,"O",IF(AS12=$BD$24,"O",IF(AS12=$BE$24,"O",IF(AS12=$BF$24,"O",IF(AS12=$BG$24,"O",IF(AS12=$BH$24,"O",IF(AS12=$BI$24,"O",IF(AS12=$BJ$24,"O",IF(AS12=$BK$24,"O",IF(AS12=$BL$24,"O",IF(AS12=$BM$24,"O",IF(AS12=$BN$24,"O",IF(AS12=$BO$24,"O",IF(AS12=$BP$24,"O",IF(AS12=$BQ$24,"O",IF(AS12=#REF!,"O",IF(AS12=$BS$24,"O",IF(AS12=$BT$24,"O",IF(AS12=$BU$24,"O",IF(AS12=$BV$24,"O",IF(AS12=$BW$24,"O",IF(AS12=$BX$24,"O",IF(AS12=$BY$24,"O",IF(AS12=$BZ$24,"O",IF(AS12=$CA$24,"O",IF(AS12=$CB$24,"O","X"))))))))))))))))))))))))))</f>
        <v>#REF!</v>
      </c>
      <c r="AT135" s="54" t="e">
        <f>IF(AT12=$BC$24,"O",IF(AT12=$BD$24,"O",IF(AT12=$BE$24,"O",IF(AT12=$BF$24,"O",IF(AT12=$BG$24,"O",IF(AT12=$BH$24,"O",IF(AT12=$BI$24,"O",IF(AT12=$BJ$24,"O",IF(AT12=$BK$24,"O",IF(AT12=$BL$24,"O",IF(AT12=$BM$24,"O",IF(AT12=$BN$24,"O",IF(AT12=$BO$24,"O",IF(AT12=$BP$24,"O",IF(AT12=$BQ$24,"O",IF(AT12=#REF!,"O",IF(AT12=$BS$24,"O",IF(AT12=$BT$24,"O",IF(AT12=$BU$24,"O",IF(AT12=$BV$24,"O",IF(AT12=$BW$24,"O",IF(AT12=$BX$24,"O",IF(AT12=$BY$24,"O",IF(AT12=$BZ$24,"O",IF(AT12=$CA$24,"O",IF(AT12=$CB$24,"O","X"))))))))))))))))))))))))))</f>
        <v>#REF!</v>
      </c>
      <c r="AU135" s="54" t="e">
        <f>IF(AU12=$BC$24,"O",IF(AU12=$BD$24,"O",IF(AU12=$BE$24,"O",IF(AU12=$BF$24,"O",IF(AU12=$BG$24,"O",IF(AU12=$BH$24,"O",IF(AU12=$BI$24,"O",IF(AU12=$BJ$24,"O",IF(AU12=$BK$24,"O",IF(AU12=$BL$24,"O",IF(AU12=$BM$24,"O",IF(AU12=$BN$24,"O",IF(AU12=$BO$24,"O",IF(AU12=$BP$24,"O",IF(AU12=$BQ$24,"O",IF(AU12=#REF!,"O",IF(AU12=$BS$24,"O",IF(AU12=$BT$24,"O",IF(AU12=$BU$24,"O",IF(AU12=$BV$24,"O",IF(AU12=$BW$24,"O",IF(AU12=$BX$24,"O",IF(AU12=$BY$24,"O",IF(AU12=$BZ$24,"O",IF(AU12=$CA$24,"O",IF(AU12=$CB$24,"O","X"))))))))))))))))))))))))))</f>
        <v>#REF!</v>
      </c>
      <c r="AV135" s="53"/>
      <c r="AW135" s="53"/>
      <c r="AX135" s="53"/>
      <c r="BC135"/>
      <c r="BD135"/>
      <c r="BE135"/>
      <c r="BF135"/>
      <c r="BG135" s="118"/>
      <c r="BJ135"/>
    </row>
    <row r="136" spans="1:66" ht="17.5">
      <c r="A136" s="129"/>
      <c r="B136" s="60" t="s">
        <v>663</v>
      </c>
      <c r="C136" s="55">
        <f ca="1">COUNTIF(C130:C135,"O")</f>
        <v>2</v>
      </c>
      <c r="D136" s="55">
        <f t="shared" ref="D136:Q136" ca="1" si="191">COUNTIF(D130:D135,"O")</f>
        <v>4</v>
      </c>
      <c r="E136" s="55">
        <f t="shared" ca="1" si="191"/>
        <v>4</v>
      </c>
      <c r="F136" s="55">
        <f t="shared" ca="1" si="191"/>
        <v>4</v>
      </c>
      <c r="G136" s="55">
        <f t="shared" ca="1" si="191"/>
        <v>3</v>
      </c>
      <c r="H136" s="55">
        <f t="shared" ca="1" si="191"/>
        <v>4</v>
      </c>
      <c r="I136" s="55">
        <f t="shared" ca="1" si="191"/>
        <v>5</v>
      </c>
      <c r="J136" s="55">
        <f t="shared" ca="1" si="191"/>
        <v>1</v>
      </c>
      <c r="K136" s="55">
        <f t="shared" ca="1" si="191"/>
        <v>3</v>
      </c>
      <c r="L136" s="55">
        <f t="shared" ca="1" si="191"/>
        <v>2</v>
      </c>
      <c r="M136" s="55">
        <f t="shared" ca="1" si="191"/>
        <v>3</v>
      </c>
      <c r="N136" s="55">
        <f t="shared" ca="1" si="191"/>
        <v>2</v>
      </c>
      <c r="O136" s="55">
        <f t="shared" ca="1" si="191"/>
        <v>6</v>
      </c>
      <c r="P136" s="55">
        <f t="shared" ca="1" si="191"/>
        <v>4</v>
      </c>
      <c r="Q136" s="55">
        <f t="shared" ca="1" si="191"/>
        <v>5</v>
      </c>
      <c r="R136" s="55">
        <f t="shared" ref="R136:AK136" si="192">COUNTIF(R130:R135,"O")</f>
        <v>0</v>
      </c>
      <c r="S136" s="55">
        <f t="shared" si="192"/>
        <v>0</v>
      </c>
      <c r="T136" s="55">
        <f t="shared" si="192"/>
        <v>0</v>
      </c>
      <c r="U136" s="55">
        <f t="shared" si="192"/>
        <v>0</v>
      </c>
      <c r="V136" s="55">
        <f t="shared" si="192"/>
        <v>0</v>
      </c>
      <c r="W136" s="55">
        <f t="shared" si="192"/>
        <v>0</v>
      </c>
      <c r="X136" s="55">
        <f t="shared" si="192"/>
        <v>0</v>
      </c>
      <c r="Y136" s="55">
        <f t="shared" si="192"/>
        <v>0</v>
      </c>
      <c r="Z136" s="55">
        <f t="shared" si="192"/>
        <v>0</v>
      </c>
      <c r="AA136" s="55">
        <f t="shared" si="192"/>
        <v>0</v>
      </c>
      <c r="AB136" s="55">
        <f t="shared" si="192"/>
        <v>0</v>
      </c>
      <c r="AC136" s="55">
        <f t="shared" si="192"/>
        <v>0</v>
      </c>
      <c r="AD136" s="55">
        <f t="shared" si="192"/>
        <v>0</v>
      </c>
      <c r="AE136" s="55">
        <f t="shared" si="192"/>
        <v>0</v>
      </c>
      <c r="AF136" s="55">
        <f t="shared" si="192"/>
        <v>0</v>
      </c>
      <c r="AG136" s="55">
        <f t="shared" si="192"/>
        <v>0</v>
      </c>
      <c r="AH136" s="55">
        <f t="shared" si="192"/>
        <v>0</v>
      </c>
      <c r="AI136" s="55">
        <f t="shared" si="192"/>
        <v>0</v>
      </c>
      <c r="AJ136" s="55">
        <f t="shared" si="192"/>
        <v>0</v>
      </c>
      <c r="AK136" s="55">
        <f t="shared" si="192"/>
        <v>0</v>
      </c>
      <c r="AL136" s="55">
        <f t="shared" ref="AL136:AU136" si="193">COUNTIF(AL130:AL135,"O")</f>
        <v>0</v>
      </c>
      <c r="AM136" s="55">
        <f t="shared" si="193"/>
        <v>0</v>
      </c>
      <c r="AN136" s="55">
        <f t="shared" si="193"/>
        <v>0</v>
      </c>
      <c r="AO136" s="55">
        <f t="shared" si="193"/>
        <v>0</v>
      </c>
      <c r="AP136" s="55">
        <f t="shared" si="193"/>
        <v>0</v>
      </c>
      <c r="AQ136" s="55">
        <f t="shared" si="193"/>
        <v>0</v>
      </c>
      <c r="AR136" s="55">
        <f t="shared" si="193"/>
        <v>0</v>
      </c>
      <c r="AS136" s="55">
        <f t="shared" si="193"/>
        <v>0</v>
      </c>
      <c r="AT136" s="55">
        <f t="shared" si="193"/>
        <v>0</v>
      </c>
      <c r="AU136" s="55">
        <f t="shared" si="193"/>
        <v>0</v>
      </c>
      <c r="AV136" s="171"/>
      <c r="AW136" s="171"/>
      <c r="AX136" s="171"/>
      <c r="BC136"/>
      <c r="BD136"/>
      <c r="BE136"/>
      <c r="BF136"/>
      <c r="BG136" s="118"/>
      <c r="BJ136"/>
      <c r="BK136"/>
      <c r="BL136"/>
      <c r="BM136" s="120"/>
      <c r="BN136" s="120"/>
    </row>
    <row r="137" spans="1:66" ht="17.5">
      <c r="A137" s="127" t="s">
        <v>841</v>
      </c>
      <c r="B137" s="54" t="s">
        <v>560</v>
      </c>
      <c r="C137" s="54" t="str">
        <f ca="1">IF(C7=$BC$25,"O",IF(C7=$BD$25,"O",IF(C7=$BE$25,"O",IF(C7=$BF$25,"O",IF(C7=$BG$25,"O",IF(C7=$BH$25,"O",IF(C7=$BI$25,"O",IF(C7=$BJ$25,"O",IF(C7=$BK$25,"O",IF(C7=$BL$25,"O",IF(C7=$BM$25,"O",IF(C7=$BN$25,"O",IF(C7=$BO$25,"O",IF(C7=$BP$25,"O",IF(C7=$BQ$25,"O",IF(C7=$BR$25,"O",IF(C7=$BS$25,"O",IF(C7=$BT$25,"O",IF(C7=$BU$25,"O",IF(C7=$BV$25,"O",IF(C7=$BW$25,"O",IF(C7=$BX$25,"O",IF(C7=$BY$25,"O",IF(C7=$BZ$25,"O",IF(C7=$CA$25,"O",IF(C7=$CB$25,"O",IF(C7=$CC$25,"O",IF(C7=$CD$25,"O",IF(C7=$CE$25,"O",IF(C7=$CF$25,"O",IF(C7=$CG$25,"O",IF(C7=$CH$25,"O",IF(C7=$CI$25,"O",IF(C7=$CJ$25,"O",IF(C7=$CK$25,"O",IF(C7=$CL$25,"O",IF(C7=$CM$25,"O",IF(C7=$CN$25,"O",IF(C7=$CO$25,"O",IF(C7=$CP$25,"O","X"))))))))))))))))))))))))))))))))))))))))</f>
        <v>X</v>
      </c>
      <c r="D137" s="54" t="str">
        <f t="shared" ref="D137:Q137" ca="1" si="194">IF(D7=$BC$25,"O",IF(D7=$BD$25,"O",IF(D7=$BE$25,"O",IF(D7=$BF$25,"O",IF(D7=$BG$25,"O",IF(D7=$BH$25,"O",IF(D7=$BI$25,"O",IF(D7=$BJ$25,"O",IF(D7=$BK$25,"O",IF(D7=$BL$25,"O",IF(D7=$BM$25,"O",IF(D7=$BN$25,"O",IF(D7=$BO$25,"O",IF(D7=$BP$25,"O",IF(D7=$BQ$25,"O",IF(D7=$BR$25,"O",IF(D7=$BS$25,"O",IF(D7=$BT$25,"O",IF(D7=$BU$25,"O",IF(D7=$BV$25,"O",IF(D7=$BW$25,"O",IF(D7=$BX$25,"O",IF(D7=$BY$25,"O",IF(D7=$BZ$25,"O",IF(D7=$CA$25,"O",IF(D7=$CB$25,"O",IF(D7=$CC$25,"O",IF(D7=$CD$25,"O",IF(D7=$CE$25,"O",IF(D7=$CF$25,"O",IF(D7=$CG$25,"O",IF(D7=$CH$25,"O",IF(D7=$CI$25,"O",IF(D7=$CJ$25,"O",IF(D7=$CK$25,"O",IF(D7=$CL$25,"O",IF(D7=$CM$25,"O",IF(D7=$CN$25,"O",IF(D7=$CO$25,"O",IF(D7=$CP$25,"O","X"))))))))))))))))))))))))))))))))))))))))</f>
        <v>O</v>
      </c>
      <c r="E137" s="54" t="str">
        <f t="shared" ca="1" si="194"/>
        <v>O</v>
      </c>
      <c r="F137" s="54" t="str">
        <f t="shared" ca="1" si="194"/>
        <v>O</v>
      </c>
      <c r="G137" s="54" t="str">
        <f t="shared" ca="1" si="194"/>
        <v>O</v>
      </c>
      <c r="H137" s="54" t="str">
        <f t="shared" ca="1" si="194"/>
        <v>O</v>
      </c>
      <c r="I137" s="54" t="str">
        <f t="shared" ca="1" si="194"/>
        <v>X</v>
      </c>
      <c r="J137" s="54" t="str">
        <f t="shared" ca="1" si="194"/>
        <v>X</v>
      </c>
      <c r="K137" s="54" t="str">
        <f t="shared" ca="1" si="194"/>
        <v>O</v>
      </c>
      <c r="L137" s="54" t="str">
        <f t="shared" ca="1" si="194"/>
        <v>O</v>
      </c>
      <c r="M137" s="54" t="str">
        <f t="shared" ca="1" si="194"/>
        <v>O</v>
      </c>
      <c r="N137" s="54" t="str">
        <f t="shared" ca="1" si="194"/>
        <v>O</v>
      </c>
      <c r="O137" s="54" t="str">
        <f t="shared" ca="1" si="194"/>
        <v>O</v>
      </c>
      <c r="P137" s="54" t="str">
        <f t="shared" ca="1" si="194"/>
        <v>X</v>
      </c>
      <c r="Q137" s="54" t="str">
        <f t="shared" ca="1" si="194"/>
        <v>O</v>
      </c>
      <c r="R137" s="54" t="str">
        <f t="shared" ref="R137:AU137" si="195">IF(R7=$BC$25,"O",IF(R7=$BD$25,"O",IF(R7=$BE$25,"O",IF(R7=$BF$25,"O",IF(R7=$BG$25,"O",IF(R7=$BH$25,"O",IF(R7=$BI$25,"O",IF(R7=$BJ$25,"O",IF(R7=$BK$25,"O",IF(R7=$BL$25,"O",IF(R7=$BM$25,"O",IF(R7=$BN$25,"O",IF(R7=$BO$25,"O",IF(R7=$BP$25,"O",IF(R7=$BQ$25,"O",IF(R7=$BR$25,"O",IF(R7=$BS$25,"O",IF(R7=$BT$25,"O",IF(R7=$BU$25,"O",IF(R7=$BV$25,"O",IF(R7=$BW$25,"O",IF(R7=$BX$25,"O",IF(R7=$BY$25,"O",IF(R7=$BZ$25,"O",IF(R7=$CA$25,"O",IF(R7=$CB$25,"O","X"))))))))))))))))))))))))))</f>
        <v>X</v>
      </c>
      <c r="S137" s="54" t="str">
        <f t="shared" si="195"/>
        <v>X</v>
      </c>
      <c r="T137" s="54" t="str">
        <f t="shared" si="195"/>
        <v>X</v>
      </c>
      <c r="U137" s="54" t="str">
        <f t="shared" si="195"/>
        <v>X</v>
      </c>
      <c r="V137" s="54" t="str">
        <f t="shared" si="195"/>
        <v>X</v>
      </c>
      <c r="W137" s="54" t="str">
        <f t="shared" si="195"/>
        <v>X</v>
      </c>
      <c r="X137" s="54" t="str">
        <f t="shared" si="195"/>
        <v>X</v>
      </c>
      <c r="Y137" s="54" t="str">
        <f t="shared" si="195"/>
        <v>X</v>
      </c>
      <c r="Z137" s="54" t="str">
        <f t="shared" si="195"/>
        <v>X</v>
      </c>
      <c r="AA137" s="54" t="str">
        <f t="shared" si="195"/>
        <v>X</v>
      </c>
      <c r="AB137" s="54" t="str">
        <f t="shared" si="195"/>
        <v>X</v>
      </c>
      <c r="AC137" s="54" t="str">
        <f t="shared" si="195"/>
        <v>X</v>
      </c>
      <c r="AD137" s="54" t="str">
        <f t="shared" si="195"/>
        <v>X</v>
      </c>
      <c r="AE137" s="54" t="str">
        <f t="shared" si="195"/>
        <v>X</v>
      </c>
      <c r="AF137" s="54" t="str">
        <f t="shared" si="195"/>
        <v>X</v>
      </c>
      <c r="AG137" s="54" t="str">
        <f t="shared" si="195"/>
        <v>X</v>
      </c>
      <c r="AH137" s="54" t="str">
        <f t="shared" si="195"/>
        <v>X</v>
      </c>
      <c r="AI137" s="54" t="str">
        <f t="shared" si="195"/>
        <v>X</v>
      </c>
      <c r="AJ137" s="54" t="str">
        <f t="shared" si="195"/>
        <v>X</v>
      </c>
      <c r="AK137" s="54" t="str">
        <f t="shared" si="195"/>
        <v>X</v>
      </c>
      <c r="AL137" s="54" t="str">
        <f t="shared" si="195"/>
        <v>X</v>
      </c>
      <c r="AM137" s="54" t="str">
        <f t="shared" si="195"/>
        <v>X</v>
      </c>
      <c r="AN137" s="54" t="str">
        <f t="shared" si="195"/>
        <v>X</v>
      </c>
      <c r="AO137" s="54" t="str">
        <f t="shared" si="195"/>
        <v>X</v>
      </c>
      <c r="AP137" s="54" t="str">
        <f t="shared" si="195"/>
        <v>X</v>
      </c>
      <c r="AQ137" s="54" t="str">
        <f t="shared" si="195"/>
        <v>X</v>
      </c>
      <c r="AR137" s="54" t="str">
        <f t="shared" si="195"/>
        <v>X</v>
      </c>
      <c r="AS137" s="54" t="str">
        <f t="shared" si="195"/>
        <v>X</v>
      </c>
      <c r="AT137" s="54" t="str">
        <f t="shared" si="195"/>
        <v>X</v>
      </c>
      <c r="AU137" s="54" t="str">
        <f t="shared" si="195"/>
        <v>X</v>
      </c>
      <c r="AV137" s="53"/>
      <c r="AW137" s="53"/>
      <c r="AX137" s="53"/>
      <c r="BC137"/>
      <c r="BD137"/>
      <c r="BE137"/>
      <c r="BF137"/>
      <c r="BG137" s="118"/>
      <c r="BI137" s="119"/>
      <c r="BJ137"/>
    </row>
    <row r="138" spans="1:66" ht="17.5">
      <c r="A138" s="128"/>
      <c r="B138" s="54" t="s">
        <v>566</v>
      </c>
      <c r="C138" s="54" t="str">
        <f t="shared" ref="C138:Q138" ca="1" si="196">IF(C8=$BC$25,"O",IF(C8=$BD$25,"O",IF(C8=$BE$25,"O",IF(C8=$BF$25,"O",IF(C8=$BG$25,"O",IF(C8=$BH$25,"O",IF(C8=$BI$25,"O",IF(C8=$BJ$25,"O",IF(C8=$BK$25,"O",IF(C8=$BL$25,"O",IF(C8=$BM$25,"O",IF(C8=$BN$25,"O",IF(C8=$BO$25,"O",IF(C8=$BP$25,"O",IF(C8=$BQ$25,"O",IF(C8=$BR$25,"O",IF(C8=$BS$25,"O",IF(C8=$BT$25,"O",IF(C8=$BU$25,"O",IF(C8=$BV$25,"O",IF(C8=$BW$25,"O",IF(C8=$BX$25,"O",IF(C8=$BY$25,"O",IF(C8=$BZ$25,"O",IF(C8=$CA$25,"O",IF(C8=$CB$25,"O",IF(C8=$CC$25,"O",IF(C8=$CD$25,"O",IF(C8=$CE$25,"O",IF(C8=$CF$25,"O",IF(C8=$CG$25,"O",IF(C8=$CH$25,"O",IF(C8=$CI$25,"O",IF(C8=$CJ$25,"O",IF(C8=$CK$25,"O",IF(C8=$CL$25,"O",IF(C8=$CM$25,"O",IF(C8=$CN$25,"O",IF(C8=$CO$25,"O",IF(C8=$CP$25,"O","X"))))))))))))))))))))))))))))))))))))))))</f>
        <v>X</v>
      </c>
      <c r="D138" s="54" t="str">
        <f t="shared" ca="1" si="196"/>
        <v>X</v>
      </c>
      <c r="E138" s="54" t="str">
        <f t="shared" ca="1" si="196"/>
        <v>O</v>
      </c>
      <c r="F138" s="54" t="str">
        <f t="shared" ca="1" si="196"/>
        <v>X</v>
      </c>
      <c r="G138" s="54" t="str">
        <f t="shared" ca="1" si="196"/>
        <v>X</v>
      </c>
      <c r="H138" s="54" t="str">
        <f t="shared" ca="1" si="196"/>
        <v>X</v>
      </c>
      <c r="I138" s="54" t="str">
        <f t="shared" ca="1" si="196"/>
        <v>O</v>
      </c>
      <c r="J138" s="54" t="str">
        <f t="shared" ca="1" si="196"/>
        <v>X</v>
      </c>
      <c r="K138" s="54" t="str">
        <f t="shared" ca="1" si="196"/>
        <v>O</v>
      </c>
      <c r="L138" s="54" t="str">
        <f t="shared" ca="1" si="196"/>
        <v>O</v>
      </c>
      <c r="M138" s="54" t="str">
        <f t="shared" ca="1" si="196"/>
        <v>O</v>
      </c>
      <c r="N138" s="54" t="str">
        <f t="shared" ca="1" si="196"/>
        <v>O</v>
      </c>
      <c r="O138" s="54" t="str">
        <f t="shared" ca="1" si="196"/>
        <v>O</v>
      </c>
      <c r="P138" s="54" t="str">
        <f t="shared" ca="1" si="196"/>
        <v>X</v>
      </c>
      <c r="Q138" s="54" t="str">
        <f t="shared" ca="1" si="196"/>
        <v>X</v>
      </c>
      <c r="R138" s="54" t="str">
        <f t="shared" ref="R138:AU138" si="197">IF(R8=$BC$25,"O",IF(R8=$BD$25,"O",IF(R8=$BE$25,"O",IF(R8=$BF$25,"O",IF(R8=$BG$25,"O",IF(R8=$BH$25,"O",IF(R8=$BI$25,"O",IF(R8=$BJ$25,"O",IF(R8=$BK$25,"O",IF(R8=$BL$25,"O",IF(R8=$BM$25,"O",IF(R8=$BN$25,"O",IF(R8=$BO$25,"O",IF(R8=$BP$25,"O",IF(R8=$BQ$25,"O",IF(R8=$BR$25,"O",IF(R8=$BS$25,"O",IF(R8=$BT$25,"O",IF(R8=$BU$25,"O",IF(R8=$BV$25,"O",IF(R8=$BW$25,"O",IF(R8=$BX$25,"O",IF(R8=$BY$25,"O",IF(R8=$BZ$25,"O",IF(R8=$CA$25,"O",IF(R8=$CB$25,"O","X"))))))))))))))))))))))))))</f>
        <v>X</v>
      </c>
      <c r="S138" s="54" t="str">
        <f t="shared" si="197"/>
        <v>X</v>
      </c>
      <c r="T138" s="54" t="str">
        <f t="shared" si="197"/>
        <v>X</v>
      </c>
      <c r="U138" s="54" t="str">
        <f t="shared" si="197"/>
        <v>X</v>
      </c>
      <c r="V138" s="54" t="str">
        <f t="shared" si="197"/>
        <v>X</v>
      </c>
      <c r="W138" s="54" t="str">
        <f t="shared" si="197"/>
        <v>X</v>
      </c>
      <c r="X138" s="54" t="str">
        <f t="shared" si="197"/>
        <v>X</v>
      </c>
      <c r="Y138" s="54" t="str">
        <f t="shared" si="197"/>
        <v>X</v>
      </c>
      <c r="Z138" s="54" t="str">
        <f t="shared" si="197"/>
        <v>X</v>
      </c>
      <c r="AA138" s="54" t="str">
        <f t="shared" si="197"/>
        <v>X</v>
      </c>
      <c r="AB138" s="54" t="str">
        <f t="shared" si="197"/>
        <v>X</v>
      </c>
      <c r="AC138" s="54" t="str">
        <f t="shared" si="197"/>
        <v>X</v>
      </c>
      <c r="AD138" s="54" t="str">
        <f t="shared" si="197"/>
        <v>X</v>
      </c>
      <c r="AE138" s="54" t="str">
        <f t="shared" si="197"/>
        <v>X</v>
      </c>
      <c r="AF138" s="54" t="str">
        <f t="shared" si="197"/>
        <v>X</v>
      </c>
      <c r="AG138" s="54" t="str">
        <f t="shared" si="197"/>
        <v>X</v>
      </c>
      <c r="AH138" s="54" t="str">
        <f t="shared" si="197"/>
        <v>X</v>
      </c>
      <c r="AI138" s="54" t="str">
        <f t="shared" si="197"/>
        <v>X</v>
      </c>
      <c r="AJ138" s="54" t="str">
        <f t="shared" si="197"/>
        <v>X</v>
      </c>
      <c r="AK138" s="54" t="str">
        <f t="shared" si="197"/>
        <v>X</v>
      </c>
      <c r="AL138" s="54" t="str">
        <f t="shared" si="197"/>
        <v>X</v>
      </c>
      <c r="AM138" s="54" t="str">
        <f t="shared" si="197"/>
        <v>X</v>
      </c>
      <c r="AN138" s="54" t="str">
        <f t="shared" si="197"/>
        <v>X</v>
      </c>
      <c r="AO138" s="54" t="str">
        <f t="shared" si="197"/>
        <v>X</v>
      </c>
      <c r="AP138" s="54" t="str">
        <f t="shared" si="197"/>
        <v>X</v>
      </c>
      <c r="AQ138" s="54" t="str">
        <f t="shared" si="197"/>
        <v>X</v>
      </c>
      <c r="AR138" s="54" t="str">
        <f t="shared" si="197"/>
        <v>X</v>
      </c>
      <c r="AS138" s="54" t="str">
        <f t="shared" si="197"/>
        <v>X</v>
      </c>
      <c r="AT138" s="54" t="str">
        <f t="shared" si="197"/>
        <v>X</v>
      </c>
      <c r="AU138" s="54" t="str">
        <f t="shared" si="197"/>
        <v>X</v>
      </c>
      <c r="AV138" s="53"/>
      <c r="AW138" s="53"/>
      <c r="AX138" s="53"/>
      <c r="BC138"/>
      <c r="BD138"/>
      <c r="BE138"/>
      <c r="BF138"/>
      <c r="BG138" s="118"/>
      <c r="BJ138"/>
    </row>
    <row r="139" spans="1:66" ht="17.5">
      <c r="A139" s="128"/>
      <c r="B139" s="54" t="s">
        <v>567</v>
      </c>
      <c r="C139" s="54" t="str">
        <f t="shared" ref="C139:Q139" ca="1" si="198">IF(C9=$BC$25,"O",IF(C9=$BD$25,"O",IF(C9=$BE$25,"O",IF(C9=$BF$25,"O",IF(C9=$BG$25,"O",IF(C9=$BH$25,"O",IF(C9=$BI$25,"O",IF(C9=$BJ$25,"O",IF(C9=$BK$25,"O",IF(C9=$BL$25,"O",IF(C9=$BM$25,"O",IF(C9=$BN$25,"O",IF(C9=$BO$25,"O",IF(C9=$BP$25,"O",IF(C9=$BQ$25,"O",IF(C9=$BR$25,"O",IF(C9=$BS$25,"O",IF(C9=$BT$25,"O",IF(C9=$BU$25,"O",IF(C9=$BV$25,"O",IF(C9=$BW$25,"O",IF(C9=$BX$25,"O",IF(C9=$BY$25,"O",IF(C9=$BZ$25,"O",IF(C9=$CA$25,"O",IF(C9=$CB$25,"O",IF(C9=$CC$25,"O",IF(C9=$CD$25,"O",IF(C9=$CE$25,"O",IF(C9=$CF$25,"O",IF(C9=$CG$25,"O",IF(C9=$CH$25,"O",IF(C9=$CI$25,"O",IF(C9=$CJ$25,"O",IF(C9=$CK$25,"O",IF(C9=$CL$25,"O",IF(C9=$CM$25,"O",IF(C9=$CN$25,"O",IF(C9=$CO$25,"O",IF(C9=$CP$25,"O","X"))))))))))))))))))))))))))))))))))))))))</f>
        <v>O</v>
      </c>
      <c r="D139" s="54" t="str">
        <f t="shared" ca="1" si="198"/>
        <v>O</v>
      </c>
      <c r="E139" s="54" t="str">
        <f t="shared" ca="1" si="198"/>
        <v>O</v>
      </c>
      <c r="F139" s="54" t="str">
        <f t="shared" ca="1" si="198"/>
        <v>X</v>
      </c>
      <c r="G139" s="54" t="str">
        <f t="shared" ca="1" si="198"/>
        <v>O</v>
      </c>
      <c r="H139" s="54" t="str">
        <f t="shared" ca="1" si="198"/>
        <v>X</v>
      </c>
      <c r="I139" s="54" t="str">
        <f t="shared" ca="1" si="198"/>
        <v>O</v>
      </c>
      <c r="J139" s="54" t="str">
        <f t="shared" ca="1" si="198"/>
        <v>X</v>
      </c>
      <c r="K139" s="54" t="str">
        <f t="shared" ca="1" si="198"/>
        <v>O</v>
      </c>
      <c r="L139" s="54" t="str">
        <f t="shared" ca="1" si="198"/>
        <v>X</v>
      </c>
      <c r="M139" s="54" t="str">
        <f t="shared" ca="1" si="198"/>
        <v>X</v>
      </c>
      <c r="N139" s="54" t="str">
        <f t="shared" ca="1" si="198"/>
        <v>X</v>
      </c>
      <c r="O139" s="54" t="str">
        <f t="shared" ca="1" si="198"/>
        <v>X</v>
      </c>
      <c r="P139" s="54" t="str">
        <f t="shared" ca="1" si="198"/>
        <v>O</v>
      </c>
      <c r="Q139" s="54" t="str">
        <f t="shared" ca="1" si="198"/>
        <v>X</v>
      </c>
      <c r="R139" s="54" t="str">
        <f t="shared" ref="R139:AU139" si="199">IF(R9=$BC$25,"O",IF(R9=$BD$25,"O",IF(R9=$BE$25,"O",IF(R9=$BF$25,"O",IF(R9=$BG$25,"O",IF(R9=$BH$25,"O",IF(R9=$BI$25,"O",IF(R9=$BJ$25,"O",IF(R9=$BK$25,"O",IF(R9=$BL$25,"O",IF(R9=$BM$25,"O",IF(R9=$BN$25,"O",IF(R9=$BO$25,"O",IF(R9=$BP$25,"O",IF(R9=$BQ$25,"O",IF(R9=$BR$25,"O",IF(R9=$BS$25,"O",IF(R9=$BT$25,"O",IF(R9=$BU$25,"O",IF(R9=$BV$25,"O",IF(R9=$BW$25,"O",IF(R9=$BX$25,"O",IF(R9=$BY$25,"O",IF(R9=$BZ$25,"O",IF(R9=$CA$25,"O",IF(R9=$CB$25,"O","X"))))))))))))))))))))))))))</f>
        <v>X</v>
      </c>
      <c r="S139" s="54" t="str">
        <f t="shared" si="199"/>
        <v>X</v>
      </c>
      <c r="T139" s="54" t="str">
        <f t="shared" si="199"/>
        <v>X</v>
      </c>
      <c r="U139" s="54" t="str">
        <f t="shared" si="199"/>
        <v>X</v>
      </c>
      <c r="V139" s="54" t="str">
        <f t="shared" si="199"/>
        <v>X</v>
      </c>
      <c r="W139" s="54" t="str">
        <f t="shared" si="199"/>
        <v>X</v>
      </c>
      <c r="X139" s="54" t="str">
        <f t="shared" si="199"/>
        <v>X</v>
      </c>
      <c r="Y139" s="54" t="str">
        <f t="shared" si="199"/>
        <v>X</v>
      </c>
      <c r="Z139" s="54" t="str">
        <f t="shared" si="199"/>
        <v>X</v>
      </c>
      <c r="AA139" s="54" t="str">
        <f t="shared" si="199"/>
        <v>X</v>
      </c>
      <c r="AB139" s="54" t="str">
        <f t="shared" si="199"/>
        <v>X</v>
      </c>
      <c r="AC139" s="54" t="str">
        <f t="shared" si="199"/>
        <v>X</v>
      </c>
      <c r="AD139" s="54" t="str">
        <f t="shared" si="199"/>
        <v>X</v>
      </c>
      <c r="AE139" s="54" t="str">
        <f t="shared" si="199"/>
        <v>X</v>
      </c>
      <c r="AF139" s="54" t="str">
        <f t="shared" si="199"/>
        <v>X</v>
      </c>
      <c r="AG139" s="54" t="str">
        <f t="shared" si="199"/>
        <v>X</v>
      </c>
      <c r="AH139" s="54" t="str">
        <f t="shared" si="199"/>
        <v>X</v>
      </c>
      <c r="AI139" s="54" t="str">
        <f t="shared" si="199"/>
        <v>X</v>
      </c>
      <c r="AJ139" s="54" t="str">
        <f t="shared" si="199"/>
        <v>X</v>
      </c>
      <c r="AK139" s="54" t="str">
        <f t="shared" si="199"/>
        <v>X</v>
      </c>
      <c r="AL139" s="54" t="str">
        <f t="shared" si="199"/>
        <v>X</v>
      </c>
      <c r="AM139" s="54" t="str">
        <f t="shared" si="199"/>
        <v>X</v>
      </c>
      <c r="AN139" s="54" t="str">
        <f t="shared" si="199"/>
        <v>X</v>
      </c>
      <c r="AO139" s="54" t="str">
        <f t="shared" si="199"/>
        <v>X</v>
      </c>
      <c r="AP139" s="54" t="str">
        <f t="shared" si="199"/>
        <v>X</v>
      </c>
      <c r="AQ139" s="54" t="str">
        <f t="shared" si="199"/>
        <v>X</v>
      </c>
      <c r="AR139" s="54" t="str">
        <f t="shared" si="199"/>
        <v>X</v>
      </c>
      <c r="AS139" s="54" t="str">
        <f t="shared" si="199"/>
        <v>X</v>
      </c>
      <c r="AT139" s="54" t="str">
        <f t="shared" si="199"/>
        <v>X</v>
      </c>
      <c r="AU139" s="54" t="str">
        <f t="shared" si="199"/>
        <v>X</v>
      </c>
      <c r="AV139" s="53"/>
      <c r="AW139" s="53"/>
      <c r="AX139" s="53"/>
      <c r="BC139"/>
      <c r="BD139"/>
      <c r="BE139"/>
      <c r="BF139"/>
      <c r="BG139" s="118"/>
      <c r="BJ139"/>
    </row>
    <row r="140" spans="1:66" ht="17.5">
      <c r="A140" s="128"/>
      <c r="B140" s="54" t="s">
        <v>568</v>
      </c>
      <c r="C140" s="54" t="str">
        <f t="shared" ref="C140:Q140" ca="1" si="200">IF(C10=$BC$25,"O",IF(C10=$BD$25,"O",IF(C10=$BE$25,"O",IF(C10=$BF$25,"O",IF(C10=$BG$25,"O",IF(C10=$BH$25,"O",IF(C10=$BI$25,"O",IF(C10=$BJ$25,"O",IF(C10=$BK$25,"O",IF(C10=$BL$25,"O",IF(C10=$BM$25,"O",IF(C10=$BN$25,"O",IF(C10=$BO$25,"O",IF(C10=$BP$25,"O",IF(C10=$BQ$25,"O",IF(C10=$BR$25,"O",IF(C10=$BS$25,"O",IF(C10=$BT$25,"O",IF(C10=$BU$25,"O",IF(C10=$BV$25,"O",IF(C10=$BW$25,"O",IF(C10=$BX$25,"O",IF(C10=$BY$25,"O",IF(C10=$BZ$25,"O",IF(C10=$CA$25,"O",IF(C10=$CB$25,"O",IF(C10=$CC$25,"O",IF(C10=$CD$25,"O",IF(C10=$CE$25,"O",IF(C10=$CF$25,"O",IF(C10=$CG$25,"O",IF(C10=$CH$25,"O",IF(C10=$CI$25,"O",IF(C10=$CJ$25,"O",IF(C10=$CK$25,"O",IF(C10=$CL$25,"O",IF(C10=$CM$25,"O",IF(C10=$CN$25,"O",IF(C10=$CO$25,"O",IF(C10=$CP$25,"O","X"))))))))))))))))))))))))))))))))))))))))</f>
        <v>X</v>
      </c>
      <c r="D140" s="54" t="str">
        <f t="shared" ca="1" si="200"/>
        <v>X</v>
      </c>
      <c r="E140" s="54" t="str">
        <f t="shared" ca="1" si="200"/>
        <v>X</v>
      </c>
      <c r="F140" s="54" t="str">
        <f t="shared" ca="1" si="200"/>
        <v>X</v>
      </c>
      <c r="G140" s="54" t="str">
        <f t="shared" ca="1" si="200"/>
        <v>O</v>
      </c>
      <c r="H140" s="54" t="str">
        <f t="shared" ca="1" si="200"/>
        <v>X</v>
      </c>
      <c r="I140" s="54" t="str">
        <f t="shared" ca="1" si="200"/>
        <v>O</v>
      </c>
      <c r="J140" s="54" t="str">
        <f t="shared" ca="1" si="200"/>
        <v>O</v>
      </c>
      <c r="K140" s="54" t="str">
        <f t="shared" ca="1" si="200"/>
        <v>X</v>
      </c>
      <c r="L140" s="54" t="str">
        <f t="shared" ca="1" si="200"/>
        <v>X</v>
      </c>
      <c r="M140" s="54" t="str">
        <f t="shared" ca="1" si="200"/>
        <v>O</v>
      </c>
      <c r="N140" s="54" t="str">
        <f t="shared" ca="1" si="200"/>
        <v>X</v>
      </c>
      <c r="O140" s="54" t="str">
        <f t="shared" ca="1" si="200"/>
        <v>O</v>
      </c>
      <c r="P140" s="54" t="str">
        <f t="shared" ca="1" si="200"/>
        <v>O</v>
      </c>
      <c r="Q140" s="54" t="str">
        <f t="shared" ca="1" si="200"/>
        <v>X</v>
      </c>
      <c r="R140" s="54" t="str">
        <f t="shared" ref="R140:AU140" si="201">IF(R10=$BC$25,"O",IF(R10=$BD$25,"O",IF(R10=$BE$25,"O",IF(R10=$BF$25,"O",IF(R10=$BG$25,"O",IF(R10=$BH$25,"O",IF(R10=$BI$25,"O",IF(R10=$BJ$25,"O",IF(R10=$BK$25,"O",IF(R10=$BL$25,"O",IF(R10=$BM$25,"O",IF(R10=$BN$25,"O",IF(R10=$BO$25,"O",IF(R10=$BP$25,"O",IF(R10=$BQ$25,"O",IF(R10=$BR$25,"O",IF(R10=$BS$25,"O",IF(R10=$BT$25,"O",IF(R10=$BU$25,"O",IF(R10=$BV$25,"O",IF(R10=$BW$25,"O",IF(R10=$BX$25,"O",IF(R10=$BY$25,"O",IF(R10=$BZ$25,"O",IF(R10=$CA$25,"O",IF(R10=$CB$25,"O","X"))))))))))))))))))))))))))</f>
        <v>X</v>
      </c>
      <c r="S140" s="54" t="str">
        <f t="shared" si="201"/>
        <v>X</v>
      </c>
      <c r="T140" s="54" t="str">
        <f t="shared" si="201"/>
        <v>X</v>
      </c>
      <c r="U140" s="54" t="str">
        <f t="shared" si="201"/>
        <v>X</v>
      </c>
      <c r="V140" s="54" t="str">
        <f t="shared" si="201"/>
        <v>X</v>
      </c>
      <c r="W140" s="54" t="str">
        <f t="shared" si="201"/>
        <v>X</v>
      </c>
      <c r="X140" s="54" t="str">
        <f t="shared" si="201"/>
        <v>X</v>
      </c>
      <c r="Y140" s="54" t="str">
        <f t="shared" si="201"/>
        <v>X</v>
      </c>
      <c r="Z140" s="54" t="str">
        <f t="shared" si="201"/>
        <v>X</v>
      </c>
      <c r="AA140" s="54" t="str">
        <f t="shared" si="201"/>
        <v>X</v>
      </c>
      <c r="AB140" s="54" t="str">
        <f t="shared" si="201"/>
        <v>X</v>
      </c>
      <c r="AC140" s="54" t="str">
        <f t="shared" si="201"/>
        <v>X</v>
      </c>
      <c r="AD140" s="54" t="str">
        <f t="shared" si="201"/>
        <v>X</v>
      </c>
      <c r="AE140" s="54" t="str">
        <f t="shared" si="201"/>
        <v>X</v>
      </c>
      <c r="AF140" s="54" t="str">
        <f t="shared" si="201"/>
        <v>X</v>
      </c>
      <c r="AG140" s="54" t="str">
        <f t="shared" si="201"/>
        <v>X</v>
      </c>
      <c r="AH140" s="54" t="str">
        <f t="shared" si="201"/>
        <v>X</v>
      </c>
      <c r="AI140" s="54" t="str">
        <f t="shared" si="201"/>
        <v>X</v>
      </c>
      <c r="AJ140" s="54" t="str">
        <f t="shared" si="201"/>
        <v>X</v>
      </c>
      <c r="AK140" s="54" t="str">
        <f t="shared" si="201"/>
        <v>X</v>
      </c>
      <c r="AL140" s="54" t="str">
        <f t="shared" si="201"/>
        <v>X</v>
      </c>
      <c r="AM140" s="54" t="str">
        <f t="shared" si="201"/>
        <v>X</v>
      </c>
      <c r="AN140" s="54" t="str">
        <f t="shared" si="201"/>
        <v>X</v>
      </c>
      <c r="AO140" s="54" t="str">
        <f t="shared" si="201"/>
        <v>X</v>
      </c>
      <c r="AP140" s="54" t="str">
        <f t="shared" si="201"/>
        <v>X</v>
      </c>
      <c r="AQ140" s="54" t="str">
        <f t="shared" si="201"/>
        <v>X</v>
      </c>
      <c r="AR140" s="54" t="str">
        <f t="shared" si="201"/>
        <v>X</v>
      </c>
      <c r="AS140" s="54" t="str">
        <f t="shared" si="201"/>
        <v>X</v>
      </c>
      <c r="AT140" s="54" t="str">
        <f t="shared" si="201"/>
        <v>X</v>
      </c>
      <c r="AU140" s="54" t="str">
        <f t="shared" si="201"/>
        <v>X</v>
      </c>
      <c r="AV140" s="53"/>
      <c r="AW140" s="53"/>
      <c r="AX140" s="53"/>
      <c r="BC140"/>
      <c r="BD140"/>
      <c r="BE140"/>
      <c r="BF140"/>
      <c r="BG140" s="118"/>
      <c r="BJ140"/>
    </row>
    <row r="141" spans="1:66" ht="17.5">
      <c r="A141" s="128"/>
      <c r="B141" s="54" t="s">
        <v>569</v>
      </c>
      <c r="C141" s="54" t="str">
        <f t="shared" ref="C141:Q141" ca="1" si="202">IF(C11=$BC$25,"O",IF(C11=$BD$25,"O",IF(C11=$BE$25,"O",IF(C11=$BF$25,"O",IF(C11=$BG$25,"O",IF(C11=$BH$25,"O",IF(C11=$BI$25,"O",IF(C11=$BJ$25,"O",IF(C11=$BK$25,"O",IF(C11=$BL$25,"O",IF(C11=$BM$25,"O",IF(C11=$BN$25,"O",IF(C11=$BO$25,"O",IF(C11=$BP$25,"O",IF(C11=$BQ$25,"O",IF(C11=$BR$25,"O",IF(C11=$BS$25,"O",IF(C11=$BT$25,"O",IF(C11=$BU$25,"O",IF(C11=$BV$25,"O",IF(C11=$BW$25,"O",IF(C11=$BX$25,"O",IF(C11=$BY$25,"O",IF(C11=$BZ$25,"O",IF(C11=$CA$25,"O",IF(C11=$CB$25,"O",IF(C11=$CC$25,"O",IF(C11=$CD$25,"O",IF(C11=$CE$25,"O",IF(C11=$CF$25,"O",IF(C11=$CG$25,"O",IF(C11=$CH$25,"O",IF(C11=$CI$25,"O",IF(C11=$CJ$25,"O",IF(C11=$CK$25,"O",IF(C11=$CL$25,"O",IF(C11=$CM$25,"O",IF(C11=$CN$25,"O",IF(C11=$CO$25,"O",IF(C11=$CP$25,"O","X"))))))))))))))))))))))))))))))))))))))))</f>
        <v>X</v>
      </c>
      <c r="D141" s="54" t="str">
        <f t="shared" ca="1" si="202"/>
        <v>X</v>
      </c>
      <c r="E141" s="54" t="str">
        <f t="shared" ca="1" si="202"/>
        <v>X</v>
      </c>
      <c r="F141" s="54" t="str">
        <f t="shared" ca="1" si="202"/>
        <v>O</v>
      </c>
      <c r="G141" s="54" t="str">
        <f t="shared" ca="1" si="202"/>
        <v>X</v>
      </c>
      <c r="H141" s="54" t="str">
        <f t="shared" ca="1" si="202"/>
        <v>O</v>
      </c>
      <c r="I141" s="54" t="str">
        <f t="shared" ca="1" si="202"/>
        <v>X</v>
      </c>
      <c r="J141" s="54" t="str">
        <f t="shared" ca="1" si="202"/>
        <v>X</v>
      </c>
      <c r="K141" s="54" t="str">
        <f t="shared" ca="1" si="202"/>
        <v>X</v>
      </c>
      <c r="L141" s="54" t="str">
        <f t="shared" ca="1" si="202"/>
        <v>O</v>
      </c>
      <c r="M141" s="54" t="str">
        <f t="shared" ca="1" si="202"/>
        <v>O</v>
      </c>
      <c r="N141" s="54" t="str">
        <f t="shared" ca="1" si="202"/>
        <v>X</v>
      </c>
      <c r="O141" s="54" t="str">
        <f t="shared" ca="1" si="202"/>
        <v>X</v>
      </c>
      <c r="P141" s="54" t="str">
        <f t="shared" ca="1" si="202"/>
        <v>X</v>
      </c>
      <c r="Q141" s="54" t="str">
        <f t="shared" ca="1" si="202"/>
        <v>X</v>
      </c>
      <c r="R141" s="54" t="str">
        <f t="shared" ref="R141:AU141" si="203">IF(R11=$BC$25,"O",IF(R11=$BD$25,"O",IF(R11=$BE$25,"O",IF(R11=$BF$25,"O",IF(R11=$BG$25,"O",IF(R11=$BH$25,"O",IF(R11=$BI$25,"O",IF(R11=$BJ$25,"O",IF(R11=$BK$25,"O",IF(R11=$BL$25,"O",IF(R11=$BM$25,"O",IF(R11=$BN$25,"O",IF(R11=$BO$25,"O",IF(R11=$BP$25,"O",IF(R11=$BQ$25,"O",IF(R11=$BR$25,"O",IF(R11=$BS$25,"O",IF(R11=$BT$25,"O",IF(R11=$BU$25,"O",IF(R11=$BV$25,"O",IF(R11=$BW$25,"O",IF(R11=$BX$25,"O",IF(R11=$BY$25,"O",IF(R11=$BZ$25,"O",IF(R11=$CA$25,"O",IF(R11=$CB$25,"O","X"))))))))))))))))))))))))))</f>
        <v>X</v>
      </c>
      <c r="S141" s="54" t="str">
        <f t="shared" si="203"/>
        <v>X</v>
      </c>
      <c r="T141" s="54" t="str">
        <f t="shared" si="203"/>
        <v>X</v>
      </c>
      <c r="U141" s="54" t="str">
        <f t="shared" si="203"/>
        <v>X</v>
      </c>
      <c r="V141" s="54" t="str">
        <f t="shared" si="203"/>
        <v>X</v>
      </c>
      <c r="W141" s="54" t="str">
        <f t="shared" si="203"/>
        <v>X</v>
      </c>
      <c r="X141" s="54" t="str">
        <f t="shared" si="203"/>
        <v>X</v>
      </c>
      <c r="Y141" s="54" t="str">
        <f t="shared" si="203"/>
        <v>X</v>
      </c>
      <c r="Z141" s="54" t="str">
        <f t="shared" si="203"/>
        <v>X</v>
      </c>
      <c r="AA141" s="54" t="str">
        <f t="shared" si="203"/>
        <v>X</v>
      </c>
      <c r="AB141" s="54" t="str">
        <f t="shared" si="203"/>
        <v>X</v>
      </c>
      <c r="AC141" s="54" t="str">
        <f t="shared" si="203"/>
        <v>X</v>
      </c>
      <c r="AD141" s="54" t="str">
        <f t="shared" si="203"/>
        <v>X</v>
      </c>
      <c r="AE141" s="54" t="str">
        <f t="shared" si="203"/>
        <v>X</v>
      </c>
      <c r="AF141" s="54" t="str">
        <f t="shared" si="203"/>
        <v>X</v>
      </c>
      <c r="AG141" s="54" t="str">
        <f t="shared" si="203"/>
        <v>X</v>
      </c>
      <c r="AH141" s="54" t="str">
        <f t="shared" si="203"/>
        <v>X</v>
      </c>
      <c r="AI141" s="54" t="str">
        <f t="shared" si="203"/>
        <v>X</v>
      </c>
      <c r="AJ141" s="54" t="str">
        <f t="shared" si="203"/>
        <v>X</v>
      </c>
      <c r="AK141" s="54" t="str">
        <f t="shared" si="203"/>
        <v>X</v>
      </c>
      <c r="AL141" s="54" t="str">
        <f t="shared" si="203"/>
        <v>X</v>
      </c>
      <c r="AM141" s="54" t="str">
        <f t="shared" si="203"/>
        <v>X</v>
      </c>
      <c r="AN141" s="54" t="str">
        <f t="shared" si="203"/>
        <v>X</v>
      </c>
      <c r="AO141" s="54" t="str">
        <f t="shared" si="203"/>
        <v>X</v>
      </c>
      <c r="AP141" s="54" t="str">
        <f t="shared" si="203"/>
        <v>X</v>
      </c>
      <c r="AQ141" s="54" t="str">
        <f t="shared" si="203"/>
        <v>X</v>
      </c>
      <c r="AR141" s="54" t="str">
        <f t="shared" si="203"/>
        <v>X</v>
      </c>
      <c r="AS141" s="54" t="str">
        <f t="shared" si="203"/>
        <v>X</v>
      </c>
      <c r="AT141" s="54" t="str">
        <f t="shared" si="203"/>
        <v>X</v>
      </c>
      <c r="AU141" s="54" t="str">
        <f t="shared" si="203"/>
        <v>X</v>
      </c>
      <c r="AV141" s="53"/>
      <c r="AW141" s="53"/>
      <c r="AX141" s="53"/>
      <c r="BC141"/>
      <c r="BD141"/>
      <c r="BE141"/>
      <c r="BF141"/>
      <c r="BG141" s="118"/>
      <c r="BJ141"/>
    </row>
    <row r="142" spans="1:66">
      <c r="A142" s="128"/>
      <c r="B142" s="54" t="s">
        <v>540</v>
      </c>
      <c r="C142" s="54" t="str">
        <f t="shared" ref="C142:P142" ca="1" si="204">IF(C12=$BC$25,"O",IF(C12=$BD$25,"O",IF(C12=$BE$25,"O",IF(C12=$BF$25,"O",IF(C12=$BG$25,"O",IF(C12=$BH$25,"O",IF(C12=$BI$25,"O",IF(C12=$BJ$25,"O",IF(C12=$BK$25,"O",IF(C12=$BL$25,"O",IF(C12=$BM$25,"O",IF(C12=$BN$25,"O",IF(C12=$BO$25,"O",IF(C12=$BP$25,"O",IF(C12=$BQ$25,"O",IF(C12=$BR$25,"O",IF(C12=$BS$25,"O",IF(C12=$BT$25,"O",IF(C12=$BU$25,"O",IF(C12=$BV$25,"O",IF(C12=$BW$25,"O",IF(C12=$BX$25,"O",IF(C12=$BY$25,"O",IF(C12=$BZ$25,"O",IF(C12=$CA$25,"O",IF(C12=$CB$25,"O",IF(C12=$CC$25,"O",IF(C12=$CD$25,"O",IF(C12=$CE$25,"O",IF(C12=$CF$25,"O",IF(C12=$CG$25,"O",IF(C12=$CH$25,"O",IF(C12=$CI$25,"O",IF(C12=$CJ$25,"O",IF(C12=$CK$25,"O",IF(C12=$CL$25,"O",IF(C12=$CM$25,"O",IF(C12=$CN$25,"O",IF(C12=$CO$25,"O",IF(C12=$CP$25,"O","X"))))))))))))))))))))))))))))))))))))))))</f>
        <v>X</v>
      </c>
      <c r="D142" s="54" t="str">
        <f t="shared" ca="1" si="204"/>
        <v>O</v>
      </c>
      <c r="E142" s="54" t="str">
        <f t="shared" ca="1" si="204"/>
        <v>O</v>
      </c>
      <c r="F142" s="54" t="str">
        <f t="shared" ca="1" si="204"/>
        <v>O</v>
      </c>
      <c r="G142" s="54" t="str">
        <f t="shared" ca="1" si="204"/>
        <v>X</v>
      </c>
      <c r="H142" s="54" t="str">
        <f t="shared" ca="1" si="204"/>
        <v>X</v>
      </c>
      <c r="I142" s="54" t="str">
        <f t="shared" ca="1" si="204"/>
        <v>O</v>
      </c>
      <c r="J142" s="54" t="str">
        <f t="shared" ca="1" si="204"/>
        <v>O</v>
      </c>
      <c r="K142" s="54" t="str">
        <f t="shared" ca="1" si="204"/>
        <v>X</v>
      </c>
      <c r="L142" s="54" t="str">
        <f t="shared" ca="1" si="204"/>
        <v>X</v>
      </c>
      <c r="M142" s="54" t="str">
        <f t="shared" ca="1" si="204"/>
        <v>O</v>
      </c>
      <c r="N142" s="54" t="str">
        <f t="shared" ca="1" si="204"/>
        <v>O</v>
      </c>
      <c r="O142" s="54" t="str">
        <f t="shared" ca="1" si="204"/>
        <v>O</v>
      </c>
      <c r="P142" s="54" t="str">
        <f t="shared" ca="1" si="204"/>
        <v>O</v>
      </c>
      <c r="Q142" s="54" t="str">
        <f ca="1">IF(Q12=$BC$25,"O",IF(Q12=$BD$25,"O",IF(Q12=$BE$25,"O",IF(Q12=$BF$25,"O",IF(Q12=$BG$25,"O",IF(Q12=$BH$25,"O",IF(Q12=$BI$25,"O",IF(Q12=$BJ$25,"O",IF(Q12=$BK$25,"O",IF(Q12=$BL$25,"O",IF(Q12=$BM$25,"O",IF(Q12=$BN$25,"O",IF(Q12=$BO$25,"O",IF(Q12=$BP$25,"O",IF(Q12=$BQ$25,"O",IF(Q12=$BR$25,"O",IF(Q12=$BS$25,"O",IF(Q12=$BT$25,"O",IF(Q12=$BU$25,"O",IF(Q12=$BV$25,"O",IF(Q12=$BW$25,"O",IF(Q12=$BX$25,"O",IF(Q12=$BY$25,"O",IF(Q12=$BZ$25,"O",IF(Q12=$CA$25,"O",IF(Q12=$CB$25,"O",IF(Q12=$CC$25,"O",IF(Q12=$CD$25,"O",IF(Q12=$CE$25,"O",IF(Q12=$CF$25,"O",IF(Q12=$CG$25,"O",IF(Q12=$CH$25,"O",IF(Q12=$CI$25,"O",IF(Q12=$CJ$25,"O",IF(Q12=$CK$25,"O",IF(Q12=$CL$25,"O",IF(Q12=$CM$25,"O",IF(Q12=$CN$25,"O",IF(Q12=$CO$25,"O",IF(Q12=$CP$25,"O","X"))))))))))))))))))))))))))))))))))))))))</f>
        <v>O</v>
      </c>
      <c r="R142" s="54" t="str">
        <f t="shared" ref="R142:AU142" si="205">IF(R12=$BC$25,"O",IF(R12=$BD$25,"O",IF(R12=$BE$25,"O",IF(R12=$BF$25,"O",IF(R12=$BG$25,"O",IF(R12=$BH$25,"O",IF(R12=$BI$25,"O",IF(R12=$BJ$25,"O",IF(R12=$BK$25,"O",IF(R12=$BL$25,"O",IF(R12=$BM$25,"O",IF(R12=$BN$25,"O",IF(R12=$BO$25,"O",IF(R12=$BP$25,"O",IF(R12=$BQ$25,"O",IF(R12=$BR$25,"O",IF(R12=$BS$25,"O",IF(R12=$BT$25,"O",IF(R12=$BU$25,"O",IF(R12=$BV$25,"O",IF(R12=$BW$25,"O",IF(R12=$BX$25,"O",IF(R12=$BY$25,"O",IF(R12=$BZ$25,"O",IF(R12=$CA$25,"O",IF(R12=$CB$25,"O","X"))))))))))))))))))))))))))</f>
        <v>X</v>
      </c>
      <c r="S142" s="54" t="str">
        <f t="shared" si="205"/>
        <v>X</v>
      </c>
      <c r="T142" s="54" t="str">
        <f t="shared" si="205"/>
        <v>X</v>
      </c>
      <c r="U142" s="54" t="str">
        <f t="shared" si="205"/>
        <v>X</v>
      </c>
      <c r="V142" s="54" t="str">
        <f t="shared" si="205"/>
        <v>X</v>
      </c>
      <c r="W142" s="54" t="str">
        <f t="shared" si="205"/>
        <v>X</v>
      </c>
      <c r="X142" s="54" t="str">
        <f t="shared" si="205"/>
        <v>X</v>
      </c>
      <c r="Y142" s="54" t="str">
        <f t="shared" si="205"/>
        <v>X</v>
      </c>
      <c r="Z142" s="54" t="str">
        <f t="shared" si="205"/>
        <v>X</v>
      </c>
      <c r="AA142" s="54" t="str">
        <f t="shared" si="205"/>
        <v>X</v>
      </c>
      <c r="AB142" s="54" t="str">
        <f t="shared" si="205"/>
        <v>X</v>
      </c>
      <c r="AC142" s="54" t="str">
        <f t="shared" si="205"/>
        <v>X</v>
      </c>
      <c r="AD142" s="54" t="str">
        <f t="shared" si="205"/>
        <v>X</v>
      </c>
      <c r="AE142" s="54" t="str">
        <f t="shared" si="205"/>
        <v>X</v>
      </c>
      <c r="AF142" s="54" t="str">
        <f t="shared" si="205"/>
        <v>X</v>
      </c>
      <c r="AG142" s="54" t="str">
        <f t="shared" si="205"/>
        <v>X</v>
      </c>
      <c r="AH142" s="54" t="str">
        <f t="shared" si="205"/>
        <v>X</v>
      </c>
      <c r="AI142" s="54" t="str">
        <f t="shared" si="205"/>
        <v>X</v>
      </c>
      <c r="AJ142" s="54" t="str">
        <f t="shared" si="205"/>
        <v>X</v>
      </c>
      <c r="AK142" s="54" t="str">
        <f t="shared" si="205"/>
        <v>X</v>
      </c>
      <c r="AL142" s="54" t="str">
        <f t="shared" si="205"/>
        <v>X</v>
      </c>
      <c r="AM142" s="54" t="str">
        <f t="shared" si="205"/>
        <v>X</v>
      </c>
      <c r="AN142" s="54" t="str">
        <f t="shared" si="205"/>
        <v>X</v>
      </c>
      <c r="AO142" s="54" t="str">
        <f t="shared" si="205"/>
        <v>X</v>
      </c>
      <c r="AP142" s="54" t="str">
        <f t="shared" si="205"/>
        <v>X</v>
      </c>
      <c r="AQ142" s="54" t="str">
        <f t="shared" si="205"/>
        <v>X</v>
      </c>
      <c r="AR142" s="54" t="str">
        <f t="shared" si="205"/>
        <v>X</v>
      </c>
      <c r="AS142" s="54" t="str">
        <f t="shared" si="205"/>
        <v>X</v>
      </c>
      <c r="AT142" s="54" t="str">
        <f t="shared" si="205"/>
        <v>X</v>
      </c>
      <c r="AU142" s="54" t="str">
        <f t="shared" si="205"/>
        <v>X</v>
      </c>
      <c r="AV142" s="53"/>
      <c r="AW142" s="53"/>
      <c r="AX142" s="53"/>
      <c r="BC142" s="158"/>
      <c r="BD142" s="158"/>
      <c r="BE142" s="158"/>
      <c r="BF142" s="158"/>
      <c r="BG142" s="158"/>
      <c r="BH142" s="158"/>
      <c r="BI142" s="158"/>
      <c r="BJ142" s="158"/>
    </row>
    <row r="143" spans="1:66">
      <c r="A143" s="129"/>
      <c r="B143" s="60" t="s">
        <v>663</v>
      </c>
      <c r="C143" s="55">
        <f ca="1">COUNTIF(C137:C142,"O")</f>
        <v>1</v>
      </c>
      <c r="D143" s="55">
        <f t="shared" ref="D143:Q143" ca="1" si="206">COUNTIF(D137:D142,"O")</f>
        <v>3</v>
      </c>
      <c r="E143" s="55">
        <f t="shared" ca="1" si="206"/>
        <v>4</v>
      </c>
      <c r="F143" s="55">
        <f t="shared" ca="1" si="206"/>
        <v>3</v>
      </c>
      <c r="G143" s="55">
        <f t="shared" ca="1" si="206"/>
        <v>3</v>
      </c>
      <c r="H143" s="55">
        <f t="shared" ca="1" si="206"/>
        <v>2</v>
      </c>
      <c r="I143" s="55">
        <f t="shared" ca="1" si="206"/>
        <v>4</v>
      </c>
      <c r="J143" s="55">
        <f t="shared" ca="1" si="206"/>
        <v>2</v>
      </c>
      <c r="K143" s="55">
        <f t="shared" ca="1" si="206"/>
        <v>3</v>
      </c>
      <c r="L143" s="55">
        <f t="shared" ca="1" si="206"/>
        <v>3</v>
      </c>
      <c r="M143" s="55">
        <f t="shared" ca="1" si="206"/>
        <v>5</v>
      </c>
      <c r="N143" s="55">
        <f t="shared" ca="1" si="206"/>
        <v>3</v>
      </c>
      <c r="O143" s="55">
        <f t="shared" ca="1" si="206"/>
        <v>4</v>
      </c>
      <c r="P143" s="55">
        <f t="shared" ca="1" si="206"/>
        <v>3</v>
      </c>
      <c r="Q143" s="55">
        <f t="shared" ca="1" si="206"/>
        <v>2</v>
      </c>
      <c r="R143" s="55">
        <f t="shared" ref="R143:AK143" si="207">COUNTIF(R137:R142,"O")</f>
        <v>0</v>
      </c>
      <c r="S143" s="55">
        <f t="shared" si="207"/>
        <v>0</v>
      </c>
      <c r="T143" s="55">
        <f t="shared" si="207"/>
        <v>0</v>
      </c>
      <c r="U143" s="55">
        <f t="shared" si="207"/>
        <v>0</v>
      </c>
      <c r="V143" s="55">
        <f t="shared" si="207"/>
        <v>0</v>
      </c>
      <c r="W143" s="55">
        <f t="shared" si="207"/>
        <v>0</v>
      </c>
      <c r="X143" s="55">
        <f t="shared" si="207"/>
        <v>0</v>
      </c>
      <c r="Y143" s="55">
        <f t="shared" si="207"/>
        <v>0</v>
      </c>
      <c r="Z143" s="55">
        <f t="shared" si="207"/>
        <v>0</v>
      </c>
      <c r="AA143" s="55">
        <f t="shared" si="207"/>
        <v>0</v>
      </c>
      <c r="AB143" s="55">
        <f t="shared" si="207"/>
        <v>0</v>
      </c>
      <c r="AC143" s="55">
        <f t="shared" si="207"/>
        <v>0</v>
      </c>
      <c r="AD143" s="55">
        <f t="shared" si="207"/>
        <v>0</v>
      </c>
      <c r="AE143" s="55">
        <f t="shared" si="207"/>
        <v>0</v>
      </c>
      <c r="AF143" s="55">
        <f t="shared" si="207"/>
        <v>0</v>
      </c>
      <c r="AG143" s="55">
        <f t="shared" si="207"/>
        <v>0</v>
      </c>
      <c r="AH143" s="55">
        <f t="shared" si="207"/>
        <v>0</v>
      </c>
      <c r="AI143" s="55">
        <f t="shared" si="207"/>
        <v>0</v>
      </c>
      <c r="AJ143" s="55">
        <f t="shared" si="207"/>
        <v>0</v>
      </c>
      <c r="AK143" s="55">
        <f t="shared" si="207"/>
        <v>0</v>
      </c>
      <c r="AL143" s="55">
        <f t="shared" ref="AL143:AU143" si="208">COUNTIF(AL137:AL142,"O")</f>
        <v>0</v>
      </c>
      <c r="AM143" s="55">
        <f t="shared" si="208"/>
        <v>0</v>
      </c>
      <c r="AN143" s="55">
        <f t="shared" si="208"/>
        <v>0</v>
      </c>
      <c r="AO143" s="55">
        <f t="shared" si="208"/>
        <v>0</v>
      </c>
      <c r="AP143" s="55">
        <f t="shared" si="208"/>
        <v>0</v>
      </c>
      <c r="AQ143" s="55">
        <f t="shared" si="208"/>
        <v>0</v>
      </c>
      <c r="AR143" s="55">
        <f t="shared" si="208"/>
        <v>0</v>
      </c>
      <c r="AS143" s="55">
        <f t="shared" si="208"/>
        <v>0</v>
      </c>
      <c r="AT143" s="55">
        <f t="shared" si="208"/>
        <v>0</v>
      </c>
      <c r="AU143" s="55">
        <f t="shared" si="208"/>
        <v>0</v>
      </c>
      <c r="AV143" s="171"/>
      <c r="AW143" s="171"/>
      <c r="AX143" s="171"/>
      <c r="BC143"/>
      <c r="BD143"/>
      <c r="BE143"/>
      <c r="BF143"/>
      <c r="BG143" s="132"/>
      <c r="BH143"/>
      <c r="BI143"/>
      <c r="BJ143" s="120"/>
      <c r="BK143"/>
      <c r="BL143"/>
      <c r="BM143" s="120"/>
      <c r="BN143" s="120"/>
    </row>
    <row r="144" spans="1:66">
      <c r="A144" s="127" t="s">
        <v>842</v>
      </c>
      <c r="B144" s="54" t="s">
        <v>560</v>
      </c>
      <c r="C144" s="54" t="str">
        <f t="shared" ref="C144:AU144" ca="1" si="209">IF(C7=$BC$26,"O",IF(C7=$BD$26,"O",IF(C7=$BE$26,"O",IF(C7=$BF$26,"O",IF(C7=$BG$26,"O",IF(C7=$BH$26,"O",IF(C7=$BI$26,"O",IF(C7=$BJ$26,"O",IF(C7=$BK$26,"O",IF(C7=$BL$26,"O",IF(C7=$BM$26,"O",IF(C7=$BN$26,"O",IF(C7=$BO$26,"O",IF(C7=$BP$26,"O",IF(C7=$BQ$26,"O",IF(C7=$BR$26,"O",IF(C7=$BS$26,"O",IF(C7=$BT$26,"O",IF(C7=$BU$26,"O",IF(C7=$BV$26,"O",IF(C7=$BW$26,"O",IF(C7=$BX$26,"O",IF(C7=$BY$26,"O",IF(C7=$BZ$26,"O",IF(C7=$CA$26,"O",IF(C7=$CB$26,"O","X"))))))))))))))))))))))))))</f>
        <v>X</v>
      </c>
      <c r="D144" s="54" t="str">
        <f t="shared" ca="1" si="209"/>
        <v>O</v>
      </c>
      <c r="E144" s="54" t="str">
        <f t="shared" ca="1" si="209"/>
        <v>X</v>
      </c>
      <c r="F144" s="54" t="str">
        <f t="shared" ca="1" si="209"/>
        <v>X</v>
      </c>
      <c r="G144" s="54" t="str">
        <f t="shared" ca="1" si="209"/>
        <v>O</v>
      </c>
      <c r="H144" s="54" t="str">
        <f t="shared" ca="1" si="209"/>
        <v>X</v>
      </c>
      <c r="I144" s="54" t="str">
        <f t="shared" ca="1" si="209"/>
        <v>X</v>
      </c>
      <c r="J144" s="54" t="str">
        <f t="shared" ca="1" si="209"/>
        <v>X</v>
      </c>
      <c r="K144" s="54" t="str">
        <f t="shared" ca="1" si="209"/>
        <v>X</v>
      </c>
      <c r="L144" s="54" t="str">
        <f t="shared" ca="1" si="209"/>
        <v>X</v>
      </c>
      <c r="M144" s="54" t="str">
        <f t="shared" ca="1" si="209"/>
        <v>X</v>
      </c>
      <c r="N144" s="54" t="str">
        <f t="shared" ca="1" si="209"/>
        <v>X</v>
      </c>
      <c r="O144" s="54" t="str">
        <f t="shared" ca="1" si="209"/>
        <v>O</v>
      </c>
      <c r="P144" s="54" t="str">
        <f t="shared" ca="1" si="209"/>
        <v>X</v>
      </c>
      <c r="Q144" s="54" t="str">
        <f t="shared" ca="1" si="209"/>
        <v>X</v>
      </c>
      <c r="R144" s="54" t="str">
        <f t="shared" si="209"/>
        <v>X</v>
      </c>
      <c r="S144" s="54" t="str">
        <f t="shared" si="209"/>
        <v>X</v>
      </c>
      <c r="T144" s="54" t="str">
        <f t="shared" si="209"/>
        <v>X</v>
      </c>
      <c r="U144" s="54" t="str">
        <f t="shared" si="209"/>
        <v>X</v>
      </c>
      <c r="V144" s="54" t="str">
        <f t="shared" si="209"/>
        <v>X</v>
      </c>
      <c r="W144" s="54" t="str">
        <f t="shared" si="209"/>
        <v>X</v>
      </c>
      <c r="X144" s="54" t="str">
        <f t="shared" si="209"/>
        <v>X</v>
      </c>
      <c r="Y144" s="54" t="str">
        <f t="shared" si="209"/>
        <v>X</v>
      </c>
      <c r="Z144" s="54" t="str">
        <f t="shared" si="209"/>
        <v>X</v>
      </c>
      <c r="AA144" s="54" t="str">
        <f t="shared" si="209"/>
        <v>X</v>
      </c>
      <c r="AB144" s="54" t="str">
        <f t="shared" si="209"/>
        <v>X</v>
      </c>
      <c r="AC144" s="54" t="str">
        <f t="shared" si="209"/>
        <v>X</v>
      </c>
      <c r="AD144" s="54" t="str">
        <f t="shared" si="209"/>
        <v>X</v>
      </c>
      <c r="AE144" s="54" t="str">
        <f t="shared" si="209"/>
        <v>X</v>
      </c>
      <c r="AF144" s="54" t="str">
        <f t="shared" si="209"/>
        <v>X</v>
      </c>
      <c r="AG144" s="54" t="str">
        <f t="shared" si="209"/>
        <v>X</v>
      </c>
      <c r="AH144" s="54" t="str">
        <f t="shared" si="209"/>
        <v>X</v>
      </c>
      <c r="AI144" s="54" t="str">
        <f t="shared" si="209"/>
        <v>X</v>
      </c>
      <c r="AJ144" s="54" t="str">
        <f t="shared" si="209"/>
        <v>X</v>
      </c>
      <c r="AK144" s="54" t="str">
        <f t="shared" si="209"/>
        <v>X</v>
      </c>
      <c r="AL144" s="54" t="str">
        <f t="shared" si="209"/>
        <v>X</v>
      </c>
      <c r="AM144" s="54" t="str">
        <f t="shared" si="209"/>
        <v>X</v>
      </c>
      <c r="AN144" s="54" t="str">
        <f t="shared" si="209"/>
        <v>X</v>
      </c>
      <c r="AO144" s="54" t="str">
        <f t="shared" si="209"/>
        <v>X</v>
      </c>
      <c r="AP144" s="54" t="str">
        <f t="shared" si="209"/>
        <v>X</v>
      </c>
      <c r="AQ144" s="54" t="str">
        <f t="shared" si="209"/>
        <v>X</v>
      </c>
      <c r="AR144" s="54" t="str">
        <f t="shared" si="209"/>
        <v>X</v>
      </c>
      <c r="AS144" s="54" t="str">
        <f t="shared" si="209"/>
        <v>X</v>
      </c>
      <c r="AT144" s="54" t="str">
        <f t="shared" si="209"/>
        <v>X</v>
      </c>
      <c r="AU144" s="54" t="str">
        <f t="shared" si="209"/>
        <v>X</v>
      </c>
      <c r="AV144" s="53"/>
      <c r="AW144" s="53"/>
      <c r="AX144" s="53"/>
      <c r="BC144"/>
      <c r="BD144" s="132"/>
      <c r="BE144" s="132"/>
      <c r="BF144"/>
      <c r="BG144"/>
      <c r="BH144"/>
      <c r="BI144"/>
      <c r="BJ144" s="120"/>
    </row>
    <row r="145" spans="1:66">
      <c r="A145" s="128"/>
      <c r="B145" s="54" t="s">
        <v>566</v>
      </c>
      <c r="C145" s="54" t="str">
        <f t="shared" ref="C145:AU145" ca="1" si="210">IF(C8=$BC$26,"O",IF(C8=$BD$26,"O",IF(C8=$BE$26,"O",IF(C8=$BF$26,"O",IF(C8=$BG$26,"O",IF(C8=$BH$26,"O",IF(C8=$BI$26,"O",IF(C8=$BJ$26,"O",IF(C8=$BK$26,"O",IF(C8=$BL$26,"O",IF(C8=$BM$26,"O",IF(C8=$BN$26,"O",IF(C8=$BO$26,"O",IF(C8=$BP$26,"O",IF(C8=$BQ$26,"O",IF(C8=$BR$26,"O",IF(C8=$BS$26,"O",IF(C8=$BT$26,"O",IF(C8=$BU$26,"O",IF(C8=$BV$26,"O",IF(C8=$BW$26,"O",IF(C8=$BX$26,"O",IF(C8=$BY$26,"O",IF(C8=$BZ$26,"O",IF(C8=$CA$26,"O",IF(C8=$CB$26,"O","X"))))))))))))))))))))))))))</f>
        <v>X</v>
      </c>
      <c r="D145" s="54" t="str">
        <f t="shared" ca="1" si="210"/>
        <v>O</v>
      </c>
      <c r="E145" s="54" t="str">
        <f t="shared" ca="1" si="210"/>
        <v>X</v>
      </c>
      <c r="F145" s="54" t="str">
        <f t="shared" ca="1" si="210"/>
        <v>X</v>
      </c>
      <c r="G145" s="54" t="str">
        <f t="shared" ca="1" si="210"/>
        <v>X</v>
      </c>
      <c r="H145" s="54" t="str">
        <f t="shared" ca="1" si="210"/>
        <v>O</v>
      </c>
      <c r="I145" s="54" t="str">
        <f t="shared" ca="1" si="210"/>
        <v>X</v>
      </c>
      <c r="J145" s="54" t="str">
        <f t="shared" ca="1" si="210"/>
        <v>X</v>
      </c>
      <c r="K145" s="54" t="str">
        <f t="shared" ca="1" si="210"/>
        <v>O</v>
      </c>
      <c r="L145" s="54" t="str">
        <f t="shared" ca="1" si="210"/>
        <v>X</v>
      </c>
      <c r="M145" s="54" t="str">
        <f t="shared" ca="1" si="210"/>
        <v>X</v>
      </c>
      <c r="N145" s="54" t="str">
        <f t="shared" ca="1" si="210"/>
        <v>X</v>
      </c>
      <c r="O145" s="54" t="str">
        <f t="shared" ca="1" si="210"/>
        <v>O</v>
      </c>
      <c r="P145" s="54" t="str">
        <f t="shared" ca="1" si="210"/>
        <v>X</v>
      </c>
      <c r="Q145" s="54" t="str">
        <f t="shared" ca="1" si="210"/>
        <v>X</v>
      </c>
      <c r="R145" s="54" t="str">
        <f t="shared" si="210"/>
        <v>X</v>
      </c>
      <c r="S145" s="54" t="str">
        <f t="shared" si="210"/>
        <v>X</v>
      </c>
      <c r="T145" s="54" t="str">
        <f t="shared" si="210"/>
        <v>X</v>
      </c>
      <c r="U145" s="54" t="str">
        <f t="shared" si="210"/>
        <v>X</v>
      </c>
      <c r="V145" s="54" t="str">
        <f t="shared" si="210"/>
        <v>X</v>
      </c>
      <c r="W145" s="54" t="str">
        <f t="shared" si="210"/>
        <v>X</v>
      </c>
      <c r="X145" s="54" t="str">
        <f t="shared" si="210"/>
        <v>X</v>
      </c>
      <c r="Y145" s="54" t="str">
        <f t="shared" si="210"/>
        <v>X</v>
      </c>
      <c r="Z145" s="54" t="str">
        <f t="shared" si="210"/>
        <v>X</v>
      </c>
      <c r="AA145" s="54" t="str">
        <f t="shared" si="210"/>
        <v>X</v>
      </c>
      <c r="AB145" s="54" t="str">
        <f t="shared" si="210"/>
        <v>X</v>
      </c>
      <c r="AC145" s="54" t="str">
        <f t="shared" si="210"/>
        <v>X</v>
      </c>
      <c r="AD145" s="54" t="str">
        <f t="shared" si="210"/>
        <v>X</v>
      </c>
      <c r="AE145" s="54" t="str">
        <f t="shared" si="210"/>
        <v>X</v>
      </c>
      <c r="AF145" s="54" t="str">
        <f t="shared" si="210"/>
        <v>X</v>
      </c>
      <c r="AG145" s="54" t="str">
        <f t="shared" si="210"/>
        <v>X</v>
      </c>
      <c r="AH145" s="54" t="str">
        <f t="shared" si="210"/>
        <v>X</v>
      </c>
      <c r="AI145" s="54" t="str">
        <f t="shared" si="210"/>
        <v>X</v>
      </c>
      <c r="AJ145" s="54" t="str">
        <f t="shared" si="210"/>
        <v>X</v>
      </c>
      <c r="AK145" s="54" t="str">
        <f t="shared" si="210"/>
        <v>X</v>
      </c>
      <c r="AL145" s="54" t="str">
        <f t="shared" si="210"/>
        <v>X</v>
      </c>
      <c r="AM145" s="54" t="str">
        <f t="shared" si="210"/>
        <v>X</v>
      </c>
      <c r="AN145" s="54" t="str">
        <f t="shared" si="210"/>
        <v>X</v>
      </c>
      <c r="AO145" s="54" t="str">
        <f t="shared" si="210"/>
        <v>X</v>
      </c>
      <c r="AP145" s="54" t="str">
        <f t="shared" si="210"/>
        <v>X</v>
      </c>
      <c r="AQ145" s="54" t="str">
        <f t="shared" si="210"/>
        <v>X</v>
      </c>
      <c r="AR145" s="54" t="str">
        <f t="shared" si="210"/>
        <v>X</v>
      </c>
      <c r="AS145" s="54" t="str">
        <f t="shared" si="210"/>
        <v>X</v>
      </c>
      <c r="AT145" s="54" t="str">
        <f t="shared" si="210"/>
        <v>X</v>
      </c>
      <c r="AU145" s="54" t="str">
        <f t="shared" si="210"/>
        <v>X</v>
      </c>
      <c r="AV145" s="53"/>
      <c r="AW145" s="53"/>
      <c r="AX145" s="53"/>
      <c r="BC145"/>
      <c r="BD145"/>
      <c r="BE145" s="132"/>
      <c r="BF145" s="132"/>
      <c r="BG145"/>
      <c r="BH145" s="132"/>
      <c r="BI145" s="132"/>
      <c r="BJ145" s="120"/>
    </row>
    <row r="146" spans="1:66">
      <c r="A146" s="128"/>
      <c r="B146" s="54" t="s">
        <v>567</v>
      </c>
      <c r="C146" s="54" t="str">
        <f t="shared" ref="C146:AU146" ca="1" si="211">IF(C9=$BC$26,"O",IF(C9=$BD$26,"O",IF(C9=$BE$26,"O",IF(C9=$BF$26,"O",IF(C9=$BG$26,"O",IF(C9=$BH$26,"O",IF(C9=$BI$26,"O",IF(C9=$BJ$26,"O",IF(C9=$BK$26,"O",IF(C9=$BL$26,"O",IF(C9=$BM$26,"O",IF(C9=$BN$26,"O",IF(C9=$BO$26,"O",IF(C9=$BP$26,"O",IF(C9=$BQ$26,"O",IF(C9=$BR$26,"O",IF(C9=$BS$26,"O",IF(C9=$BT$26,"O",IF(C9=$BU$26,"O",IF(C9=$BV$26,"O",IF(C9=$BW$26,"O",IF(C9=$BX$26,"O",IF(C9=$BY$26,"O",IF(C9=$BZ$26,"O",IF(C9=$CA$26,"O",IF(C9=$CB$26,"O","X"))))))))))))))))))))))))))</f>
        <v>O</v>
      </c>
      <c r="D146" s="54" t="str">
        <f t="shared" ca="1" si="211"/>
        <v>X</v>
      </c>
      <c r="E146" s="54" t="str">
        <f t="shared" ca="1" si="211"/>
        <v>O</v>
      </c>
      <c r="F146" s="54" t="str">
        <f t="shared" ca="1" si="211"/>
        <v>X</v>
      </c>
      <c r="G146" s="54" t="str">
        <f t="shared" ca="1" si="211"/>
        <v>O</v>
      </c>
      <c r="H146" s="54" t="str">
        <f t="shared" ca="1" si="211"/>
        <v>X</v>
      </c>
      <c r="I146" s="54" t="str">
        <f t="shared" ca="1" si="211"/>
        <v>X</v>
      </c>
      <c r="J146" s="54" t="str">
        <f t="shared" ca="1" si="211"/>
        <v>X</v>
      </c>
      <c r="K146" s="54" t="str">
        <f t="shared" ca="1" si="211"/>
        <v>X</v>
      </c>
      <c r="L146" s="54" t="str">
        <f t="shared" ca="1" si="211"/>
        <v>O</v>
      </c>
      <c r="M146" s="54" t="str">
        <f t="shared" ca="1" si="211"/>
        <v>X</v>
      </c>
      <c r="N146" s="54" t="str">
        <f t="shared" ca="1" si="211"/>
        <v>X</v>
      </c>
      <c r="O146" s="54" t="str">
        <f t="shared" ca="1" si="211"/>
        <v>O</v>
      </c>
      <c r="P146" s="54" t="str">
        <f t="shared" ca="1" si="211"/>
        <v>X</v>
      </c>
      <c r="Q146" s="54" t="str">
        <f t="shared" ca="1" si="211"/>
        <v>X</v>
      </c>
      <c r="R146" s="54" t="str">
        <f t="shared" si="211"/>
        <v>X</v>
      </c>
      <c r="S146" s="54" t="str">
        <f t="shared" si="211"/>
        <v>X</v>
      </c>
      <c r="T146" s="54" t="str">
        <f t="shared" si="211"/>
        <v>X</v>
      </c>
      <c r="U146" s="54" t="str">
        <f t="shared" si="211"/>
        <v>X</v>
      </c>
      <c r="V146" s="54" t="str">
        <f t="shared" si="211"/>
        <v>X</v>
      </c>
      <c r="W146" s="54" t="str">
        <f t="shared" si="211"/>
        <v>X</v>
      </c>
      <c r="X146" s="54" t="str">
        <f t="shared" si="211"/>
        <v>X</v>
      </c>
      <c r="Y146" s="54" t="str">
        <f t="shared" si="211"/>
        <v>X</v>
      </c>
      <c r="Z146" s="54" t="str">
        <f t="shared" si="211"/>
        <v>X</v>
      </c>
      <c r="AA146" s="54" t="str">
        <f t="shared" si="211"/>
        <v>X</v>
      </c>
      <c r="AB146" s="54" t="str">
        <f t="shared" si="211"/>
        <v>X</v>
      </c>
      <c r="AC146" s="54" t="str">
        <f t="shared" si="211"/>
        <v>X</v>
      </c>
      <c r="AD146" s="54" t="str">
        <f t="shared" si="211"/>
        <v>X</v>
      </c>
      <c r="AE146" s="54" t="str">
        <f t="shared" si="211"/>
        <v>X</v>
      </c>
      <c r="AF146" s="54" t="str">
        <f t="shared" si="211"/>
        <v>X</v>
      </c>
      <c r="AG146" s="54" t="str">
        <f t="shared" si="211"/>
        <v>X</v>
      </c>
      <c r="AH146" s="54" t="str">
        <f t="shared" si="211"/>
        <v>X</v>
      </c>
      <c r="AI146" s="54" t="str">
        <f t="shared" si="211"/>
        <v>X</v>
      </c>
      <c r="AJ146" s="54" t="str">
        <f t="shared" si="211"/>
        <v>X</v>
      </c>
      <c r="AK146" s="54" t="str">
        <f t="shared" si="211"/>
        <v>X</v>
      </c>
      <c r="AL146" s="54" t="str">
        <f t="shared" si="211"/>
        <v>X</v>
      </c>
      <c r="AM146" s="54" t="str">
        <f t="shared" si="211"/>
        <v>X</v>
      </c>
      <c r="AN146" s="54" t="str">
        <f t="shared" si="211"/>
        <v>X</v>
      </c>
      <c r="AO146" s="54" t="str">
        <f t="shared" si="211"/>
        <v>X</v>
      </c>
      <c r="AP146" s="54" t="str">
        <f t="shared" si="211"/>
        <v>X</v>
      </c>
      <c r="AQ146" s="54" t="str">
        <f t="shared" si="211"/>
        <v>X</v>
      </c>
      <c r="AR146" s="54" t="str">
        <f t="shared" si="211"/>
        <v>X</v>
      </c>
      <c r="AS146" s="54" t="str">
        <f t="shared" si="211"/>
        <v>X</v>
      </c>
      <c r="AT146" s="54" t="str">
        <f t="shared" si="211"/>
        <v>X</v>
      </c>
      <c r="AU146" s="54" t="str">
        <f t="shared" si="211"/>
        <v>X</v>
      </c>
      <c r="AV146" s="53"/>
      <c r="AW146" s="53"/>
      <c r="AX146" s="53"/>
      <c r="BC146"/>
      <c r="BD146"/>
      <c r="BE146"/>
      <c r="BF146"/>
      <c r="BG146" s="132"/>
      <c r="BH146" s="132"/>
      <c r="BI146" s="132"/>
      <c r="BJ146" s="120"/>
    </row>
    <row r="147" spans="1:66">
      <c r="A147" s="128"/>
      <c r="B147" s="54" t="s">
        <v>568</v>
      </c>
      <c r="C147" s="54" t="str">
        <f t="shared" ref="C147:AU147" ca="1" si="212">IF(C10=$BC$26,"O",IF(C10=$BD$26,"O",IF(C10=$BE$26,"O",IF(C10=$BF$26,"O",IF(C10=$BG$26,"O",IF(C10=$BH$26,"O",IF(C10=$BI$26,"O",IF(C10=$BJ$26,"O",IF(C10=$BK$26,"O",IF(C10=$BL$26,"O",IF(C10=$BM$26,"O",IF(C10=$BN$26,"O",IF(C10=$BO$26,"O",IF(C10=$BP$26,"O",IF(C10=$BQ$26,"O",IF(C10=$BR$26,"O",IF(C10=$BS$26,"O",IF(C10=$BT$26,"O",IF(C10=$BU$26,"O",IF(C10=$BV$26,"O",IF(C10=$BW$26,"O",IF(C10=$BX$26,"O",IF(C10=$BY$26,"O",IF(C10=$BZ$26,"O",IF(C10=$CA$26,"O",IF(C10=$CB$26,"O","X"))))))))))))))))))))))))))</f>
        <v>X</v>
      </c>
      <c r="D147" s="54" t="str">
        <f t="shared" ca="1" si="212"/>
        <v>O</v>
      </c>
      <c r="E147" s="54" t="str">
        <f t="shared" ca="1" si="212"/>
        <v>X</v>
      </c>
      <c r="F147" s="54" t="str">
        <f t="shared" ca="1" si="212"/>
        <v>X</v>
      </c>
      <c r="G147" s="54" t="str">
        <f t="shared" ca="1" si="212"/>
        <v>O</v>
      </c>
      <c r="H147" s="54" t="str">
        <f t="shared" ca="1" si="212"/>
        <v>X</v>
      </c>
      <c r="I147" s="54" t="str">
        <f t="shared" ca="1" si="212"/>
        <v>X</v>
      </c>
      <c r="J147" s="54" t="str">
        <f t="shared" ca="1" si="212"/>
        <v>X</v>
      </c>
      <c r="K147" s="54" t="str">
        <f t="shared" ca="1" si="212"/>
        <v>O</v>
      </c>
      <c r="L147" s="54" t="str">
        <f t="shared" ca="1" si="212"/>
        <v>X</v>
      </c>
      <c r="M147" s="54" t="str">
        <f t="shared" ca="1" si="212"/>
        <v>O</v>
      </c>
      <c r="N147" s="54" t="str">
        <f t="shared" ca="1" si="212"/>
        <v>X</v>
      </c>
      <c r="O147" s="54" t="str">
        <f t="shared" ca="1" si="212"/>
        <v>X</v>
      </c>
      <c r="P147" s="54" t="str">
        <f t="shared" ca="1" si="212"/>
        <v>X</v>
      </c>
      <c r="Q147" s="54" t="str">
        <f t="shared" ca="1" si="212"/>
        <v>X</v>
      </c>
      <c r="R147" s="54" t="str">
        <f t="shared" si="212"/>
        <v>X</v>
      </c>
      <c r="S147" s="54" t="str">
        <f t="shared" si="212"/>
        <v>X</v>
      </c>
      <c r="T147" s="54" t="str">
        <f t="shared" si="212"/>
        <v>X</v>
      </c>
      <c r="U147" s="54" t="str">
        <f t="shared" si="212"/>
        <v>X</v>
      </c>
      <c r="V147" s="54" t="str">
        <f t="shared" si="212"/>
        <v>X</v>
      </c>
      <c r="W147" s="54" t="str">
        <f t="shared" si="212"/>
        <v>X</v>
      </c>
      <c r="X147" s="54" t="str">
        <f t="shared" si="212"/>
        <v>X</v>
      </c>
      <c r="Y147" s="54" t="str">
        <f t="shared" si="212"/>
        <v>X</v>
      </c>
      <c r="Z147" s="54" t="str">
        <f t="shared" si="212"/>
        <v>X</v>
      </c>
      <c r="AA147" s="54" t="str">
        <f t="shared" si="212"/>
        <v>X</v>
      </c>
      <c r="AB147" s="54" t="str">
        <f t="shared" si="212"/>
        <v>X</v>
      </c>
      <c r="AC147" s="54" t="str">
        <f t="shared" si="212"/>
        <v>X</v>
      </c>
      <c r="AD147" s="54" t="str">
        <f t="shared" si="212"/>
        <v>X</v>
      </c>
      <c r="AE147" s="54" t="str">
        <f t="shared" si="212"/>
        <v>X</v>
      </c>
      <c r="AF147" s="54" t="str">
        <f t="shared" si="212"/>
        <v>X</v>
      </c>
      <c r="AG147" s="54" t="str">
        <f t="shared" si="212"/>
        <v>X</v>
      </c>
      <c r="AH147" s="54" t="str">
        <f t="shared" si="212"/>
        <v>X</v>
      </c>
      <c r="AI147" s="54" t="str">
        <f t="shared" si="212"/>
        <v>X</v>
      </c>
      <c r="AJ147" s="54" t="str">
        <f t="shared" si="212"/>
        <v>X</v>
      </c>
      <c r="AK147" s="54" t="str">
        <f t="shared" si="212"/>
        <v>X</v>
      </c>
      <c r="AL147" s="54" t="str">
        <f t="shared" si="212"/>
        <v>X</v>
      </c>
      <c r="AM147" s="54" t="str">
        <f t="shared" si="212"/>
        <v>X</v>
      </c>
      <c r="AN147" s="54" t="str">
        <f t="shared" si="212"/>
        <v>X</v>
      </c>
      <c r="AO147" s="54" t="str">
        <f t="shared" si="212"/>
        <v>X</v>
      </c>
      <c r="AP147" s="54" t="str">
        <f t="shared" si="212"/>
        <v>X</v>
      </c>
      <c r="AQ147" s="54" t="str">
        <f t="shared" si="212"/>
        <v>X</v>
      </c>
      <c r="AR147" s="54" t="str">
        <f t="shared" si="212"/>
        <v>X</v>
      </c>
      <c r="AS147" s="54" t="str">
        <f t="shared" si="212"/>
        <v>X</v>
      </c>
      <c r="AT147" s="54" t="str">
        <f t="shared" si="212"/>
        <v>X</v>
      </c>
      <c r="AU147" s="54" t="str">
        <f t="shared" si="212"/>
        <v>X</v>
      </c>
      <c r="AV147" s="53"/>
      <c r="AW147" s="53"/>
      <c r="AX147" s="53"/>
      <c r="BC147" s="160"/>
      <c r="BD147" s="178"/>
      <c r="BE147" s="160"/>
      <c r="BF147" s="160"/>
      <c r="BG147" s="178"/>
      <c r="BH147" s="160"/>
      <c r="BI147" s="160"/>
      <c r="BJ147" s="177"/>
    </row>
    <row r="148" spans="1:66">
      <c r="A148" s="128"/>
      <c r="B148" s="54" t="s">
        <v>569</v>
      </c>
      <c r="C148" s="54" t="str">
        <f t="shared" ref="C148:AU148" ca="1" si="213">IF(C11=$BC$26,"O",IF(C11=$BD$26,"O",IF(C11=$BE$26,"O",IF(C11=$BF$26,"O",IF(C11=$BG$26,"O",IF(C11=$BH$26,"O",IF(C11=$BI$26,"O",IF(C11=$BJ$26,"O",IF(C11=$BK$26,"O",IF(C11=$BL$26,"O",IF(C11=$BM$26,"O",IF(C11=$BN$26,"O",IF(C11=$BO$26,"O",IF(C11=$BP$26,"O",IF(C11=$BQ$26,"O",IF(C11=$BR$26,"O",IF(C11=$BS$26,"O",IF(C11=$BT$26,"O",IF(C11=$BU$26,"O",IF(C11=$BV$26,"O",IF(C11=$BW$26,"O",IF(C11=$BX$26,"O",IF(C11=$BY$26,"O",IF(C11=$BZ$26,"O",IF(C11=$CA$26,"O",IF(C11=$CB$26,"O","X"))))))))))))))))))))))))))</f>
        <v>X</v>
      </c>
      <c r="D148" s="54" t="str">
        <f t="shared" ca="1" si="213"/>
        <v>O</v>
      </c>
      <c r="E148" s="54" t="str">
        <f t="shared" ca="1" si="213"/>
        <v>X</v>
      </c>
      <c r="F148" s="54" t="str">
        <f t="shared" ca="1" si="213"/>
        <v>O</v>
      </c>
      <c r="G148" s="54" t="str">
        <f t="shared" ca="1" si="213"/>
        <v>O</v>
      </c>
      <c r="H148" s="54" t="str">
        <f t="shared" ca="1" si="213"/>
        <v>X</v>
      </c>
      <c r="I148" s="54" t="str">
        <f t="shared" ca="1" si="213"/>
        <v>X</v>
      </c>
      <c r="J148" s="54" t="str">
        <f t="shared" ca="1" si="213"/>
        <v>X</v>
      </c>
      <c r="K148" s="54" t="str">
        <f t="shared" ca="1" si="213"/>
        <v>X</v>
      </c>
      <c r="L148" s="54" t="str">
        <f t="shared" ca="1" si="213"/>
        <v>X</v>
      </c>
      <c r="M148" s="54" t="str">
        <f t="shared" ca="1" si="213"/>
        <v>O</v>
      </c>
      <c r="N148" s="54" t="str">
        <f t="shared" ca="1" si="213"/>
        <v>X</v>
      </c>
      <c r="O148" s="54" t="str">
        <f t="shared" ca="1" si="213"/>
        <v>O</v>
      </c>
      <c r="P148" s="54" t="str">
        <f t="shared" ca="1" si="213"/>
        <v>X</v>
      </c>
      <c r="Q148" s="54" t="str">
        <f t="shared" ca="1" si="213"/>
        <v>X</v>
      </c>
      <c r="R148" s="54" t="str">
        <f t="shared" si="213"/>
        <v>X</v>
      </c>
      <c r="S148" s="54" t="str">
        <f t="shared" si="213"/>
        <v>X</v>
      </c>
      <c r="T148" s="54" t="str">
        <f t="shared" si="213"/>
        <v>X</v>
      </c>
      <c r="U148" s="54" t="str">
        <f t="shared" si="213"/>
        <v>X</v>
      </c>
      <c r="V148" s="54" t="str">
        <f t="shared" si="213"/>
        <v>X</v>
      </c>
      <c r="W148" s="54" t="str">
        <f t="shared" si="213"/>
        <v>X</v>
      </c>
      <c r="X148" s="54" t="str">
        <f t="shared" si="213"/>
        <v>X</v>
      </c>
      <c r="Y148" s="54" t="str">
        <f t="shared" si="213"/>
        <v>X</v>
      </c>
      <c r="Z148" s="54" t="str">
        <f t="shared" si="213"/>
        <v>X</v>
      </c>
      <c r="AA148" s="54" t="str">
        <f t="shared" si="213"/>
        <v>X</v>
      </c>
      <c r="AB148" s="54" t="str">
        <f t="shared" si="213"/>
        <v>X</v>
      </c>
      <c r="AC148" s="54" t="str">
        <f t="shared" si="213"/>
        <v>X</v>
      </c>
      <c r="AD148" s="54" t="str">
        <f t="shared" si="213"/>
        <v>X</v>
      </c>
      <c r="AE148" s="54" t="str">
        <f t="shared" si="213"/>
        <v>X</v>
      </c>
      <c r="AF148" s="54" t="str">
        <f t="shared" si="213"/>
        <v>X</v>
      </c>
      <c r="AG148" s="54" t="str">
        <f t="shared" si="213"/>
        <v>X</v>
      </c>
      <c r="AH148" s="54" t="str">
        <f t="shared" si="213"/>
        <v>X</v>
      </c>
      <c r="AI148" s="54" t="str">
        <f t="shared" si="213"/>
        <v>X</v>
      </c>
      <c r="AJ148" s="54" t="str">
        <f t="shared" si="213"/>
        <v>X</v>
      </c>
      <c r="AK148" s="54" t="str">
        <f t="shared" si="213"/>
        <v>X</v>
      </c>
      <c r="AL148" s="54" t="str">
        <f t="shared" si="213"/>
        <v>X</v>
      </c>
      <c r="AM148" s="54" t="str">
        <f t="shared" si="213"/>
        <v>X</v>
      </c>
      <c r="AN148" s="54" t="str">
        <f t="shared" si="213"/>
        <v>X</v>
      </c>
      <c r="AO148" s="54" t="str">
        <f t="shared" si="213"/>
        <v>X</v>
      </c>
      <c r="AP148" s="54" t="str">
        <f t="shared" si="213"/>
        <v>X</v>
      </c>
      <c r="AQ148" s="54" t="str">
        <f t="shared" si="213"/>
        <v>X</v>
      </c>
      <c r="AR148" s="54" t="str">
        <f t="shared" si="213"/>
        <v>X</v>
      </c>
      <c r="AS148" s="54" t="str">
        <f t="shared" si="213"/>
        <v>X</v>
      </c>
      <c r="AT148" s="54" t="str">
        <f t="shared" si="213"/>
        <v>X</v>
      </c>
      <c r="AU148" s="54" t="str">
        <f t="shared" si="213"/>
        <v>X</v>
      </c>
      <c r="AV148" s="53"/>
      <c r="AW148" s="53"/>
      <c r="AX148" s="53"/>
      <c r="BC148"/>
      <c r="BD148" s="132"/>
      <c r="BE148"/>
      <c r="BF148" s="132"/>
      <c r="BG148" s="132"/>
      <c r="BH148" s="132"/>
      <c r="BI148" s="132"/>
      <c r="BJ148" s="120"/>
    </row>
    <row r="149" spans="1:66">
      <c r="A149" s="128"/>
      <c r="B149" s="54" t="s">
        <v>540</v>
      </c>
      <c r="C149" s="54" t="str">
        <f t="shared" ref="C149:AU149" ca="1" si="214">IF(C12=$BC$26,"O",IF(C12=$BD$26,"O",IF(C12=$BE$26,"O",IF(C12=$BF$26,"O",IF(C12=$BG$26,"O",IF(C12=$BH$26,"O",IF(C12=$BI$26,"O",IF(C12=$BJ$26,"O",IF(C12=$BK$26,"O",IF(C12=$BL$26,"O",IF(C12=$BM$26,"O",IF(C12=$BN$26,"O",IF(C12=$BO$26,"O",IF(C12=$BP$26,"O",IF(C12=$BQ$26,"O",IF(C12=$BR$26,"O",IF(C12=$BS$26,"O",IF(C12=$BT$26,"O",IF(C12=$BU$26,"O",IF(C12=$BV$26,"O",IF(C12=$BW$26,"O",IF(C12=$BX$26,"O",IF(C12=$BY$26,"O",IF(C12=$BZ$26,"O",IF(C12=$CA$26,"O",IF(C12=$CB$26,"O","X"))))))))))))))))))))))))))</f>
        <v>O</v>
      </c>
      <c r="D149" s="54" t="str">
        <f t="shared" ca="1" si="214"/>
        <v>O</v>
      </c>
      <c r="E149" s="54" t="str">
        <f t="shared" ca="1" si="214"/>
        <v>X</v>
      </c>
      <c r="F149" s="54" t="str">
        <f t="shared" ca="1" si="214"/>
        <v>O</v>
      </c>
      <c r="G149" s="54" t="str">
        <f t="shared" ca="1" si="214"/>
        <v>X</v>
      </c>
      <c r="H149" s="54" t="str">
        <f t="shared" ca="1" si="214"/>
        <v>X</v>
      </c>
      <c r="I149" s="54" t="str">
        <f t="shared" ca="1" si="214"/>
        <v>O</v>
      </c>
      <c r="J149" s="54" t="str">
        <f t="shared" ca="1" si="214"/>
        <v>O</v>
      </c>
      <c r="K149" s="54" t="str">
        <f t="shared" ca="1" si="214"/>
        <v>X</v>
      </c>
      <c r="L149" s="54" t="str">
        <f t="shared" ca="1" si="214"/>
        <v>X</v>
      </c>
      <c r="M149" s="54" t="str">
        <f t="shared" ca="1" si="214"/>
        <v>X</v>
      </c>
      <c r="N149" s="54" t="str">
        <f t="shared" ca="1" si="214"/>
        <v>X</v>
      </c>
      <c r="O149" s="54" t="str">
        <f t="shared" ca="1" si="214"/>
        <v>X</v>
      </c>
      <c r="P149" s="54" t="str">
        <f t="shared" ca="1" si="214"/>
        <v>O</v>
      </c>
      <c r="Q149" s="54" t="str">
        <f t="shared" ca="1" si="214"/>
        <v>X</v>
      </c>
      <c r="R149" s="54" t="str">
        <f t="shared" si="214"/>
        <v>X</v>
      </c>
      <c r="S149" s="54" t="str">
        <f t="shared" si="214"/>
        <v>X</v>
      </c>
      <c r="T149" s="54" t="str">
        <f t="shared" si="214"/>
        <v>X</v>
      </c>
      <c r="U149" s="54" t="str">
        <f t="shared" si="214"/>
        <v>X</v>
      </c>
      <c r="V149" s="54" t="str">
        <f t="shared" si="214"/>
        <v>X</v>
      </c>
      <c r="W149" s="54" t="str">
        <f t="shared" si="214"/>
        <v>X</v>
      </c>
      <c r="X149" s="54" t="str">
        <f t="shared" si="214"/>
        <v>X</v>
      </c>
      <c r="Y149" s="54" t="str">
        <f t="shared" si="214"/>
        <v>X</v>
      </c>
      <c r="Z149" s="54" t="str">
        <f t="shared" si="214"/>
        <v>X</v>
      </c>
      <c r="AA149" s="54" t="str">
        <f t="shared" si="214"/>
        <v>X</v>
      </c>
      <c r="AB149" s="54" t="str">
        <f t="shared" si="214"/>
        <v>X</v>
      </c>
      <c r="AC149" s="54" t="str">
        <f t="shared" si="214"/>
        <v>X</v>
      </c>
      <c r="AD149" s="54" t="str">
        <f t="shared" si="214"/>
        <v>X</v>
      </c>
      <c r="AE149" s="54" t="str">
        <f t="shared" si="214"/>
        <v>X</v>
      </c>
      <c r="AF149" s="54" t="str">
        <f t="shared" si="214"/>
        <v>X</v>
      </c>
      <c r="AG149" s="54" t="str">
        <f t="shared" si="214"/>
        <v>X</v>
      </c>
      <c r="AH149" s="54" t="str">
        <f t="shared" si="214"/>
        <v>X</v>
      </c>
      <c r="AI149" s="54" t="str">
        <f t="shared" si="214"/>
        <v>X</v>
      </c>
      <c r="AJ149" s="54" t="str">
        <f t="shared" si="214"/>
        <v>X</v>
      </c>
      <c r="AK149" s="54" t="str">
        <f t="shared" si="214"/>
        <v>X</v>
      </c>
      <c r="AL149" s="54" t="str">
        <f t="shared" si="214"/>
        <v>X</v>
      </c>
      <c r="AM149" s="54" t="str">
        <f t="shared" si="214"/>
        <v>X</v>
      </c>
      <c r="AN149" s="54" t="str">
        <f t="shared" si="214"/>
        <v>X</v>
      </c>
      <c r="AO149" s="54" t="str">
        <f t="shared" si="214"/>
        <v>X</v>
      </c>
      <c r="AP149" s="54" t="str">
        <f t="shared" si="214"/>
        <v>X</v>
      </c>
      <c r="AQ149" s="54" t="str">
        <f t="shared" si="214"/>
        <v>X</v>
      </c>
      <c r="AR149" s="54" t="str">
        <f t="shared" si="214"/>
        <v>X</v>
      </c>
      <c r="AS149" s="54" t="str">
        <f t="shared" si="214"/>
        <v>X</v>
      </c>
      <c r="AT149" s="54" t="str">
        <f t="shared" si="214"/>
        <v>X</v>
      </c>
      <c r="AU149" s="54" t="str">
        <f t="shared" si="214"/>
        <v>X</v>
      </c>
      <c r="AV149" s="53"/>
      <c r="AW149" s="53"/>
      <c r="AX149" s="53"/>
      <c r="BC149"/>
      <c r="BD149" s="132"/>
      <c r="BE149"/>
      <c r="BF149" s="132"/>
      <c r="BG149" s="132"/>
      <c r="BH149" s="132"/>
      <c r="BI149" s="132"/>
      <c r="BJ149" s="120"/>
    </row>
    <row r="150" spans="1:66">
      <c r="A150" s="129"/>
      <c r="B150" s="60" t="s">
        <v>663</v>
      </c>
      <c r="C150" s="55">
        <f ca="1">COUNTIF(C144:C149,"O")</f>
        <v>2</v>
      </c>
      <c r="D150" s="55">
        <f t="shared" ref="D150:Q150" ca="1" si="215">COUNTIF(D144:D149,"O")</f>
        <v>5</v>
      </c>
      <c r="E150" s="55">
        <f t="shared" ca="1" si="215"/>
        <v>1</v>
      </c>
      <c r="F150" s="55">
        <f t="shared" ca="1" si="215"/>
        <v>2</v>
      </c>
      <c r="G150" s="55">
        <f t="shared" ca="1" si="215"/>
        <v>4</v>
      </c>
      <c r="H150" s="55">
        <f t="shared" ca="1" si="215"/>
        <v>1</v>
      </c>
      <c r="I150" s="55">
        <f t="shared" ca="1" si="215"/>
        <v>1</v>
      </c>
      <c r="J150" s="55">
        <f t="shared" ca="1" si="215"/>
        <v>1</v>
      </c>
      <c r="K150" s="55">
        <f t="shared" ca="1" si="215"/>
        <v>2</v>
      </c>
      <c r="L150" s="55">
        <f t="shared" ca="1" si="215"/>
        <v>1</v>
      </c>
      <c r="M150" s="55">
        <f t="shared" ca="1" si="215"/>
        <v>2</v>
      </c>
      <c r="N150" s="55">
        <f t="shared" ca="1" si="215"/>
        <v>0</v>
      </c>
      <c r="O150" s="55">
        <f t="shared" ca="1" si="215"/>
        <v>4</v>
      </c>
      <c r="P150" s="55">
        <f t="shared" ca="1" si="215"/>
        <v>1</v>
      </c>
      <c r="Q150" s="55">
        <f t="shared" ca="1" si="215"/>
        <v>0</v>
      </c>
      <c r="R150" s="55">
        <f t="shared" ref="R150:AK150" si="216">COUNTIF(R144:R149,"O")</f>
        <v>0</v>
      </c>
      <c r="S150" s="55">
        <f t="shared" si="216"/>
        <v>0</v>
      </c>
      <c r="T150" s="55">
        <f t="shared" si="216"/>
        <v>0</v>
      </c>
      <c r="U150" s="55">
        <f t="shared" si="216"/>
        <v>0</v>
      </c>
      <c r="V150" s="55">
        <f t="shared" si="216"/>
        <v>0</v>
      </c>
      <c r="W150" s="55">
        <f t="shared" si="216"/>
        <v>0</v>
      </c>
      <c r="X150" s="55">
        <f t="shared" si="216"/>
        <v>0</v>
      </c>
      <c r="Y150" s="55">
        <f t="shared" si="216"/>
        <v>0</v>
      </c>
      <c r="Z150" s="55">
        <f t="shared" si="216"/>
        <v>0</v>
      </c>
      <c r="AA150" s="55">
        <f t="shared" si="216"/>
        <v>0</v>
      </c>
      <c r="AB150" s="55">
        <f t="shared" si="216"/>
        <v>0</v>
      </c>
      <c r="AC150" s="55">
        <f t="shared" si="216"/>
        <v>0</v>
      </c>
      <c r="AD150" s="55">
        <f t="shared" si="216"/>
        <v>0</v>
      </c>
      <c r="AE150" s="55">
        <f t="shared" si="216"/>
        <v>0</v>
      </c>
      <c r="AF150" s="55">
        <f t="shared" si="216"/>
        <v>0</v>
      </c>
      <c r="AG150" s="55">
        <f t="shared" si="216"/>
        <v>0</v>
      </c>
      <c r="AH150" s="55">
        <f t="shared" si="216"/>
        <v>0</v>
      </c>
      <c r="AI150" s="55">
        <f t="shared" si="216"/>
        <v>0</v>
      </c>
      <c r="AJ150" s="55">
        <f t="shared" si="216"/>
        <v>0</v>
      </c>
      <c r="AK150" s="55">
        <f t="shared" si="216"/>
        <v>0</v>
      </c>
      <c r="AL150" s="55">
        <f t="shared" ref="AL150:AU150" si="217">COUNTIF(AL144:AL149,"O")</f>
        <v>0</v>
      </c>
      <c r="AM150" s="55">
        <f t="shared" si="217"/>
        <v>0</v>
      </c>
      <c r="AN150" s="55">
        <f t="shared" si="217"/>
        <v>0</v>
      </c>
      <c r="AO150" s="55">
        <f t="shared" si="217"/>
        <v>0</v>
      </c>
      <c r="AP150" s="55">
        <f t="shared" si="217"/>
        <v>0</v>
      </c>
      <c r="AQ150" s="55">
        <f t="shared" si="217"/>
        <v>0</v>
      </c>
      <c r="AR150" s="55">
        <f t="shared" si="217"/>
        <v>0</v>
      </c>
      <c r="AS150" s="55">
        <f t="shared" si="217"/>
        <v>0</v>
      </c>
      <c r="AT150" s="55">
        <f t="shared" si="217"/>
        <v>0</v>
      </c>
      <c r="AU150" s="55">
        <f t="shared" si="217"/>
        <v>0</v>
      </c>
      <c r="AV150" s="171"/>
      <c r="AW150" s="171"/>
      <c r="AX150" s="171"/>
      <c r="BC150"/>
      <c r="BD150"/>
      <c r="BE150"/>
      <c r="BF150" s="132"/>
      <c r="BG150" s="132"/>
      <c r="BH150" s="132"/>
      <c r="BI150" s="132"/>
      <c r="BJ150" s="120"/>
      <c r="BK150"/>
      <c r="BL150"/>
      <c r="BM150" s="120"/>
      <c r="BN150" s="120"/>
    </row>
    <row r="151" spans="1:66">
      <c r="A151" s="127" t="s">
        <v>845</v>
      </c>
      <c r="B151" s="54" t="s">
        <v>560</v>
      </c>
      <c r="C151" s="54" t="str">
        <f t="shared" ref="C151:AU151" ca="1" si="218">IF(C7=$BC$27,"O",IF(C7=$BD$27,"O",IF(C7=$BE$27,"O",IF(C7=$BF$27,"O",IF(C7=$BG$27,"O",IF(C7=$BH$27,"O",IF(C7=$BI$27,"O",IF(C7=$BJ$27,"O",IF(C7=$BK$27,"O",IF(C7=$BL$27,"O",IF(C7=$BM$27,"O",IF(C7=$BN$27,"O",IF(C7=$BO$27,"O",IF(C7=$BP$27,"O",IF(C7=$BQ$27,"O",IF(C7=$BR$27,"O",IF(C7=$BS$27,"O",IF(C7=$BT$27,"O",IF(C7=$BU$27,"O",IF(C7=$BV$27,"O",IF(C7=$BW$27,"O",IF(C7=$BX$27,"O",IF(C7=$BY$27,"O",IF(C7=$BZ$27,"O",IF(C7=$CA$27,"O",IF(C7=$CB$27,"O","X"))))))))))))))))))))))))))</f>
        <v>X</v>
      </c>
      <c r="D151" s="54" t="str">
        <f t="shared" ca="1" si="218"/>
        <v>O</v>
      </c>
      <c r="E151" s="54" t="str">
        <f t="shared" ca="1" si="218"/>
        <v>X</v>
      </c>
      <c r="F151" s="54" t="str">
        <f t="shared" ca="1" si="218"/>
        <v>X</v>
      </c>
      <c r="G151" s="54" t="str">
        <f t="shared" ca="1" si="218"/>
        <v>O</v>
      </c>
      <c r="H151" s="54" t="str">
        <f t="shared" ca="1" si="218"/>
        <v>X</v>
      </c>
      <c r="I151" s="54" t="str">
        <f t="shared" ca="1" si="218"/>
        <v>X</v>
      </c>
      <c r="J151" s="54" t="str">
        <f t="shared" ca="1" si="218"/>
        <v>X</v>
      </c>
      <c r="K151" s="54" t="str">
        <f t="shared" ca="1" si="218"/>
        <v>X</v>
      </c>
      <c r="L151" s="54" t="str">
        <f t="shared" ca="1" si="218"/>
        <v>X</v>
      </c>
      <c r="M151" s="54" t="str">
        <f t="shared" ca="1" si="218"/>
        <v>X</v>
      </c>
      <c r="N151" s="54" t="str">
        <f t="shared" ca="1" si="218"/>
        <v>X</v>
      </c>
      <c r="O151" s="54" t="str">
        <f t="shared" ca="1" si="218"/>
        <v>X</v>
      </c>
      <c r="P151" s="54" t="str">
        <f t="shared" ca="1" si="218"/>
        <v>X</v>
      </c>
      <c r="Q151" s="54" t="str">
        <f t="shared" ca="1" si="218"/>
        <v>X</v>
      </c>
      <c r="R151" s="54" t="str">
        <f t="shared" si="218"/>
        <v>X</v>
      </c>
      <c r="S151" s="54" t="str">
        <f t="shared" si="218"/>
        <v>X</v>
      </c>
      <c r="T151" s="54" t="str">
        <f t="shared" si="218"/>
        <v>X</v>
      </c>
      <c r="U151" s="54" t="str">
        <f t="shared" si="218"/>
        <v>X</v>
      </c>
      <c r="V151" s="54" t="str">
        <f t="shared" si="218"/>
        <v>X</v>
      </c>
      <c r="W151" s="54" t="str">
        <f t="shared" si="218"/>
        <v>X</v>
      </c>
      <c r="X151" s="54" t="str">
        <f t="shared" si="218"/>
        <v>X</v>
      </c>
      <c r="Y151" s="54" t="str">
        <f t="shared" si="218"/>
        <v>X</v>
      </c>
      <c r="Z151" s="54" t="str">
        <f t="shared" si="218"/>
        <v>X</v>
      </c>
      <c r="AA151" s="54" t="str">
        <f t="shared" si="218"/>
        <v>X</v>
      </c>
      <c r="AB151" s="54" t="str">
        <f t="shared" si="218"/>
        <v>X</v>
      </c>
      <c r="AC151" s="54" t="str">
        <f t="shared" si="218"/>
        <v>X</v>
      </c>
      <c r="AD151" s="54" t="str">
        <f t="shared" si="218"/>
        <v>X</v>
      </c>
      <c r="AE151" s="54" t="str">
        <f t="shared" si="218"/>
        <v>X</v>
      </c>
      <c r="AF151" s="54" t="str">
        <f t="shared" si="218"/>
        <v>X</v>
      </c>
      <c r="AG151" s="54" t="str">
        <f t="shared" si="218"/>
        <v>X</v>
      </c>
      <c r="AH151" s="54" t="str">
        <f t="shared" si="218"/>
        <v>X</v>
      </c>
      <c r="AI151" s="54" t="str">
        <f t="shared" si="218"/>
        <v>X</v>
      </c>
      <c r="AJ151" s="54" t="str">
        <f t="shared" si="218"/>
        <v>X</v>
      </c>
      <c r="AK151" s="54" t="str">
        <f t="shared" si="218"/>
        <v>X</v>
      </c>
      <c r="AL151" s="54" t="str">
        <f t="shared" si="218"/>
        <v>X</v>
      </c>
      <c r="AM151" s="54" t="str">
        <f t="shared" si="218"/>
        <v>X</v>
      </c>
      <c r="AN151" s="54" t="str">
        <f t="shared" si="218"/>
        <v>X</v>
      </c>
      <c r="AO151" s="54" t="str">
        <f t="shared" si="218"/>
        <v>X</v>
      </c>
      <c r="AP151" s="54" t="str">
        <f t="shared" si="218"/>
        <v>X</v>
      </c>
      <c r="AQ151" s="54" t="str">
        <f t="shared" si="218"/>
        <v>X</v>
      </c>
      <c r="AR151" s="54" t="str">
        <f t="shared" si="218"/>
        <v>X</v>
      </c>
      <c r="AS151" s="54" t="str">
        <f t="shared" si="218"/>
        <v>X</v>
      </c>
      <c r="AT151" s="54" t="str">
        <f t="shared" si="218"/>
        <v>X</v>
      </c>
      <c r="AU151" s="54" t="str">
        <f t="shared" si="218"/>
        <v>X</v>
      </c>
      <c r="AV151" s="53"/>
      <c r="AW151" s="53"/>
      <c r="AX151" s="53"/>
      <c r="BC151"/>
      <c r="BD151"/>
      <c r="BE151"/>
      <c r="BF151" s="132"/>
      <c r="BG151" s="132"/>
      <c r="BH151" s="132"/>
      <c r="BI151" s="132"/>
      <c r="BJ151" s="120"/>
    </row>
    <row r="152" spans="1:66">
      <c r="A152" s="128"/>
      <c r="B152" s="54" t="s">
        <v>566</v>
      </c>
      <c r="C152" s="54" t="str">
        <f t="shared" ref="C152:AU152" ca="1" si="219">IF(C8=$BC$27,"O",IF(C8=$BD$27,"O",IF(C8=$BE$27,"O",IF(C8=$BF$27,"O",IF(C8=$BG$27,"O",IF(C8=$BH$27,"O",IF(C8=$BI$27,"O",IF(C8=$BJ$27,"O",IF(C8=$BK$27,"O",IF(C8=$BL$27,"O",IF(C8=$BM$27,"O",IF(C8=$BN$27,"O",IF(C8=$BO$27,"O",IF(C8=$BP$27,"O",IF(C8=$BQ$27,"O",IF(C8=$BR$27,"O",IF(C8=$BS$27,"O",IF(C8=$BT$27,"O",IF(C8=$BU$27,"O",IF(C8=$BV$27,"O",IF(C8=$BW$27,"O",IF(C8=$BX$27,"O",IF(C8=$BY$27,"O",IF(C8=$BZ$27,"O",IF(C8=$CA$27,"O",IF(C8=$CB$27,"O","X"))))))))))))))))))))))))))</f>
        <v>X</v>
      </c>
      <c r="D152" s="54" t="str">
        <f t="shared" ca="1" si="219"/>
        <v>X</v>
      </c>
      <c r="E152" s="54" t="str">
        <f t="shared" ca="1" si="219"/>
        <v>X</v>
      </c>
      <c r="F152" s="54" t="str">
        <f t="shared" ca="1" si="219"/>
        <v>X</v>
      </c>
      <c r="G152" s="54" t="str">
        <f t="shared" ca="1" si="219"/>
        <v>X</v>
      </c>
      <c r="H152" s="54" t="str">
        <f t="shared" ca="1" si="219"/>
        <v>X</v>
      </c>
      <c r="I152" s="54" t="str">
        <f t="shared" ca="1" si="219"/>
        <v>X</v>
      </c>
      <c r="J152" s="54" t="str">
        <f t="shared" ca="1" si="219"/>
        <v>X</v>
      </c>
      <c r="K152" s="54" t="str">
        <f t="shared" ca="1" si="219"/>
        <v>X</v>
      </c>
      <c r="L152" s="54" t="str">
        <f t="shared" ca="1" si="219"/>
        <v>X</v>
      </c>
      <c r="M152" s="54" t="str">
        <f t="shared" ca="1" si="219"/>
        <v>X</v>
      </c>
      <c r="N152" s="54" t="str">
        <f t="shared" ca="1" si="219"/>
        <v>X</v>
      </c>
      <c r="O152" s="54" t="str">
        <f t="shared" ca="1" si="219"/>
        <v>X</v>
      </c>
      <c r="P152" s="54" t="str">
        <f t="shared" ca="1" si="219"/>
        <v>X</v>
      </c>
      <c r="Q152" s="54" t="str">
        <f t="shared" ca="1" si="219"/>
        <v>X</v>
      </c>
      <c r="R152" s="54" t="str">
        <f t="shared" si="219"/>
        <v>X</v>
      </c>
      <c r="S152" s="54" t="str">
        <f t="shared" si="219"/>
        <v>X</v>
      </c>
      <c r="T152" s="54" t="str">
        <f t="shared" si="219"/>
        <v>X</v>
      </c>
      <c r="U152" s="54" t="str">
        <f t="shared" si="219"/>
        <v>X</v>
      </c>
      <c r="V152" s="54" t="str">
        <f t="shared" si="219"/>
        <v>X</v>
      </c>
      <c r="W152" s="54" t="str">
        <f t="shared" si="219"/>
        <v>X</v>
      </c>
      <c r="X152" s="54" t="str">
        <f t="shared" si="219"/>
        <v>X</v>
      </c>
      <c r="Y152" s="54" t="str">
        <f t="shared" si="219"/>
        <v>X</v>
      </c>
      <c r="Z152" s="54" t="str">
        <f t="shared" si="219"/>
        <v>X</v>
      </c>
      <c r="AA152" s="54" t="str">
        <f t="shared" si="219"/>
        <v>X</v>
      </c>
      <c r="AB152" s="54" t="str">
        <f t="shared" si="219"/>
        <v>X</v>
      </c>
      <c r="AC152" s="54" t="str">
        <f t="shared" si="219"/>
        <v>X</v>
      </c>
      <c r="AD152" s="54" t="str">
        <f t="shared" si="219"/>
        <v>X</v>
      </c>
      <c r="AE152" s="54" t="str">
        <f t="shared" si="219"/>
        <v>X</v>
      </c>
      <c r="AF152" s="54" t="str">
        <f t="shared" si="219"/>
        <v>X</v>
      </c>
      <c r="AG152" s="54" t="str">
        <f t="shared" si="219"/>
        <v>X</v>
      </c>
      <c r="AH152" s="54" t="str">
        <f t="shared" si="219"/>
        <v>X</v>
      </c>
      <c r="AI152" s="54" t="str">
        <f t="shared" si="219"/>
        <v>X</v>
      </c>
      <c r="AJ152" s="54" t="str">
        <f t="shared" si="219"/>
        <v>X</v>
      </c>
      <c r="AK152" s="54" t="str">
        <f t="shared" si="219"/>
        <v>X</v>
      </c>
      <c r="AL152" s="54" t="str">
        <f t="shared" si="219"/>
        <v>X</v>
      </c>
      <c r="AM152" s="54" t="str">
        <f t="shared" si="219"/>
        <v>X</v>
      </c>
      <c r="AN152" s="54" t="str">
        <f t="shared" si="219"/>
        <v>X</v>
      </c>
      <c r="AO152" s="54" t="str">
        <f t="shared" si="219"/>
        <v>X</v>
      </c>
      <c r="AP152" s="54" t="str">
        <f t="shared" si="219"/>
        <v>X</v>
      </c>
      <c r="AQ152" s="54" t="str">
        <f t="shared" si="219"/>
        <v>X</v>
      </c>
      <c r="AR152" s="54" t="str">
        <f t="shared" si="219"/>
        <v>X</v>
      </c>
      <c r="AS152" s="54" t="str">
        <f t="shared" si="219"/>
        <v>X</v>
      </c>
      <c r="AT152" s="54" t="str">
        <f t="shared" si="219"/>
        <v>X</v>
      </c>
      <c r="AU152" s="54" t="str">
        <f t="shared" si="219"/>
        <v>X</v>
      </c>
      <c r="AV152" s="53"/>
      <c r="AW152" s="53"/>
      <c r="AX152" s="53"/>
      <c r="BC152" s="160"/>
      <c r="BD152" s="160"/>
      <c r="BE152" s="160"/>
      <c r="BF152" s="160"/>
      <c r="BG152" s="160"/>
      <c r="BH152" s="160"/>
      <c r="BI152" s="178"/>
      <c r="BJ152" s="160"/>
    </row>
    <row r="153" spans="1:66">
      <c r="A153" s="128"/>
      <c r="B153" s="54" t="s">
        <v>567</v>
      </c>
      <c r="C153" s="54" t="str">
        <f t="shared" ref="C153:AU153" ca="1" si="220">IF(C9=$BC$27,"O",IF(C9=$BD$27,"O",IF(C9=$BE$27,"O",IF(C9=$BF$27,"O",IF(C9=$BG$27,"O",IF(C9=$BH$27,"O",IF(C9=$BI$27,"O",IF(C9=$BJ$27,"O",IF(C9=$BK$27,"O",IF(C9=$BL$27,"O",IF(C9=$BM$27,"O",IF(C9=$BN$27,"O",IF(C9=$BO$27,"O",IF(C9=$BP$27,"O",IF(C9=$BQ$27,"O",IF(C9=$BR$27,"O",IF(C9=$BS$27,"O",IF(C9=$BT$27,"O",IF(C9=$BU$27,"O",IF(C9=$BV$27,"O",IF(C9=$BW$27,"O",IF(C9=$BX$27,"O",IF(C9=$BY$27,"O",IF(C9=$BZ$27,"O",IF(C9=$CA$27,"O",IF(C9=$CB$27,"O","X"))))))))))))))))))))))))))</f>
        <v>X</v>
      </c>
      <c r="D153" s="54" t="str">
        <f t="shared" ca="1" si="220"/>
        <v>X</v>
      </c>
      <c r="E153" s="54" t="str">
        <f t="shared" ca="1" si="220"/>
        <v>O</v>
      </c>
      <c r="F153" s="54" t="str">
        <f t="shared" ca="1" si="220"/>
        <v>X</v>
      </c>
      <c r="G153" s="54" t="str">
        <f t="shared" ca="1" si="220"/>
        <v>O</v>
      </c>
      <c r="H153" s="54" t="str">
        <f t="shared" ca="1" si="220"/>
        <v>X</v>
      </c>
      <c r="I153" s="54" t="str">
        <f t="shared" ca="1" si="220"/>
        <v>X</v>
      </c>
      <c r="J153" s="54" t="str">
        <f t="shared" ca="1" si="220"/>
        <v>X</v>
      </c>
      <c r="K153" s="54" t="str">
        <f t="shared" ca="1" si="220"/>
        <v>X</v>
      </c>
      <c r="L153" s="54" t="str">
        <f t="shared" ca="1" si="220"/>
        <v>X</v>
      </c>
      <c r="M153" s="54" t="str">
        <f t="shared" ca="1" si="220"/>
        <v>X</v>
      </c>
      <c r="N153" s="54" t="str">
        <f t="shared" ca="1" si="220"/>
        <v>X</v>
      </c>
      <c r="O153" s="54" t="str">
        <f t="shared" ca="1" si="220"/>
        <v>X</v>
      </c>
      <c r="P153" s="54" t="str">
        <f t="shared" ca="1" si="220"/>
        <v>X</v>
      </c>
      <c r="Q153" s="54" t="str">
        <f t="shared" ca="1" si="220"/>
        <v>X</v>
      </c>
      <c r="R153" s="54" t="str">
        <f t="shared" si="220"/>
        <v>X</v>
      </c>
      <c r="S153" s="54" t="str">
        <f t="shared" si="220"/>
        <v>X</v>
      </c>
      <c r="T153" s="54" t="str">
        <f t="shared" si="220"/>
        <v>X</v>
      </c>
      <c r="U153" s="54" t="str">
        <f t="shared" si="220"/>
        <v>X</v>
      </c>
      <c r="V153" s="54" t="str">
        <f t="shared" si="220"/>
        <v>X</v>
      </c>
      <c r="W153" s="54" t="str">
        <f t="shared" si="220"/>
        <v>X</v>
      </c>
      <c r="X153" s="54" t="str">
        <f t="shared" si="220"/>
        <v>X</v>
      </c>
      <c r="Y153" s="54" t="str">
        <f t="shared" si="220"/>
        <v>X</v>
      </c>
      <c r="Z153" s="54" t="str">
        <f t="shared" si="220"/>
        <v>X</v>
      </c>
      <c r="AA153" s="54" t="str">
        <f t="shared" si="220"/>
        <v>X</v>
      </c>
      <c r="AB153" s="54" t="str">
        <f t="shared" si="220"/>
        <v>X</v>
      </c>
      <c r="AC153" s="54" t="str">
        <f t="shared" si="220"/>
        <v>X</v>
      </c>
      <c r="AD153" s="54" t="str">
        <f t="shared" si="220"/>
        <v>X</v>
      </c>
      <c r="AE153" s="54" t="str">
        <f t="shared" si="220"/>
        <v>X</v>
      </c>
      <c r="AF153" s="54" t="str">
        <f t="shared" si="220"/>
        <v>X</v>
      </c>
      <c r="AG153" s="54" t="str">
        <f t="shared" si="220"/>
        <v>X</v>
      </c>
      <c r="AH153" s="54" t="str">
        <f t="shared" si="220"/>
        <v>X</v>
      </c>
      <c r="AI153" s="54" t="str">
        <f t="shared" si="220"/>
        <v>X</v>
      </c>
      <c r="AJ153" s="54" t="str">
        <f t="shared" si="220"/>
        <v>X</v>
      </c>
      <c r="AK153" s="54" t="str">
        <f t="shared" si="220"/>
        <v>X</v>
      </c>
      <c r="AL153" s="54" t="str">
        <f t="shared" si="220"/>
        <v>X</v>
      </c>
      <c r="AM153" s="54" t="str">
        <f t="shared" si="220"/>
        <v>X</v>
      </c>
      <c r="AN153" s="54" t="str">
        <f t="shared" si="220"/>
        <v>X</v>
      </c>
      <c r="AO153" s="54" t="str">
        <f t="shared" si="220"/>
        <v>X</v>
      </c>
      <c r="AP153" s="54" t="str">
        <f t="shared" si="220"/>
        <v>X</v>
      </c>
      <c r="AQ153" s="54" t="str">
        <f t="shared" si="220"/>
        <v>X</v>
      </c>
      <c r="AR153" s="54" t="str">
        <f t="shared" si="220"/>
        <v>X</v>
      </c>
      <c r="AS153" s="54" t="str">
        <f t="shared" si="220"/>
        <v>X</v>
      </c>
      <c r="AT153" s="54" t="str">
        <f t="shared" si="220"/>
        <v>X</v>
      </c>
      <c r="AU153" s="54" t="str">
        <f t="shared" si="220"/>
        <v>X</v>
      </c>
      <c r="AV153" s="53"/>
      <c r="AW153" s="53"/>
      <c r="AX153" s="53"/>
      <c r="BC153"/>
      <c r="BD153"/>
      <c r="BE153"/>
      <c r="BF153"/>
      <c r="BG153"/>
      <c r="BH153"/>
      <c r="BI153" s="132"/>
      <c r="BJ153" s="120"/>
    </row>
    <row r="154" spans="1:66">
      <c r="A154" s="128"/>
      <c r="B154" s="54" t="s">
        <v>568</v>
      </c>
      <c r="C154" s="54" t="str">
        <f t="shared" ref="C154:AU154" ca="1" si="221">IF(C10=$BC$27,"O",IF(C10=$BD$27,"O",IF(C10=$BE$27,"O",IF(C10=$BF$27,"O",IF(C10=$BG$27,"O",IF(C10=$BH$27,"O",IF(C10=$BI$27,"O",IF(C10=$BJ$27,"O",IF(C10=$BK$27,"O",IF(C10=$BL$27,"O",IF(C10=$BM$27,"O",IF(C10=$BN$27,"O",IF(C10=$BO$27,"O",IF(C10=$BP$27,"O",IF(C10=$BQ$27,"O",IF(C10=$BR$27,"O",IF(C10=$BS$27,"O",IF(C10=$BT$27,"O",IF(C10=$BU$27,"O",IF(C10=$BV$27,"O",IF(C10=$BW$27,"O",IF(C10=$BX$27,"O",IF(C10=$BY$27,"O",IF(C10=$BZ$27,"O",IF(C10=$CA$27,"O",IF(C10=$CB$27,"O","X"))))))))))))))))))))))))))</f>
        <v>X</v>
      </c>
      <c r="D154" s="54" t="str">
        <f t="shared" ca="1" si="221"/>
        <v>X</v>
      </c>
      <c r="E154" s="54" t="str">
        <f t="shared" ca="1" si="221"/>
        <v>X</v>
      </c>
      <c r="F154" s="54" t="str">
        <f t="shared" ca="1" si="221"/>
        <v>X</v>
      </c>
      <c r="G154" s="54" t="str">
        <f t="shared" ca="1" si="221"/>
        <v>X</v>
      </c>
      <c r="H154" s="54" t="str">
        <f t="shared" ca="1" si="221"/>
        <v>X</v>
      </c>
      <c r="I154" s="54" t="str">
        <f t="shared" ca="1" si="221"/>
        <v>X</v>
      </c>
      <c r="J154" s="54" t="str">
        <f t="shared" ca="1" si="221"/>
        <v>X</v>
      </c>
      <c r="K154" s="54" t="str">
        <f t="shared" ca="1" si="221"/>
        <v>X</v>
      </c>
      <c r="L154" s="54" t="str">
        <f t="shared" ca="1" si="221"/>
        <v>X</v>
      </c>
      <c r="M154" s="54" t="str">
        <f t="shared" ca="1" si="221"/>
        <v>X</v>
      </c>
      <c r="N154" s="54" t="str">
        <f t="shared" ca="1" si="221"/>
        <v>X</v>
      </c>
      <c r="O154" s="54" t="str">
        <f t="shared" ca="1" si="221"/>
        <v>X</v>
      </c>
      <c r="P154" s="54" t="str">
        <f t="shared" ca="1" si="221"/>
        <v>X</v>
      </c>
      <c r="Q154" s="54" t="str">
        <f t="shared" ca="1" si="221"/>
        <v>X</v>
      </c>
      <c r="R154" s="54" t="str">
        <f t="shared" si="221"/>
        <v>X</v>
      </c>
      <c r="S154" s="54" t="str">
        <f t="shared" si="221"/>
        <v>X</v>
      </c>
      <c r="T154" s="54" t="str">
        <f t="shared" si="221"/>
        <v>X</v>
      </c>
      <c r="U154" s="54" t="str">
        <f t="shared" si="221"/>
        <v>X</v>
      </c>
      <c r="V154" s="54" t="str">
        <f t="shared" si="221"/>
        <v>X</v>
      </c>
      <c r="W154" s="54" t="str">
        <f t="shared" si="221"/>
        <v>X</v>
      </c>
      <c r="X154" s="54" t="str">
        <f t="shared" si="221"/>
        <v>X</v>
      </c>
      <c r="Y154" s="54" t="str">
        <f t="shared" si="221"/>
        <v>X</v>
      </c>
      <c r="Z154" s="54" t="str">
        <f t="shared" si="221"/>
        <v>X</v>
      </c>
      <c r="AA154" s="54" t="str">
        <f t="shared" si="221"/>
        <v>X</v>
      </c>
      <c r="AB154" s="54" t="str">
        <f t="shared" si="221"/>
        <v>X</v>
      </c>
      <c r="AC154" s="54" t="str">
        <f t="shared" si="221"/>
        <v>X</v>
      </c>
      <c r="AD154" s="54" t="str">
        <f t="shared" si="221"/>
        <v>X</v>
      </c>
      <c r="AE154" s="54" t="str">
        <f t="shared" si="221"/>
        <v>X</v>
      </c>
      <c r="AF154" s="54" t="str">
        <f t="shared" si="221"/>
        <v>X</v>
      </c>
      <c r="AG154" s="54" t="str">
        <f t="shared" si="221"/>
        <v>X</v>
      </c>
      <c r="AH154" s="54" t="str">
        <f t="shared" si="221"/>
        <v>X</v>
      </c>
      <c r="AI154" s="54" t="str">
        <f t="shared" si="221"/>
        <v>X</v>
      </c>
      <c r="AJ154" s="54" t="str">
        <f t="shared" si="221"/>
        <v>X</v>
      </c>
      <c r="AK154" s="54" t="str">
        <f t="shared" si="221"/>
        <v>X</v>
      </c>
      <c r="AL154" s="54" t="str">
        <f t="shared" si="221"/>
        <v>X</v>
      </c>
      <c r="AM154" s="54" t="str">
        <f t="shared" si="221"/>
        <v>X</v>
      </c>
      <c r="AN154" s="54" t="str">
        <f t="shared" si="221"/>
        <v>X</v>
      </c>
      <c r="AO154" s="54" t="str">
        <f t="shared" si="221"/>
        <v>X</v>
      </c>
      <c r="AP154" s="54" t="str">
        <f t="shared" si="221"/>
        <v>X</v>
      </c>
      <c r="AQ154" s="54" t="str">
        <f t="shared" si="221"/>
        <v>X</v>
      </c>
      <c r="AR154" s="54" t="str">
        <f t="shared" si="221"/>
        <v>X</v>
      </c>
      <c r="AS154" s="54" t="str">
        <f t="shared" si="221"/>
        <v>X</v>
      </c>
      <c r="AT154" s="54" t="str">
        <f t="shared" si="221"/>
        <v>X</v>
      </c>
      <c r="AU154" s="54" t="str">
        <f t="shared" si="221"/>
        <v>X</v>
      </c>
      <c r="AV154" s="53"/>
      <c r="AW154" s="53"/>
      <c r="AX154" s="53"/>
      <c r="BC154" s="22"/>
      <c r="BH154" s="70"/>
      <c r="BI154" s="47"/>
      <c r="BJ154" s="22"/>
    </row>
    <row r="155" spans="1:66">
      <c r="A155" s="128"/>
      <c r="B155" s="54" t="s">
        <v>569</v>
      </c>
      <c r="C155" s="54" t="str">
        <f t="shared" ref="C155:AU155" ca="1" si="222">IF(C11=$BC$27,"O",IF(C11=$BD$27,"O",IF(C11=$BE$27,"O",IF(C11=$BF$27,"O",IF(C11=$BG$27,"O",IF(C11=$BH$27,"O",IF(C11=$BI$27,"O",IF(C11=$BJ$27,"O",IF(C11=$BK$27,"O",IF(C11=$BL$27,"O",IF(C11=$BM$27,"O",IF(C11=$BN$27,"O",IF(C11=$BO$27,"O",IF(C11=$BP$27,"O",IF(C11=$BQ$27,"O",IF(C11=$BR$27,"O",IF(C11=$BS$27,"O",IF(C11=$BT$27,"O",IF(C11=$BU$27,"O",IF(C11=$BV$27,"O",IF(C11=$BW$27,"O",IF(C11=$BX$27,"O",IF(C11=$BY$27,"O",IF(C11=$BZ$27,"O",IF(C11=$CA$27,"O",IF(C11=$CB$27,"O","X"))))))))))))))))))))))))))</f>
        <v>X</v>
      </c>
      <c r="D155" s="54" t="str">
        <f t="shared" ca="1" si="222"/>
        <v>X</v>
      </c>
      <c r="E155" s="54" t="str">
        <f t="shared" ca="1" si="222"/>
        <v>X</v>
      </c>
      <c r="F155" s="54" t="str">
        <f t="shared" ca="1" si="222"/>
        <v>X</v>
      </c>
      <c r="G155" s="54" t="str">
        <f t="shared" ca="1" si="222"/>
        <v>X</v>
      </c>
      <c r="H155" s="54" t="str">
        <f t="shared" ca="1" si="222"/>
        <v>X</v>
      </c>
      <c r="I155" s="54" t="str">
        <f t="shared" ca="1" si="222"/>
        <v>X</v>
      </c>
      <c r="J155" s="54" t="str">
        <f t="shared" ca="1" si="222"/>
        <v>X</v>
      </c>
      <c r="K155" s="54" t="str">
        <f t="shared" ca="1" si="222"/>
        <v>X</v>
      </c>
      <c r="L155" s="54" t="str">
        <f t="shared" ca="1" si="222"/>
        <v>X</v>
      </c>
      <c r="M155" s="54" t="str">
        <f t="shared" ca="1" si="222"/>
        <v>X</v>
      </c>
      <c r="N155" s="54" t="str">
        <f t="shared" ca="1" si="222"/>
        <v>X</v>
      </c>
      <c r="O155" s="54" t="str">
        <f t="shared" ca="1" si="222"/>
        <v>X</v>
      </c>
      <c r="P155" s="54" t="str">
        <f t="shared" ca="1" si="222"/>
        <v>X</v>
      </c>
      <c r="Q155" s="54" t="str">
        <f t="shared" ca="1" si="222"/>
        <v>X</v>
      </c>
      <c r="R155" s="54" t="str">
        <f t="shared" si="222"/>
        <v>X</v>
      </c>
      <c r="S155" s="54" t="str">
        <f t="shared" si="222"/>
        <v>X</v>
      </c>
      <c r="T155" s="54" t="str">
        <f t="shared" si="222"/>
        <v>X</v>
      </c>
      <c r="U155" s="54" t="str">
        <f t="shared" si="222"/>
        <v>X</v>
      </c>
      <c r="V155" s="54" t="str">
        <f t="shared" si="222"/>
        <v>X</v>
      </c>
      <c r="W155" s="54" t="str">
        <f t="shared" si="222"/>
        <v>X</v>
      </c>
      <c r="X155" s="54" t="str">
        <f t="shared" si="222"/>
        <v>X</v>
      </c>
      <c r="Y155" s="54" t="str">
        <f t="shared" si="222"/>
        <v>X</v>
      </c>
      <c r="Z155" s="54" t="str">
        <f t="shared" si="222"/>
        <v>X</v>
      </c>
      <c r="AA155" s="54" t="str">
        <f t="shared" si="222"/>
        <v>X</v>
      </c>
      <c r="AB155" s="54" t="str">
        <f t="shared" si="222"/>
        <v>X</v>
      </c>
      <c r="AC155" s="54" t="str">
        <f t="shared" si="222"/>
        <v>X</v>
      </c>
      <c r="AD155" s="54" t="str">
        <f t="shared" si="222"/>
        <v>X</v>
      </c>
      <c r="AE155" s="54" t="str">
        <f t="shared" si="222"/>
        <v>X</v>
      </c>
      <c r="AF155" s="54" t="str">
        <f t="shared" si="222"/>
        <v>X</v>
      </c>
      <c r="AG155" s="54" t="str">
        <f t="shared" si="222"/>
        <v>X</v>
      </c>
      <c r="AH155" s="54" t="str">
        <f t="shared" si="222"/>
        <v>X</v>
      </c>
      <c r="AI155" s="54" t="str">
        <f t="shared" si="222"/>
        <v>X</v>
      </c>
      <c r="AJ155" s="54" t="str">
        <f t="shared" si="222"/>
        <v>X</v>
      </c>
      <c r="AK155" s="54" t="str">
        <f t="shared" si="222"/>
        <v>X</v>
      </c>
      <c r="AL155" s="54" t="str">
        <f t="shared" si="222"/>
        <v>X</v>
      </c>
      <c r="AM155" s="54" t="str">
        <f t="shared" si="222"/>
        <v>X</v>
      </c>
      <c r="AN155" s="54" t="str">
        <f t="shared" si="222"/>
        <v>X</v>
      </c>
      <c r="AO155" s="54" t="str">
        <f t="shared" si="222"/>
        <v>X</v>
      </c>
      <c r="AP155" s="54" t="str">
        <f t="shared" si="222"/>
        <v>X</v>
      </c>
      <c r="AQ155" s="54" t="str">
        <f t="shared" si="222"/>
        <v>X</v>
      </c>
      <c r="AR155" s="54" t="str">
        <f t="shared" si="222"/>
        <v>X</v>
      </c>
      <c r="AS155" s="54" t="str">
        <f t="shared" si="222"/>
        <v>X</v>
      </c>
      <c r="AT155" s="54" t="str">
        <f t="shared" si="222"/>
        <v>X</v>
      </c>
      <c r="AU155" s="54" t="str">
        <f t="shared" si="222"/>
        <v>X</v>
      </c>
      <c r="AV155" s="53"/>
      <c r="AW155" s="53"/>
      <c r="AX155" s="53"/>
      <c r="BC155" s="22"/>
      <c r="BH155" s="70"/>
      <c r="BJ155" s="22"/>
    </row>
    <row r="156" spans="1:66">
      <c r="A156" s="128"/>
      <c r="B156" s="54" t="s">
        <v>540</v>
      </c>
      <c r="C156" s="54" t="str">
        <f t="shared" ref="C156:AU156" ca="1" si="223">IF(C12=$BC$27,"O",IF(C12=$BD$27,"O",IF(C12=$BE$27,"O",IF(C12=$BF$27,"O",IF(C12=$BG$27,"O",IF(C12=$BH$27,"O",IF(C12=$BI$27,"O",IF(C12=$BJ$27,"O",IF(C12=$BK$27,"O",IF(C12=$BL$27,"O",IF(C12=$BM$27,"O",IF(C12=$BN$27,"O",IF(C12=$BO$27,"O",IF(C12=$BP$27,"O",IF(C12=$BQ$27,"O",IF(C12=$BR$27,"O",IF(C12=$BS$27,"O",IF(C12=$BT$27,"O",IF(C12=$BU$27,"O",IF(C12=$BV$27,"O",IF(C12=$BW$27,"O",IF(C12=$BX$27,"O",IF(C12=$BY$27,"O",IF(C12=$BZ$27,"O",IF(C12=$CA$27,"O",IF(C12=$CB$27,"O","X"))))))))))))))))))))))))))</f>
        <v>X</v>
      </c>
      <c r="D156" s="54" t="str">
        <f t="shared" ca="1" si="223"/>
        <v>O</v>
      </c>
      <c r="E156" s="54" t="str">
        <f t="shared" ca="1" si="223"/>
        <v>X</v>
      </c>
      <c r="F156" s="54" t="str">
        <f t="shared" ca="1" si="223"/>
        <v>X</v>
      </c>
      <c r="G156" s="54" t="str">
        <f t="shared" ca="1" si="223"/>
        <v>X</v>
      </c>
      <c r="H156" s="54" t="str">
        <f t="shared" ca="1" si="223"/>
        <v>X</v>
      </c>
      <c r="I156" s="54" t="str">
        <f t="shared" ca="1" si="223"/>
        <v>X</v>
      </c>
      <c r="J156" s="54" t="str">
        <f t="shared" ca="1" si="223"/>
        <v>O</v>
      </c>
      <c r="K156" s="54" t="str">
        <f t="shared" ca="1" si="223"/>
        <v>X</v>
      </c>
      <c r="L156" s="54" t="str">
        <f t="shared" ca="1" si="223"/>
        <v>X</v>
      </c>
      <c r="M156" s="54" t="str">
        <f t="shared" ca="1" si="223"/>
        <v>X</v>
      </c>
      <c r="N156" s="54" t="str">
        <f t="shared" ca="1" si="223"/>
        <v>X</v>
      </c>
      <c r="O156" s="54" t="str">
        <f t="shared" ca="1" si="223"/>
        <v>X</v>
      </c>
      <c r="P156" s="54" t="str">
        <f t="shared" ca="1" si="223"/>
        <v>O</v>
      </c>
      <c r="Q156" s="54" t="str">
        <f t="shared" ca="1" si="223"/>
        <v>X</v>
      </c>
      <c r="R156" s="54" t="str">
        <f t="shared" si="223"/>
        <v>X</v>
      </c>
      <c r="S156" s="54" t="str">
        <f t="shared" si="223"/>
        <v>X</v>
      </c>
      <c r="T156" s="54" t="str">
        <f t="shared" si="223"/>
        <v>X</v>
      </c>
      <c r="U156" s="54" t="str">
        <f t="shared" si="223"/>
        <v>X</v>
      </c>
      <c r="V156" s="54" t="str">
        <f t="shared" si="223"/>
        <v>X</v>
      </c>
      <c r="W156" s="54" t="str">
        <f t="shared" si="223"/>
        <v>X</v>
      </c>
      <c r="X156" s="54" t="str">
        <f t="shared" si="223"/>
        <v>X</v>
      </c>
      <c r="Y156" s="54" t="str">
        <f t="shared" si="223"/>
        <v>X</v>
      </c>
      <c r="Z156" s="54" t="str">
        <f t="shared" si="223"/>
        <v>X</v>
      </c>
      <c r="AA156" s="54" t="str">
        <f t="shared" si="223"/>
        <v>X</v>
      </c>
      <c r="AB156" s="54" t="str">
        <f t="shared" si="223"/>
        <v>X</v>
      </c>
      <c r="AC156" s="54" t="str">
        <f t="shared" si="223"/>
        <v>X</v>
      </c>
      <c r="AD156" s="54" t="str">
        <f t="shared" si="223"/>
        <v>X</v>
      </c>
      <c r="AE156" s="54" t="str">
        <f t="shared" si="223"/>
        <v>X</v>
      </c>
      <c r="AF156" s="54" t="str">
        <f t="shared" si="223"/>
        <v>X</v>
      </c>
      <c r="AG156" s="54" t="str">
        <f t="shared" si="223"/>
        <v>X</v>
      </c>
      <c r="AH156" s="54" t="str">
        <f t="shared" si="223"/>
        <v>X</v>
      </c>
      <c r="AI156" s="54" t="str">
        <f t="shared" si="223"/>
        <v>X</v>
      </c>
      <c r="AJ156" s="54" t="str">
        <f t="shared" si="223"/>
        <v>X</v>
      </c>
      <c r="AK156" s="54" t="str">
        <f t="shared" si="223"/>
        <v>X</v>
      </c>
      <c r="AL156" s="54" t="str">
        <f t="shared" si="223"/>
        <v>X</v>
      </c>
      <c r="AM156" s="54" t="str">
        <f t="shared" si="223"/>
        <v>X</v>
      </c>
      <c r="AN156" s="54" t="str">
        <f t="shared" si="223"/>
        <v>X</v>
      </c>
      <c r="AO156" s="54" t="str">
        <f t="shared" si="223"/>
        <v>X</v>
      </c>
      <c r="AP156" s="54" t="str">
        <f t="shared" si="223"/>
        <v>X</v>
      </c>
      <c r="AQ156" s="54" t="str">
        <f t="shared" si="223"/>
        <v>X</v>
      </c>
      <c r="AR156" s="54" t="str">
        <f t="shared" si="223"/>
        <v>X</v>
      </c>
      <c r="AS156" s="54" t="str">
        <f t="shared" si="223"/>
        <v>X</v>
      </c>
      <c r="AT156" s="54" t="str">
        <f t="shared" si="223"/>
        <v>X</v>
      </c>
      <c r="AU156" s="54" t="str">
        <f t="shared" si="223"/>
        <v>X</v>
      </c>
      <c r="AV156" s="53"/>
      <c r="AW156" s="53"/>
      <c r="AX156" s="53"/>
      <c r="BC156" s="22"/>
      <c r="BH156" s="70"/>
      <c r="BJ156" s="22"/>
    </row>
    <row r="157" spans="1:66">
      <c r="A157" s="129"/>
      <c r="B157" s="60" t="s">
        <v>663</v>
      </c>
      <c r="C157" s="55">
        <f ca="1">COUNTIF(C151:C156,"O")</f>
        <v>0</v>
      </c>
      <c r="D157" s="55">
        <f t="shared" ref="D157:Q157" ca="1" si="224">COUNTIF(D151:D156,"O")</f>
        <v>2</v>
      </c>
      <c r="E157" s="55">
        <f t="shared" ca="1" si="224"/>
        <v>1</v>
      </c>
      <c r="F157" s="55">
        <f t="shared" ca="1" si="224"/>
        <v>0</v>
      </c>
      <c r="G157" s="55">
        <f t="shared" ca="1" si="224"/>
        <v>2</v>
      </c>
      <c r="H157" s="55">
        <f t="shared" ca="1" si="224"/>
        <v>0</v>
      </c>
      <c r="I157" s="55">
        <f t="shared" ca="1" si="224"/>
        <v>0</v>
      </c>
      <c r="J157" s="55">
        <f t="shared" ca="1" si="224"/>
        <v>1</v>
      </c>
      <c r="K157" s="55">
        <f t="shared" ca="1" si="224"/>
        <v>0</v>
      </c>
      <c r="L157" s="55">
        <f t="shared" ca="1" si="224"/>
        <v>0</v>
      </c>
      <c r="M157" s="55">
        <f t="shared" ca="1" si="224"/>
        <v>0</v>
      </c>
      <c r="N157" s="55">
        <f t="shared" ca="1" si="224"/>
        <v>0</v>
      </c>
      <c r="O157" s="55">
        <f t="shared" ca="1" si="224"/>
        <v>0</v>
      </c>
      <c r="P157" s="55">
        <f t="shared" ca="1" si="224"/>
        <v>1</v>
      </c>
      <c r="Q157" s="55">
        <f t="shared" ca="1" si="224"/>
        <v>0</v>
      </c>
      <c r="R157" s="55">
        <f t="shared" ref="R157:AK157" si="225">COUNTIF(R151:R156,"O")</f>
        <v>0</v>
      </c>
      <c r="S157" s="55">
        <f t="shared" si="225"/>
        <v>0</v>
      </c>
      <c r="T157" s="55">
        <f t="shared" si="225"/>
        <v>0</v>
      </c>
      <c r="U157" s="55">
        <f t="shared" si="225"/>
        <v>0</v>
      </c>
      <c r="V157" s="55">
        <f t="shared" si="225"/>
        <v>0</v>
      </c>
      <c r="W157" s="55">
        <f t="shared" si="225"/>
        <v>0</v>
      </c>
      <c r="X157" s="55">
        <f t="shared" si="225"/>
        <v>0</v>
      </c>
      <c r="Y157" s="55">
        <f t="shared" si="225"/>
        <v>0</v>
      </c>
      <c r="Z157" s="55">
        <f t="shared" si="225"/>
        <v>0</v>
      </c>
      <c r="AA157" s="55">
        <f t="shared" si="225"/>
        <v>0</v>
      </c>
      <c r="AB157" s="55">
        <f t="shared" si="225"/>
        <v>0</v>
      </c>
      <c r="AC157" s="55">
        <f t="shared" si="225"/>
        <v>0</v>
      </c>
      <c r="AD157" s="55">
        <f t="shared" si="225"/>
        <v>0</v>
      </c>
      <c r="AE157" s="55">
        <f t="shared" si="225"/>
        <v>0</v>
      </c>
      <c r="AF157" s="55">
        <f t="shared" si="225"/>
        <v>0</v>
      </c>
      <c r="AG157" s="55">
        <f t="shared" si="225"/>
        <v>0</v>
      </c>
      <c r="AH157" s="55">
        <f t="shared" si="225"/>
        <v>0</v>
      </c>
      <c r="AI157" s="55">
        <f t="shared" si="225"/>
        <v>0</v>
      </c>
      <c r="AJ157" s="55">
        <f t="shared" si="225"/>
        <v>0</v>
      </c>
      <c r="AK157" s="55">
        <f t="shared" si="225"/>
        <v>0</v>
      </c>
      <c r="AL157" s="55">
        <f t="shared" ref="AL157:AU157" si="226">COUNTIF(AL151:AL156,"O")</f>
        <v>0</v>
      </c>
      <c r="AM157" s="55">
        <f t="shared" si="226"/>
        <v>0</v>
      </c>
      <c r="AN157" s="55">
        <f t="shared" si="226"/>
        <v>0</v>
      </c>
      <c r="AO157" s="55">
        <f t="shared" si="226"/>
        <v>0</v>
      </c>
      <c r="AP157" s="55">
        <f t="shared" si="226"/>
        <v>0</v>
      </c>
      <c r="AQ157" s="55">
        <f t="shared" si="226"/>
        <v>0</v>
      </c>
      <c r="AR157" s="55">
        <f t="shared" si="226"/>
        <v>0</v>
      </c>
      <c r="AS157" s="55">
        <f t="shared" si="226"/>
        <v>0</v>
      </c>
      <c r="AT157" s="55">
        <f t="shared" si="226"/>
        <v>0</v>
      </c>
      <c r="AU157" s="55">
        <f t="shared" si="226"/>
        <v>0</v>
      </c>
      <c r="AV157" s="171"/>
      <c r="AW157" s="171"/>
      <c r="AX157" s="171"/>
      <c r="BC157" s="22"/>
      <c r="BJ157" s="22"/>
      <c r="BK157"/>
      <c r="BL157"/>
      <c r="BM157" s="120"/>
      <c r="BN157" s="120"/>
    </row>
    <row r="158" spans="1:66">
      <c r="A158" s="127" t="s">
        <v>882</v>
      </c>
      <c r="B158" s="54" t="s">
        <v>560</v>
      </c>
      <c r="C158" s="54" t="str">
        <f t="shared" ref="C158:Q158" ca="1" si="227">IF(C7=$BC$28,"O",IF(C7=$BD$28,"O",IF(C7=$BE$28,"O",IF(C7=$BF$28,"O",IF(C7=$BG$28,"O",IF(C7=$BH$28,"O",IF(C7=$BI$28,"O",IF(C7=$BJ$28,"O",IF(C7=$BK$28,"O",IF(C7=$BL$28,"O",IF(C7=$BM$28,"O",IF(C7=$BN$28,"O",IF(C7=$BO$28,"O",IF(C7=$BP$28,"O",IF(C7=$BQ$28,"O",IF(C7=$BR$28,"O",IF(C7=$BS$28,"O",IF(C7=$BT$28,"O",IF(C7=$BU$28,"O",IF(C7=$BV$28,"O",IF(C7=$BW$28,"O",IF(C7=$BX$28,"O",IF(C7=$BY$28,"O",IF(C7=$BZ$28,"O",IF(C7=$CA$28,"O",IF(C7=$CB$28,"O",IF(C7=$CC$28,"O",IF(C7=$CD$28,"O",IF(C7=$CE$28,"O",IF(C7=$CF$28,"O",IF(C7=$CG$28,"O","X")))))))))))))))))))))))))))))))</f>
        <v>X</v>
      </c>
      <c r="D158" s="54" t="str">
        <f t="shared" ca="1" si="227"/>
        <v>O</v>
      </c>
      <c r="E158" s="54" t="str">
        <f t="shared" ca="1" si="227"/>
        <v>X</v>
      </c>
      <c r="F158" s="54" t="str">
        <f t="shared" ca="1" si="227"/>
        <v>X</v>
      </c>
      <c r="G158" s="54" t="str">
        <f t="shared" ca="1" si="227"/>
        <v>O</v>
      </c>
      <c r="H158" s="54" t="str">
        <f t="shared" ca="1" si="227"/>
        <v>X</v>
      </c>
      <c r="I158" s="54" t="str">
        <f t="shared" ca="1" si="227"/>
        <v>X</v>
      </c>
      <c r="J158" s="54" t="str">
        <f t="shared" ca="1" si="227"/>
        <v>X</v>
      </c>
      <c r="K158" s="54" t="str">
        <f t="shared" ca="1" si="227"/>
        <v>X</v>
      </c>
      <c r="L158" s="54" t="str">
        <f t="shared" ca="1" si="227"/>
        <v>X</v>
      </c>
      <c r="M158" s="54" t="str">
        <f t="shared" ca="1" si="227"/>
        <v>X</v>
      </c>
      <c r="N158" s="54" t="str">
        <f t="shared" ca="1" si="227"/>
        <v>X</v>
      </c>
      <c r="O158" s="54" t="str">
        <f t="shared" ca="1" si="227"/>
        <v>O</v>
      </c>
      <c r="P158" s="54" t="str">
        <f t="shared" ca="1" si="227"/>
        <v>X</v>
      </c>
      <c r="Q158" s="54" t="str">
        <f t="shared" ca="1" si="227"/>
        <v>X</v>
      </c>
      <c r="R158" s="54" t="str">
        <f t="shared" ref="R158:AU158" si="228">IF(R7=$BC$28,"O",IF(R7=$BD$28,"O",IF(R7=$BE$28,"O",IF(R7=$BF$28,"O",IF(R7=$BG$28,"O",IF(R7=$BH$28,"O",IF(R7=$BI$28,"O",IF(R7=$BJ$28,"O",IF(R7=$BK$28,"O",IF(R7=$BL$28,"O",IF(R7=$BM$28,"O",IF(R7=$BN$28,"O",IF(R7=$BO$28,"O",IF(R7=$BP$28,"O",IF(R7=$BQ$28,"O",IF(R7=$BR$28,"O",IF(R7=$BS$28,"O",IF(R7=$BT$28,"O",IF(R7=$BU$28,"O",IF(R7=$BV$28,"O",IF(R7=$BW$28,"O",IF(R7=$BX$28,"O",IF(R7=$BY$28,"O",IF(R7=$BZ$28,"O",IF(R7=$CA$28,"O",IF(R7=$CB$28,"O","X"))))))))))))))))))))))))))</f>
        <v>X</v>
      </c>
      <c r="S158" s="54" t="str">
        <f t="shared" si="228"/>
        <v>X</v>
      </c>
      <c r="T158" s="54" t="str">
        <f t="shared" si="228"/>
        <v>X</v>
      </c>
      <c r="U158" s="54" t="str">
        <f t="shared" si="228"/>
        <v>X</v>
      </c>
      <c r="V158" s="54" t="str">
        <f t="shared" si="228"/>
        <v>X</v>
      </c>
      <c r="W158" s="54" t="str">
        <f t="shared" si="228"/>
        <v>X</v>
      </c>
      <c r="X158" s="54" t="str">
        <f t="shared" si="228"/>
        <v>X</v>
      </c>
      <c r="Y158" s="54" t="str">
        <f t="shared" si="228"/>
        <v>X</v>
      </c>
      <c r="Z158" s="54" t="str">
        <f t="shared" si="228"/>
        <v>X</v>
      </c>
      <c r="AA158" s="54" t="str">
        <f t="shared" si="228"/>
        <v>X</v>
      </c>
      <c r="AB158" s="54" t="str">
        <f t="shared" si="228"/>
        <v>X</v>
      </c>
      <c r="AC158" s="54" t="str">
        <f t="shared" si="228"/>
        <v>X</v>
      </c>
      <c r="AD158" s="54" t="str">
        <f t="shared" si="228"/>
        <v>X</v>
      </c>
      <c r="AE158" s="54" t="str">
        <f t="shared" si="228"/>
        <v>X</v>
      </c>
      <c r="AF158" s="54" t="str">
        <f t="shared" si="228"/>
        <v>X</v>
      </c>
      <c r="AG158" s="54" t="str">
        <f t="shared" si="228"/>
        <v>X</v>
      </c>
      <c r="AH158" s="54" t="str">
        <f t="shared" si="228"/>
        <v>X</v>
      </c>
      <c r="AI158" s="54" t="str">
        <f t="shared" si="228"/>
        <v>X</v>
      </c>
      <c r="AJ158" s="54" t="str">
        <f t="shared" si="228"/>
        <v>X</v>
      </c>
      <c r="AK158" s="54" t="str">
        <f t="shared" si="228"/>
        <v>X</v>
      </c>
      <c r="AL158" s="54" t="str">
        <f t="shared" si="228"/>
        <v>X</v>
      </c>
      <c r="AM158" s="54" t="str">
        <f t="shared" si="228"/>
        <v>X</v>
      </c>
      <c r="AN158" s="54" t="str">
        <f t="shared" si="228"/>
        <v>X</v>
      </c>
      <c r="AO158" s="54" t="str">
        <f t="shared" si="228"/>
        <v>X</v>
      </c>
      <c r="AP158" s="54" t="str">
        <f t="shared" si="228"/>
        <v>X</v>
      </c>
      <c r="AQ158" s="54" t="str">
        <f t="shared" si="228"/>
        <v>X</v>
      </c>
      <c r="AR158" s="54" t="str">
        <f t="shared" si="228"/>
        <v>X</v>
      </c>
      <c r="AS158" s="54" t="str">
        <f t="shared" si="228"/>
        <v>X</v>
      </c>
      <c r="AT158" s="54" t="str">
        <f t="shared" si="228"/>
        <v>X</v>
      </c>
      <c r="AU158" s="54" t="str">
        <f t="shared" si="228"/>
        <v>X</v>
      </c>
      <c r="AV158" s="53"/>
      <c r="AW158" s="53"/>
      <c r="AX158" s="53"/>
      <c r="BC158"/>
      <c r="BD158"/>
      <c r="BE158"/>
      <c r="BF158" s="132"/>
      <c r="BG158" s="132"/>
      <c r="BH158" s="132"/>
      <c r="BI158" s="132"/>
      <c r="BJ158" s="120"/>
    </row>
    <row r="159" spans="1:66">
      <c r="A159" s="128"/>
      <c r="B159" s="54" t="s">
        <v>566</v>
      </c>
      <c r="C159" s="54" t="str">
        <f t="shared" ref="C159:Q159" ca="1" si="229">IF(C8=$BC$28,"O",IF(C8=$BD$28,"O",IF(C8=$BE$28,"O",IF(C8=$BF$28,"O",IF(C8=$BG$28,"O",IF(C8=$BH$28,"O",IF(C8=$BI$28,"O",IF(C8=$BJ$28,"O",IF(C8=$BK$28,"O",IF(C8=$BL$28,"O",IF(C8=$BM$28,"O",IF(C8=$BN$28,"O",IF(C8=$BO$28,"O",IF(C8=$BP$28,"O",IF(C8=$BQ$28,"O",IF(C8=$BR$28,"O",IF(C8=$BS$28,"O",IF(C8=$BT$28,"O",IF(C8=$BU$28,"O",IF(C8=$BV$28,"O",IF(C8=$BW$28,"O",IF(C8=$BX$28,"O",IF(C8=$BY$28,"O",IF(C8=$BZ$28,"O",IF(C8=$CA$28,"O",IF(C8=$CB$28,"O",IF(C8=$CC$28,"O",IF(C8=$CD$28,"O",IF(C8=$CE$28,"O",IF(C8=$CF$28,"O",IF(C8=$CG$28,"O","X")))))))))))))))))))))))))))))))</f>
        <v>X</v>
      </c>
      <c r="D159" s="54" t="str">
        <f t="shared" ca="1" si="229"/>
        <v>O</v>
      </c>
      <c r="E159" s="54" t="str">
        <f t="shared" ca="1" si="229"/>
        <v>X</v>
      </c>
      <c r="F159" s="54" t="str">
        <f t="shared" ca="1" si="229"/>
        <v>X</v>
      </c>
      <c r="G159" s="54" t="str">
        <f t="shared" ca="1" si="229"/>
        <v>X</v>
      </c>
      <c r="H159" s="54" t="str">
        <f t="shared" ca="1" si="229"/>
        <v>O</v>
      </c>
      <c r="I159" s="54" t="str">
        <f t="shared" ca="1" si="229"/>
        <v>X</v>
      </c>
      <c r="J159" s="54" t="str">
        <f t="shared" ca="1" si="229"/>
        <v>X</v>
      </c>
      <c r="K159" s="54" t="str">
        <f t="shared" ca="1" si="229"/>
        <v>O</v>
      </c>
      <c r="L159" s="54" t="str">
        <f t="shared" ca="1" si="229"/>
        <v>X</v>
      </c>
      <c r="M159" s="54" t="str">
        <f t="shared" ca="1" si="229"/>
        <v>X</v>
      </c>
      <c r="N159" s="54" t="str">
        <f t="shared" ca="1" si="229"/>
        <v>X</v>
      </c>
      <c r="O159" s="54" t="str">
        <f t="shared" ca="1" si="229"/>
        <v>X</v>
      </c>
      <c r="P159" s="54" t="str">
        <f t="shared" ca="1" si="229"/>
        <v>X</v>
      </c>
      <c r="Q159" s="54" t="str">
        <f t="shared" ca="1" si="229"/>
        <v>X</v>
      </c>
      <c r="R159" s="54" t="str">
        <f t="shared" ref="R159:AU159" si="230">IF(R8=$BC$28,"O",IF(R8=$BD$28,"O",IF(R8=$BE$28,"O",IF(R8=$BF$28,"O",IF(R8=$BG$28,"O",IF(R8=$BH$28,"O",IF(R8=$BI$28,"O",IF(R8=$BJ$28,"O",IF(R8=$BK$28,"O",IF(R8=$BL$28,"O",IF(R8=$BM$28,"O",IF(R8=$BN$28,"O",IF(R8=$BO$28,"O",IF(R8=$BP$28,"O",IF(R8=$BQ$28,"O",IF(R8=$BR$28,"O",IF(R8=$BS$28,"O",IF(R8=$BT$28,"O",IF(R8=$BU$28,"O",IF(R8=$BV$28,"O",IF(R8=$BW$28,"O",IF(R8=$BX$28,"O",IF(R8=$BY$28,"O",IF(R8=$BZ$28,"O",IF(R8=$CA$28,"O",IF(R8=$CB$28,"O","X"))))))))))))))))))))))))))</f>
        <v>X</v>
      </c>
      <c r="S159" s="54" t="str">
        <f t="shared" si="230"/>
        <v>X</v>
      </c>
      <c r="T159" s="54" t="str">
        <f t="shared" si="230"/>
        <v>X</v>
      </c>
      <c r="U159" s="54" t="str">
        <f t="shared" si="230"/>
        <v>X</v>
      </c>
      <c r="V159" s="54" t="str">
        <f t="shared" si="230"/>
        <v>X</v>
      </c>
      <c r="W159" s="54" t="str">
        <f t="shared" si="230"/>
        <v>X</v>
      </c>
      <c r="X159" s="54" t="str">
        <f t="shared" si="230"/>
        <v>X</v>
      </c>
      <c r="Y159" s="54" t="str">
        <f t="shared" si="230"/>
        <v>X</v>
      </c>
      <c r="Z159" s="54" t="str">
        <f t="shared" si="230"/>
        <v>X</v>
      </c>
      <c r="AA159" s="54" t="str">
        <f t="shared" si="230"/>
        <v>X</v>
      </c>
      <c r="AB159" s="54" t="str">
        <f t="shared" si="230"/>
        <v>X</v>
      </c>
      <c r="AC159" s="54" t="str">
        <f t="shared" si="230"/>
        <v>X</v>
      </c>
      <c r="AD159" s="54" t="str">
        <f t="shared" si="230"/>
        <v>X</v>
      </c>
      <c r="AE159" s="54" t="str">
        <f t="shared" si="230"/>
        <v>X</v>
      </c>
      <c r="AF159" s="54" t="str">
        <f t="shared" si="230"/>
        <v>X</v>
      </c>
      <c r="AG159" s="54" t="str">
        <f t="shared" si="230"/>
        <v>X</v>
      </c>
      <c r="AH159" s="54" t="str">
        <f t="shared" si="230"/>
        <v>X</v>
      </c>
      <c r="AI159" s="54" t="str">
        <f t="shared" si="230"/>
        <v>X</v>
      </c>
      <c r="AJ159" s="54" t="str">
        <f t="shared" si="230"/>
        <v>X</v>
      </c>
      <c r="AK159" s="54" t="str">
        <f t="shared" si="230"/>
        <v>X</v>
      </c>
      <c r="AL159" s="54" t="str">
        <f t="shared" si="230"/>
        <v>X</v>
      </c>
      <c r="AM159" s="54" t="str">
        <f t="shared" si="230"/>
        <v>X</v>
      </c>
      <c r="AN159" s="54" t="str">
        <f t="shared" si="230"/>
        <v>X</v>
      </c>
      <c r="AO159" s="54" t="str">
        <f t="shared" si="230"/>
        <v>X</v>
      </c>
      <c r="AP159" s="54" t="str">
        <f t="shared" si="230"/>
        <v>X</v>
      </c>
      <c r="AQ159" s="54" t="str">
        <f t="shared" si="230"/>
        <v>X</v>
      </c>
      <c r="AR159" s="54" t="str">
        <f t="shared" si="230"/>
        <v>X</v>
      </c>
      <c r="AS159" s="54" t="str">
        <f t="shared" si="230"/>
        <v>X</v>
      </c>
      <c r="AT159" s="54" t="str">
        <f t="shared" si="230"/>
        <v>X</v>
      </c>
      <c r="AU159" s="54" t="str">
        <f t="shared" si="230"/>
        <v>X</v>
      </c>
      <c r="AV159" s="53"/>
      <c r="AW159" s="53"/>
      <c r="AX159" s="53"/>
      <c r="BC159" s="160"/>
      <c r="BD159" s="160"/>
      <c r="BE159" s="160"/>
      <c r="BF159" s="160"/>
      <c r="BG159" s="160"/>
      <c r="BH159" s="160"/>
      <c r="BI159" s="178"/>
      <c r="BJ159" s="160"/>
    </row>
    <row r="160" spans="1:66">
      <c r="A160" s="128"/>
      <c r="B160" s="54" t="s">
        <v>567</v>
      </c>
      <c r="C160" s="54" t="str">
        <f t="shared" ref="C160:Q160" ca="1" si="231">IF(C9=$BC$28,"O",IF(C9=$BD$28,"O",IF(C9=$BE$28,"O",IF(C9=$BF$28,"O",IF(C9=$BG$28,"O",IF(C9=$BH$28,"O",IF(C9=$BI$28,"O",IF(C9=$BJ$28,"O",IF(C9=$BK$28,"O",IF(C9=$BL$28,"O",IF(C9=$BM$28,"O",IF(C9=$BN$28,"O",IF(C9=$BO$28,"O",IF(C9=$BP$28,"O",IF(C9=$BQ$28,"O",IF(C9=$BR$28,"O",IF(C9=$BS$28,"O",IF(C9=$BT$28,"O",IF(C9=$BU$28,"O",IF(C9=$BV$28,"O",IF(C9=$BW$28,"O",IF(C9=$BX$28,"O",IF(C9=$BY$28,"O",IF(C9=$BZ$28,"O",IF(C9=$CA$28,"O",IF(C9=$CB$28,"O",IF(C9=$CC$28,"O",IF(C9=$CD$28,"O",IF(C9=$CE$28,"O",IF(C9=$CF$28,"O",IF(C9=$CG$28,"O","X")))))))))))))))))))))))))))))))</f>
        <v>O</v>
      </c>
      <c r="D160" s="54" t="str">
        <f t="shared" ca="1" si="231"/>
        <v>X</v>
      </c>
      <c r="E160" s="54" t="str">
        <f t="shared" ca="1" si="231"/>
        <v>O</v>
      </c>
      <c r="F160" s="54" t="str">
        <f t="shared" ca="1" si="231"/>
        <v>X</v>
      </c>
      <c r="G160" s="54" t="str">
        <f t="shared" ca="1" si="231"/>
        <v>O</v>
      </c>
      <c r="H160" s="54" t="str">
        <f t="shared" ca="1" si="231"/>
        <v>X</v>
      </c>
      <c r="I160" s="54" t="str">
        <f t="shared" ca="1" si="231"/>
        <v>X</v>
      </c>
      <c r="J160" s="54" t="str">
        <f t="shared" ca="1" si="231"/>
        <v>X</v>
      </c>
      <c r="K160" s="54" t="str">
        <f t="shared" ca="1" si="231"/>
        <v>X</v>
      </c>
      <c r="L160" s="54" t="str">
        <f t="shared" ca="1" si="231"/>
        <v>O</v>
      </c>
      <c r="M160" s="54" t="str">
        <f t="shared" ca="1" si="231"/>
        <v>X</v>
      </c>
      <c r="N160" s="54" t="str">
        <f t="shared" ca="1" si="231"/>
        <v>X</v>
      </c>
      <c r="O160" s="54" t="str">
        <f t="shared" ca="1" si="231"/>
        <v>O</v>
      </c>
      <c r="P160" s="54" t="str">
        <f t="shared" ca="1" si="231"/>
        <v>X</v>
      </c>
      <c r="Q160" s="54" t="str">
        <f t="shared" ca="1" si="231"/>
        <v>X</v>
      </c>
      <c r="R160" s="54" t="str">
        <f t="shared" ref="R160:AU160" si="232">IF(R9=$BC$28,"O",IF(R9=$BD$28,"O",IF(R9=$BE$28,"O",IF(R9=$BF$28,"O",IF(R9=$BG$28,"O",IF(R9=$BH$28,"O",IF(R9=$BI$28,"O",IF(R9=$BJ$28,"O",IF(R9=$BK$28,"O",IF(R9=$BL$28,"O",IF(R9=$BM$28,"O",IF(R9=$BN$28,"O",IF(R9=$BO$28,"O",IF(R9=$BP$28,"O",IF(R9=$BQ$28,"O",IF(R9=$BR$28,"O",IF(R9=$BS$28,"O",IF(R9=$BT$28,"O",IF(R9=$BU$28,"O",IF(R9=$BV$28,"O",IF(R9=$BW$28,"O",IF(R9=$BX$28,"O",IF(R9=$BY$28,"O",IF(R9=$BZ$28,"O",IF(R9=$CA$28,"O",IF(R9=$CB$28,"O","X"))))))))))))))))))))))))))</f>
        <v>X</v>
      </c>
      <c r="S160" s="54" t="str">
        <f t="shared" si="232"/>
        <v>X</v>
      </c>
      <c r="T160" s="54" t="str">
        <f t="shared" si="232"/>
        <v>X</v>
      </c>
      <c r="U160" s="54" t="str">
        <f t="shared" si="232"/>
        <v>X</v>
      </c>
      <c r="V160" s="54" t="str">
        <f t="shared" si="232"/>
        <v>X</v>
      </c>
      <c r="W160" s="54" t="str">
        <f t="shared" si="232"/>
        <v>X</v>
      </c>
      <c r="X160" s="54" t="str">
        <f t="shared" si="232"/>
        <v>X</v>
      </c>
      <c r="Y160" s="54" t="str">
        <f t="shared" si="232"/>
        <v>X</v>
      </c>
      <c r="Z160" s="54" t="str">
        <f t="shared" si="232"/>
        <v>X</v>
      </c>
      <c r="AA160" s="54" t="str">
        <f t="shared" si="232"/>
        <v>X</v>
      </c>
      <c r="AB160" s="54" t="str">
        <f t="shared" si="232"/>
        <v>X</v>
      </c>
      <c r="AC160" s="54" t="str">
        <f t="shared" si="232"/>
        <v>X</v>
      </c>
      <c r="AD160" s="54" t="str">
        <f t="shared" si="232"/>
        <v>X</v>
      </c>
      <c r="AE160" s="54" t="str">
        <f t="shared" si="232"/>
        <v>X</v>
      </c>
      <c r="AF160" s="54" t="str">
        <f t="shared" si="232"/>
        <v>X</v>
      </c>
      <c r="AG160" s="54" t="str">
        <f t="shared" si="232"/>
        <v>X</v>
      </c>
      <c r="AH160" s="54" t="str">
        <f t="shared" si="232"/>
        <v>X</v>
      </c>
      <c r="AI160" s="54" t="str">
        <f t="shared" si="232"/>
        <v>X</v>
      </c>
      <c r="AJ160" s="54" t="str">
        <f t="shared" si="232"/>
        <v>X</v>
      </c>
      <c r="AK160" s="54" t="str">
        <f t="shared" si="232"/>
        <v>X</v>
      </c>
      <c r="AL160" s="54" t="str">
        <f t="shared" si="232"/>
        <v>X</v>
      </c>
      <c r="AM160" s="54" t="str">
        <f t="shared" si="232"/>
        <v>X</v>
      </c>
      <c r="AN160" s="54" t="str">
        <f t="shared" si="232"/>
        <v>X</v>
      </c>
      <c r="AO160" s="54" t="str">
        <f t="shared" si="232"/>
        <v>X</v>
      </c>
      <c r="AP160" s="54" t="str">
        <f t="shared" si="232"/>
        <v>X</v>
      </c>
      <c r="AQ160" s="54" t="str">
        <f t="shared" si="232"/>
        <v>X</v>
      </c>
      <c r="AR160" s="54" t="str">
        <f t="shared" si="232"/>
        <v>X</v>
      </c>
      <c r="AS160" s="54" t="str">
        <f t="shared" si="232"/>
        <v>X</v>
      </c>
      <c r="AT160" s="54" t="str">
        <f t="shared" si="232"/>
        <v>X</v>
      </c>
      <c r="AU160" s="54" t="str">
        <f t="shared" si="232"/>
        <v>X</v>
      </c>
      <c r="AV160" s="53"/>
      <c r="AW160" s="53"/>
      <c r="AX160" s="53"/>
      <c r="BC160"/>
      <c r="BD160"/>
      <c r="BE160"/>
      <c r="BF160"/>
      <c r="BG160"/>
      <c r="BH160"/>
      <c r="BI160" s="132"/>
      <c r="BJ160" s="120"/>
    </row>
    <row r="161" spans="1:66">
      <c r="A161" s="128"/>
      <c r="B161" s="54" t="s">
        <v>568</v>
      </c>
      <c r="C161" s="54" t="str">
        <f t="shared" ref="C161:Q161" ca="1" si="233">IF(C10=$BC$28,"O",IF(C10=$BD$28,"O",IF(C10=$BE$28,"O",IF(C10=$BF$28,"O",IF(C10=$BG$28,"O",IF(C10=$BH$28,"O",IF(C10=$BI$28,"O",IF(C10=$BJ$28,"O",IF(C10=$BK$28,"O",IF(C10=$BL$28,"O",IF(C10=$BM$28,"O",IF(C10=$BN$28,"O",IF(C10=$BO$28,"O",IF(C10=$BP$28,"O",IF(C10=$BQ$28,"O",IF(C10=$BR$28,"O",IF(C10=$BS$28,"O",IF(C10=$BT$28,"O",IF(C10=$BU$28,"O",IF(C10=$BV$28,"O",IF(C10=$BW$28,"O",IF(C10=$BX$28,"O",IF(C10=$BY$28,"O",IF(C10=$BZ$28,"O",IF(C10=$CA$28,"O",IF(C10=$CB$28,"O",IF(C10=$CC$28,"O",IF(C10=$CD$28,"O",IF(C10=$CE$28,"O",IF(C10=$CF$28,"O",IF(C10=$CG$28,"O","X")))))))))))))))))))))))))))))))</f>
        <v>X</v>
      </c>
      <c r="D161" s="54" t="str">
        <f t="shared" ca="1" si="233"/>
        <v>X</v>
      </c>
      <c r="E161" s="54" t="str">
        <f t="shared" ca="1" si="233"/>
        <v>X</v>
      </c>
      <c r="F161" s="54" t="str">
        <f t="shared" ca="1" si="233"/>
        <v>X</v>
      </c>
      <c r="G161" s="54" t="str">
        <f t="shared" ca="1" si="233"/>
        <v>O</v>
      </c>
      <c r="H161" s="54" t="str">
        <f t="shared" ca="1" si="233"/>
        <v>X</v>
      </c>
      <c r="I161" s="54" t="str">
        <f t="shared" ca="1" si="233"/>
        <v>X</v>
      </c>
      <c r="J161" s="54" t="str">
        <f t="shared" ca="1" si="233"/>
        <v>X</v>
      </c>
      <c r="K161" s="54" t="str">
        <f t="shared" ca="1" si="233"/>
        <v>O</v>
      </c>
      <c r="L161" s="54" t="str">
        <f t="shared" ca="1" si="233"/>
        <v>X</v>
      </c>
      <c r="M161" s="54" t="str">
        <f t="shared" ca="1" si="233"/>
        <v>X</v>
      </c>
      <c r="N161" s="54" t="str">
        <f t="shared" ca="1" si="233"/>
        <v>X</v>
      </c>
      <c r="O161" s="54" t="str">
        <f t="shared" ca="1" si="233"/>
        <v>X</v>
      </c>
      <c r="P161" s="54" t="str">
        <f t="shared" ca="1" si="233"/>
        <v>X</v>
      </c>
      <c r="Q161" s="54" t="str">
        <f t="shared" ca="1" si="233"/>
        <v>X</v>
      </c>
      <c r="R161" s="54" t="str">
        <f t="shared" ref="R161:AU161" si="234">IF(R10=$BC$28,"O",IF(R10=$BD$28,"O",IF(R10=$BE$28,"O",IF(R10=$BF$28,"O",IF(R10=$BG$28,"O",IF(R10=$BH$28,"O",IF(R10=$BI$28,"O",IF(R10=$BJ$28,"O",IF(R10=$BK$28,"O",IF(R10=$BL$28,"O",IF(R10=$BM$28,"O",IF(R10=$BN$28,"O",IF(R10=$BO$28,"O",IF(R10=$BP$28,"O",IF(R10=$BQ$28,"O",IF(R10=$BR$28,"O",IF(R10=$BS$28,"O",IF(R10=$BT$28,"O",IF(R10=$BU$28,"O",IF(R10=$BV$28,"O",IF(R10=$BW$28,"O",IF(R10=$BX$28,"O",IF(R10=$BY$28,"O",IF(R10=$BZ$28,"O",IF(R10=$CA$28,"O",IF(R10=$CB$28,"O","X"))))))))))))))))))))))))))</f>
        <v>X</v>
      </c>
      <c r="S161" s="54" t="str">
        <f t="shared" si="234"/>
        <v>X</v>
      </c>
      <c r="T161" s="54" t="str">
        <f t="shared" si="234"/>
        <v>X</v>
      </c>
      <c r="U161" s="54" t="str">
        <f t="shared" si="234"/>
        <v>X</v>
      </c>
      <c r="V161" s="54" t="str">
        <f t="shared" si="234"/>
        <v>X</v>
      </c>
      <c r="W161" s="54" t="str">
        <f t="shared" si="234"/>
        <v>X</v>
      </c>
      <c r="X161" s="54" t="str">
        <f t="shared" si="234"/>
        <v>X</v>
      </c>
      <c r="Y161" s="54" t="str">
        <f t="shared" si="234"/>
        <v>X</v>
      </c>
      <c r="Z161" s="54" t="str">
        <f t="shared" si="234"/>
        <v>X</v>
      </c>
      <c r="AA161" s="54" t="str">
        <f t="shared" si="234"/>
        <v>X</v>
      </c>
      <c r="AB161" s="54" t="str">
        <f t="shared" si="234"/>
        <v>X</v>
      </c>
      <c r="AC161" s="54" t="str">
        <f t="shared" si="234"/>
        <v>X</v>
      </c>
      <c r="AD161" s="54" t="str">
        <f t="shared" si="234"/>
        <v>X</v>
      </c>
      <c r="AE161" s="54" t="str">
        <f t="shared" si="234"/>
        <v>X</v>
      </c>
      <c r="AF161" s="54" t="str">
        <f t="shared" si="234"/>
        <v>X</v>
      </c>
      <c r="AG161" s="54" t="str">
        <f t="shared" si="234"/>
        <v>X</v>
      </c>
      <c r="AH161" s="54" t="str">
        <f t="shared" si="234"/>
        <v>X</v>
      </c>
      <c r="AI161" s="54" t="str">
        <f t="shared" si="234"/>
        <v>X</v>
      </c>
      <c r="AJ161" s="54" t="str">
        <f t="shared" si="234"/>
        <v>X</v>
      </c>
      <c r="AK161" s="54" t="str">
        <f t="shared" si="234"/>
        <v>X</v>
      </c>
      <c r="AL161" s="54" t="str">
        <f t="shared" si="234"/>
        <v>X</v>
      </c>
      <c r="AM161" s="54" t="str">
        <f t="shared" si="234"/>
        <v>X</v>
      </c>
      <c r="AN161" s="54" t="str">
        <f t="shared" si="234"/>
        <v>X</v>
      </c>
      <c r="AO161" s="54" t="str">
        <f t="shared" si="234"/>
        <v>X</v>
      </c>
      <c r="AP161" s="54" t="str">
        <f t="shared" si="234"/>
        <v>X</v>
      </c>
      <c r="AQ161" s="54" t="str">
        <f t="shared" si="234"/>
        <v>X</v>
      </c>
      <c r="AR161" s="54" t="str">
        <f t="shared" si="234"/>
        <v>X</v>
      </c>
      <c r="AS161" s="54" t="str">
        <f t="shared" si="234"/>
        <v>X</v>
      </c>
      <c r="AT161" s="54" t="str">
        <f t="shared" si="234"/>
        <v>X</v>
      </c>
      <c r="AU161" s="54" t="str">
        <f t="shared" si="234"/>
        <v>X</v>
      </c>
      <c r="AV161" s="53"/>
      <c r="AW161" s="53"/>
      <c r="AX161" s="53"/>
      <c r="BC161" s="22"/>
      <c r="BH161" s="70"/>
      <c r="BI161" s="47"/>
      <c r="BJ161" s="22"/>
    </row>
    <row r="162" spans="1:66">
      <c r="A162" s="128"/>
      <c r="B162" s="54" t="s">
        <v>569</v>
      </c>
      <c r="C162" s="54" t="str">
        <f t="shared" ref="C162:Q162" ca="1" si="235">IF(C11=$BC$28,"O",IF(C11=$BD$28,"O",IF(C11=$BE$28,"O",IF(C11=$BF$28,"O",IF(C11=$BG$28,"O",IF(C11=$BH$28,"O",IF(C11=$BI$28,"O",IF(C11=$BJ$28,"O",IF(C11=$BK$28,"O",IF(C11=$BL$28,"O",IF(C11=$BM$28,"O",IF(C11=$BN$28,"O",IF(C11=$BO$28,"O",IF(C11=$BP$28,"O",IF(C11=$BQ$28,"O",IF(C11=$BR$28,"O",IF(C11=$BS$28,"O",IF(C11=$BT$28,"O",IF(C11=$BU$28,"O",IF(C11=$BV$28,"O",IF(C11=$BW$28,"O",IF(C11=$BX$28,"O",IF(C11=$BY$28,"O",IF(C11=$BZ$28,"O",IF(C11=$CA$28,"O",IF(C11=$CB$28,"O",IF(C11=$CC$28,"O",IF(C11=$CD$28,"O",IF(C11=$CE$28,"O",IF(C11=$CF$28,"O",IF(C11=$CG$28,"O","X")))))))))))))))))))))))))))))))</f>
        <v>X</v>
      </c>
      <c r="D162" s="54" t="str">
        <f t="shared" ca="1" si="235"/>
        <v>O</v>
      </c>
      <c r="E162" s="54" t="str">
        <f t="shared" ca="1" si="235"/>
        <v>X</v>
      </c>
      <c r="F162" s="54" t="str">
        <f t="shared" ca="1" si="235"/>
        <v>X</v>
      </c>
      <c r="G162" s="54" t="str">
        <f t="shared" ca="1" si="235"/>
        <v>O</v>
      </c>
      <c r="H162" s="54" t="str">
        <f t="shared" ca="1" si="235"/>
        <v>X</v>
      </c>
      <c r="I162" s="54" t="str">
        <f t="shared" ca="1" si="235"/>
        <v>X</v>
      </c>
      <c r="J162" s="54" t="str">
        <f t="shared" ca="1" si="235"/>
        <v>X</v>
      </c>
      <c r="K162" s="54" t="str">
        <f t="shared" ca="1" si="235"/>
        <v>X</v>
      </c>
      <c r="L162" s="54" t="str">
        <f t="shared" ca="1" si="235"/>
        <v>X</v>
      </c>
      <c r="M162" s="54" t="str">
        <f t="shared" ca="1" si="235"/>
        <v>X</v>
      </c>
      <c r="N162" s="54" t="str">
        <f t="shared" ca="1" si="235"/>
        <v>X</v>
      </c>
      <c r="O162" s="54" t="str">
        <f t="shared" ca="1" si="235"/>
        <v>O</v>
      </c>
      <c r="P162" s="54" t="str">
        <f t="shared" ca="1" si="235"/>
        <v>X</v>
      </c>
      <c r="Q162" s="54" t="str">
        <f t="shared" ca="1" si="235"/>
        <v>X</v>
      </c>
      <c r="R162" s="54" t="str">
        <f t="shared" ref="R162:AU162" si="236">IF(R11=$BC$28,"O",IF(R11=$BD$28,"O",IF(R11=$BE$28,"O",IF(R11=$BF$28,"O",IF(R11=$BG$28,"O",IF(R11=$BH$28,"O",IF(R11=$BI$28,"O",IF(R11=$BJ$28,"O",IF(R11=$BK$28,"O",IF(R11=$BL$28,"O",IF(R11=$BM$28,"O",IF(R11=$BN$28,"O",IF(R11=$BO$28,"O",IF(R11=$BP$28,"O",IF(R11=$BQ$28,"O",IF(R11=$BR$28,"O",IF(R11=$BS$28,"O",IF(R11=$BT$28,"O",IF(R11=$BU$28,"O",IF(R11=$BV$28,"O",IF(R11=$BW$28,"O",IF(R11=$BX$28,"O",IF(R11=$BY$28,"O",IF(R11=$BZ$28,"O",IF(R11=$CA$28,"O",IF(R11=$CB$28,"O","X"))))))))))))))))))))))))))</f>
        <v>X</v>
      </c>
      <c r="S162" s="54" t="str">
        <f t="shared" si="236"/>
        <v>X</v>
      </c>
      <c r="T162" s="54" t="str">
        <f t="shared" si="236"/>
        <v>X</v>
      </c>
      <c r="U162" s="54" t="str">
        <f t="shared" si="236"/>
        <v>X</v>
      </c>
      <c r="V162" s="54" t="str">
        <f t="shared" si="236"/>
        <v>X</v>
      </c>
      <c r="W162" s="54" t="str">
        <f t="shared" si="236"/>
        <v>X</v>
      </c>
      <c r="X162" s="54" t="str">
        <f t="shared" si="236"/>
        <v>X</v>
      </c>
      <c r="Y162" s="54" t="str">
        <f t="shared" si="236"/>
        <v>X</v>
      </c>
      <c r="Z162" s="54" t="str">
        <f t="shared" si="236"/>
        <v>X</v>
      </c>
      <c r="AA162" s="54" t="str">
        <f t="shared" si="236"/>
        <v>X</v>
      </c>
      <c r="AB162" s="54" t="str">
        <f t="shared" si="236"/>
        <v>X</v>
      </c>
      <c r="AC162" s="54" t="str">
        <f t="shared" si="236"/>
        <v>X</v>
      </c>
      <c r="AD162" s="54" t="str">
        <f t="shared" si="236"/>
        <v>X</v>
      </c>
      <c r="AE162" s="54" t="str">
        <f t="shared" si="236"/>
        <v>X</v>
      </c>
      <c r="AF162" s="54" t="str">
        <f t="shared" si="236"/>
        <v>X</v>
      </c>
      <c r="AG162" s="54" t="str">
        <f t="shared" si="236"/>
        <v>X</v>
      </c>
      <c r="AH162" s="54" t="str">
        <f t="shared" si="236"/>
        <v>X</v>
      </c>
      <c r="AI162" s="54" t="str">
        <f t="shared" si="236"/>
        <v>X</v>
      </c>
      <c r="AJ162" s="54" t="str">
        <f t="shared" si="236"/>
        <v>X</v>
      </c>
      <c r="AK162" s="54" t="str">
        <f t="shared" si="236"/>
        <v>X</v>
      </c>
      <c r="AL162" s="54" t="str">
        <f t="shared" si="236"/>
        <v>X</v>
      </c>
      <c r="AM162" s="54" t="str">
        <f t="shared" si="236"/>
        <v>X</v>
      </c>
      <c r="AN162" s="54" t="str">
        <f t="shared" si="236"/>
        <v>X</v>
      </c>
      <c r="AO162" s="54" t="str">
        <f t="shared" si="236"/>
        <v>X</v>
      </c>
      <c r="AP162" s="54" t="str">
        <f t="shared" si="236"/>
        <v>X</v>
      </c>
      <c r="AQ162" s="54" t="str">
        <f t="shared" si="236"/>
        <v>X</v>
      </c>
      <c r="AR162" s="54" t="str">
        <f t="shared" si="236"/>
        <v>X</v>
      </c>
      <c r="AS162" s="54" t="str">
        <f t="shared" si="236"/>
        <v>X</v>
      </c>
      <c r="AT162" s="54" t="str">
        <f t="shared" si="236"/>
        <v>X</v>
      </c>
      <c r="AU162" s="54" t="str">
        <f t="shared" si="236"/>
        <v>X</v>
      </c>
      <c r="AV162" s="53"/>
      <c r="AW162" s="53"/>
      <c r="AX162" s="53"/>
      <c r="BC162" s="22"/>
      <c r="BH162" s="70"/>
      <c r="BJ162" s="22"/>
    </row>
    <row r="163" spans="1:66">
      <c r="A163" s="128"/>
      <c r="B163" s="54" t="s">
        <v>540</v>
      </c>
      <c r="C163" s="54" t="str">
        <f t="shared" ref="C163:Q163" ca="1" si="237">IF(C12=$BC$28,"O",IF(C12=$BD$28,"O",IF(C12=$BE$28,"O",IF(C12=$BF$28,"O",IF(C12=$BG$28,"O",IF(C12=$BH$28,"O",IF(C12=$BI$28,"O",IF(C12=$BJ$28,"O",IF(C12=$BK$28,"O",IF(C12=$BL$28,"O",IF(C12=$BM$28,"O",IF(C12=$BN$28,"O",IF(C12=$BO$28,"O",IF(C12=$BP$28,"O",IF(C12=$BQ$28,"O",IF(C12=$BR$28,"O",IF(C12=$BS$28,"O",IF(C12=$BT$28,"O",IF(C12=$BU$28,"O",IF(C12=$BV$28,"O",IF(C12=$BW$28,"O",IF(C12=$BX$28,"O",IF(C12=$BY$28,"O",IF(C12=$BZ$28,"O",IF(C12=$CA$28,"O",IF(C12=$CB$28,"O",IF(C12=$CC$28,"O",IF(C12=$CD$28,"O",IF(C12=$CE$28,"O",IF(C12=$CF$28,"O",IF(C12=$CG$28,"O","X")))))))))))))))))))))))))))))))</f>
        <v>X</v>
      </c>
      <c r="D163" s="54" t="str">
        <f t="shared" ca="1" si="237"/>
        <v>O</v>
      </c>
      <c r="E163" s="54" t="str">
        <f t="shared" ca="1" si="237"/>
        <v>X</v>
      </c>
      <c r="F163" s="54" t="str">
        <f t="shared" ca="1" si="237"/>
        <v>O</v>
      </c>
      <c r="G163" s="54" t="str">
        <f t="shared" ca="1" si="237"/>
        <v>X</v>
      </c>
      <c r="H163" s="54" t="str">
        <f t="shared" ca="1" si="237"/>
        <v>X</v>
      </c>
      <c r="I163" s="54" t="str">
        <f t="shared" ca="1" si="237"/>
        <v>O</v>
      </c>
      <c r="J163" s="54" t="str">
        <f t="shared" ca="1" si="237"/>
        <v>O</v>
      </c>
      <c r="K163" s="54" t="str">
        <f t="shared" ca="1" si="237"/>
        <v>X</v>
      </c>
      <c r="L163" s="54" t="str">
        <f t="shared" ca="1" si="237"/>
        <v>X</v>
      </c>
      <c r="M163" s="54" t="str">
        <f t="shared" ca="1" si="237"/>
        <v>X</v>
      </c>
      <c r="N163" s="54" t="str">
        <f t="shared" ca="1" si="237"/>
        <v>X</v>
      </c>
      <c r="O163" s="54" t="str">
        <f t="shared" ca="1" si="237"/>
        <v>X</v>
      </c>
      <c r="P163" s="54" t="str">
        <f t="shared" ca="1" si="237"/>
        <v>O</v>
      </c>
      <c r="Q163" s="54" t="str">
        <f t="shared" ca="1" si="237"/>
        <v>X</v>
      </c>
      <c r="R163" s="54" t="str">
        <f t="shared" ref="R163:AU163" si="238">IF(R12=$BC$28,"O",IF(R12=$BD$28,"O",IF(R12=$BE$28,"O",IF(R12=$BF$28,"O",IF(R12=$BG$28,"O",IF(R12=$BH$28,"O",IF(R12=$BI$28,"O",IF(R12=$BJ$28,"O",IF(R12=$BK$28,"O",IF(R12=$BL$28,"O",IF(R12=$BM$28,"O",IF(R12=$BN$28,"O",IF(R12=$BO$28,"O",IF(R12=$BP$28,"O",IF(R12=$BQ$28,"O",IF(R12=$BR$28,"O",IF(R12=$BS$28,"O",IF(R12=$BT$28,"O",IF(R12=$BU$28,"O",IF(R12=$BV$28,"O",IF(R12=$BW$28,"O",IF(R12=$BX$28,"O",IF(R12=$BY$28,"O",IF(R12=$BZ$28,"O",IF(R12=$CA$28,"O",IF(R12=$CB$28,"O","X"))))))))))))))))))))))))))</f>
        <v>X</v>
      </c>
      <c r="S163" s="54" t="str">
        <f t="shared" si="238"/>
        <v>X</v>
      </c>
      <c r="T163" s="54" t="str">
        <f t="shared" si="238"/>
        <v>X</v>
      </c>
      <c r="U163" s="54" t="str">
        <f t="shared" si="238"/>
        <v>X</v>
      </c>
      <c r="V163" s="54" t="str">
        <f t="shared" si="238"/>
        <v>X</v>
      </c>
      <c r="W163" s="54" t="str">
        <f t="shared" si="238"/>
        <v>X</v>
      </c>
      <c r="X163" s="54" t="str">
        <f t="shared" si="238"/>
        <v>X</v>
      </c>
      <c r="Y163" s="54" t="str">
        <f t="shared" si="238"/>
        <v>X</v>
      </c>
      <c r="Z163" s="54" t="str">
        <f t="shared" si="238"/>
        <v>X</v>
      </c>
      <c r="AA163" s="54" t="str">
        <f t="shared" si="238"/>
        <v>X</v>
      </c>
      <c r="AB163" s="54" t="str">
        <f t="shared" si="238"/>
        <v>X</v>
      </c>
      <c r="AC163" s="54" t="str">
        <f t="shared" si="238"/>
        <v>X</v>
      </c>
      <c r="AD163" s="54" t="str">
        <f t="shared" si="238"/>
        <v>X</v>
      </c>
      <c r="AE163" s="54" t="str">
        <f t="shared" si="238"/>
        <v>X</v>
      </c>
      <c r="AF163" s="54" t="str">
        <f t="shared" si="238"/>
        <v>X</v>
      </c>
      <c r="AG163" s="54" t="str">
        <f t="shared" si="238"/>
        <v>X</v>
      </c>
      <c r="AH163" s="54" t="str">
        <f t="shared" si="238"/>
        <v>X</v>
      </c>
      <c r="AI163" s="54" t="str">
        <f t="shared" si="238"/>
        <v>X</v>
      </c>
      <c r="AJ163" s="54" t="str">
        <f t="shared" si="238"/>
        <v>X</v>
      </c>
      <c r="AK163" s="54" t="str">
        <f t="shared" si="238"/>
        <v>X</v>
      </c>
      <c r="AL163" s="54" t="str">
        <f t="shared" si="238"/>
        <v>X</v>
      </c>
      <c r="AM163" s="54" t="str">
        <f t="shared" si="238"/>
        <v>X</v>
      </c>
      <c r="AN163" s="54" t="str">
        <f t="shared" si="238"/>
        <v>X</v>
      </c>
      <c r="AO163" s="54" t="str">
        <f t="shared" si="238"/>
        <v>X</v>
      </c>
      <c r="AP163" s="54" t="str">
        <f t="shared" si="238"/>
        <v>X</v>
      </c>
      <c r="AQ163" s="54" t="str">
        <f t="shared" si="238"/>
        <v>X</v>
      </c>
      <c r="AR163" s="54" t="str">
        <f t="shared" si="238"/>
        <v>X</v>
      </c>
      <c r="AS163" s="54" t="str">
        <f t="shared" si="238"/>
        <v>X</v>
      </c>
      <c r="AT163" s="54" t="str">
        <f t="shared" si="238"/>
        <v>X</v>
      </c>
      <c r="AU163" s="54" t="str">
        <f t="shared" si="238"/>
        <v>X</v>
      </c>
      <c r="AV163" s="53"/>
      <c r="AW163" s="53"/>
      <c r="AX163" s="53"/>
      <c r="BC163" s="22"/>
      <c r="BH163" s="70"/>
      <c r="BJ163" s="22"/>
    </row>
    <row r="164" spans="1:66">
      <c r="A164" s="129"/>
      <c r="B164" s="60" t="s">
        <v>663</v>
      </c>
      <c r="C164" s="55">
        <f ca="1">COUNTIF(C158:C163,"O")</f>
        <v>1</v>
      </c>
      <c r="D164" s="55">
        <f t="shared" ref="D164:Q164" ca="1" si="239">COUNTIF(D158:D163,"O")</f>
        <v>4</v>
      </c>
      <c r="E164" s="55">
        <f t="shared" ca="1" si="239"/>
        <v>1</v>
      </c>
      <c r="F164" s="55">
        <f t="shared" ca="1" si="239"/>
        <v>1</v>
      </c>
      <c r="G164" s="55">
        <f t="shared" ca="1" si="239"/>
        <v>4</v>
      </c>
      <c r="H164" s="55">
        <f t="shared" ca="1" si="239"/>
        <v>1</v>
      </c>
      <c r="I164" s="55">
        <f t="shared" ca="1" si="239"/>
        <v>1</v>
      </c>
      <c r="J164" s="55">
        <f t="shared" ca="1" si="239"/>
        <v>1</v>
      </c>
      <c r="K164" s="55">
        <f t="shared" ca="1" si="239"/>
        <v>2</v>
      </c>
      <c r="L164" s="55">
        <f t="shared" ca="1" si="239"/>
        <v>1</v>
      </c>
      <c r="M164" s="55">
        <f t="shared" ca="1" si="239"/>
        <v>0</v>
      </c>
      <c r="N164" s="55">
        <f t="shared" ca="1" si="239"/>
        <v>0</v>
      </c>
      <c r="O164" s="55">
        <f t="shared" ca="1" si="239"/>
        <v>3</v>
      </c>
      <c r="P164" s="55">
        <f t="shared" ca="1" si="239"/>
        <v>1</v>
      </c>
      <c r="Q164" s="55">
        <f t="shared" ca="1" si="239"/>
        <v>0</v>
      </c>
      <c r="R164" s="55">
        <f t="shared" ref="R164:AK164" si="240">COUNTIF(R158:R163,"O")</f>
        <v>0</v>
      </c>
      <c r="S164" s="55">
        <f t="shared" si="240"/>
        <v>0</v>
      </c>
      <c r="T164" s="55">
        <f t="shared" si="240"/>
        <v>0</v>
      </c>
      <c r="U164" s="55">
        <f t="shared" si="240"/>
        <v>0</v>
      </c>
      <c r="V164" s="55">
        <f t="shared" si="240"/>
        <v>0</v>
      </c>
      <c r="W164" s="55">
        <f t="shared" si="240"/>
        <v>0</v>
      </c>
      <c r="X164" s="55">
        <f t="shared" si="240"/>
        <v>0</v>
      </c>
      <c r="Y164" s="55">
        <f t="shared" si="240"/>
        <v>0</v>
      </c>
      <c r="Z164" s="55">
        <f t="shared" si="240"/>
        <v>0</v>
      </c>
      <c r="AA164" s="55">
        <f t="shared" si="240"/>
        <v>0</v>
      </c>
      <c r="AB164" s="55">
        <f t="shared" si="240"/>
        <v>0</v>
      </c>
      <c r="AC164" s="55">
        <f t="shared" si="240"/>
        <v>0</v>
      </c>
      <c r="AD164" s="55">
        <f t="shared" si="240"/>
        <v>0</v>
      </c>
      <c r="AE164" s="55">
        <f t="shared" si="240"/>
        <v>0</v>
      </c>
      <c r="AF164" s="55">
        <f t="shared" si="240"/>
        <v>0</v>
      </c>
      <c r="AG164" s="55">
        <f t="shared" si="240"/>
        <v>0</v>
      </c>
      <c r="AH164" s="55">
        <f t="shared" si="240"/>
        <v>0</v>
      </c>
      <c r="AI164" s="55">
        <f t="shared" si="240"/>
        <v>0</v>
      </c>
      <c r="AJ164" s="55">
        <f t="shared" si="240"/>
        <v>0</v>
      </c>
      <c r="AK164" s="55">
        <f t="shared" si="240"/>
        <v>0</v>
      </c>
      <c r="AL164" s="55">
        <f t="shared" ref="AL164:AU164" si="241">COUNTIF(AL158:AL163,"O")</f>
        <v>0</v>
      </c>
      <c r="AM164" s="55">
        <f t="shared" si="241"/>
        <v>0</v>
      </c>
      <c r="AN164" s="55">
        <f t="shared" si="241"/>
        <v>0</v>
      </c>
      <c r="AO164" s="55">
        <f t="shared" si="241"/>
        <v>0</v>
      </c>
      <c r="AP164" s="55">
        <f t="shared" si="241"/>
        <v>0</v>
      </c>
      <c r="AQ164" s="55">
        <f t="shared" si="241"/>
        <v>0</v>
      </c>
      <c r="AR164" s="55">
        <f t="shared" si="241"/>
        <v>0</v>
      </c>
      <c r="AS164" s="55">
        <f t="shared" si="241"/>
        <v>0</v>
      </c>
      <c r="AT164" s="55">
        <f t="shared" si="241"/>
        <v>0</v>
      </c>
      <c r="AU164" s="55">
        <f t="shared" si="241"/>
        <v>0</v>
      </c>
      <c r="AV164" s="171"/>
      <c r="AW164" s="171"/>
      <c r="AX164" s="171"/>
      <c r="BC164" s="22"/>
      <c r="BJ164" s="22"/>
      <c r="BK164"/>
      <c r="BL164"/>
      <c r="BM164" s="120"/>
      <c r="BN164" s="120"/>
    </row>
    <row r="165" spans="1:66">
      <c r="A165" s="127" t="s">
        <v>888</v>
      </c>
      <c r="B165" s="54" t="s">
        <v>560</v>
      </c>
      <c r="C165" s="54" t="str">
        <f ca="1">IF(C7=$BC$29,"O",IF(C7=$BD$29,"O",IF(C7=$BE$29,"O",IF(C7=$BF$29,"O",IF(C7=$BG$29,"O",IF(C7=$BH$29,"O",IF(C7=$BI$29,"O",IF(C7=$BJ$29,"O",IF(C7=$BK$29,"O",IF(C7=$BL$29,"O",IF(C7=$BM$29,"O",IF(C7=$BN$29,"O",IF(C7=$BO$29,"O",IF(C7=$BP$29,"O",IF(C7=$BQ$29,"O",IF(C7=$BR$29,"O",IF(C7=$BS$29,"O",IF(C7=$BT$29,"O",IF(C7=$BU$29,"O",IF(C7=$BV$29,"O",IF(C7=$BW$29,"O",IF(C7=$BX$29,"O",IF(C7=$BY$29,"O",IF(C7=$BZ$29,"O",IF(C7=$CA$29,"O",IF(C7=$CB$29,"O",IF(C7=$CC$29,"O",IF(C7=$CD$29,"O",IF(C7=$CE$29,"O",IF(C7=$CF$29,"O",IF(C7=$CG$29,"O",IF(C7=$CH$29,"O",IF(C7=$CI$29,"O",IF(C7=$CJ$29,"O",IF(C7=$CK$29,"O",IF(C7=$CL$29,"O",IF(C7=$CL$29,"O","X")))))))))))))))))))))))))))))))))))))</f>
        <v>O</v>
      </c>
      <c r="D165" s="54" t="str">
        <f t="shared" ref="D165:Q165" ca="1" si="242">IF(D7=$BC$29,"O",IF(D7=$BD$29,"O",IF(D7=$BE$29,"O",IF(D7=$BF$29,"O",IF(D7=$BG$29,"O",IF(D7=$BH$29,"O",IF(D7=$BI$29,"O",IF(D7=$BJ$29,"O",IF(D7=$BK$29,"O",IF(D7=$BL$29,"O",IF(D7=$BM$29,"O",IF(D7=$BN$29,"O",IF(D7=$BO$29,"O",IF(D7=$BP$29,"O",IF(D7=$BQ$29,"O",IF(D7=$BR$29,"O",IF(D7=$BS$29,"O",IF(D7=$BT$29,"O",IF(D7=$BU$29,"O",IF(D7=$BV$29,"O",IF(D7=$BW$29,"O",IF(D7=$BX$29,"O",IF(D7=$BY$29,"O",IF(D7=$BZ$29,"O",IF(D7=$CA$29,"O",IF(D7=$CB$29,"O",IF(D7=$CC$29,"O",IF(D7=$CD$29,"O",IF(D7=$CE$29,"O",IF(D7=$CF$29,"O",IF(D7=$CG$29,"O",IF(D7=$CH$29,"O",IF(D7=$CI$29,"O",IF(D7=$CJ$29,"O",IF(D7=$CK$29,"O",IF(D7=$CL$29,"O",IF(D7=$CL$29,"O","X")))))))))))))))))))))))))))))))))))))</f>
        <v>O</v>
      </c>
      <c r="E165" s="54" t="str">
        <f t="shared" ca="1" si="242"/>
        <v>X</v>
      </c>
      <c r="F165" s="54" t="str">
        <f t="shared" ca="1" si="242"/>
        <v>O</v>
      </c>
      <c r="G165" s="54" t="str">
        <f t="shared" ca="1" si="242"/>
        <v>O</v>
      </c>
      <c r="H165" s="54" t="str">
        <f t="shared" ca="1" si="242"/>
        <v>O</v>
      </c>
      <c r="I165" s="54" t="str">
        <f t="shared" ca="1" si="242"/>
        <v>O</v>
      </c>
      <c r="J165" s="54" t="str">
        <f t="shared" ca="1" si="242"/>
        <v>X</v>
      </c>
      <c r="K165" s="54" t="str">
        <f t="shared" ca="1" si="242"/>
        <v>O</v>
      </c>
      <c r="L165" s="54" t="str">
        <f t="shared" ca="1" si="242"/>
        <v>O</v>
      </c>
      <c r="M165" s="54" t="str">
        <f t="shared" ca="1" si="242"/>
        <v>X</v>
      </c>
      <c r="N165" s="54" t="str">
        <f t="shared" ca="1" si="242"/>
        <v>O</v>
      </c>
      <c r="O165" s="54" t="str">
        <f t="shared" ca="1" si="242"/>
        <v>O</v>
      </c>
      <c r="P165" s="54" t="str">
        <f t="shared" ca="1" si="242"/>
        <v>O</v>
      </c>
      <c r="Q165" s="54" t="str">
        <f t="shared" ca="1" si="242"/>
        <v>O</v>
      </c>
      <c r="R165" s="54" t="str">
        <f t="shared" ref="R165:AU165" si="243">IF(R7=$BC$29,"O",IF(R7=$BD$29,"O",IF(R7=$BE$29,"O",IF(R7=$BF$29,"O",IF(R7=$BG$29,"O",IF(R7=$BH$29,"O",IF(R7=$BI$29,"O",IF(R7=$BJ$29,"O",IF(R7=$BK$29,"O",IF(R7=$BL$29,"O",IF(R7=$BM$29,"O",IF(R7=$BN$29,"O",IF(R7=$BO$29,"O",IF(R7=$BP$29,"O",IF(R7=$BQ$29,"O",IF(R7=$BR$29,"O",IF(R7=$BS$29,"O",IF(R7=$BT$29,"O",IF(R7=$BU$29,"O",IF(R7=$BV$29,"O",IF(R7=$BW$29,"O",IF(R7=$BX$29,"O",IF(R7=$BY$29,"O",IF(R7=$BZ$29,"O",IF(R7=$CA$29,"O",IF(R7=$CB$29,"O","X"))))))))))))))))))))))))))</f>
        <v>X</v>
      </c>
      <c r="S165" s="54" t="str">
        <f t="shared" si="243"/>
        <v>X</v>
      </c>
      <c r="T165" s="54" t="str">
        <f t="shared" si="243"/>
        <v>X</v>
      </c>
      <c r="U165" s="54" t="str">
        <f t="shared" si="243"/>
        <v>X</v>
      </c>
      <c r="V165" s="54" t="str">
        <f t="shared" si="243"/>
        <v>X</v>
      </c>
      <c r="W165" s="54" t="str">
        <f t="shared" si="243"/>
        <v>X</v>
      </c>
      <c r="X165" s="54" t="str">
        <f t="shared" si="243"/>
        <v>X</v>
      </c>
      <c r="Y165" s="54" t="str">
        <f t="shared" si="243"/>
        <v>X</v>
      </c>
      <c r="Z165" s="54" t="str">
        <f t="shared" si="243"/>
        <v>X</v>
      </c>
      <c r="AA165" s="54" t="str">
        <f t="shared" si="243"/>
        <v>X</v>
      </c>
      <c r="AB165" s="54" t="str">
        <f t="shared" si="243"/>
        <v>X</v>
      </c>
      <c r="AC165" s="54" t="str">
        <f t="shared" si="243"/>
        <v>X</v>
      </c>
      <c r="AD165" s="54" t="str">
        <f t="shared" si="243"/>
        <v>X</v>
      </c>
      <c r="AE165" s="54" t="str">
        <f t="shared" si="243"/>
        <v>X</v>
      </c>
      <c r="AF165" s="54" t="str">
        <f t="shared" si="243"/>
        <v>X</v>
      </c>
      <c r="AG165" s="54" t="str">
        <f t="shared" si="243"/>
        <v>X</v>
      </c>
      <c r="AH165" s="54" t="str">
        <f t="shared" si="243"/>
        <v>X</v>
      </c>
      <c r="AI165" s="54" t="str">
        <f t="shared" si="243"/>
        <v>X</v>
      </c>
      <c r="AJ165" s="54" t="str">
        <f t="shared" si="243"/>
        <v>X</v>
      </c>
      <c r="AK165" s="54" t="str">
        <f t="shared" si="243"/>
        <v>X</v>
      </c>
      <c r="AL165" s="54" t="str">
        <f t="shared" si="243"/>
        <v>X</v>
      </c>
      <c r="AM165" s="54" t="str">
        <f t="shared" si="243"/>
        <v>X</v>
      </c>
      <c r="AN165" s="54" t="str">
        <f t="shared" si="243"/>
        <v>X</v>
      </c>
      <c r="AO165" s="54" t="str">
        <f t="shared" si="243"/>
        <v>X</v>
      </c>
      <c r="AP165" s="54" t="str">
        <f t="shared" si="243"/>
        <v>X</v>
      </c>
      <c r="AQ165" s="54" t="str">
        <f t="shared" si="243"/>
        <v>X</v>
      </c>
      <c r="AR165" s="54" t="str">
        <f t="shared" si="243"/>
        <v>X</v>
      </c>
      <c r="AS165" s="54" t="str">
        <f t="shared" si="243"/>
        <v>X</v>
      </c>
      <c r="AT165" s="54" t="str">
        <f t="shared" si="243"/>
        <v>X</v>
      </c>
      <c r="AU165" s="54" t="str">
        <f t="shared" si="243"/>
        <v>X</v>
      </c>
      <c r="AV165" s="53"/>
      <c r="AW165" s="53"/>
      <c r="AX165" s="53"/>
      <c r="BC165"/>
      <c r="BD165"/>
      <c r="BE165"/>
      <c r="BF165" s="132"/>
      <c r="BG165" s="132"/>
      <c r="BH165" s="132"/>
      <c r="BI165" s="132"/>
      <c r="BJ165" s="120"/>
    </row>
    <row r="166" spans="1:66">
      <c r="A166" s="128"/>
      <c r="B166" s="54" t="s">
        <v>566</v>
      </c>
      <c r="C166" s="54" t="str">
        <f t="shared" ref="C166:Q166" ca="1" si="244">IF(C8=$BC$29,"O",IF(C8=$BD$29,"O",IF(C8=$BE$29,"O",IF(C8=$BF$29,"O",IF(C8=$BG$29,"O",IF(C8=$BH$29,"O",IF(C8=$BI$29,"O",IF(C8=$BJ$29,"O",IF(C8=$BK$29,"O",IF(C8=$BL$29,"O",IF(C8=$BM$29,"O",IF(C8=$BN$29,"O",IF(C8=$BO$29,"O",IF(C8=$BP$29,"O",IF(C8=$BQ$29,"O",IF(C8=$BR$29,"O",IF(C8=$BS$29,"O",IF(C8=$BT$29,"O",IF(C8=$BU$29,"O",IF(C8=$BV$29,"O",IF(C8=$BW$29,"O",IF(C8=$BX$29,"O",IF(C8=$BY$29,"O",IF(C8=$BZ$29,"O",IF(C8=$CA$29,"O",IF(C8=$CB$29,"O",IF(C8=$CC$29,"O",IF(C8=$CD$29,"O",IF(C8=$CE$29,"O",IF(C8=$CF$29,"O",IF(C8=$CG$29,"O",IF(C8=$CH$29,"O",IF(C8=$CI$29,"O",IF(C8=$CJ$29,"O",IF(C8=$CK$29,"O",IF(C8=$CL$29,"O",IF(C8=$CL$29,"O","X")))))))))))))))))))))))))))))))))))))</f>
        <v>X</v>
      </c>
      <c r="D166" s="54" t="str">
        <f t="shared" ca="1" si="244"/>
        <v>X</v>
      </c>
      <c r="E166" s="54" t="str">
        <f t="shared" ca="1" si="244"/>
        <v>X</v>
      </c>
      <c r="F166" s="54" t="str">
        <f t="shared" ca="1" si="244"/>
        <v>O</v>
      </c>
      <c r="G166" s="54" t="str">
        <f t="shared" ca="1" si="244"/>
        <v>O</v>
      </c>
      <c r="H166" s="54" t="str">
        <f t="shared" ca="1" si="244"/>
        <v>X</v>
      </c>
      <c r="I166" s="54" t="str">
        <f t="shared" ca="1" si="244"/>
        <v>O</v>
      </c>
      <c r="J166" s="54" t="str">
        <f t="shared" ca="1" si="244"/>
        <v>O</v>
      </c>
      <c r="K166" s="54" t="str">
        <f t="shared" ca="1" si="244"/>
        <v>O</v>
      </c>
      <c r="L166" s="54" t="str">
        <f t="shared" ca="1" si="244"/>
        <v>O</v>
      </c>
      <c r="M166" s="54" t="str">
        <f t="shared" ca="1" si="244"/>
        <v>O</v>
      </c>
      <c r="N166" s="54" t="str">
        <f t="shared" ca="1" si="244"/>
        <v>X</v>
      </c>
      <c r="O166" s="54" t="str">
        <f t="shared" ca="1" si="244"/>
        <v>O</v>
      </c>
      <c r="P166" s="54" t="str">
        <f t="shared" ca="1" si="244"/>
        <v>X</v>
      </c>
      <c r="Q166" s="54" t="str">
        <f t="shared" ca="1" si="244"/>
        <v>O</v>
      </c>
      <c r="R166" s="54" t="str">
        <f t="shared" ref="R166:AU166" si="245">IF(R8=$BC$29,"O",IF(R8=$BD$29,"O",IF(R8=$BE$29,"O",IF(R8=$BF$29,"O",IF(R8=$BG$29,"O",IF(R8=$BH$29,"O",IF(R8=$BI$29,"O",IF(R8=$BJ$29,"O",IF(R8=$BK$29,"O",IF(R8=$BL$29,"O",IF(R8=$BM$29,"O",IF(R8=$BN$29,"O",IF(R8=$BO$29,"O",IF(R8=$BP$29,"O",IF(R8=$BQ$29,"O",IF(R8=$BR$29,"O",IF(R8=$BS$29,"O",IF(R8=$BT$29,"O",IF(R8=$BU$29,"O",IF(R8=$BV$29,"O",IF(R8=$BW$29,"O",IF(R8=$BX$29,"O",IF(R8=$BY$29,"O",IF(R8=$BZ$29,"O",IF(R8=$CA$29,"O",IF(R8=$CB$29,"O","X"))))))))))))))))))))))))))</f>
        <v>X</v>
      </c>
      <c r="S166" s="54" t="str">
        <f t="shared" si="245"/>
        <v>X</v>
      </c>
      <c r="T166" s="54" t="str">
        <f t="shared" si="245"/>
        <v>X</v>
      </c>
      <c r="U166" s="54" t="str">
        <f t="shared" si="245"/>
        <v>X</v>
      </c>
      <c r="V166" s="54" t="str">
        <f t="shared" si="245"/>
        <v>X</v>
      </c>
      <c r="W166" s="54" t="str">
        <f t="shared" si="245"/>
        <v>X</v>
      </c>
      <c r="X166" s="54" t="str">
        <f t="shared" si="245"/>
        <v>X</v>
      </c>
      <c r="Y166" s="54" t="str">
        <f t="shared" si="245"/>
        <v>X</v>
      </c>
      <c r="Z166" s="54" t="str">
        <f t="shared" si="245"/>
        <v>X</v>
      </c>
      <c r="AA166" s="54" t="str">
        <f t="shared" si="245"/>
        <v>X</v>
      </c>
      <c r="AB166" s="54" t="str">
        <f t="shared" si="245"/>
        <v>X</v>
      </c>
      <c r="AC166" s="54" t="str">
        <f t="shared" si="245"/>
        <v>X</v>
      </c>
      <c r="AD166" s="54" t="str">
        <f t="shared" si="245"/>
        <v>X</v>
      </c>
      <c r="AE166" s="54" t="str">
        <f t="shared" si="245"/>
        <v>X</v>
      </c>
      <c r="AF166" s="54" t="str">
        <f t="shared" si="245"/>
        <v>X</v>
      </c>
      <c r="AG166" s="54" t="str">
        <f t="shared" si="245"/>
        <v>X</v>
      </c>
      <c r="AH166" s="54" t="str">
        <f t="shared" si="245"/>
        <v>X</v>
      </c>
      <c r="AI166" s="54" t="str">
        <f t="shared" si="245"/>
        <v>X</v>
      </c>
      <c r="AJ166" s="54" t="str">
        <f t="shared" si="245"/>
        <v>X</v>
      </c>
      <c r="AK166" s="54" t="str">
        <f t="shared" si="245"/>
        <v>X</v>
      </c>
      <c r="AL166" s="54" t="str">
        <f t="shared" si="245"/>
        <v>X</v>
      </c>
      <c r="AM166" s="54" t="str">
        <f t="shared" si="245"/>
        <v>X</v>
      </c>
      <c r="AN166" s="54" t="str">
        <f t="shared" si="245"/>
        <v>X</v>
      </c>
      <c r="AO166" s="54" t="str">
        <f t="shared" si="245"/>
        <v>X</v>
      </c>
      <c r="AP166" s="54" t="str">
        <f t="shared" si="245"/>
        <v>X</v>
      </c>
      <c r="AQ166" s="54" t="str">
        <f t="shared" si="245"/>
        <v>X</v>
      </c>
      <c r="AR166" s="54" t="str">
        <f t="shared" si="245"/>
        <v>X</v>
      </c>
      <c r="AS166" s="54" t="str">
        <f t="shared" si="245"/>
        <v>X</v>
      </c>
      <c r="AT166" s="54" t="str">
        <f t="shared" si="245"/>
        <v>X</v>
      </c>
      <c r="AU166" s="54" t="str">
        <f t="shared" si="245"/>
        <v>X</v>
      </c>
      <c r="AV166" s="53"/>
      <c r="AW166" s="53"/>
      <c r="AX166" s="53"/>
      <c r="BC166" s="160"/>
      <c r="BD166" s="160"/>
      <c r="BE166" s="160"/>
      <c r="BF166" s="160"/>
      <c r="BG166" s="160"/>
      <c r="BH166" s="160"/>
      <c r="BI166" s="178"/>
      <c r="BJ166" s="160"/>
    </row>
    <row r="167" spans="1:66">
      <c r="A167" s="128"/>
      <c r="B167" s="54" t="s">
        <v>567</v>
      </c>
      <c r="C167" s="54" t="str">
        <f t="shared" ref="C167:Q167" ca="1" si="246">IF(C9=$BC$29,"O",IF(C9=$BD$29,"O",IF(C9=$BE$29,"O",IF(C9=$BF$29,"O",IF(C9=$BG$29,"O",IF(C9=$BH$29,"O",IF(C9=$BI$29,"O",IF(C9=$BJ$29,"O",IF(C9=$BK$29,"O",IF(C9=$BL$29,"O",IF(C9=$BM$29,"O",IF(C9=$BN$29,"O",IF(C9=$BO$29,"O",IF(C9=$BP$29,"O",IF(C9=$BQ$29,"O",IF(C9=$BR$29,"O",IF(C9=$BS$29,"O",IF(C9=$BT$29,"O",IF(C9=$BU$29,"O",IF(C9=$BV$29,"O",IF(C9=$BW$29,"O",IF(C9=$BX$29,"O",IF(C9=$BY$29,"O",IF(C9=$BZ$29,"O",IF(C9=$CA$29,"O",IF(C9=$CB$29,"O",IF(C9=$CC$29,"O",IF(C9=$CD$29,"O",IF(C9=$CE$29,"O",IF(C9=$CF$29,"O",IF(C9=$CG$29,"O",IF(C9=$CH$29,"O",IF(C9=$CI$29,"O",IF(C9=$CJ$29,"O",IF(C9=$CK$29,"O",IF(C9=$CL$29,"O",IF(C9=$CL$29,"O","X")))))))))))))))))))))))))))))))))))))</f>
        <v>O</v>
      </c>
      <c r="D167" s="54" t="str">
        <f t="shared" ca="1" si="246"/>
        <v>O</v>
      </c>
      <c r="E167" s="54" t="str">
        <f t="shared" ca="1" si="246"/>
        <v>O</v>
      </c>
      <c r="F167" s="54" t="str">
        <f t="shared" ca="1" si="246"/>
        <v>O</v>
      </c>
      <c r="G167" s="54" t="str">
        <f t="shared" ca="1" si="246"/>
        <v>O</v>
      </c>
      <c r="H167" s="54" t="str">
        <f t="shared" ca="1" si="246"/>
        <v>X</v>
      </c>
      <c r="I167" s="54" t="str">
        <f t="shared" ca="1" si="246"/>
        <v>O</v>
      </c>
      <c r="J167" s="54" t="str">
        <f t="shared" ca="1" si="246"/>
        <v>O</v>
      </c>
      <c r="K167" s="54" t="str">
        <f t="shared" ca="1" si="246"/>
        <v>X</v>
      </c>
      <c r="L167" s="54" t="str">
        <f t="shared" ca="1" si="246"/>
        <v>O</v>
      </c>
      <c r="M167" s="54" t="str">
        <f t="shared" ca="1" si="246"/>
        <v>O</v>
      </c>
      <c r="N167" s="54" t="str">
        <f t="shared" ca="1" si="246"/>
        <v>O</v>
      </c>
      <c r="O167" s="54" t="str">
        <f t="shared" ca="1" si="246"/>
        <v>X</v>
      </c>
      <c r="P167" s="54" t="str">
        <f t="shared" ca="1" si="246"/>
        <v>O</v>
      </c>
      <c r="Q167" s="54" t="str">
        <f t="shared" ca="1" si="246"/>
        <v>O</v>
      </c>
      <c r="R167" s="54" t="str">
        <f t="shared" ref="R167:AU167" si="247">IF(R9=$BC$29,"O",IF(R9=$BD$29,"O",IF(R9=$BE$29,"O",IF(R9=$BF$29,"O",IF(R9=$BG$29,"O",IF(R9=$BH$29,"O",IF(R9=$BI$29,"O",IF(R9=$BJ$29,"O",IF(R9=$BK$29,"O",IF(R9=$BL$29,"O",IF(R9=$BM$29,"O",IF(R9=$BN$29,"O",IF(R9=$BO$29,"O",IF(R9=$BP$29,"O",IF(R9=$BQ$29,"O",IF(R9=$BR$29,"O",IF(R9=$BS$29,"O",IF(R9=$BT$29,"O",IF(R9=$BU$29,"O",IF(R9=$BV$29,"O",IF(R9=$BW$29,"O",IF(R9=$BX$29,"O",IF(R9=$BY$29,"O",IF(R9=$BZ$29,"O",IF(R9=$CA$29,"O",IF(R9=$CB$29,"O","X"))))))))))))))))))))))))))</f>
        <v>X</v>
      </c>
      <c r="S167" s="54" t="str">
        <f t="shared" si="247"/>
        <v>X</v>
      </c>
      <c r="T167" s="54" t="str">
        <f t="shared" si="247"/>
        <v>X</v>
      </c>
      <c r="U167" s="54" t="str">
        <f t="shared" si="247"/>
        <v>X</v>
      </c>
      <c r="V167" s="54" t="str">
        <f t="shared" si="247"/>
        <v>X</v>
      </c>
      <c r="W167" s="54" t="str">
        <f t="shared" si="247"/>
        <v>X</v>
      </c>
      <c r="X167" s="54" t="str">
        <f t="shared" si="247"/>
        <v>X</v>
      </c>
      <c r="Y167" s="54" t="str">
        <f t="shared" si="247"/>
        <v>X</v>
      </c>
      <c r="Z167" s="54" t="str">
        <f t="shared" si="247"/>
        <v>X</v>
      </c>
      <c r="AA167" s="54" t="str">
        <f t="shared" si="247"/>
        <v>X</v>
      </c>
      <c r="AB167" s="54" t="str">
        <f t="shared" si="247"/>
        <v>X</v>
      </c>
      <c r="AC167" s="54" t="str">
        <f t="shared" si="247"/>
        <v>X</v>
      </c>
      <c r="AD167" s="54" t="str">
        <f t="shared" si="247"/>
        <v>X</v>
      </c>
      <c r="AE167" s="54" t="str">
        <f t="shared" si="247"/>
        <v>X</v>
      </c>
      <c r="AF167" s="54" t="str">
        <f t="shared" si="247"/>
        <v>X</v>
      </c>
      <c r="AG167" s="54" t="str">
        <f t="shared" si="247"/>
        <v>X</v>
      </c>
      <c r="AH167" s="54" t="str">
        <f t="shared" si="247"/>
        <v>X</v>
      </c>
      <c r="AI167" s="54" t="str">
        <f t="shared" si="247"/>
        <v>X</v>
      </c>
      <c r="AJ167" s="54" t="str">
        <f t="shared" si="247"/>
        <v>X</v>
      </c>
      <c r="AK167" s="54" t="str">
        <f t="shared" si="247"/>
        <v>X</v>
      </c>
      <c r="AL167" s="54" t="str">
        <f t="shared" si="247"/>
        <v>X</v>
      </c>
      <c r="AM167" s="54" t="str">
        <f t="shared" si="247"/>
        <v>X</v>
      </c>
      <c r="AN167" s="54" t="str">
        <f t="shared" si="247"/>
        <v>X</v>
      </c>
      <c r="AO167" s="54" t="str">
        <f t="shared" si="247"/>
        <v>X</v>
      </c>
      <c r="AP167" s="54" t="str">
        <f t="shared" si="247"/>
        <v>X</v>
      </c>
      <c r="AQ167" s="54" t="str">
        <f t="shared" si="247"/>
        <v>X</v>
      </c>
      <c r="AR167" s="54" t="str">
        <f t="shared" si="247"/>
        <v>X</v>
      </c>
      <c r="AS167" s="54" t="str">
        <f t="shared" si="247"/>
        <v>X</v>
      </c>
      <c r="AT167" s="54" t="str">
        <f t="shared" si="247"/>
        <v>X</v>
      </c>
      <c r="AU167" s="54" t="str">
        <f t="shared" si="247"/>
        <v>X</v>
      </c>
      <c r="AV167" s="53"/>
      <c r="AW167" s="53"/>
      <c r="AX167" s="53"/>
      <c r="BC167"/>
      <c r="BD167"/>
      <c r="BE167"/>
      <c r="BF167"/>
      <c r="BG167"/>
      <c r="BH167"/>
      <c r="BI167" s="132"/>
      <c r="BJ167" s="120"/>
    </row>
    <row r="168" spans="1:66">
      <c r="A168" s="128"/>
      <c r="B168" s="54" t="s">
        <v>568</v>
      </c>
      <c r="C168" s="54" t="str">
        <f t="shared" ref="C168:Q168" ca="1" si="248">IF(C10=$BC$29,"O",IF(C10=$BD$29,"O",IF(C10=$BE$29,"O",IF(C10=$BF$29,"O",IF(C10=$BG$29,"O",IF(C10=$BH$29,"O",IF(C10=$BI$29,"O",IF(C10=$BJ$29,"O",IF(C10=$BK$29,"O",IF(C10=$BL$29,"O",IF(C10=$BM$29,"O",IF(C10=$BN$29,"O",IF(C10=$BO$29,"O",IF(C10=$BP$29,"O",IF(C10=$BQ$29,"O",IF(C10=$BR$29,"O",IF(C10=$BS$29,"O",IF(C10=$BT$29,"O",IF(C10=$BU$29,"O",IF(C10=$BV$29,"O",IF(C10=$BW$29,"O",IF(C10=$BX$29,"O",IF(C10=$BY$29,"O",IF(C10=$BZ$29,"O",IF(C10=$CA$29,"O",IF(C10=$CB$29,"O",IF(C10=$CC$29,"O",IF(C10=$CD$29,"O",IF(C10=$CE$29,"O",IF(C10=$CF$29,"O",IF(C10=$CG$29,"O",IF(C10=$CH$29,"O",IF(C10=$CI$29,"O",IF(C10=$CJ$29,"O",IF(C10=$CK$29,"O",IF(C10=$CL$29,"O",IF(C10=$CL$29,"O","X")))))))))))))))))))))))))))))))))))))</f>
        <v>O</v>
      </c>
      <c r="D168" s="54" t="str">
        <f t="shared" ca="1" si="248"/>
        <v>O</v>
      </c>
      <c r="E168" s="54" t="str">
        <f t="shared" ca="1" si="248"/>
        <v>X</v>
      </c>
      <c r="F168" s="54" t="str">
        <f t="shared" ca="1" si="248"/>
        <v>O</v>
      </c>
      <c r="G168" s="54" t="str">
        <f t="shared" ca="1" si="248"/>
        <v>O</v>
      </c>
      <c r="H168" s="54" t="str">
        <f t="shared" ca="1" si="248"/>
        <v>O</v>
      </c>
      <c r="I168" s="54" t="str">
        <f t="shared" ca="1" si="248"/>
        <v>O</v>
      </c>
      <c r="J168" s="54" t="str">
        <f t="shared" ca="1" si="248"/>
        <v>X</v>
      </c>
      <c r="K168" s="54" t="str">
        <f t="shared" ca="1" si="248"/>
        <v>O</v>
      </c>
      <c r="L168" s="54" t="str">
        <f t="shared" ca="1" si="248"/>
        <v>O</v>
      </c>
      <c r="M168" s="54" t="str">
        <f t="shared" ca="1" si="248"/>
        <v>X</v>
      </c>
      <c r="N168" s="54" t="str">
        <f t="shared" ca="1" si="248"/>
        <v>O</v>
      </c>
      <c r="O168" s="54" t="str">
        <f t="shared" ca="1" si="248"/>
        <v>O</v>
      </c>
      <c r="P168" s="54" t="str">
        <f t="shared" ca="1" si="248"/>
        <v>O</v>
      </c>
      <c r="Q168" s="54" t="str">
        <f t="shared" ca="1" si="248"/>
        <v>X</v>
      </c>
      <c r="R168" s="54" t="str">
        <f t="shared" ref="R168:AU168" si="249">IF(R10=$BC$29,"O",IF(R10=$BD$29,"O",IF(R10=$BE$29,"O",IF(R10=$BF$29,"O",IF(R10=$BG$29,"O",IF(R10=$BH$29,"O",IF(R10=$BI$29,"O",IF(R10=$BJ$29,"O",IF(R10=$BK$29,"O",IF(R10=$BL$29,"O",IF(R10=$BM$29,"O",IF(R10=$BN$29,"O",IF(R10=$BO$29,"O",IF(R10=$BP$29,"O",IF(R10=$BQ$29,"O",IF(R10=$BR$29,"O",IF(R10=$BS$29,"O",IF(R10=$BT$29,"O",IF(R10=$BU$29,"O",IF(R10=$BV$29,"O",IF(R10=$BW$29,"O",IF(R10=$BX$29,"O",IF(R10=$BY$29,"O",IF(R10=$BZ$29,"O",IF(R10=$CA$29,"O",IF(R10=$CB$29,"O","X"))))))))))))))))))))))))))</f>
        <v>X</v>
      </c>
      <c r="S168" s="54" t="str">
        <f t="shared" si="249"/>
        <v>X</v>
      </c>
      <c r="T168" s="54" t="str">
        <f t="shared" si="249"/>
        <v>X</v>
      </c>
      <c r="U168" s="54" t="str">
        <f t="shared" si="249"/>
        <v>X</v>
      </c>
      <c r="V168" s="54" t="str">
        <f t="shared" si="249"/>
        <v>X</v>
      </c>
      <c r="W168" s="54" t="str">
        <f t="shared" si="249"/>
        <v>X</v>
      </c>
      <c r="X168" s="54" t="str">
        <f t="shared" si="249"/>
        <v>X</v>
      </c>
      <c r="Y168" s="54" t="str">
        <f t="shared" si="249"/>
        <v>X</v>
      </c>
      <c r="Z168" s="54" t="str">
        <f t="shared" si="249"/>
        <v>X</v>
      </c>
      <c r="AA168" s="54" t="str">
        <f t="shared" si="249"/>
        <v>X</v>
      </c>
      <c r="AB168" s="54" t="str">
        <f t="shared" si="249"/>
        <v>X</v>
      </c>
      <c r="AC168" s="54" t="str">
        <f t="shared" si="249"/>
        <v>X</v>
      </c>
      <c r="AD168" s="54" t="str">
        <f t="shared" si="249"/>
        <v>X</v>
      </c>
      <c r="AE168" s="54" t="str">
        <f t="shared" si="249"/>
        <v>X</v>
      </c>
      <c r="AF168" s="54" t="str">
        <f t="shared" si="249"/>
        <v>X</v>
      </c>
      <c r="AG168" s="54" t="str">
        <f t="shared" si="249"/>
        <v>X</v>
      </c>
      <c r="AH168" s="54" t="str">
        <f t="shared" si="249"/>
        <v>X</v>
      </c>
      <c r="AI168" s="54" t="str">
        <f t="shared" si="249"/>
        <v>X</v>
      </c>
      <c r="AJ168" s="54" t="str">
        <f t="shared" si="249"/>
        <v>X</v>
      </c>
      <c r="AK168" s="54" t="str">
        <f t="shared" si="249"/>
        <v>X</v>
      </c>
      <c r="AL168" s="54" t="str">
        <f t="shared" si="249"/>
        <v>X</v>
      </c>
      <c r="AM168" s="54" t="str">
        <f t="shared" si="249"/>
        <v>X</v>
      </c>
      <c r="AN168" s="54" t="str">
        <f t="shared" si="249"/>
        <v>X</v>
      </c>
      <c r="AO168" s="54" t="str">
        <f t="shared" si="249"/>
        <v>X</v>
      </c>
      <c r="AP168" s="54" t="str">
        <f t="shared" si="249"/>
        <v>X</v>
      </c>
      <c r="AQ168" s="54" t="str">
        <f t="shared" si="249"/>
        <v>X</v>
      </c>
      <c r="AR168" s="54" t="str">
        <f t="shared" si="249"/>
        <v>X</v>
      </c>
      <c r="AS168" s="54" t="str">
        <f t="shared" si="249"/>
        <v>X</v>
      </c>
      <c r="AT168" s="54" t="str">
        <f t="shared" si="249"/>
        <v>X</v>
      </c>
      <c r="AU168" s="54" t="str">
        <f t="shared" si="249"/>
        <v>X</v>
      </c>
      <c r="AV168" s="53"/>
      <c r="AW168" s="53"/>
      <c r="AX168" s="53"/>
      <c r="BC168" s="22"/>
      <c r="BH168" s="70"/>
      <c r="BI168" s="47"/>
      <c r="BJ168" s="22"/>
    </row>
    <row r="169" spans="1:66">
      <c r="A169" s="128"/>
      <c r="B169" s="54" t="s">
        <v>569</v>
      </c>
      <c r="C169" s="54" t="str">
        <f t="shared" ref="C169:Q169" ca="1" si="250">IF(C11=$BC$29,"O",IF(C11=$BD$29,"O",IF(C11=$BE$29,"O",IF(C11=$BF$29,"O",IF(C11=$BG$29,"O",IF(C11=$BH$29,"O",IF(C11=$BI$29,"O",IF(C11=$BJ$29,"O",IF(C11=$BK$29,"O",IF(C11=$BL$29,"O",IF(C11=$BM$29,"O",IF(C11=$BN$29,"O",IF(C11=$BO$29,"O",IF(C11=$BP$29,"O",IF(C11=$BQ$29,"O",IF(C11=$BR$29,"O",IF(C11=$BS$29,"O",IF(C11=$BT$29,"O",IF(C11=$BU$29,"O",IF(C11=$BV$29,"O",IF(C11=$BW$29,"O",IF(C11=$BX$29,"O",IF(C11=$BY$29,"O",IF(C11=$BZ$29,"O",IF(C11=$CA$29,"O",IF(C11=$CB$29,"O",IF(C11=$CC$29,"O",IF(C11=$CD$29,"O",IF(C11=$CE$29,"O",IF(C11=$CF$29,"O",IF(C11=$CG$29,"O",IF(C11=$CH$29,"O",IF(C11=$CI$29,"O",IF(C11=$CJ$29,"O",IF(C11=$CK$29,"O",IF(C11=$CL$29,"O",IF(C11=$CL$29,"O","X")))))))))))))))))))))))))))))))))))))</f>
        <v>X</v>
      </c>
      <c r="D169" s="54" t="str">
        <f t="shared" ca="1" si="250"/>
        <v>O</v>
      </c>
      <c r="E169" s="54" t="str">
        <f t="shared" ca="1" si="250"/>
        <v>O</v>
      </c>
      <c r="F169" s="54" t="str">
        <f t="shared" ca="1" si="250"/>
        <v>O</v>
      </c>
      <c r="G169" s="54" t="str">
        <f t="shared" ca="1" si="250"/>
        <v>X</v>
      </c>
      <c r="H169" s="54" t="str">
        <f t="shared" ca="1" si="250"/>
        <v>O</v>
      </c>
      <c r="I169" s="54" t="str">
        <f t="shared" ca="1" si="250"/>
        <v>O</v>
      </c>
      <c r="J169" s="54" t="str">
        <f t="shared" ca="1" si="250"/>
        <v>O</v>
      </c>
      <c r="K169" s="54" t="str">
        <f t="shared" ca="1" si="250"/>
        <v>O</v>
      </c>
      <c r="L169" s="54" t="str">
        <f t="shared" ca="1" si="250"/>
        <v>X</v>
      </c>
      <c r="M169" s="54" t="str">
        <f t="shared" ca="1" si="250"/>
        <v>X</v>
      </c>
      <c r="N169" s="54" t="str">
        <f t="shared" ca="1" si="250"/>
        <v>O</v>
      </c>
      <c r="O169" s="54" t="str">
        <f t="shared" ca="1" si="250"/>
        <v>X</v>
      </c>
      <c r="P169" s="54" t="str">
        <f t="shared" ca="1" si="250"/>
        <v>O</v>
      </c>
      <c r="Q169" s="54" t="str">
        <f t="shared" ca="1" si="250"/>
        <v>X</v>
      </c>
      <c r="R169" s="54" t="str">
        <f t="shared" ref="R169:AU169" si="251">IF(R11=$BC$29,"O",IF(R11=$BD$29,"O",IF(R11=$BE$29,"O",IF(R11=$BF$29,"O",IF(R11=$BG$29,"O",IF(R11=$BH$29,"O",IF(R11=$BI$29,"O",IF(R11=$BJ$29,"O",IF(R11=$BK$29,"O",IF(R11=$BL$29,"O",IF(R11=$BM$29,"O",IF(R11=$BN$29,"O",IF(R11=$BO$29,"O",IF(R11=$BP$29,"O",IF(R11=$BQ$29,"O",IF(R11=$BR$29,"O",IF(R11=$BS$29,"O",IF(R11=$BT$29,"O",IF(R11=$BU$29,"O",IF(R11=$BV$29,"O",IF(R11=$BW$29,"O",IF(R11=$BX$29,"O",IF(R11=$BY$29,"O",IF(R11=$BZ$29,"O",IF(R11=$CA$29,"O",IF(R11=$CB$29,"O","X"))))))))))))))))))))))))))</f>
        <v>X</v>
      </c>
      <c r="S169" s="54" t="str">
        <f t="shared" si="251"/>
        <v>X</v>
      </c>
      <c r="T169" s="54" t="str">
        <f t="shared" si="251"/>
        <v>X</v>
      </c>
      <c r="U169" s="54" t="str">
        <f t="shared" si="251"/>
        <v>X</v>
      </c>
      <c r="V169" s="54" t="str">
        <f t="shared" si="251"/>
        <v>X</v>
      </c>
      <c r="W169" s="54" t="str">
        <f t="shared" si="251"/>
        <v>X</v>
      </c>
      <c r="X169" s="54" t="str">
        <f t="shared" si="251"/>
        <v>X</v>
      </c>
      <c r="Y169" s="54" t="str">
        <f t="shared" si="251"/>
        <v>X</v>
      </c>
      <c r="Z169" s="54" t="str">
        <f t="shared" si="251"/>
        <v>X</v>
      </c>
      <c r="AA169" s="54" t="str">
        <f t="shared" si="251"/>
        <v>X</v>
      </c>
      <c r="AB169" s="54" t="str">
        <f t="shared" si="251"/>
        <v>X</v>
      </c>
      <c r="AC169" s="54" t="str">
        <f t="shared" si="251"/>
        <v>X</v>
      </c>
      <c r="AD169" s="54" t="str">
        <f t="shared" si="251"/>
        <v>X</v>
      </c>
      <c r="AE169" s="54" t="str">
        <f t="shared" si="251"/>
        <v>X</v>
      </c>
      <c r="AF169" s="54" t="str">
        <f t="shared" si="251"/>
        <v>X</v>
      </c>
      <c r="AG169" s="54" t="str">
        <f t="shared" si="251"/>
        <v>X</v>
      </c>
      <c r="AH169" s="54" t="str">
        <f t="shared" si="251"/>
        <v>X</v>
      </c>
      <c r="AI169" s="54" t="str">
        <f t="shared" si="251"/>
        <v>X</v>
      </c>
      <c r="AJ169" s="54" t="str">
        <f t="shared" si="251"/>
        <v>X</v>
      </c>
      <c r="AK169" s="54" t="str">
        <f t="shared" si="251"/>
        <v>X</v>
      </c>
      <c r="AL169" s="54" t="str">
        <f t="shared" si="251"/>
        <v>X</v>
      </c>
      <c r="AM169" s="54" t="str">
        <f t="shared" si="251"/>
        <v>X</v>
      </c>
      <c r="AN169" s="54" t="str">
        <f t="shared" si="251"/>
        <v>X</v>
      </c>
      <c r="AO169" s="54" t="str">
        <f t="shared" si="251"/>
        <v>X</v>
      </c>
      <c r="AP169" s="54" t="str">
        <f t="shared" si="251"/>
        <v>X</v>
      </c>
      <c r="AQ169" s="54" t="str">
        <f t="shared" si="251"/>
        <v>X</v>
      </c>
      <c r="AR169" s="54" t="str">
        <f t="shared" si="251"/>
        <v>X</v>
      </c>
      <c r="AS169" s="54" t="str">
        <f t="shared" si="251"/>
        <v>X</v>
      </c>
      <c r="AT169" s="54" t="str">
        <f t="shared" si="251"/>
        <v>X</v>
      </c>
      <c r="AU169" s="54" t="str">
        <f t="shared" si="251"/>
        <v>X</v>
      </c>
      <c r="AV169" s="53"/>
      <c r="AW169" s="53"/>
      <c r="AX169" s="53"/>
      <c r="BC169" s="22"/>
      <c r="BH169" s="70"/>
      <c r="BJ169" s="22"/>
    </row>
    <row r="170" spans="1:66">
      <c r="A170" s="128"/>
      <c r="B170" s="54" t="s">
        <v>540</v>
      </c>
      <c r="C170" s="54" t="str">
        <f t="shared" ref="C170:P170" ca="1" si="252">IF(C12=$BC$29,"O",IF(C12=$BD$29,"O",IF(C12=$BE$29,"O",IF(C12=$BF$29,"O",IF(C12=$BG$29,"O",IF(C12=$BH$29,"O",IF(C12=$BI$29,"O",IF(C12=$BJ$29,"O",IF(C12=$BK$29,"O",IF(C12=$BL$29,"O",IF(C12=$BM$29,"O",IF(C12=$BN$29,"O",IF(C12=$BO$29,"O",IF(C12=$BP$29,"O",IF(C12=$BQ$29,"O",IF(C12=$BR$29,"O",IF(C12=$BS$29,"O",IF(C12=$BT$29,"O",IF(C12=$BU$29,"O",IF(C12=$BV$29,"O",IF(C12=$BW$29,"O",IF(C12=$BX$29,"O",IF(C12=$BY$29,"O",IF(C12=$BZ$29,"O",IF(C12=$CA$29,"O",IF(C12=$CB$29,"O",IF(C12=$CC$29,"O",IF(C12=$CD$29,"O",IF(C12=$CE$29,"O",IF(C12=$CF$29,"O",IF(C12=$CG$29,"O",IF(C12=$CH$29,"O",IF(C12=$CI$29,"O",IF(C12=$CJ$29,"O",IF(C12=$CK$29,"O",IF(C12=$CL$29,"O",IF(C12=$CL$29,"O","X")))))))))))))))))))))))))))))))))))))</f>
        <v>O</v>
      </c>
      <c r="D170" s="54" t="str">
        <f t="shared" ca="1" si="252"/>
        <v>O</v>
      </c>
      <c r="E170" s="54" t="str">
        <f t="shared" ca="1" si="252"/>
        <v>X</v>
      </c>
      <c r="F170" s="54" t="str">
        <f t="shared" ca="1" si="252"/>
        <v>O</v>
      </c>
      <c r="G170" s="54" t="str">
        <f t="shared" ca="1" si="252"/>
        <v>O</v>
      </c>
      <c r="H170" s="54" t="str">
        <f t="shared" ca="1" si="252"/>
        <v>X</v>
      </c>
      <c r="I170" s="54" t="str">
        <f t="shared" ca="1" si="252"/>
        <v>O</v>
      </c>
      <c r="J170" s="54" t="str">
        <f t="shared" ca="1" si="252"/>
        <v>O</v>
      </c>
      <c r="K170" s="54" t="str">
        <f t="shared" ca="1" si="252"/>
        <v>O</v>
      </c>
      <c r="L170" s="54" t="str">
        <f t="shared" ca="1" si="252"/>
        <v>O</v>
      </c>
      <c r="M170" s="54" t="str">
        <f t="shared" ca="1" si="252"/>
        <v>O</v>
      </c>
      <c r="N170" s="54" t="str">
        <f t="shared" ca="1" si="252"/>
        <v>O</v>
      </c>
      <c r="O170" s="54" t="str">
        <f t="shared" ca="1" si="252"/>
        <v>O</v>
      </c>
      <c r="P170" s="54" t="str">
        <f t="shared" ca="1" si="252"/>
        <v>O</v>
      </c>
      <c r="Q170" s="54" t="str">
        <f ca="1">IF(Q12=$BC$29,"O",IF(Q12=$BD$29,"O",IF(Q12=$BE$29,"O",IF(Q12=$BF$29,"O",IF(Q12=$BG$29,"O",IF(Q12=$BH$29,"O",IF(Q12=$BI$29,"O",IF(Q12=$BJ$29,"O",IF(Q12=$BK$29,"O",IF(Q12=$BL$29,"O",IF(Q12=$BM$29,"O",IF(Q12=$BN$29,"O",IF(Q12=$BO$29,"O",IF(Q12=$BP$29,"O",IF(Q12=$BQ$29,"O",IF(Q12=$BR$29,"O",IF(Q12=$BS$29,"O",IF(Q12=$BT$29,"O",IF(Q12=$BU$29,"O",IF(Q12=$BV$29,"O",IF(Q12=$BW$29,"O",IF(Q12=$BX$29,"O",IF(Q12=$BY$29,"O",IF(Q12=$BZ$29,"O",IF(Q12=$CA$29,"O",IF(Q12=$CB$29,"O",IF(Q12=$CC$29,"O",IF(Q12=$CD$29,"O",IF(Q12=$CE$29,"O",IF(Q12=$CF$29,"O",IF(Q12=$CG$29,"O",IF(Q12=$CH$29,"O",IF(Q12=$CI$29,"O",IF(Q12=$CJ$29,"O",IF(Q12=$CK$29,"O",IF(Q12=$CL$29,"O",IF(Q12=$CL$29,"O","X")))))))))))))))))))))))))))))))))))))</f>
        <v>X</v>
      </c>
      <c r="R170" s="54" t="str">
        <f t="shared" ref="R170:AU170" si="253">IF(R12=$BC$29,"O",IF(R12=$BD$29,"O",IF(R12=$BE$29,"O",IF(R12=$BF$29,"O",IF(R12=$BG$29,"O",IF(R12=$BH$29,"O",IF(R12=$BI$29,"O",IF(R12=$BJ$29,"O",IF(R12=$BK$29,"O",IF(R12=$BL$29,"O",IF(R12=$BM$29,"O",IF(R12=$BN$29,"O",IF(R12=$BO$29,"O",IF(R12=$BP$29,"O",IF(R12=$BQ$29,"O",IF(R12=$BR$29,"O",IF(R12=$BS$29,"O",IF(R12=$BT$29,"O",IF(R12=$BU$29,"O",IF(R12=$BV$29,"O",IF(R12=$BW$29,"O",IF(R12=$BX$29,"O",IF(R12=$BY$29,"O",IF(R12=$BZ$29,"O",IF(R12=$CA$29,"O",IF(R12=$CB$29,"O","X"))))))))))))))))))))))))))</f>
        <v>X</v>
      </c>
      <c r="S170" s="54" t="str">
        <f t="shared" si="253"/>
        <v>X</v>
      </c>
      <c r="T170" s="54" t="str">
        <f t="shared" si="253"/>
        <v>X</v>
      </c>
      <c r="U170" s="54" t="str">
        <f t="shared" si="253"/>
        <v>X</v>
      </c>
      <c r="V170" s="54" t="str">
        <f t="shared" si="253"/>
        <v>X</v>
      </c>
      <c r="W170" s="54" t="str">
        <f t="shared" si="253"/>
        <v>X</v>
      </c>
      <c r="X170" s="54" t="str">
        <f t="shared" si="253"/>
        <v>X</v>
      </c>
      <c r="Y170" s="54" t="str">
        <f t="shared" si="253"/>
        <v>X</v>
      </c>
      <c r="Z170" s="54" t="str">
        <f t="shared" si="253"/>
        <v>X</v>
      </c>
      <c r="AA170" s="54" t="str">
        <f t="shared" si="253"/>
        <v>X</v>
      </c>
      <c r="AB170" s="54" t="str">
        <f t="shared" si="253"/>
        <v>X</v>
      </c>
      <c r="AC170" s="54" t="str">
        <f t="shared" si="253"/>
        <v>X</v>
      </c>
      <c r="AD170" s="54" t="str">
        <f t="shared" si="253"/>
        <v>X</v>
      </c>
      <c r="AE170" s="54" t="str">
        <f t="shared" si="253"/>
        <v>X</v>
      </c>
      <c r="AF170" s="54" t="str">
        <f t="shared" si="253"/>
        <v>X</v>
      </c>
      <c r="AG170" s="54" t="str">
        <f t="shared" si="253"/>
        <v>X</v>
      </c>
      <c r="AH170" s="54" t="str">
        <f t="shared" si="253"/>
        <v>X</v>
      </c>
      <c r="AI170" s="54" t="str">
        <f t="shared" si="253"/>
        <v>X</v>
      </c>
      <c r="AJ170" s="54" t="str">
        <f t="shared" si="253"/>
        <v>X</v>
      </c>
      <c r="AK170" s="54" t="str">
        <f t="shared" si="253"/>
        <v>X</v>
      </c>
      <c r="AL170" s="54" t="str">
        <f t="shared" si="253"/>
        <v>X</v>
      </c>
      <c r="AM170" s="54" t="str">
        <f t="shared" si="253"/>
        <v>X</v>
      </c>
      <c r="AN170" s="54" t="str">
        <f t="shared" si="253"/>
        <v>X</v>
      </c>
      <c r="AO170" s="54" t="str">
        <f t="shared" si="253"/>
        <v>X</v>
      </c>
      <c r="AP170" s="54" t="str">
        <f t="shared" si="253"/>
        <v>X</v>
      </c>
      <c r="AQ170" s="54" t="str">
        <f t="shared" si="253"/>
        <v>X</v>
      </c>
      <c r="AR170" s="54" t="str">
        <f t="shared" si="253"/>
        <v>X</v>
      </c>
      <c r="AS170" s="54" t="str">
        <f t="shared" si="253"/>
        <v>X</v>
      </c>
      <c r="AT170" s="54" t="str">
        <f t="shared" si="253"/>
        <v>X</v>
      </c>
      <c r="AU170" s="54" t="str">
        <f t="shared" si="253"/>
        <v>X</v>
      </c>
      <c r="AV170" s="53"/>
      <c r="AW170" s="53"/>
      <c r="AX170" s="53"/>
      <c r="BC170" s="22"/>
      <c r="BH170" s="70"/>
      <c r="BJ170" s="22"/>
    </row>
    <row r="171" spans="1:66">
      <c r="A171" s="129"/>
      <c r="B171" s="60" t="s">
        <v>663</v>
      </c>
      <c r="C171" s="55">
        <f ca="1">COUNTIF(C165:C170,"O")</f>
        <v>4</v>
      </c>
      <c r="D171" s="55">
        <f t="shared" ref="D171:Q171" ca="1" si="254">COUNTIF(D165:D170,"O")</f>
        <v>5</v>
      </c>
      <c r="E171" s="55">
        <f t="shared" ca="1" si="254"/>
        <v>2</v>
      </c>
      <c r="F171" s="55">
        <f t="shared" ca="1" si="254"/>
        <v>6</v>
      </c>
      <c r="G171" s="55">
        <f t="shared" ca="1" si="254"/>
        <v>5</v>
      </c>
      <c r="H171" s="55">
        <f t="shared" ca="1" si="254"/>
        <v>3</v>
      </c>
      <c r="I171" s="55">
        <f t="shared" ca="1" si="254"/>
        <v>6</v>
      </c>
      <c r="J171" s="55">
        <f t="shared" ca="1" si="254"/>
        <v>4</v>
      </c>
      <c r="K171" s="55">
        <f t="shared" ca="1" si="254"/>
        <v>5</v>
      </c>
      <c r="L171" s="55">
        <f t="shared" ca="1" si="254"/>
        <v>5</v>
      </c>
      <c r="M171" s="55">
        <f t="shared" ca="1" si="254"/>
        <v>3</v>
      </c>
      <c r="N171" s="55">
        <f t="shared" ca="1" si="254"/>
        <v>5</v>
      </c>
      <c r="O171" s="55">
        <f t="shared" ca="1" si="254"/>
        <v>4</v>
      </c>
      <c r="P171" s="55">
        <f t="shared" ca="1" si="254"/>
        <v>5</v>
      </c>
      <c r="Q171" s="55">
        <f t="shared" ca="1" si="254"/>
        <v>3</v>
      </c>
      <c r="R171" s="55">
        <f t="shared" ref="R171:AK171" si="255">COUNTIF(R165:R170,"O")</f>
        <v>0</v>
      </c>
      <c r="S171" s="55">
        <f t="shared" si="255"/>
        <v>0</v>
      </c>
      <c r="T171" s="55">
        <f t="shared" si="255"/>
        <v>0</v>
      </c>
      <c r="U171" s="55">
        <f t="shared" si="255"/>
        <v>0</v>
      </c>
      <c r="V171" s="55">
        <f t="shared" si="255"/>
        <v>0</v>
      </c>
      <c r="W171" s="55">
        <f t="shared" si="255"/>
        <v>0</v>
      </c>
      <c r="X171" s="55">
        <f t="shared" si="255"/>
        <v>0</v>
      </c>
      <c r="Y171" s="55">
        <f t="shared" si="255"/>
        <v>0</v>
      </c>
      <c r="Z171" s="55">
        <f t="shared" si="255"/>
        <v>0</v>
      </c>
      <c r="AA171" s="55">
        <f t="shared" si="255"/>
        <v>0</v>
      </c>
      <c r="AB171" s="55">
        <f t="shared" si="255"/>
        <v>0</v>
      </c>
      <c r="AC171" s="55">
        <f t="shared" si="255"/>
        <v>0</v>
      </c>
      <c r="AD171" s="55">
        <f t="shared" si="255"/>
        <v>0</v>
      </c>
      <c r="AE171" s="55">
        <f t="shared" si="255"/>
        <v>0</v>
      </c>
      <c r="AF171" s="55">
        <f t="shared" si="255"/>
        <v>0</v>
      </c>
      <c r="AG171" s="55">
        <f t="shared" si="255"/>
        <v>0</v>
      </c>
      <c r="AH171" s="55">
        <f t="shared" si="255"/>
        <v>0</v>
      </c>
      <c r="AI171" s="55">
        <f t="shared" si="255"/>
        <v>0</v>
      </c>
      <c r="AJ171" s="55">
        <f t="shared" si="255"/>
        <v>0</v>
      </c>
      <c r="AK171" s="55">
        <f t="shared" si="255"/>
        <v>0</v>
      </c>
      <c r="AL171" s="55">
        <f t="shared" ref="AL171:AU171" si="256">COUNTIF(AL165:AL170,"O")</f>
        <v>0</v>
      </c>
      <c r="AM171" s="55">
        <f t="shared" si="256"/>
        <v>0</v>
      </c>
      <c r="AN171" s="55">
        <f t="shared" si="256"/>
        <v>0</v>
      </c>
      <c r="AO171" s="55">
        <f t="shared" si="256"/>
        <v>0</v>
      </c>
      <c r="AP171" s="55">
        <f t="shared" si="256"/>
        <v>0</v>
      </c>
      <c r="AQ171" s="55">
        <f t="shared" si="256"/>
        <v>0</v>
      </c>
      <c r="AR171" s="55">
        <f t="shared" si="256"/>
        <v>0</v>
      </c>
      <c r="AS171" s="55">
        <f t="shared" si="256"/>
        <v>0</v>
      </c>
      <c r="AT171" s="55">
        <f t="shared" si="256"/>
        <v>0</v>
      </c>
      <c r="AU171" s="55">
        <f t="shared" si="256"/>
        <v>0</v>
      </c>
      <c r="AV171" s="171"/>
      <c r="AW171" s="171"/>
      <c r="AX171" s="171"/>
      <c r="BC171" s="22"/>
      <c r="BJ171" s="22"/>
      <c r="BK171"/>
      <c r="BL171"/>
      <c r="BM171" s="120"/>
      <c r="BN171" s="120"/>
    </row>
    <row r="172" spans="1:66">
      <c r="A172" s="127" t="s">
        <v>887</v>
      </c>
      <c r="B172" s="54" t="s">
        <v>560</v>
      </c>
      <c r="C172" s="54" t="str">
        <f ca="1">IF(C7=$BC$30,"O",IF(C7=$BD$30,"O",IF(C7=$BE$30,"O",IF(C7=$BF$30,"O",IF(C7=$BG$30,"O",IF(C7=$BH$30,"O",IF(C7=$BI$30,"O",IF(C7=$BJ$30,"O",IF(C7=$BK$30,"O",IF(C7=$BL$30,"O",IF(C7=$BM$30,"O",IF(C7=$BN$30,"O",IF(C7=$BO$30,"O",IF(C7=$BP$30,"O",IF(C7=$BQ$30,"O",IF(C7=$BR$30,"O",IF(C7=$BS$30,"O",IF(C7=$BT$30,"O",IF(C7=$BU$30,"O",IF(C7=$BV$30,"O",IF(C7=$BW$30,"O",IF(C7=$BX$30,"O",IF(C7=$BY$30,"O",IF(C7=$BZ$30,"O",IF(C7=$CA$30,"O",IF(C7=$CB$30,"O",IF(C7=$CC$30,"O",IF(C7=$CD$30,"O","X"))))))))))))))))))))))))))))</f>
        <v>X</v>
      </c>
      <c r="D172" s="54" t="str">
        <f t="shared" ref="D172:Q172" ca="1" si="257">IF(D7=$BC$30,"O",IF(D7=$BD$30,"O",IF(D7=$BE$30,"O",IF(D7=$BF$30,"O",IF(D7=$BG$30,"O",IF(D7=$BH$30,"O",IF(D7=$BI$30,"O",IF(D7=$BJ$30,"O",IF(D7=$BK$30,"O",IF(D7=$BL$30,"O",IF(D7=$BM$30,"O",IF(D7=$BN$30,"O",IF(D7=$BO$30,"O",IF(D7=$BP$30,"O",IF(D7=$BQ$30,"O",IF(D7=$BR$30,"O",IF(D7=$BS$30,"O",IF(D7=$BT$30,"O",IF(D7=$BU$30,"O",IF(D7=$BV$30,"O",IF(D7=$BW$30,"O",IF(D7=$BX$30,"O",IF(D7=$BY$30,"O",IF(D7=$BZ$30,"O",IF(D7=$CA$30,"O",IF(D7=$CB$30,"O",IF(D7=$CC$30,"O",IF(D7=$CD$30,"O","X"))))))))))))))))))))))))))))</f>
        <v>O</v>
      </c>
      <c r="E172" s="54" t="str">
        <f t="shared" ca="1" si="257"/>
        <v>X</v>
      </c>
      <c r="F172" s="54" t="str">
        <f t="shared" ca="1" si="257"/>
        <v>O</v>
      </c>
      <c r="G172" s="54" t="str">
        <f t="shared" ca="1" si="257"/>
        <v>O</v>
      </c>
      <c r="H172" s="54" t="str">
        <f t="shared" ca="1" si="257"/>
        <v>X</v>
      </c>
      <c r="I172" s="54" t="str">
        <f t="shared" ca="1" si="257"/>
        <v>X</v>
      </c>
      <c r="J172" s="54" t="str">
        <f t="shared" ca="1" si="257"/>
        <v>O</v>
      </c>
      <c r="K172" s="54" t="str">
        <f t="shared" ca="1" si="257"/>
        <v>X</v>
      </c>
      <c r="L172" s="54" t="str">
        <f t="shared" ca="1" si="257"/>
        <v>O</v>
      </c>
      <c r="M172" s="54" t="str">
        <f t="shared" ca="1" si="257"/>
        <v>X</v>
      </c>
      <c r="N172" s="54" t="str">
        <f t="shared" ca="1" si="257"/>
        <v>O</v>
      </c>
      <c r="O172" s="54" t="str">
        <f t="shared" ca="1" si="257"/>
        <v>O</v>
      </c>
      <c r="P172" s="54" t="str">
        <f t="shared" ca="1" si="257"/>
        <v>X</v>
      </c>
      <c r="Q172" s="54" t="str">
        <f t="shared" ca="1" si="257"/>
        <v>X</v>
      </c>
      <c r="R172" s="54" t="str">
        <f t="shared" ref="R172:AU172" si="258">IF(R7=$BC$30,"O",IF(R7=$BD$30,"O",IF(R7=$BE$30,"O",IF(R7=$BF$30,"O",IF(R7=$BG$30,"O",IF(R7=$BH$30,"O",IF(R7=$BI$30,"O",IF(R7=$BJ$30,"O",IF(R7=$BK$30,"O",IF(R7=$BL$30,"O",IF(R7=$BM$30,"O",IF(R7=$BN$30,"O",IF(R7=$BO$30,"O",IF(R7=$BP$30,"O",IF(R7=$BQ$30,"O",IF(R7=$BR$30,"O",IF(R7=$BS$30,"O",IF(R7=$BT$30,"O",IF(R7=$BU$30,"O",IF(R7=$BV$30,"O",IF(R7=$BW$30,"O",IF(R7=$BX$30,"O",IF(R7=$BY$30,"O",IF(R7=$BZ$30,"O",IF(R7=$CA$30,"O",IF(R7=$CB$30,"O","X"))))))))))))))))))))))))))</f>
        <v>X</v>
      </c>
      <c r="S172" s="54" t="str">
        <f t="shared" si="258"/>
        <v>X</v>
      </c>
      <c r="T172" s="54" t="str">
        <f t="shared" si="258"/>
        <v>X</v>
      </c>
      <c r="U172" s="54" t="str">
        <f t="shared" si="258"/>
        <v>X</v>
      </c>
      <c r="V172" s="54" t="str">
        <f t="shared" si="258"/>
        <v>X</v>
      </c>
      <c r="W172" s="54" t="str">
        <f t="shared" si="258"/>
        <v>X</v>
      </c>
      <c r="X172" s="54" t="str">
        <f t="shared" si="258"/>
        <v>X</v>
      </c>
      <c r="Y172" s="54" t="str">
        <f t="shared" si="258"/>
        <v>X</v>
      </c>
      <c r="Z172" s="54" t="str">
        <f t="shared" si="258"/>
        <v>X</v>
      </c>
      <c r="AA172" s="54" t="str">
        <f t="shared" si="258"/>
        <v>X</v>
      </c>
      <c r="AB172" s="54" t="str">
        <f t="shared" si="258"/>
        <v>X</v>
      </c>
      <c r="AC172" s="54" t="str">
        <f t="shared" si="258"/>
        <v>X</v>
      </c>
      <c r="AD172" s="54" t="str">
        <f t="shared" si="258"/>
        <v>X</v>
      </c>
      <c r="AE172" s="54" t="str">
        <f t="shared" si="258"/>
        <v>X</v>
      </c>
      <c r="AF172" s="54" t="str">
        <f t="shared" si="258"/>
        <v>X</v>
      </c>
      <c r="AG172" s="54" t="str">
        <f t="shared" si="258"/>
        <v>X</v>
      </c>
      <c r="AH172" s="54" t="str">
        <f t="shared" si="258"/>
        <v>X</v>
      </c>
      <c r="AI172" s="54" t="str">
        <f t="shared" si="258"/>
        <v>X</v>
      </c>
      <c r="AJ172" s="54" t="str">
        <f t="shared" si="258"/>
        <v>X</v>
      </c>
      <c r="AK172" s="54" t="str">
        <f t="shared" si="258"/>
        <v>X</v>
      </c>
      <c r="AL172" s="54" t="str">
        <f t="shared" si="258"/>
        <v>X</v>
      </c>
      <c r="AM172" s="54" t="str">
        <f t="shared" si="258"/>
        <v>X</v>
      </c>
      <c r="AN172" s="54" t="str">
        <f t="shared" si="258"/>
        <v>X</v>
      </c>
      <c r="AO172" s="54" t="str">
        <f t="shared" si="258"/>
        <v>X</v>
      </c>
      <c r="AP172" s="54" t="str">
        <f t="shared" si="258"/>
        <v>X</v>
      </c>
      <c r="AQ172" s="54" t="str">
        <f t="shared" si="258"/>
        <v>X</v>
      </c>
      <c r="AR172" s="54" t="str">
        <f t="shared" si="258"/>
        <v>X</v>
      </c>
      <c r="AS172" s="54" t="str">
        <f t="shared" si="258"/>
        <v>X</v>
      </c>
      <c r="AT172" s="54" t="str">
        <f t="shared" si="258"/>
        <v>X</v>
      </c>
      <c r="AU172" s="54" t="str">
        <f t="shared" si="258"/>
        <v>X</v>
      </c>
      <c r="AV172" s="53"/>
      <c r="AW172" s="53"/>
      <c r="AX172" s="53"/>
      <c r="BC172"/>
      <c r="BD172"/>
      <c r="BE172"/>
      <c r="BF172" s="132"/>
      <c r="BG172" s="132"/>
      <c r="BH172" s="132"/>
      <c r="BI172" s="132"/>
      <c r="BJ172" s="120"/>
    </row>
    <row r="173" spans="1:66">
      <c r="A173" s="128"/>
      <c r="B173" s="54" t="s">
        <v>566</v>
      </c>
      <c r="C173" s="54" t="str">
        <f t="shared" ref="C173:Q173" ca="1" si="259">IF(C8=$BC$30,"O",IF(C8=$BD$30,"O",IF(C8=$BE$30,"O",IF(C8=$BF$30,"O",IF(C8=$BG$30,"O",IF(C8=$BH$30,"O",IF(C8=$BI$30,"O",IF(C8=$BJ$30,"O",IF(C8=$BK$30,"O",IF(C8=$BL$30,"O",IF(C8=$BM$30,"O",IF(C8=$BN$30,"O",IF(C8=$BO$30,"O",IF(C8=$BP$30,"O",IF(C8=$BQ$30,"O",IF(C8=$BR$30,"O",IF(C8=$BS$30,"O",IF(C8=$BT$30,"O",IF(C8=$BU$30,"O",IF(C8=$BV$30,"O",IF(C8=$BW$30,"O",IF(C8=$BX$30,"O",IF(C8=$BY$30,"O",IF(C8=$BZ$30,"O",IF(C8=$CA$30,"O",IF(C8=$CB$30,"O",IF(C8=$CC$30,"O",IF(C8=$CD$30,"O","X"))))))))))))))))))))))))))))</f>
        <v>X</v>
      </c>
      <c r="D173" s="54" t="str">
        <f t="shared" ca="1" si="259"/>
        <v>O</v>
      </c>
      <c r="E173" s="54" t="str">
        <f t="shared" ca="1" si="259"/>
        <v>O</v>
      </c>
      <c r="F173" s="54" t="str">
        <f t="shared" ca="1" si="259"/>
        <v>X</v>
      </c>
      <c r="G173" s="54" t="str">
        <f t="shared" ca="1" si="259"/>
        <v>X</v>
      </c>
      <c r="H173" s="54" t="str">
        <f t="shared" ca="1" si="259"/>
        <v>O</v>
      </c>
      <c r="I173" s="54" t="str">
        <f t="shared" ca="1" si="259"/>
        <v>X</v>
      </c>
      <c r="J173" s="54" t="str">
        <f t="shared" ca="1" si="259"/>
        <v>X</v>
      </c>
      <c r="K173" s="54" t="str">
        <f t="shared" ca="1" si="259"/>
        <v>O</v>
      </c>
      <c r="L173" s="54" t="str">
        <f t="shared" ca="1" si="259"/>
        <v>O</v>
      </c>
      <c r="M173" s="54" t="str">
        <f t="shared" ca="1" si="259"/>
        <v>O</v>
      </c>
      <c r="N173" s="54" t="str">
        <f t="shared" ca="1" si="259"/>
        <v>X</v>
      </c>
      <c r="O173" s="54" t="str">
        <f t="shared" ca="1" si="259"/>
        <v>O</v>
      </c>
      <c r="P173" s="54" t="str">
        <f t="shared" ca="1" si="259"/>
        <v>O</v>
      </c>
      <c r="Q173" s="54" t="str">
        <f t="shared" ca="1" si="259"/>
        <v>X</v>
      </c>
      <c r="R173" s="54" t="str">
        <f t="shared" ref="R173:AU173" si="260">IF(R8=$BC$30,"O",IF(R8=$BD$30,"O",IF(R8=$BE$30,"O",IF(R8=$BF$30,"O",IF(R8=$BG$30,"O",IF(R8=$BH$30,"O",IF(R8=$BI$30,"O",IF(R8=$BJ$30,"O",IF(R8=$BK$30,"O",IF(R8=$BL$30,"O",IF(R8=$BM$30,"O",IF(R8=$BN$30,"O",IF(R8=$BO$30,"O",IF(R8=$BP$30,"O",IF(R8=$BQ$30,"O",IF(R8=$BR$30,"O",IF(R8=$BS$30,"O",IF(R8=$BT$30,"O",IF(R8=$BU$30,"O",IF(R8=$BV$30,"O",IF(R8=$BW$30,"O",IF(R8=$BX$30,"O",IF(R8=$BY$30,"O",IF(R8=$BZ$30,"O",IF(R8=$CA$30,"O",IF(R8=$CB$30,"O","X"))))))))))))))))))))))))))</f>
        <v>X</v>
      </c>
      <c r="S173" s="54" t="str">
        <f t="shared" si="260"/>
        <v>X</v>
      </c>
      <c r="T173" s="54" t="str">
        <f t="shared" si="260"/>
        <v>X</v>
      </c>
      <c r="U173" s="54" t="str">
        <f t="shared" si="260"/>
        <v>X</v>
      </c>
      <c r="V173" s="54" t="str">
        <f t="shared" si="260"/>
        <v>X</v>
      </c>
      <c r="W173" s="54" t="str">
        <f t="shared" si="260"/>
        <v>X</v>
      </c>
      <c r="X173" s="54" t="str">
        <f t="shared" si="260"/>
        <v>X</v>
      </c>
      <c r="Y173" s="54" t="str">
        <f t="shared" si="260"/>
        <v>X</v>
      </c>
      <c r="Z173" s="54" t="str">
        <f t="shared" si="260"/>
        <v>X</v>
      </c>
      <c r="AA173" s="54" t="str">
        <f t="shared" si="260"/>
        <v>X</v>
      </c>
      <c r="AB173" s="54" t="str">
        <f t="shared" si="260"/>
        <v>X</v>
      </c>
      <c r="AC173" s="54" t="str">
        <f t="shared" si="260"/>
        <v>X</v>
      </c>
      <c r="AD173" s="54" t="str">
        <f t="shared" si="260"/>
        <v>X</v>
      </c>
      <c r="AE173" s="54" t="str">
        <f t="shared" si="260"/>
        <v>X</v>
      </c>
      <c r="AF173" s="54" t="str">
        <f t="shared" si="260"/>
        <v>X</v>
      </c>
      <c r="AG173" s="54" t="str">
        <f t="shared" si="260"/>
        <v>X</v>
      </c>
      <c r="AH173" s="54" t="str">
        <f t="shared" si="260"/>
        <v>X</v>
      </c>
      <c r="AI173" s="54" t="str">
        <f t="shared" si="260"/>
        <v>X</v>
      </c>
      <c r="AJ173" s="54" t="str">
        <f t="shared" si="260"/>
        <v>X</v>
      </c>
      <c r="AK173" s="54" t="str">
        <f t="shared" si="260"/>
        <v>X</v>
      </c>
      <c r="AL173" s="54" t="str">
        <f t="shared" si="260"/>
        <v>X</v>
      </c>
      <c r="AM173" s="54" t="str">
        <f t="shared" si="260"/>
        <v>X</v>
      </c>
      <c r="AN173" s="54" t="str">
        <f t="shared" si="260"/>
        <v>X</v>
      </c>
      <c r="AO173" s="54" t="str">
        <f t="shared" si="260"/>
        <v>X</v>
      </c>
      <c r="AP173" s="54" t="str">
        <f t="shared" si="260"/>
        <v>X</v>
      </c>
      <c r="AQ173" s="54" t="str">
        <f t="shared" si="260"/>
        <v>X</v>
      </c>
      <c r="AR173" s="54" t="str">
        <f t="shared" si="260"/>
        <v>X</v>
      </c>
      <c r="AS173" s="54" t="str">
        <f t="shared" si="260"/>
        <v>X</v>
      </c>
      <c r="AT173" s="54" t="str">
        <f t="shared" si="260"/>
        <v>X</v>
      </c>
      <c r="AU173" s="54" t="str">
        <f t="shared" si="260"/>
        <v>X</v>
      </c>
      <c r="AV173" s="53"/>
      <c r="AW173" s="53"/>
      <c r="AX173" s="53"/>
      <c r="BC173" s="160"/>
      <c r="BD173" s="160"/>
      <c r="BE173" s="160"/>
      <c r="BF173" s="160"/>
      <c r="BG173" s="160"/>
      <c r="BH173" s="160"/>
      <c r="BI173" s="178"/>
      <c r="BJ173" s="160"/>
    </row>
    <row r="174" spans="1:66">
      <c r="A174" s="128"/>
      <c r="B174" s="54" t="s">
        <v>567</v>
      </c>
      <c r="C174" s="54" t="str">
        <f t="shared" ref="C174:Q174" ca="1" si="261">IF(C9=$BC$30,"O",IF(C9=$BD$30,"O",IF(C9=$BE$30,"O",IF(C9=$BF$30,"O",IF(C9=$BG$30,"O",IF(C9=$BH$30,"O",IF(C9=$BI$30,"O",IF(C9=$BJ$30,"O",IF(C9=$BK$30,"O",IF(C9=$BL$30,"O",IF(C9=$BM$30,"O",IF(C9=$BN$30,"O",IF(C9=$BO$30,"O",IF(C9=$BP$30,"O",IF(C9=$BQ$30,"O",IF(C9=$BR$30,"O",IF(C9=$BS$30,"O",IF(C9=$BT$30,"O",IF(C9=$BU$30,"O",IF(C9=$BV$30,"O",IF(C9=$BW$30,"O",IF(C9=$BX$30,"O",IF(C9=$BY$30,"O",IF(C9=$BZ$30,"O",IF(C9=$CA$30,"O",IF(C9=$CB$30,"O",IF(C9=$CC$30,"O",IF(C9=$CD$30,"O","X"))))))))))))))))))))))))))))</f>
        <v>O</v>
      </c>
      <c r="D174" s="54" t="str">
        <f t="shared" ca="1" si="261"/>
        <v>O</v>
      </c>
      <c r="E174" s="54" t="str">
        <f t="shared" ca="1" si="261"/>
        <v>O</v>
      </c>
      <c r="F174" s="54" t="str">
        <f t="shared" ca="1" si="261"/>
        <v>X</v>
      </c>
      <c r="G174" s="54" t="str">
        <f t="shared" ca="1" si="261"/>
        <v>O</v>
      </c>
      <c r="H174" s="54" t="str">
        <f t="shared" ca="1" si="261"/>
        <v>X</v>
      </c>
      <c r="I174" s="54" t="str">
        <f t="shared" ca="1" si="261"/>
        <v>X</v>
      </c>
      <c r="J174" s="54" t="str">
        <f t="shared" ca="1" si="261"/>
        <v>X</v>
      </c>
      <c r="K174" s="54" t="str">
        <f t="shared" ca="1" si="261"/>
        <v>X</v>
      </c>
      <c r="L174" s="54" t="str">
        <f t="shared" ca="1" si="261"/>
        <v>O</v>
      </c>
      <c r="M174" s="54" t="str">
        <f t="shared" ca="1" si="261"/>
        <v>X</v>
      </c>
      <c r="N174" s="54" t="str">
        <f t="shared" ca="1" si="261"/>
        <v>X</v>
      </c>
      <c r="O174" s="54" t="str">
        <f t="shared" ca="1" si="261"/>
        <v>O</v>
      </c>
      <c r="P174" s="54" t="str">
        <f t="shared" ca="1" si="261"/>
        <v>X</v>
      </c>
      <c r="Q174" s="54" t="str">
        <f t="shared" ca="1" si="261"/>
        <v>X</v>
      </c>
      <c r="R174" s="54" t="str">
        <f t="shared" ref="R174:AU174" si="262">IF(R9=$BC$30,"O",IF(R9=$BD$30,"O",IF(R9=$BE$30,"O",IF(R9=$BF$30,"O",IF(R9=$BG$30,"O",IF(R9=$BH$30,"O",IF(R9=$BI$30,"O",IF(R9=$BJ$30,"O",IF(R9=$BK$30,"O",IF(R9=$BL$30,"O",IF(R9=$BM$30,"O",IF(R9=$BN$30,"O",IF(R9=$BO$30,"O",IF(R9=$BP$30,"O",IF(R9=$BQ$30,"O",IF(R9=$BR$30,"O",IF(R9=$BS$30,"O",IF(R9=$BT$30,"O",IF(R9=$BU$30,"O",IF(R9=$BV$30,"O",IF(R9=$BW$30,"O",IF(R9=$BX$30,"O",IF(R9=$BY$30,"O",IF(R9=$BZ$30,"O",IF(R9=$CA$30,"O",IF(R9=$CB$30,"O","X"))))))))))))))))))))))))))</f>
        <v>X</v>
      </c>
      <c r="S174" s="54" t="str">
        <f t="shared" si="262"/>
        <v>X</v>
      </c>
      <c r="T174" s="54" t="str">
        <f t="shared" si="262"/>
        <v>X</v>
      </c>
      <c r="U174" s="54" t="str">
        <f t="shared" si="262"/>
        <v>X</v>
      </c>
      <c r="V174" s="54" t="str">
        <f t="shared" si="262"/>
        <v>X</v>
      </c>
      <c r="W174" s="54" t="str">
        <f t="shared" si="262"/>
        <v>X</v>
      </c>
      <c r="X174" s="54" t="str">
        <f t="shared" si="262"/>
        <v>X</v>
      </c>
      <c r="Y174" s="54" t="str">
        <f t="shared" si="262"/>
        <v>X</v>
      </c>
      <c r="Z174" s="54" t="str">
        <f t="shared" si="262"/>
        <v>X</v>
      </c>
      <c r="AA174" s="54" t="str">
        <f t="shared" si="262"/>
        <v>X</v>
      </c>
      <c r="AB174" s="54" t="str">
        <f t="shared" si="262"/>
        <v>X</v>
      </c>
      <c r="AC174" s="54" t="str">
        <f t="shared" si="262"/>
        <v>X</v>
      </c>
      <c r="AD174" s="54" t="str">
        <f t="shared" si="262"/>
        <v>X</v>
      </c>
      <c r="AE174" s="54" t="str">
        <f t="shared" si="262"/>
        <v>X</v>
      </c>
      <c r="AF174" s="54" t="str">
        <f t="shared" si="262"/>
        <v>X</v>
      </c>
      <c r="AG174" s="54" t="str">
        <f t="shared" si="262"/>
        <v>X</v>
      </c>
      <c r="AH174" s="54" t="str">
        <f t="shared" si="262"/>
        <v>X</v>
      </c>
      <c r="AI174" s="54" t="str">
        <f t="shared" si="262"/>
        <v>X</v>
      </c>
      <c r="AJ174" s="54" t="str">
        <f t="shared" si="262"/>
        <v>X</v>
      </c>
      <c r="AK174" s="54" t="str">
        <f t="shared" si="262"/>
        <v>X</v>
      </c>
      <c r="AL174" s="54" t="str">
        <f t="shared" si="262"/>
        <v>X</v>
      </c>
      <c r="AM174" s="54" t="str">
        <f t="shared" si="262"/>
        <v>X</v>
      </c>
      <c r="AN174" s="54" t="str">
        <f t="shared" si="262"/>
        <v>X</v>
      </c>
      <c r="AO174" s="54" t="str">
        <f t="shared" si="262"/>
        <v>X</v>
      </c>
      <c r="AP174" s="54" t="str">
        <f t="shared" si="262"/>
        <v>X</v>
      </c>
      <c r="AQ174" s="54" t="str">
        <f t="shared" si="262"/>
        <v>X</v>
      </c>
      <c r="AR174" s="54" t="str">
        <f t="shared" si="262"/>
        <v>X</v>
      </c>
      <c r="AS174" s="54" t="str">
        <f t="shared" si="262"/>
        <v>X</v>
      </c>
      <c r="AT174" s="54" t="str">
        <f t="shared" si="262"/>
        <v>X</v>
      </c>
      <c r="AU174" s="54" t="str">
        <f t="shared" si="262"/>
        <v>X</v>
      </c>
      <c r="AV174" s="53"/>
      <c r="AW174" s="53"/>
      <c r="AX174" s="53"/>
      <c r="BC174"/>
      <c r="BD174"/>
      <c r="BE174"/>
      <c r="BF174"/>
      <c r="BG174"/>
      <c r="BH174"/>
      <c r="BI174" s="132"/>
      <c r="BJ174" s="120"/>
    </row>
    <row r="175" spans="1:66">
      <c r="A175" s="128"/>
      <c r="B175" s="54" t="s">
        <v>568</v>
      </c>
      <c r="C175" s="54" t="str">
        <f t="shared" ref="C175:Q175" ca="1" si="263">IF(C10=$BC$30,"O",IF(C10=$BD$30,"O",IF(C10=$BE$30,"O",IF(C10=$BF$30,"O",IF(C10=$BG$30,"O",IF(C10=$BH$30,"O",IF(C10=$BI$30,"O",IF(C10=$BJ$30,"O",IF(C10=$BK$30,"O",IF(C10=$BL$30,"O",IF(C10=$BM$30,"O",IF(C10=$BN$30,"O",IF(C10=$BO$30,"O",IF(C10=$BP$30,"O",IF(C10=$BQ$30,"O",IF(C10=$BR$30,"O",IF(C10=$BS$30,"O",IF(C10=$BT$30,"O",IF(C10=$BU$30,"O",IF(C10=$BV$30,"O",IF(C10=$BW$30,"O",IF(C10=$BX$30,"O",IF(C10=$BY$30,"O",IF(C10=$BZ$30,"O",IF(C10=$CA$30,"O",IF(C10=$CB$30,"O",IF(C10=$CC$30,"O",IF(C10=$CD$30,"O","X"))))))))))))))))))))))))))))</f>
        <v>X</v>
      </c>
      <c r="D175" s="54" t="str">
        <f t="shared" ca="1" si="263"/>
        <v>O</v>
      </c>
      <c r="E175" s="54" t="str">
        <f t="shared" ca="1" si="263"/>
        <v>O</v>
      </c>
      <c r="F175" s="54" t="str">
        <f t="shared" ca="1" si="263"/>
        <v>X</v>
      </c>
      <c r="G175" s="54" t="str">
        <f t="shared" ca="1" si="263"/>
        <v>O</v>
      </c>
      <c r="H175" s="54" t="str">
        <f t="shared" ca="1" si="263"/>
        <v>X</v>
      </c>
      <c r="I175" s="54" t="str">
        <f t="shared" ca="1" si="263"/>
        <v>X</v>
      </c>
      <c r="J175" s="54" t="str">
        <f t="shared" ca="1" si="263"/>
        <v>X</v>
      </c>
      <c r="K175" s="54" t="str">
        <f t="shared" ca="1" si="263"/>
        <v>O</v>
      </c>
      <c r="L175" s="54" t="str">
        <f t="shared" ca="1" si="263"/>
        <v>X</v>
      </c>
      <c r="M175" s="54" t="str">
        <f t="shared" ca="1" si="263"/>
        <v>O</v>
      </c>
      <c r="N175" s="54" t="str">
        <f t="shared" ca="1" si="263"/>
        <v>X</v>
      </c>
      <c r="O175" s="54" t="str">
        <f t="shared" ca="1" si="263"/>
        <v>O</v>
      </c>
      <c r="P175" s="54" t="str">
        <f t="shared" ca="1" si="263"/>
        <v>X</v>
      </c>
      <c r="Q175" s="54" t="str">
        <f t="shared" ca="1" si="263"/>
        <v>X</v>
      </c>
      <c r="R175" s="54" t="str">
        <f t="shared" ref="R175:AU175" si="264">IF(R10=$BC$30,"O",IF(R10=$BD$30,"O",IF(R10=$BE$30,"O",IF(R10=$BF$30,"O",IF(R10=$BG$30,"O",IF(R10=$BH$30,"O",IF(R10=$BI$30,"O",IF(R10=$BJ$30,"O",IF(R10=$BK$30,"O",IF(R10=$BL$30,"O",IF(R10=$BM$30,"O",IF(R10=$BN$30,"O",IF(R10=$BO$30,"O",IF(R10=$BP$30,"O",IF(R10=$BQ$30,"O",IF(R10=$BR$30,"O",IF(R10=$BS$30,"O",IF(R10=$BT$30,"O",IF(R10=$BU$30,"O",IF(R10=$BV$30,"O",IF(R10=$BW$30,"O",IF(R10=$BX$30,"O",IF(R10=$BY$30,"O",IF(R10=$BZ$30,"O",IF(R10=$CA$30,"O",IF(R10=$CB$30,"O","X"))))))))))))))))))))))))))</f>
        <v>X</v>
      </c>
      <c r="S175" s="54" t="str">
        <f t="shared" si="264"/>
        <v>X</v>
      </c>
      <c r="T175" s="54" t="str">
        <f t="shared" si="264"/>
        <v>X</v>
      </c>
      <c r="U175" s="54" t="str">
        <f t="shared" si="264"/>
        <v>X</v>
      </c>
      <c r="V175" s="54" t="str">
        <f t="shared" si="264"/>
        <v>X</v>
      </c>
      <c r="W175" s="54" t="str">
        <f t="shared" si="264"/>
        <v>X</v>
      </c>
      <c r="X175" s="54" t="str">
        <f t="shared" si="264"/>
        <v>X</v>
      </c>
      <c r="Y175" s="54" t="str">
        <f t="shared" si="264"/>
        <v>X</v>
      </c>
      <c r="Z175" s="54" t="str">
        <f t="shared" si="264"/>
        <v>X</v>
      </c>
      <c r="AA175" s="54" t="str">
        <f t="shared" si="264"/>
        <v>X</v>
      </c>
      <c r="AB175" s="54" t="str">
        <f t="shared" si="264"/>
        <v>X</v>
      </c>
      <c r="AC175" s="54" t="str">
        <f t="shared" si="264"/>
        <v>X</v>
      </c>
      <c r="AD175" s="54" t="str">
        <f t="shared" si="264"/>
        <v>X</v>
      </c>
      <c r="AE175" s="54" t="str">
        <f t="shared" si="264"/>
        <v>X</v>
      </c>
      <c r="AF175" s="54" t="str">
        <f t="shared" si="264"/>
        <v>X</v>
      </c>
      <c r="AG175" s="54" t="str">
        <f t="shared" si="264"/>
        <v>X</v>
      </c>
      <c r="AH175" s="54" t="str">
        <f t="shared" si="264"/>
        <v>X</v>
      </c>
      <c r="AI175" s="54" t="str">
        <f t="shared" si="264"/>
        <v>X</v>
      </c>
      <c r="AJ175" s="54" t="str">
        <f t="shared" si="264"/>
        <v>X</v>
      </c>
      <c r="AK175" s="54" t="str">
        <f t="shared" si="264"/>
        <v>X</v>
      </c>
      <c r="AL175" s="54" t="str">
        <f t="shared" si="264"/>
        <v>X</v>
      </c>
      <c r="AM175" s="54" t="str">
        <f t="shared" si="264"/>
        <v>X</v>
      </c>
      <c r="AN175" s="54" t="str">
        <f t="shared" si="264"/>
        <v>X</v>
      </c>
      <c r="AO175" s="54" t="str">
        <f t="shared" si="264"/>
        <v>X</v>
      </c>
      <c r="AP175" s="54" t="str">
        <f t="shared" si="264"/>
        <v>X</v>
      </c>
      <c r="AQ175" s="54" t="str">
        <f t="shared" si="264"/>
        <v>X</v>
      </c>
      <c r="AR175" s="54" t="str">
        <f t="shared" si="264"/>
        <v>X</v>
      </c>
      <c r="AS175" s="54" t="str">
        <f t="shared" si="264"/>
        <v>X</v>
      </c>
      <c r="AT175" s="54" t="str">
        <f t="shared" si="264"/>
        <v>X</v>
      </c>
      <c r="AU175" s="54" t="str">
        <f t="shared" si="264"/>
        <v>X</v>
      </c>
      <c r="AV175" s="53"/>
      <c r="AW175" s="53"/>
      <c r="AX175" s="53"/>
      <c r="BC175" s="22"/>
      <c r="BH175" s="70"/>
      <c r="BI175" s="47"/>
      <c r="BJ175" s="22"/>
    </row>
    <row r="176" spans="1:66">
      <c r="A176" s="128"/>
      <c r="B176" s="54" t="s">
        <v>569</v>
      </c>
      <c r="C176" s="54" t="str">
        <f t="shared" ref="C176:Q176" ca="1" si="265">IF(C11=$BC$30,"O",IF(C11=$BD$30,"O",IF(C11=$BE$30,"O",IF(C11=$BF$30,"O",IF(C11=$BG$30,"O",IF(C11=$BH$30,"O",IF(C11=$BI$30,"O",IF(C11=$BJ$30,"O",IF(C11=$BK$30,"O",IF(C11=$BL$30,"O",IF(C11=$BM$30,"O",IF(C11=$BN$30,"O",IF(C11=$BO$30,"O",IF(C11=$BP$30,"O",IF(C11=$BQ$30,"O",IF(C11=$BR$30,"O",IF(C11=$BS$30,"O",IF(C11=$BT$30,"O",IF(C11=$BU$30,"O",IF(C11=$BV$30,"O",IF(C11=$BW$30,"O",IF(C11=$BX$30,"O",IF(C11=$BY$30,"O",IF(C11=$BZ$30,"O",IF(C11=$CA$30,"O",IF(C11=$CB$30,"O",IF(C11=$CC$30,"O",IF(C11=$CD$30,"O","X"))))))))))))))))))))))))))))</f>
        <v>X</v>
      </c>
      <c r="D176" s="54" t="str">
        <f t="shared" ca="1" si="265"/>
        <v>O</v>
      </c>
      <c r="E176" s="54" t="str">
        <f t="shared" ca="1" si="265"/>
        <v>X</v>
      </c>
      <c r="F176" s="54" t="str">
        <f t="shared" ca="1" si="265"/>
        <v>O</v>
      </c>
      <c r="G176" s="54" t="str">
        <f t="shared" ca="1" si="265"/>
        <v>O</v>
      </c>
      <c r="H176" s="54" t="str">
        <f t="shared" ca="1" si="265"/>
        <v>X</v>
      </c>
      <c r="I176" s="54" t="str">
        <f t="shared" ca="1" si="265"/>
        <v>X</v>
      </c>
      <c r="J176" s="54" t="str">
        <f t="shared" ca="1" si="265"/>
        <v>X</v>
      </c>
      <c r="K176" s="54" t="str">
        <f t="shared" ca="1" si="265"/>
        <v>X</v>
      </c>
      <c r="L176" s="54" t="str">
        <f t="shared" ca="1" si="265"/>
        <v>X</v>
      </c>
      <c r="M176" s="54" t="str">
        <f t="shared" ca="1" si="265"/>
        <v>O</v>
      </c>
      <c r="N176" s="54" t="str">
        <f t="shared" ca="1" si="265"/>
        <v>X</v>
      </c>
      <c r="O176" s="54" t="str">
        <f t="shared" ca="1" si="265"/>
        <v>O</v>
      </c>
      <c r="P176" s="54" t="str">
        <f t="shared" ca="1" si="265"/>
        <v>X</v>
      </c>
      <c r="Q176" s="54" t="str">
        <f t="shared" ca="1" si="265"/>
        <v>X</v>
      </c>
      <c r="R176" s="54" t="str">
        <f t="shared" ref="R176:AU176" si="266">IF(R11=$BC$30,"O",IF(R11=$BD$30,"O",IF(R11=$BE$30,"O",IF(R11=$BF$30,"O",IF(R11=$BG$30,"O",IF(R11=$BH$30,"O",IF(R11=$BI$30,"O",IF(R11=$BJ$30,"O",IF(R11=$BK$30,"O",IF(R11=$BL$30,"O",IF(R11=$BM$30,"O",IF(R11=$BN$30,"O",IF(R11=$BO$30,"O",IF(R11=$BP$30,"O",IF(R11=$BQ$30,"O",IF(R11=$BR$30,"O",IF(R11=$BS$30,"O",IF(R11=$BT$30,"O",IF(R11=$BU$30,"O",IF(R11=$BV$30,"O",IF(R11=$BW$30,"O",IF(R11=$BX$30,"O",IF(R11=$BY$30,"O",IF(R11=$BZ$30,"O",IF(R11=$CA$30,"O",IF(R11=$CB$30,"O","X"))))))))))))))))))))))))))</f>
        <v>X</v>
      </c>
      <c r="S176" s="54" t="str">
        <f t="shared" si="266"/>
        <v>X</v>
      </c>
      <c r="T176" s="54" t="str">
        <f t="shared" si="266"/>
        <v>X</v>
      </c>
      <c r="U176" s="54" t="str">
        <f t="shared" si="266"/>
        <v>X</v>
      </c>
      <c r="V176" s="54" t="str">
        <f t="shared" si="266"/>
        <v>X</v>
      </c>
      <c r="W176" s="54" t="str">
        <f t="shared" si="266"/>
        <v>X</v>
      </c>
      <c r="X176" s="54" t="str">
        <f t="shared" si="266"/>
        <v>X</v>
      </c>
      <c r="Y176" s="54" t="str">
        <f t="shared" si="266"/>
        <v>X</v>
      </c>
      <c r="Z176" s="54" t="str">
        <f t="shared" si="266"/>
        <v>X</v>
      </c>
      <c r="AA176" s="54" t="str">
        <f t="shared" si="266"/>
        <v>X</v>
      </c>
      <c r="AB176" s="54" t="str">
        <f t="shared" si="266"/>
        <v>X</v>
      </c>
      <c r="AC176" s="54" t="str">
        <f t="shared" si="266"/>
        <v>X</v>
      </c>
      <c r="AD176" s="54" t="str">
        <f t="shared" si="266"/>
        <v>X</v>
      </c>
      <c r="AE176" s="54" t="str">
        <f t="shared" si="266"/>
        <v>X</v>
      </c>
      <c r="AF176" s="54" t="str">
        <f t="shared" si="266"/>
        <v>X</v>
      </c>
      <c r="AG176" s="54" t="str">
        <f t="shared" si="266"/>
        <v>X</v>
      </c>
      <c r="AH176" s="54" t="str">
        <f t="shared" si="266"/>
        <v>X</v>
      </c>
      <c r="AI176" s="54" t="str">
        <f t="shared" si="266"/>
        <v>X</v>
      </c>
      <c r="AJ176" s="54" t="str">
        <f t="shared" si="266"/>
        <v>X</v>
      </c>
      <c r="AK176" s="54" t="str">
        <f t="shared" si="266"/>
        <v>X</v>
      </c>
      <c r="AL176" s="54" t="str">
        <f t="shared" si="266"/>
        <v>X</v>
      </c>
      <c r="AM176" s="54" t="str">
        <f t="shared" si="266"/>
        <v>X</v>
      </c>
      <c r="AN176" s="54" t="str">
        <f t="shared" si="266"/>
        <v>X</v>
      </c>
      <c r="AO176" s="54" t="str">
        <f t="shared" si="266"/>
        <v>X</v>
      </c>
      <c r="AP176" s="54" t="str">
        <f t="shared" si="266"/>
        <v>X</v>
      </c>
      <c r="AQ176" s="54" t="str">
        <f t="shared" si="266"/>
        <v>X</v>
      </c>
      <c r="AR176" s="54" t="str">
        <f t="shared" si="266"/>
        <v>X</v>
      </c>
      <c r="AS176" s="54" t="str">
        <f t="shared" si="266"/>
        <v>X</v>
      </c>
      <c r="AT176" s="54" t="str">
        <f t="shared" si="266"/>
        <v>X</v>
      </c>
      <c r="AU176" s="54" t="str">
        <f t="shared" si="266"/>
        <v>X</v>
      </c>
      <c r="AV176" s="53"/>
      <c r="AW176" s="53"/>
      <c r="AX176" s="53"/>
      <c r="BC176" s="22"/>
      <c r="BH176" s="70"/>
      <c r="BJ176" s="22"/>
    </row>
    <row r="177" spans="1:66">
      <c r="A177" s="128"/>
      <c r="B177" s="54" t="s">
        <v>540</v>
      </c>
      <c r="C177" s="54" t="str">
        <f t="shared" ref="C177:P177" ca="1" si="267">IF(C12=$BC$30,"O",IF(C12=$BD$30,"O",IF(C12=$BE$30,"O",IF(C12=$BF$30,"O",IF(C12=$BG$30,"O",IF(C12=$BH$30,"O",IF(C12=$BI$30,"O",IF(C12=$BJ$30,"O",IF(C12=$BK$30,"O",IF(C12=$BL$30,"O",IF(C12=$BM$30,"O",IF(C12=$BN$30,"O",IF(C12=$BO$30,"O",IF(C12=$BP$30,"O",IF(C12=$BQ$30,"O",IF(C12=$BR$30,"O",IF(C12=$BS$30,"O",IF(C12=$BT$30,"O",IF(C12=$BU$30,"O",IF(C12=$BV$30,"O",IF(C12=$BW$30,"O",IF(C12=$BX$30,"O",IF(C12=$BY$30,"O",IF(C12=$BZ$30,"O",IF(C12=$CA$30,"O",IF(C12=$CB$30,"O",IF(C12=$CC$30,"O",IF(C12=$CD$30,"O","X"))))))))))))))))))))))))))))</f>
        <v>O</v>
      </c>
      <c r="D177" s="54" t="str">
        <f t="shared" ca="1" si="267"/>
        <v>O</v>
      </c>
      <c r="E177" s="54" t="str">
        <f t="shared" ca="1" si="267"/>
        <v>X</v>
      </c>
      <c r="F177" s="54" t="str">
        <f t="shared" ca="1" si="267"/>
        <v>O</v>
      </c>
      <c r="G177" s="54" t="str">
        <f t="shared" ca="1" si="267"/>
        <v>X</v>
      </c>
      <c r="H177" s="54" t="str">
        <f t="shared" ca="1" si="267"/>
        <v>X</v>
      </c>
      <c r="I177" s="54" t="str">
        <f t="shared" ca="1" si="267"/>
        <v>O</v>
      </c>
      <c r="J177" s="54" t="str">
        <f t="shared" ca="1" si="267"/>
        <v>O</v>
      </c>
      <c r="K177" s="54" t="str">
        <f t="shared" ca="1" si="267"/>
        <v>X</v>
      </c>
      <c r="L177" s="54" t="str">
        <f t="shared" ca="1" si="267"/>
        <v>X</v>
      </c>
      <c r="M177" s="54" t="str">
        <f t="shared" ca="1" si="267"/>
        <v>O</v>
      </c>
      <c r="N177" s="54" t="str">
        <f t="shared" ca="1" si="267"/>
        <v>X</v>
      </c>
      <c r="O177" s="54" t="str">
        <f t="shared" ca="1" si="267"/>
        <v>X</v>
      </c>
      <c r="P177" s="54" t="str">
        <f t="shared" ca="1" si="267"/>
        <v>O</v>
      </c>
      <c r="Q177" s="54" t="str">
        <f ca="1">IF(Q12=$BC$30,"O",IF(Q12=$BD$30,"O",IF(Q12=$BE$30,"O",IF(Q12=$BF$30,"O",IF(Q12=$BG$30,"O",IF(Q12=$BH$30,"O",IF(Q12=$BI$30,"O",IF(Q12=$BJ$30,"O",IF(Q12=$BK$30,"O",IF(Q12=$BL$30,"O",IF(Q12=$BM$30,"O",IF(Q12=$BN$30,"O",IF(Q12=$BO$30,"O",IF(Q12=$BP$30,"O",IF(Q12=$BQ$30,"O",IF(Q12=$BR$30,"O",IF(Q12=$BS$30,"O",IF(Q12=$BT$30,"O",IF(Q12=$BU$30,"O",IF(Q12=$BV$30,"O",IF(Q12=$BW$30,"O",IF(Q12=$BX$30,"O",IF(Q12=$BY$30,"O",IF(Q12=$BZ$30,"O",IF(Q12=$CA$30,"O",IF(Q12=$CB$30,"O",IF(Q12=$CC$30,"O",IF(Q12=$CD$30,"O","X"))))))))))))))))))))))))))))</f>
        <v>O</v>
      </c>
      <c r="R177" s="54" t="str">
        <f t="shared" ref="R177:AU177" si="268">IF(R12=$BC$30,"O",IF(R12=$BD$30,"O",IF(R12=$BE$30,"O",IF(R12=$BF$30,"O",IF(R12=$BG$30,"O",IF(R12=$BH$30,"O",IF(R12=$BI$30,"O",IF(R12=$BJ$30,"O",IF(R12=$BK$30,"O",IF(R12=$BL$30,"O",IF(R12=$BM$30,"O",IF(R12=$BN$30,"O",IF(R12=$BO$30,"O",IF(R12=$BP$30,"O",IF(R12=$BQ$30,"O",IF(R12=$BR$30,"O",IF(R12=$BS$30,"O",IF(R12=$BT$30,"O",IF(R12=$BU$30,"O",IF(R12=$BV$30,"O",IF(R12=$BW$30,"O",IF(R12=$BX$30,"O",IF(R12=$BY$30,"O",IF(R12=$BZ$30,"O",IF(R12=$CA$30,"O",IF(R12=$CB$30,"O","X"))))))))))))))))))))))))))</f>
        <v>X</v>
      </c>
      <c r="S177" s="54" t="str">
        <f t="shared" si="268"/>
        <v>X</v>
      </c>
      <c r="T177" s="54" t="str">
        <f t="shared" si="268"/>
        <v>X</v>
      </c>
      <c r="U177" s="54" t="str">
        <f t="shared" si="268"/>
        <v>X</v>
      </c>
      <c r="V177" s="54" t="str">
        <f t="shared" si="268"/>
        <v>X</v>
      </c>
      <c r="W177" s="54" t="str">
        <f t="shared" si="268"/>
        <v>X</v>
      </c>
      <c r="X177" s="54" t="str">
        <f t="shared" si="268"/>
        <v>X</v>
      </c>
      <c r="Y177" s="54" t="str">
        <f t="shared" si="268"/>
        <v>X</v>
      </c>
      <c r="Z177" s="54" t="str">
        <f t="shared" si="268"/>
        <v>X</v>
      </c>
      <c r="AA177" s="54" t="str">
        <f t="shared" si="268"/>
        <v>X</v>
      </c>
      <c r="AB177" s="54" t="str">
        <f t="shared" si="268"/>
        <v>X</v>
      </c>
      <c r="AC177" s="54" t="str">
        <f t="shared" si="268"/>
        <v>X</v>
      </c>
      <c r="AD177" s="54" t="str">
        <f t="shared" si="268"/>
        <v>X</v>
      </c>
      <c r="AE177" s="54" t="str">
        <f t="shared" si="268"/>
        <v>X</v>
      </c>
      <c r="AF177" s="54" t="str">
        <f t="shared" si="268"/>
        <v>X</v>
      </c>
      <c r="AG177" s="54" t="str">
        <f t="shared" si="268"/>
        <v>X</v>
      </c>
      <c r="AH177" s="54" t="str">
        <f t="shared" si="268"/>
        <v>X</v>
      </c>
      <c r="AI177" s="54" t="str">
        <f t="shared" si="268"/>
        <v>X</v>
      </c>
      <c r="AJ177" s="54" t="str">
        <f t="shared" si="268"/>
        <v>X</v>
      </c>
      <c r="AK177" s="54" t="str">
        <f t="shared" si="268"/>
        <v>X</v>
      </c>
      <c r="AL177" s="54" t="str">
        <f t="shared" si="268"/>
        <v>X</v>
      </c>
      <c r="AM177" s="54" t="str">
        <f t="shared" si="268"/>
        <v>X</v>
      </c>
      <c r="AN177" s="54" t="str">
        <f t="shared" si="268"/>
        <v>X</v>
      </c>
      <c r="AO177" s="54" t="str">
        <f t="shared" si="268"/>
        <v>X</v>
      </c>
      <c r="AP177" s="54" t="str">
        <f t="shared" si="268"/>
        <v>X</v>
      </c>
      <c r="AQ177" s="54" t="str">
        <f t="shared" si="268"/>
        <v>X</v>
      </c>
      <c r="AR177" s="54" t="str">
        <f t="shared" si="268"/>
        <v>X</v>
      </c>
      <c r="AS177" s="54" t="str">
        <f t="shared" si="268"/>
        <v>X</v>
      </c>
      <c r="AT177" s="54" t="str">
        <f t="shared" si="268"/>
        <v>X</v>
      </c>
      <c r="AU177" s="54" t="str">
        <f t="shared" si="268"/>
        <v>X</v>
      </c>
      <c r="AV177" s="53"/>
      <c r="AW177" s="53"/>
      <c r="AX177" s="53"/>
      <c r="BC177" s="22"/>
      <c r="BH177" s="70"/>
      <c r="BJ177" s="22"/>
    </row>
    <row r="178" spans="1:66">
      <c r="A178" s="129"/>
      <c r="B178" s="60" t="s">
        <v>663</v>
      </c>
      <c r="C178" s="55">
        <f ca="1">COUNTIF(C172:C177,"O")</f>
        <v>2</v>
      </c>
      <c r="D178" s="55">
        <f t="shared" ref="D178:Q178" ca="1" si="269">COUNTIF(D172:D177,"O")</f>
        <v>6</v>
      </c>
      <c r="E178" s="55">
        <f t="shared" ca="1" si="269"/>
        <v>3</v>
      </c>
      <c r="F178" s="55">
        <f t="shared" ca="1" si="269"/>
        <v>3</v>
      </c>
      <c r="G178" s="55">
        <f t="shared" ca="1" si="269"/>
        <v>4</v>
      </c>
      <c r="H178" s="55">
        <f t="shared" ca="1" si="269"/>
        <v>1</v>
      </c>
      <c r="I178" s="55">
        <f t="shared" ca="1" si="269"/>
        <v>1</v>
      </c>
      <c r="J178" s="55">
        <f t="shared" ca="1" si="269"/>
        <v>2</v>
      </c>
      <c r="K178" s="55">
        <f t="shared" ca="1" si="269"/>
        <v>2</v>
      </c>
      <c r="L178" s="55">
        <f t="shared" ca="1" si="269"/>
        <v>3</v>
      </c>
      <c r="M178" s="55">
        <f t="shared" ca="1" si="269"/>
        <v>4</v>
      </c>
      <c r="N178" s="55">
        <f t="shared" ca="1" si="269"/>
        <v>1</v>
      </c>
      <c r="O178" s="55">
        <f t="shared" ca="1" si="269"/>
        <v>5</v>
      </c>
      <c r="P178" s="55">
        <f t="shared" ca="1" si="269"/>
        <v>2</v>
      </c>
      <c r="Q178" s="55">
        <f t="shared" ca="1" si="269"/>
        <v>1</v>
      </c>
      <c r="R178" s="55">
        <f t="shared" ref="R178:AK178" si="270">COUNTIF(R172:R177,"O")</f>
        <v>0</v>
      </c>
      <c r="S178" s="55">
        <f t="shared" si="270"/>
        <v>0</v>
      </c>
      <c r="T178" s="55">
        <f t="shared" si="270"/>
        <v>0</v>
      </c>
      <c r="U178" s="55">
        <f t="shared" si="270"/>
        <v>0</v>
      </c>
      <c r="V178" s="55">
        <f t="shared" si="270"/>
        <v>0</v>
      </c>
      <c r="W178" s="55">
        <f t="shared" si="270"/>
        <v>0</v>
      </c>
      <c r="X178" s="55">
        <f t="shared" si="270"/>
        <v>0</v>
      </c>
      <c r="Y178" s="55">
        <f t="shared" si="270"/>
        <v>0</v>
      </c>
      <c r="Z178" s="55">
        <f t="shared" si="270"/>
        <v>0</v>
      </c>
      <c r="AA178" s="55">
        <f t="shared" si="270"/>
        <v>0</v>
      </c>
      <c r="AB178" s="55">
        <f t="shared" si="270"/>
        <v>0</v>
      </c>
      <c r="AC178" s="55">
        <f t="shared" si="270"/>
        <v>0</v>
      </c>
      <c r="AD178" s="55">
        <f t="shared" si="270"/>
        <v>0</v>
      </c>
      <c r="AE178" s="55">
        <f t="shared" si="270"/>
        <v>0</v>
      </c>
      <c r="AF178" s="55">
        <f t="shared" si="270"/>
        <v>0</v>
      </c>
      <c r="AG178" s="55">
        <f t="shared" si="270"/>
        <v>0</v>
      </c>
      <c r="AH178" s="55">
        <f t="shared" si="270"/>
        <v>0</v>
      </c>
      <c r="AI178" s="55">
        <f t="shared" si="270"/>
        <v>0</v>
      </c>
      <c r="AJ178" s="55">
        <f t="shared" si="270"/>
        <v>0</v>
      </c>
      <c r="AK178" s="55">
        <f t="shared" si="270"/>
        <v>0</v>
      </c>
      <c r="AL178" s="55">
        <f t="shared" ref="AL178:AU178" si="271">COUNTIF(AL172:AL177,"O")</f>
        <v>0</v>
      </c>
      <c r="AM178" s="55">
        <f t="shared" si="271"/>
        <v>0</v>
      </c>
      <c r="AN178" s="55">
        <f t="shared" si="271"/>
        <v>0</v>
      </c>
      <c r="AO178" s="55">
        <f t="shared" si="271"/>
        <v>0</v>
      </c>
      <c r="AP178" s="55">
        <f t="shared" si="271"/>
        <v>0</v>
      </c>
      <c r="AQ178" s="55">
        <f t="shared" si="271"/>
        <v>0</v>
      </c>
      <c r="AR178" s="55">
        <f t="shared" si="271"/>
        <v>0</v>
      </c>
      <c r="AS178" s="55">
        <f t="shared" si="271"/>
        <v>0</v>
      </c>
      <c r="AT178" s="55">
        <f t="shared" si="271"/>
        <v>0</v>
      </c>
      <c r="AU178" s="55">
        <f t="shared" si="271"/>
        <v>0</v>
      </c>
      <c r="AV178" s="171"/>
      <c r="AW178" s="171"/>
      <c r="AX178" s="171"/>
      <c r="BC178" s="22"/>
      <c r="BJ178" s="22"/>
      <c r="BK178"/>
      <c r="BL178"/>
      <c r="BM178" s="120"/>
      <c r="BN178" s="120"/>
    </row>
    <row r="179" spans="1:66" ht="17.5">
      <c r="A179" s="250" t="s">
        <v>665</v>
      </c>
      <c r="B179" s="54" t="s">
        <v>565</v>
      </c>
      <c r="C179" s="54" t="str">
        <f t="shared" ref="C179:AU179" ca="1" si="272">IF(C7=3,"O",IF(C7=6,"O",IF(C7=9,"O",IF(C7=12,"O",IF(C7=15,"O",IF(C7=18,"O",IF(C7=21,"O",IF(C7=24,"O","X"))))))))</f>
        <v>X</v>
      </c>
      <c r="D179" s="54" t="str">
        <f t="shared" ca="1" si="272"/>
        <v>X</v>
      </c>
      <c r="E179" s="54" t="str">
        <f t="shared" ca="1" si="272"/>
        <v>O</v>
      </c>
      <c r="F179" s="54" t="str">
        <f t="shared" ca="1" si="272"/>
        <v>X</v>
      </c>
      <c r="G179" s="54" t="str">
        <f t="shared" ca="1" si="272"/>
        <v>X</v>
      </c>
      <c r="H179" s="54" t="str">
        <f t="shared" ca="1" si="272"/>
        <v>X</v>
      </c>
      <c r="I179" s="54" t="str">
        <f t="shared" ca="1" si="272"/>
        <v>X</v>
      </c>
      <c r="J179" s="54" t="str">
        <f t="shared" ca="1" si="272"/>
        <v>X</v>
      </c>
      <c r="K179" s="54" t="str">
        <f t="shared" ca="1" si="272"/>
        <v>X</v>
      </c>
      <c r="L179" s="54" t="str">
        <f t="shared" ca="1" si="272"/>
        <v>X</v>
      </c>
      <c r="M179" s="54" t="str">
        <f t="shared" ca="1" si="272"/>
        <v>O</v>
      </c>
      <c r="N179" s="54" t="str">
        <f t="shared" ca="1" si="272"/>
        <v>X</v>
      </c>
      <c r="O179" s="54" t="str">
        <f t="shared" ca="1" si="272"/>
        <v>X</v>
      </c>
      <c r="P179" s="54" t="str">
        <f t="shared" ca="1" si="272"/>
        <v>O</v>
      </c>
      <c r="Q179" s="54" t="str">
        <f t="shared" ca="1" si="272"/>
        <v>O</v>
      </c>
      <c r="R179" s="54" t="str">
        <f t="shared" si="272"/>
        <v>X</v>
      </c>
      <c r="S179" s="54" t="str">
        <f t="shared" si="272"/>
        <v>X</v>
      </c>
      <c r="T179" s="54" t="str">
        <f t="shared" si="272"/>
        <v>X</v>
      </c>
      <c r="U179" s="54" t="str">
        <f t="shared" si="272"/>
        <v>X</v>
      </c>
      <c r="V179" s="54" t="str">
        <f t="shared" si="272"/>
        <v>X</v>
      </c>
      <c r="W179" s="54" t="str">
        <f t="shared" si="272"/>
        <v>X</v>
      </c>
      <c r="X179" s="54" t="str">
        <f t="shared" si="272"/>
        <v>X</v>
      </c>
      <c r="Y179" s="54" t="str">
        <f t="shared" si="272"/>
        <v>X</v>
      </c>
      <c r="Z179" s="54" t="str">
        <f t="shared" si="272"/>
        <v>X</v>
      </c>
      <c r="AA179" s="54" t="str">
        <f t="shared" si="272"/>
        <v>X</v>
      </c>
      <c r="AB179" s="54" t="str">
        <f t="shared" si="272"/>
        <v>X</v>
      </c>
      <c r="AC179" s="54" t="str">
        <f t="shared" si="272"/>
        <v>X</v>
      </c>
      <c r="AD179" s="54" t="str">
        <f t="shared" si="272"/>
        <v>X</v>
      </c>
      <c r="AE179" s="54" t="str">
        <f t="shared" si="272"/>
        <v>X</v>
      </c>
      <c r="AF179" s="54" t="str">
        <f t="shared" si="272"/>
        <v>X</v>
      </c>
      <c r="AG179" s="54" t="str">
        <f t="shared" si="272"/>
        <v>X</v>
      </c>
      <c r="AH179" s="54" t="str">
        <f t="shared" si="272"/>
        <v>X</v>
      </c>
      <c r="AI179" s="54" t="str">
        <f t="shared" si="272"/>
        <v>X</v>
      </c>
      <c r="AJ179" s="54" t="str">
        <f t="shared" si="272"/>
        <v>X</v>
      </c>
      <c r="AK179" s="54" t="str">
        <f t="shared" si="272"/>
        <v>X</v>
      </c>
      <c r="AL179" s="54" t="str">
        <f t="shared" si="272"/>
        <v>X</v>
      </c>
      <c r="AM179" s="54" t="str">
        <f t="shared" si="272"/>
        <v>X</v>
      </c>
      <c r="AN179" s="54" t="str">
        <f t="shared" si="272"/>
        <v>X</v>
      </c>
      <c r="AO179" s="54" t="str">
        <f t="shared" si="272"/>
        <v>X</v>
      </c>
      <c r="AP179" s="54" t="str">
        <f t="shared" si="272"/>
        <v>X</v>
      </c>
      <c r="AQ179" s="54" t="str">
        <f t="shared" si="272"/>
        <v>X</v>
      </c>
      <c r="AR179" s="54" t="str">
        <f t="shared" si="272"/>
        <v>X</v>
      </c>
      <c r="AS179" s="54" t="str">
        <f t="shared" si="272"/>
        <v>X</v>
      </c>
      <c r="AT179" s="54" t="str">
        <f t="shared" si="272"/>
        <v>X</v>
      </c>
      <c r="AU179" s="54" t="str">
        <f t="shared" si="272"/>
        <v>X</v>
      </c>
      <c r="AV179" s="53"/>
      <c r="AW179" s="53"/>
      <c r="AX179" s="53"/>
      <c r="BB179" s="181"/>
      <c r="BC179" s="150"/>
      <c r="BF179" s="70"/>
      <c r="BJ179" s="130"/>
    </row>
    <row r="180" spans="1:66" ht="17.5">
      <c r="A180" s="250"/>
      <c r="B180" s="54" t="s">
        <v>566</v>
      </c>
      <c r="C180" s="54" t="str">
        <f t="shared" ref="C180:AU180" ca="1" si="273">IF(C8=3,"O",IF(C8=6,"O",IF(C8=9,"O",IF(C8=12,"O",IF(C8=15,"O",IF(C8=18,"O",IF(C8=21,"O",IF(C8=24,"O","X"))))))))</f>
        <v>X</v>
      </c>
      <c r="D180" s="54" t="str">
        <f t="shared" ca="1" si="273"/>
        <v>O</v>
      </c>
      <c r="E180" s="54" t="str">
        <f t="shared" ca="1" si="273"/>
        <v>X</v>
      </c>
      <c r="F180" s="54" t="str">
        <f t="shared" ca="1" si="273"/>
        <v>X</v>
      </c>
      <c r="G180" s="54" t="str">
        <f t="shared" ca="1" si="273"/>
        <v>X</v>
      </c>
      <c r="H180" s="54" t="str">
        <f t="shared" ca="1" si="273"/>
        <v>X</v>
      </c>
      <c r="I180" s="54" t="str">
        <f t="shared" ca="1" si="273"/>
        <v>X</v>
      </c>
      <c r="J180" s="54" t="str">
        <f t="shared" ca="1" si="273"/>
        <v>O</v>
      </c>
      <c r="K180" s="54" t="str">
        <f t="shared" ca="1" si="273"/>
        <v>X</v>
      </c>
      <c r="L180" s="54" t="str">
        <f t="shared" ca="1" si="273"/>
        <v>X</v>
      </c>
      <c r="M180" s="54" t="str">
        <f t="shared" ca="1" si="273"/>
        <v>X</v>
      </c>
      <c r="N180" s="54" t="str">
        <f t="shared" ca="1" si="273"/>
        <v>O</v>
      </c>
      <c r="O180" s="54" t="str">
        <f t="shared" ca="1" si="273"/>
        <v>X</v>
      </c>
      <c r="P180" s="54" t="str">
        <f t="shared" ca="1" si="273"/>
        <v>X</v>
      </c>
      <c r="Q180" s="54" t="str">
        <f t="shared" ca="1" si="273"/>
        <v>O</v>
      </c>
      <c r="R180" s="54" t="str">
        <f t="shared" si="273"/>
        <v>X</v>
      </c>
      <c r="S180" s="54" t="str">
        <f t="shared" si="273"/>
        <v>X</v>
      </c>
      <c r="T180" s="54" t="str">
        <f t="shared" si="273"/>
        <v>X</v>
      </c>
      <c r="U180" s="54" t="str">
        <f t="shared" si="273"/>
        <v>X</v>
      </c>
      <c r="V180" s="54" t="str">
        <f t="shared" si="273"/>
        <v>X</v>
      </c>
      <c r="W180" s="54" t="str">
        <f t="shared" si="273"/>
        <v>X</v>
      </c>
      <c r="X180" s="54" t="str">
        <f t="shared" si="273"/>
        <v>X</v>
      </c>
      <c r="Y180" s="54" t="str">
        <f t="shared" si="273"/>
        <v>X</v>
      </c>
      <c r="Z180" s="54" t="str">
        <f t="shared" si="273"/>
        <v>X</v>
      </c>
      <c r="AA180" s="54" t="str">
        <f t="shared" si="273"/>
        <v>X</v>
      </c>
      <c r="AB180" s="54" t="str">
        <f t="shared" si="273"/>
        <v>X</v>
      </c>
      <c r="AC180" s="54" t="str">
        <f t="shared" si="273"/>
        <v>X</v>
      </c>
      <c r="AD180" s="54" t="str">
        <f t="shared" si="273"/>
        <v>X</v>
      </c>
      <c r="AE180" s="54" t="str">
        <f t="shared" si="273"/>
        <v>X</v>
      </c>
      <c r="AF180" s="54" t="str">
        <f t="shared" si="273"/>
        <v>X</v>
      </c>
      <c r="AG180" s="54" t="str">
        <f t="shared" si="273"/>
        <v>X</v>
      </c>
      <c r="AH180" s="54" t="str">
        <f t="shared" si="273"/>
        <v>X</v>
      </c>
      <c r="AI180" s="54" t="str">
        <f t="shared" si="273"/>
        <v>X</v>
      </c>
      <c r="AJ180" s="54" t="str">
        <f t="shared" si="273"/>
        <v>X</v>
      </c>
      <c r="AK180" s="54" t="str">
        <f t="shared" si="273"/>
        <v>X</v>
      </c>
      <c r="AL180" s="54" t="str">
        <f t="shared" si="273"/>
        <v>X</v>
      </c>
      <c r="AM180" s="54" t="str">
        <f t="shared" si="273"/>
        <v>X</v>
      </c>
      <c r="AN180" s="54" t="str">
        <f t="shared" si="273"/>
        <v>X</v>
      </c>
      <c r="AO180" s="54" t="str">
        <f t="shared" si="273"/>
        <v>X</v>
      </c>
      <c r="AP180" s="54" t="str">
        <f t="shared" si="273"/>
        <v>X</v>
      </c>
      <c r="AQ180" s="54" t="str">
        <f t="shared" si="273"/>
        <v>X</v>
      </c>
      <c r="AR180" s="54" t="str">
        <f t="shared" si="273"/>
        <v>X</v>
      </c>
      <c r="AS180" s="54" t="str">
        <f t="shared" si="273"/>
        <v>X</v>
      </c>
      <c r="AT180" s="54" t="str">
        <f t="shared" si="273"/>
        <v>X</v>
      </c>
      <c r="AU180" s="54" t="str">
        <f t="shared" si="273"/>
        <v>X</v>
      </c>
      <c r="AV180" s="53"/>
      <c r="AW180" s="53"/>
      <c r="AX180" s="53"/>
      <c r="BB180" s="157"/>
      <c r="BC180" s="150"/>
      <c r="BF180" s="70"/>
      <c r="BG180" s="22"/>
      <c r="BJ180" s="130"/>
    </row>
    <row r="181" spans="1:66" ht="17.5">
      <c r="A181" s="250"/>
      <c r="B181" s="54" t="s">
        <v>567</v>
      </c>
      <c r="C181" s="54" t="str">
        <f t="shared" ref="C181:AU181" ca="1" si="274">IF(C9=3,"O",IF(C9=6,"O",IF(C9=9,"O",IF(C9=12,"O",IF(C9=15,"O",IF(C9=18,"O",IF(C9=21,"O",IF(C9=24,"O","X"))))))))</f>
        <v>X</v>
      </c>
      <c r="D181" s="54" t="str">
        <f t="shared" ca="1" si="274"/>
        <v>X</v>
      </c>
      <c r="E181" s="54" t="str">
        <f t="shared" ca="1" si="274"/>
        <v>X</v>
      </c>
      <c r="F181" s="54" t="str">
        <f t="shared" ca="1" si="274"/>
        <v>O</v>
      </c>
      <c r="G181" s="54" t="str">
        <f t="shared" ca="1" si="274"/>
        <v>X</v>
      </c>
      <c r="H181" s="54" t="str">
        <f t="shared" ca="1" si="274"/>
        <v>X</v>
      </c>
      <c r="I181" s="54" t="str">
        <f t="shared" ca="1" si="274"/>
        <v>X</v>
      </c>
      <c r="J181" s="54" t="str">
        <f t="shared" ca="1" si="274"/>
        <v>X</v>
      </c>
      <c r="K181" s="54" t="str">
        <f t="shared" ca="1" si="274"/>
        <v>X</v>
      </c>
      <c r="L181" s="54" t="str">
        <f t="shared" ca="1" si="274"/>
        <v>X</v>
      </c>
      <c r="M181" s="54" t="str">
        <f t="shared" ca="1" si="274"/>
        <v>O</v>
      </c>
      <c r="N181" s="54" t="str">
        <f t="shared" ca="1" si="274"/>
        <v>X</v>
      </c>
      <c r="O181" s="54" t="str">
        <f t="shared" ca="1" si="274"/>
        <v>X</v>
      </c>
      <c r="P181" s="54" t="str">
        <f t="shared" ca="1" si="274"/>
        <v>X</v>
      </c>
      <c r="Q181" s="54" t="str">
        <f t="shared" ca="1" si="274"/>
        <v>X</v>
      </c>
      <c r="R181" s="54" t="str">
        <f t="shared" si="274"/>
        <v>X</v>
      </c>
      <c r="S181" s="54" t="str">
        <f t="shared" si="274"/>
        <v>X</v>
      </c>
      <c r="T181" s="54" t="str">
        <f t="shared" si="274"/>
        <v>X</v>
      </c>
      <c r="U181" s="54" t="str">
        <f t="shared" si="274"/>
        <v>X</v>
      </c>
      <c r="V181" s="54" t="str">
        <f t="shared" si="274"/>
        <v>X</v>
      </c>
      <c r="W181" s="54" t="str">
        <f t="shared" si="274"/>
        <v>X</v>
      </c>
      <c r="X181" s="54" t="str">
        <f t="shared" si="274"/>
        <v>X</v>
      </c>
      <c r="Y181" s="54" t="str">
        <f t="shared" si="274"/>
        <v>X</v>
      </c>
      <c r="Z181" s="54" t="str">
        <f t="shared" si="274"/>
        <v>X</v>
      </c>
      <c r="AA181" s="54" t="str">
        <f t="shared" si="274"/>
        <v>X</v>
      </c>
      <c r="AB181" s="54" t="str">
        <f t="shared" si="274"/>
        <v>X</v>
      </c>
      <c r="AC181" s="54" t="str">
        <f t="shared" si="274"/>
        <v>X</v>
      </c>
      <c r="AD181" s="54" t="str">
        <f t="shared" si="274"/>
        <v>X</v>
      </c>
      <c r="AE181" s="54" t="str">
        <f t="shared" si="274"/>
        <v>X</v>
      </c>
      <c r="AF181" s="54" t="str">
        <f t="shared" si="274"/>
        <v>X</v>
      </c>
      <c r="AG181" s="54" t="str">
        <f t="shared" si="274"/>
        <v>X</v>
      </c>
      <c r="AH181" s="54" t="str">
        <f t="shared" si="274"/>
        <v>X</v>
      </c>
      <c r="AI181" s="54" t="str">
        <f t="shared" si="274"/>
        <v>X</v>
      </c>
      <c r="AJ181" s="54" t="str">
        <f t="shared" si="274"/>
        <v>X</v>
      </c>
      <c r="AK181" s="54" t="str">
        <f t="shared" si="274"/>
        <v>X</v>
      </c>
      <c r="AL181" s="54" t="str">
        <f t="shared" si="274"/>
        <v>X</v>
      </c>
      <c r="AM181" s="54" t="str">
        <f t="shared" si="274"/>
        <v>X</v>
      </c>
      <c r="AN181" s="54" t="str">
        <f t="shared" si="274"/>
        <v>X</v>
      </c>
      <c r="AO181" s="54" t="str">
        <f t="shared" si="274"/>
        <v>X</v>
      </c>
      <c r="AP181" s="54" t="str">
        <f t="shared" si="274"/>
        <v>X</v>
      </c>
      <c r="AQ181" s="54" t="str">
        <f t="shared" si="274"/>
        <v>X</v>
      </c>
      <c r="AR181" s="54" t="str">
        <f t="shared" si="274"/>
        <v>X</v>
      </c>
      <c r="AS181" s="54" t="str">
        <f t="shared" si="274"/>
        <v>X</v>
      </c>
      <c r="AT181" s="54" t="str">
        <f t="shared" si="274"/>
        <v>X</v>
      </c>
      <c r="AU181" s="54" t="str">
        <f t="shared" si="274"/>
        <v>X</v>
      </c>
      <c r="AV181" s="53"/>
      <c r="AW181" s="53"/>
      <c r="AX181" s="53"/>
      <c r="BB181" s="181"/>
      <c r="BC181" s="150"/>
      <c r="BF181" s="70"/>
      <c r="BG181" s="22"/>
      <c r="BJ181" s="131"/>
    </row>
    <row r="182" spans="1:66" ht="17.5">
      <c r="A182" s="250"/>
      <c r="B182" s="54" t="s">
        <v>568</v>
      </c>
      <c r="C182" s="54" t="str">
        <f t="shared" ref="C182:AU182" ca="1" si="275">IF(C10=3,"O",IF(C10=6,"O",IF(C10=9,"O",IF(C10=12,"O",IF(C10=15,"O",IF(C10=18,"O",IF(C10=21,"O",IF(C10=24,"O","X"))))))))</f>
        <v>X</v>
      </c>
      <c r="D182" s="54" t="str">
        <f t="shared" ca="1" si="275"/>
        <v>X</v>
      </c>
      <c r="E182" s="54" t="str">
        <f t="shared" ca="1" si="275"/>
        <v>X</v>
      </c>
      <c r="F182" s="54" t="str">
        <f t="shared" ca="1" si="275"/>
        <v>X</v>
      </c>
      <c r="G182" s="54" t="str">
        <f t="shared" ca="1" si="275"/>
        <v>X</v>
      </c>
      <c r="H182" s="54" t="str">
        <f t="shared" ca="1" si="275"/>
        <v>X</v>
      </c>
      <c r="I182" s="54" t="str">
        <f t="shared" ca="1" si="275"/>
        <v>X</v>
      </c>
      <c r="J182" s="54" t="str">
        <f t="shared" ca="1" si="275"/>
        <v>O</v>
      </c>
      <c r="K182" s="54" t="str">
        <f t="shared" ca="1" si="275"/>
        <v>X</v>
      </c>
      <c r="L182" s="54" t="str">
        <f t="shared" ca="1" si="275"/>
        <v>X</v>
      </c>
      <c r="M182" s="54" t="str">
        <f t="shared" ca="1" si="275"/>
        <v>X</v>
      </c>
      <c r="N182" s="54" t="str">
        <f t="shared" ca="1" si="275"/>
        <v>O</v>
      </c>
      <c r="O182" s="54" t="str">
        <f t="shared" ca="1" si="275"/>
        <v>X</v>
      </c>
      <c r="P182" s="54" t="str">
        <f t="shared" ca="1" si="275"/>
        <v>X</v>
      </c>
      <c r="Q182" s="54" t="str">
        <f t="shared" ca="1" si="275"/>
        <v>O</v>
      </c>
      <c r="R182" s="54" t="str">
        <f t="shared" si="275"/>
        <v>X</v>
      </c>
      <c r="S182" s="54" t="str">
        <f t="shared" si="275"/>
        <v>X</v>
      </c>
      <c r="T182" s="54" t="str">
        <f t="shared" si="275"/>
        <v>X</v>
      </c>
      <c r="U182" s="54" t="str">
        <f t="shared" si="275"/>
        <v>X</v>
      </c>
      <c r="V182" s="54" t="str">
        <f t="shared" si="275"/>
        <v>X</v>
      </c>
      <c r="W182" s="54" t="str">
        <f t="shared" si="275"/>
        <v>X</v>
      </c>
      <c r="X182" s="54" t="str">
        <f t="shared" si="275"/>
        <v>X</v>
      </c>
      <c r="Y182" s="54" t="str">
        <f t="shared" si="275"/>
        <v>X</v>
      </c>
      <c r="Z182" s="54" t="str">
        <f t="shared" si="275"/>
        <v>X</v>
      </c>
      <c r="AA182" s="54" t="str">
        <f t="shared" si="275"/>
        <v>X</v>
      </c>
      <c r="AB182" s="54" t="str">
        <f t="shared" si="275"/>
        <v>X</v>
      </c>
      <c r="AC182" s="54" t="str">
        <f t="shared" si="275"/>
        <v>X</v>
      </c>
      <c r="AD182" s="54" t="str">
        <f t="shared" si="275"/>
        <v>X</v>
      </c>
      <c r="AE182" s="54" t="str">
        <f t="shared" si="275"/>
        <v>X</v>
      </c>
      <c r="AF182" s="54" t="str">
        <f t="shared" si="275"/>
        <v>X</v>
      </c>
      <c r="AG182" s="54" t="str">
        <f t="shared" si="275"/>
        <v>X</v>
      </c>
      <c r="AH182" s="54" t="str">
        <f t="shared" si="275"/>
        <v>X</v>
      </c>
      <c r="AI182" s="54" t="str">
        <f t="shared" si="275"/>
        <v>X</v>
      </c>
      <c r="AJ182" s="54" t="str">
        <f t="shared" si="275"/>
        <v>X</v>
      </c>
      <c r="AK182" s="54" t="str">
        <f t="shared" si="275"/>
        <v>X</v>
      </c>
      <c r="AL182" s="54" t="str">
        <f t="shared" si="275"/>
        <v>X</v>
      </c>
      <c r="AM182" s="54" t="str">
        <f t="shared" si="275"/>
        <v>X</v>
      </c>
      <c r="AN182" s="54" t="str">
        <f t="shared" si="275"/>
        <v>X</v>
      </c>
      <c r="AO182" s="54" t="str">
        <f t="shared" si="275"/>
        <v>X</v>
      </c>
      <c r="AP182" s="54" t="str">
        <f t="shared" si="275"/>
        <v>X</v>
      </c>
      <c r="AQ182" s="54" t="str">
        <f t="shared" si="275"/>
        <v>X</v>
      </c>
      <c r="AR182" s="54" t="str">
        <f t="shared" si="275"/>
        <v>X</v>
      </c>
      <c r="AS182" s="54" t="str">
        <f t="shared" si="275"/>
        <v>X</v>
      </c>
      <c r="AT182" s="54" t="str">
        <f t="shared" si="275"/>
        <v>X</v>
      </c>
      <c r="AU182" s="54" t="str">
        <f t="shared" si="275"/>
        <v>X</v>
      </c>
      <c r="AV182" s="53"/>
      <c r="AW182" s="53"/>
      <c r="AX182" s="53"/>
      <c r="BB182" s="157"/>
      <c r="BC182" s="22"/>
      <c r="BF182" s="70"/>
      <c r="BG182" s="22"/>
      <c r="BJ182" s="131"/>
    </row>
    <row r="183" spans="1:66" ht="17.5">
      <c r="A183" s="250"/>
      <c r="B183" s="54" t="s">
        <v>569</v>
      </c>
      <c r="C183" s="54" t="str">
        <f t="shared" ref="C183:AU183" ca="1" si="276">IF(C11=3,"O",IF(C11=6,"O",IF(C11=9,"O",IF(C11=12,"O",IF(C11=15,"O",IF(C11=18,"O",IF(C11=21,"O",IF(C11=24,"O","X"))))))))</f>
        <v>X</v>
      </c>
      <c r="D183" s="54" t="str">
        <f t="shared" ca="1" si="276"/>
        <v>X</v>
      </c>
      <c r="E183" s="54" t="str">
        <f t="shared" ca="1" si="276"/>
        <v>X</v>
      </c>
      <c r="F183" s="54" t="str">
        <f t="shared" ca="1" si="276"/>
        <v>X</v>
      </c>
      <c r="G183" s="54" t="str">
        <f t="shared" ca="1" si="276"/>
        <v>O</v>
      </c>
      <c r="H183" s="54" t="str">
        <f t="shared" ca="1" si="276"/>
        <v>X</v>
      </c>
      <c r="I183" s="54" t="str">
        <f t="shared" ca="1" si="276"/>
        <v>O</v>
      </c>
      <c r="J183" s="54" t="str">
        <f t="shared" ca="1" si="276"/>
        <v>X</v>
      </c>
      <c r="K183" s="54" t="str">
        <f t="shared" ca="1" si="276"/>
        <v>X</v>
      </c>
      <c r="L183" s="54" t="str">
        <f t="shared" ca="1" si="276"/>
        <v>O</v>
      </c>
      <c r="M183" s="54" t="str">
        <f t="shared" ca="1" si="276"/>
        <v>X</v>
      </c>
      <c r="N183" s="54" t="str">
        <f t="shared" ca="1" si="276"/>
        <v>X</v>
      </c>
      <c r="O183" s="54" t="str">
        <f t="shared" ca="1" si="276"/>
        <v>X</v>
      </c>
      <c r="P183" s="54" t="str">
        <f t="shared" ca="1" si="276"/>
        <v>X</v>
      </c>
      <c r="Q183" s="54" t="str">
        <f t="shared" ca="1" si="276"/>
        <v>O</v>
      </c>
      <c r="R183" s="54" t="str">
        <f t="shared" si="276"/>
        <v>X</v>
      </c>
      <c r="S183" s="54" t="str">
        <f t="shared" si="276"/>
        <v>X</v>
      </c>
      <c r="T183" s="54" t="str">
        <f t="shared" si="276"/>
        <v>X</v>
      </c>
      <c r="U183" s="54" t="str">
        <f t="shared" si="276"/>
        <v>X</v>
      </c>
      <c r="V183" s="54" t="str">
        <f t="shared" si="276"/>
        <v>X</v>
      </c>
      <c r="W183" s="54" t="str">
        <f t="shared" si="276"/>
        <v>X</v>
      </c>
      <c r="X183" s="54" t="str">
        <f t="shared" si="276"/>
        <v>X</v>
      </c>
      <c r="Y183" s="54" t="str">
        <f t="shared" si="276"/>
        <v>X</v>
      </c>
      <c r="Z183" s="54" t="str">
        <f t="shared" si="276"/>
        <v>X</v>
      </c>
      <c r="AA183" s="54" t="str">
        <f t="shared" si="276"/>
        <v>X</v>
      </c>
      <c r="AB183" s="54" t="str">
        <f t="shared" si="276"/>
        <v>X</v>
      </c>
      <c r="AC183" s="54" t="str">
        <f t="shared" si="276"/>
        <v>X</v>
      </c>
      <c r="AD183" s="54" t="str">
        <f t="shared" si="276"/>
        <v>X</v>
      </c>
      <c r="AE183" s="54" t="str">
        <f t="shared" si="276"/>
        <v>X</v>
      </c>
      <c r="AF183" s="54" t="str">
        <f t="shared" si="276"/>
        <v>X</v>
      </c>
      <c r="AG183" s="54" t="str">
        <f t="shared" si="276"/>
        <v>X</v>
      </c>
      <c r="AH183" s="54" t="str">
        <f t="shared" si="276"/>
        <v>X</v>
      </c>
      <c r="AI183" s="54" t="str">
        <f t="shared" si="276"/>
        <v>X</v>
      </c>
      <c r="AJ183" s="54" t="str">
        <f t="shared" si="276"/>
        <v>X</v>
      </c>
      <c r="AK183" s="54" t="str">
        <f t="shared" si="276"/>
        <v>X</v>
      </c>
      <c r="AL183" s="54" t="str">
        <f t="shared" si="276"/>
        <v>X</v>
      </c>
      <c r="AM183" s="54" t="str">
        <f t="shared" si="276"/>
        <v>X</v>
      </c>
      <c r="AN183" s="54" t="str">
        <f t="shared" si="276"/>
        <v>X</v>
      </c>
      <c r="AO183" s="54" t="str">
        <f t="shared" si="276"/>
        <v>X</v>
      </c>
      <c r="AP183" s="54" t="str">
        <f t="shared" si="276"/>
        <v>X</v>
      </c>
      <c r="AQ183" s="54" t="str">
        <f t="shared" si="276"/>
        <v>X</v>
      </c>
      <c r="AR183" s="54" t="str">
        <f t="shared" si="276"/>
        <v>X</v>
      </c>
      <c r="AS183" s="54" t="str">
        <f t="shared" si="276"/>
        <v>X</v>
      </c>
      <c r="AT183" s="54" t="str">
        <f t="shared" si="276"/>
        <v>X</v>
      </c>
      <c r="AU183" s="54" t="str">
        <f t="shared" si="276"/>
        <v>X</v>
      </c>
      <c r="AV183" s="53"/>
      <c r="AW183" s="53"/>
      <c r="AX183" s="53"/>
      <c r="BB183" s="157"/>
      <c r="BC183" s="22"/>
      <c r="BF183" s="70"/>
      <c r="BG183" s="22"/>
    </row>
    <row r="184" spans="1:66" ht="17.5">
      <c r="A184" s="250"/>
      <c r="B184" s="66" t="s">
        <v>540</v>
      </c>
      <c r="C184" s="66" t="str">
        <f t="shared" ref="C184:AU184" ca="1" si="277">IF(C12=3,"O",IF(C12=6,"O",IF(C12=9,"O",IF(C12=12,"O",IF(C12=15,"O",IF(C12=18,"O",IF(C12=21,"O",IF(C12=24,"O","X"))))))))</f>
        <v>X</v>
      </c>
      <c r="D184" s="66" t="str">
        <f t="shared" ca="1" si="277"/>
        <v>X</v>
      </c>
      <c r="E184" s="66" t="str">
        <f t="shared" ca="1" si="277"/>
        <v>X</v>
      </c>
      <c r="F184" s="66" t="str">
        <f t="shared" ca="1" si="277"/>
        <v>X</v>
      </c>
      <c r="G184" s="66" t="str">
        <f t="shared" ca="1" si="277"/>
        <v>O</v>
      </c>
      <c r="H184" s="66" t="str">
        <f t="shared" ca="1" si="277"/>
        <v>O</v>
      </c>
      <c r="I184" s="66" t="str">
        <f t="shared" ca="1" si="277"/>
        <v>X</v>
      </c>
      <c r="J184" s="66" t="str">
        <f t="shared" ca="1" si="277"/>
        <v>X</v>
      </c>
      <c r="K184" s="66" t="str">
        <f t="shared" ca="1" si="277"/>
        <v>X</v>
      </c>
      <c r="L184" s="66" t="str">
        <f t="shared" ca="1" si="277"/>
        <v>X</v>
      </c>
      <c r="M184" s="66" t="str">
        <f t="shared" ca="1" si="277"/>
        <v>X</v>
      </c>
      <c r="N184" s="66" t="str">
        <f t="shared" ca="1" si="277"/>
        <v>X</v>
      </c>
      <c r="O184" s="66" t="str">
        <f t="shared" ca="1" si="277"/>
        <v>X</v>
      </c>
      <c r="P184" s="66" t="str">
        <f t="shared" ca="1" si="277"/>
        <v>X</v>
      </c>
      <c r="Q184" s="66" t="str">
        <f t="shared" ca="1" si="277"/>
        <v>X</v>
      </c>
      <c r="R184" s="66" t="str">
        <f t="shared" si="277"/>
        <v>X</v>
      </c>
      <c r="S184" s="66" t="str">
        <f t="shared" si="277"/>
        <v>X</v>
      </c>
      <c r="T184" s="66" t="str">
        <f t="shared" si="277"/>
        <v>X</v>
      </c>
      <c r="U184" s="66" t="str">
        <f t="shared" si="277"/>
        <v>X</v>
      </c>
      <c r="V184" s="66" t="str">
        <f t="shared" si="277"/>
        <v>X</v>
      </c>
      <c r="W184" s="66" t="str">
        <f t="shared" si="277"/>
        <v>X</v>
      </c>
      <c r="X184" s="66" t="str">
        <f t="shared" si="277"/>
        <v>X</v>
      </c>
      <c r="Y184" s="66" t="str">
        <f t="shared" si="277"/>
        <v>X</v>
      </c>
      <c r="Z184" s="66" t="str">
        <f t="shared" si="277"/>
        <v>X</v>
      </c>
      <c r="AA184" s="66" t="str">
        <f t="shared" si="277"/>
        <v>X</v>
      </c>
      <c r="AB184" s="66" t="str">
        <f t="shared" si="277"/>
        <v>X</v>
      </c>
      <c r="AC184" s="66" t="str">
        <f t="shared" si="277"/>
        <v>X</v>
      </c>
      <c r="AD184" s="66" t="str">
        <f t="shared" si="277"/>
        <v>X</v>
      </c>
      <c r="AE184" s="66" t="str">
        <f t="shared" si="277"/>
        <v>X</v>
      </c>
      <c r="AF184" s="66" t="str">
        <f t="shared" si="277"/>
        <v>X</v>
      </c>
      <c r="AG184" s="66" t="str">
        <f t="shared" si="277"/>
        <v>X</v>
      </c>
      <c r="AH184" s="66" t="str">
        <f t="shared" si="277"/>
        <v>X</v>
      </c>
      <c r="AI184" s="66" t="str">
        <f t="shared" si="277"/>
        <v>X</v>
      </c>
      <c r="AJ184" s="66" t="str">
        <f t="shared" si="277"/>
        <v>X</v>
      </c>
      <c r="AK184" s="66" t="str">
        <f t="shared" si="277"/>
        <v>X</v>
      </c>
      <c r="AL184" s="66" t="str">
        <f t="shared" si="277"/>
        <v>X</v>
      </c>
      <c r="AM184" s="66" t="str">
        <f t="shared" si="277"/>
        <v>X</v>
      </c>
      <c r="AN184" s="66" t="str">
        <f t="shared" si="277"/>
        <v>X</v>
      </c>
      <c r="AO184" s="66" t="str">
        <f t="shared" si="277"/>
        <v>X</v>
      </c>
      <c r="AP184" s="66" t="str">
        <f t="shared" si="277"/>
        <v>X</v>
      </c>
      <c r="AQ184" s="66" t="str">
        <f t="shared" si="277"/>
        <v>X</v>
      </c>
      <c r="AR184" s="66" t="str">
        <f t="shared" si="277"/>
        <v>X</v>
      </c>
      <c r="AS184" s="66" t="str">
        <f t="shared" si="277"/>
        <v>X</v>
      </c>
      <c r="AT184" s="66" t="str">
        <f t="shared" si="277"/>
        <v>X</v>
      </c>
      <c r="AU184" s="66" t="str">
        <f t="shared" si="277"/>
        <v>X</v>
      </c>
      <c r="AV184" s="175"/>
      <c r="AW184" s="175"/>
      <c r="AX184" s="175"/>
      <c r="BB184" s="157"/>
      <c r="BC184" s="22"/>
      <c r="BF184" s="70"/>
      <c r="BG184" s="22"/>
    </row>
    <row r="185" spans="1:66">
      <c r="A185" s="250"/>
      <c r="B185" s="54" t="s">
        <v>654</v>
      </c>
      <c r="C185" s="54" t="str">
        <f t="shared" ref="C185:AU185" ca="1" si="278">IF(C7=27,"O",IF(C7=30,"O",IF(C7=33,"O",IF(C7=36,"O",IF(C7=39,"O",IF(C7=42,"O",IF(C7=45,"O","X")))))))</f>
        <v>X</v>
      </c>
      <c r="D185" s="54" t="str">
        <f t="shared" ca="1" si="278"/>
        <v>X</v>
      </c>
      <c r="E185" s="54" t="str">
        <f t="shared" ca="1" si="278"/>
        <v>X</v>
      </c>
      <c r="F185" s="54" t="str">
        <f t="shared" ca="1" si="278"/>
        <v>X</v>
      </c>
      <c r="G185" s="54" t="str">
        <f t="shared" ca="1" si="278"/>
        <v>X</v>
      </c>
      <c r="H185" s="54" t="str">
        <f t="shared" ca="1" si="278"/>
        <v>O</v>
      </c>
      <c r="I185" s="54" t="str">
        <f t="shared" ca="1" si="278"/>
        <v>O</v>
      </c>
      <c r="J185" s="54" t="str">
        <f t="shared" ca="1" si="278"/>
        <v>X</v>
      </c>
      <c r="K185" s="54" t="str">
        <f t="shared" ca="1" si="278"/>
        <v>X</v>
      </c>
      <c r="L185" s="54" t="str">
        <f t="shared" ca="1" si="278"/>
        <v>X</v>
      </c>
      <c r="M185" s="54" t="str">
        <f t="shared" ca="1" si="278"/>
        <v>X</v>
      </c>
      <c r="N185" s="54" t="str">
        <f t="shared" ca="1" si="278"/>
        <v>X</v>
      </c>
      <c r="O185" s="54" t="str">
        <f t="shared" ca="1" si="278"/>
        <v>X</v>
      </c>
      <c r="P185" s="54" t="str">
        <f t="shared" ca="1" si="278"/>
        <v>X</v>
      </c>
      <c r="Q185" s="54" t="str">
        <f t="shared" ca="1" si="278"/>
        <v>X</v>
      </c>
      <c r="R185" s="54" t="str">
        <f t="shared" si="278"/>
        <v>X</v>
      </c>
      <c r="S185" s="54" t="str">
        <f t="shared" si="278"/>
        <v>X</v>
      </c>
      <c r="T185" s="54" t="str">
        <f t="shared" si="278"/>
        <v>X</v>
      </c>
      <c r="U185" s="54" t="str">
        <f t="shared" si="278"/>
        <v>X</v>
      </c>
      <c r="V185" s="54" t="str">
        <f t="shared" si="278"/>
        <v>X</v>
      </c>
      <c r="W185" s="54" t="str">
        <f t="shared" si="278"/>
        <v>X</v>
      </c>
      <c r="X185" s="54" t="str">
        <f t="shared" si="278"/>
        <v>X</v>
      </c>
      <c r="Y185" s="54" t="str">
        <f t="shared" si="278"/>
        <v>X</v>
      </c>
      <c r="Z185" s="54" t="str">
        <f t="shared" si="278"/>
        <v>X</v>
      </c>
      <c r="AA185" s="54" t="str">
        <f t="shared" si="278"/>
        <v>X</v>
      </c>
      <c r="AB185" s="54" t="str">
        <f t="shared" si="278"/>
        <v>X</v>
      </c>
      <c r="AC185" s="54" t="str">
        <f t="shared" si="278"/>
        <v>X</v>
      </c>
      <c r="AD185" s="54" t="str">
        <f t="shared" si="278"/>
        <v>X</v>
      </c>
      <c r="AE185" s="54" t="str">
        <f t="shared" si="278"/>
        <v>X</v>
      </c>
      <c r="AF185" s="54" t="str">
        <f t="shared" si="278"/>
        <v>X</v>
      </c>
      <c r="AG185" s="54" t="str">
        <f t="shared" si="278"/>
        <v>X</v>
      </c>
      <c r="AH185" s="54" t="str">
        <f t="shared" si="278"/>
        <v>X</v>
      </c>
      <c r="AI185" s="54" t="str">
        <f t="shared" si="278"/>
        <v>X</v>
      </c>
      <c r="AJ185" s="54" t="str">
        <f t="shared" si="278"/>
        <v>X</v>
      </c>
      <c r="AK185" s="54" t="str">
        <f t="shared" si="278"/>
        <v>X</v>
      </c>
      <c r="AL185" s="54" t="str">
        <f t="shared" si="278"/>
        <v>X</v>
      </c>
      <c r="AM185" s="54" t="str">
        <f t="shared" si="278"/>
        <v>X</v>
      </c>
      <c r="AN185" s="54" t="str">
        <f t="shared" si="278"/>
        <v>X</v>
      </c>
      <c r="AO185" s="54" t="str">
        <f t="shared" si="278"/>
        <v>X</v>
      </c>
      <c r="AP185" s="54" t="str">
        <f t="shared" si="278"/>
        <v>X</v>
      </c>
      <c r="AQ185" s="54" t="str">
        <f t="shared" si="278"/>
        <v>X</v>
      </c>
      <c r="AR185" s="54" t="str">
        <f t="shared" si="278"/>
        <v>X</v>
      </c>
      <c r="AS185" s="54" t="str">
        <f t="shared" si="278"/>
        <v>X</v>
      </c>
      <c r="AT185" s="54" t="str">
        <f t="shared" si="278"/>
        <v>X</v>
      </c>
      <c r="AU185" s="54" t="str">
        <f t="shared" si="278"/>
        <v>X</v>
      </c>
      <c r="AV185" s="53"/>
      <c r="AW185" s="53"/>
      <c r="AX185" s="53"/>
      <c r="BC185" s="22"/>
      <c r="BF185" s="47"/>
      <c r="BG185" s="22"/>
    </row>
    <row r="186" spans="1:66">
      <c r="A186" s="250"/>
      <c r="B186" s="54" t="s">
        <v>655</v>
      </c>
      <c r="C186" s="54" t="str">
        <f t="shared" ref="C186:AU186" ca="1" si="279">IF(C8=27,"O",IF(C8=30,"O",IF(C8=33,"O",IF(C8=36,"O",IF(C8=39,"O",IF(C8=42,"O",IF(C8=45,"O","X")))))))</f>
        <v>X</v>
      </c>
      <c r="D186" s="54" t="str">
        <f t="shared" ca="1" si="279"/>
        <v>X</v>
      </c>
      <c r="E186" s="54" t="str">
        <f t="shared" ca="1" si="279"/>
        <v>X</v>
      </c>
      <c r="F186" s="54" t="str">
        <f t="shared" ca="1" si="279"/>
        <v>O</v>
      </c>
      <c r="G186" s="54" t="str">
        <f t="shared" ca="1" si="279"/>
        <v>X</v>
      </c>
      <c r="H186" s="54" t="str">
        <f t="shared" ca="1" si="279"/>
        <v>X</v>
      </c>
      <c r="I186" s="54" t="str">
        <f t="shared" ca="1" si="279"/>
        <v>O</v>
      </c>
      <c r="J186" s="54" t="str">
        <f t="shared" ca="1" si="279"/>
        <v>X</v>
      </c>
      <c r="K186" s="54" t="str">
        <f t="shared" ca="1" si="279"/>
        <v>X</v>
      </c>
      <c r="L186" s="54" t="str">
        <f t="shared" ca="1" si="279"/>
        <v>X</v>
      </c>
      <c r="M186" s="54" t="str">
        <f t="shared" ca="1" si="279"/>
        <v>X</v>
      </c>
      <c r="N186" s="54" t="str">
        <f t="shared" ca="1" si="279"/>
        <v>X</v>
      </c>
      <c r="O186" s="54" t="str">
        <f t="shared" ca="1" si="279"/>
        <v>X</v>
      </c>
      <c r="P186" s="54" t="str">
        <f t="shared" ca="1" si="279"/>
        <v>X</v>
      </c>
      <c r="Q186" s="54" t="str">
        <f t="shared" ca="1" si="279"/>
        <v>X</v>
      </c>
      <c r="R186" s="54" t="str">
        <f t="shared" si="279"/>
        <v>X</v>
      </c>
      <c r="S186" s="54" t="str">
        <f t="shared" si="279"/>
        <v>X</v>
      </c>
      <c r="T186" s="54" t="str">
        <f t="shared" si="279"/>
        <v>X</v>
      </c>
      <c r="U186" s="54" t="str">
        <f t="shared" si="279"/>
        <v>X</v>
      </c>
      <c r="V186" s="54" t="str">
        <f t="shared" si="279"/>
        <v>X</v>
      </c>
      <c r="W186" s="54" t="str">
        <f t="shared" si="279"/>
        <v>X</v>
      </c>
      <c r="X186" s="54" t="str">
        <f t="shared" si="279"/>
        <v>X</v>
      </c>
      <c r="Y186" s="54" t="str">
        <f t="shared" si="279"/>
        <v>X</v>
      </c>
      <c r="Z186" s="54" t="str">
        <f t="shared" si="279"/>
        <v>X</v>
      </c>
      <c r="AA186" s="54" t="str">
        <f t="shared" si="279"/>
        <v>X</v>
      </c>
      <c r="AB186" s="54" t="str">
        <f t="shared" si="279"/>
        <v>X</v>
      </c>
      <c r="AC186" s="54" t="str">
        <f t="shared" si="279"/>
        <v>X</v>
      </c>
      <c r="AD186" s="54" t="str">
        <f t="shared" si="279"/>
        <v>X</v>
      </c>
      <c r="AE186" s="54" t="str">
        <f t="shared" si="279"/>
        <v>X</v>
      </c>
      <c r="AF186" s="54" t="str">
        <f t="shared" si="279"/>
        <v>X</v>
      </c>
      <c r="AG186" s="54" t="str">
        <f t="shared" si="279"/>
        <v>X</v>
      </c>
      <c r="AH186" s="54" t="str">
        <f t="shared" si="279"/>
        <v>X</v>
      </c>
      <c r="AI186" s="54" t="str">
        <f t="shared" si="279"/>
        <v>X</v>
      </c>
      <c r="AJ186" s="54" t="str">
        <f t="shared" si="279"/>
        <v>X</v>
      </c>
      <c r="AK186" s="54" t="str">
        <f t="shared" si="279"/>
        <v>X</v>
      </c>
      <c r="AL186" s="54" t="str">
        <f t="shared" si="279"/>
        <v>X</v>
      </c>
      <c r="AM186" s="54" t="str">
        <f t="shared" si="279"/>
        <v>X</v>
      </c>
      <c r="AN186" s="54" t="str">
        <f t="shared" si="279"/>
        <v>X</v>
      </c>
      <c r="AO186" s="54" t="str">
        <f t="shared" si="279"/>
        <v>X</v>
      </c>
      <c r="AP186" s="54" t="str">
        <f t="shared" si="279"/>
        <v>X</v>
      </c>
      <c r="AQ186" s="54" t="str">
        <f t="shared" si="279"/>
        <v>X</v>
      </c>
      <c r="AR186" s="54" t="str">
        <f t="shared" si="279"/>
        <v>X</v>
      </c>
      <c r="AS186" s="54" t="str">
        <f t="shared" si="279"/>
        <v>X</v>
      </c>
      <c r="AT186" s="54" t="str">
        <f t="shared" si="279"/>
        <v>X</v>
      </c>
      <c r="AU186" s="54" t="str">
        <f t="shared" si="279"/>
        <v>X</v>
      </c>
      <c r="AV186" s="53"/>
      <c r="AW186" s="53"/>
      <c r="AX186" s="53"/>
      <c r="BC186" s="22"/>
      <c r="BF186" s="70"/>
    </row>
    <row r="187" spans="1:66">
      <c r="A187" s="250"/>
      <c r="B187" s="54" t="s">
        <v>656</v>
      </c>
      <c r="C187" s="54" t="str">
        <f t="shared" ref="C187:AU187" ca="1" si="280">IF(C9=27,"O",IF(C9=30,"O",IF(C9=33,"O",IF(C9=36,"O",IF(C9=39,"O",IF(C9=42,"O",IF(C9=45,"O","X")))))))</f>
        <v>X</v>
      </c>
      <c r="D187" s="54" t="str">
        <f t="shared" ca="1" si="280"/>
        <v>X</v>
      </c>
      <c r="E187" s="54" t="str">
        <f t="shared" ca="1" si="280"/>
        <v>X</v>
      </c>
      <c r="F187" s="54" t="str">
        <f t="shared" ca="1" si="280"/>
        <v>X</v>
      </c>
      <c r="G187" s="54" t="str">
        <f t="shared" ca="1" si="280"/>
        <v>X</v>
      </c>
      <c r="H187" s="54" t="str">
        <f t="shared" ca="1" si="280"/>
        <v>X</v>
      </c>
      <c r="I187" s="54" t="str">
        <f t="shared" ca="1" si="280"/>
        <v>X</v>
      </c>
      <c r="J187" s="54" t="str">
        <f t="shared" ca="1" si="280"/>
        <v>X</v>
      </c>
      <c r="K187" s="54" t="str">
        <f t="shared" ca="1" si="280"/>
        <v>O</v>
      </c>
      <c r="L187" s="54" t="str">
        <f t="shared" ca="1" si="280"/>
        <v>O</v>
      </c>
      <c r="M187" s="54" t="str">
        <f t="shared" ca="1" si="280"/>
        <v>X</v>
      </c>
      <c r="N187" s="54" t="str">
        <f t="shared" ca="1" si="280"/>
        <v>X</v>
      </c>
      <c r="O187" s="54" t="str">
        <f t="shared" ca="1" si="280"/>
        <v>X</v>
      </c>
      <c r="P187" s="54" t="str">
        <f t="shared" ca="1" si="280"/>
        <v>X</v>
      </c>
      <c r="Q187" s="54" t="str">
        <f t="shared" ca="1" si="280"/>
        <v>X</v>
      </c>
      <c r="R187" s="54" t="str">
        <f t="shared" si="280"/>
        <v>X</v>
      </c>
      <c r="S187" s="54" t="str">
        <f t="shared" si="280"/>
        <v>X</v>
      </c>
      <c r="T187" s="54" t="str">
        <f t="shared" si="280"/>
        <v>X</v>
      </c>
      <c r="U187" s="54" t="str">
        <f t="shared" si="280"/>
        <v>X</v>
      </c>
      <c r="V187" s="54" t="str">
        <f t="shared" si="280"/>
        <v>X</v>
      </c>
      <c r="W187" s="54" t="str">
        <f t="shared" si="280"/>
        <v>X</v>
      </c>
      <c r="X187" s="54" t="str">
        <f t="shared" si="280"/>
        <v>X</v>
      </c>
      <c r="Y187" s="54" t="str">
        <f t="shared" si="280"/>
        <v>X</v>
      </c>
      <c r="Z187" s="54" t="str">
        <f t="shared" si="280"/>
        <v>X</v>
      </c>
      <c r="AA187" s="54" t="str">
        <f t="shared" si="280"/>
        <v>X</v>
      </c>
      <c r="AB187" s="54" t="str">
        <f t="shared" si="280"/>
        <v>X</v>
      </c>
      <c r="AC187" s="54" t="str">
        <f t="shared" si="280"/>
        <v>X</v>
      </c>
      <c r="AD187" s="54" t="str">
        <f t="shared" si="280"/>
        <v>X</v>
      </c>
      <c r="AE187" s="54" t="str">
        <f t="shared" si="280"/>
        <v>X</v>
      </c>
      <c r="AF187" s="54" t="str">
        <f t="shared" si="280"/>
        <v>X</v>
      </c>
      <c r="AG187" s="54" t="str">
        <f t="shared" si="280"/>
        <v>X</v>
      </c>
      <c r="AH187" s="54" t="str">
        <f t="shared" si="280"/>
        <v>X</v>
      </c>
      <c r="AI187" s="54" t="str">
        <f t="shared" si="280"/>
        <v>X</v>
      </c>
      <c r="AJ187" s="54" t="str">
        <f t="shared" si="280"/>
        <v>X</v>
      </c>
      <c r="AK187" s="54" t="str">
        <f t="shared" si="280"/>
        <v>X</v>
      </c>
      <c r="AL187" s="54" t="str">
        <f t="shared" si="280"/>
        <v>X</v>
      </c>
      <c r="AM187" s="54" t="str">
        <f t="shared" si="280"/>
        <v>X</v>
      </c>
      <c r="AN187" s="54" t="str">
        <f t="shared" si="280"/>
        <v>X</v>
      </c>
      <c r="AO187" s="54" t="str">
        <f t="shared" si="280"/>
        <v>X</v>
      </c>
      <c r="AP187" s="54" t="str">
        <f t="shared" si="280"/>
        <v>X</v>
      </c>
      <c r="AQ187" s="54" t="str">
        <f t="shared" si="280"/>
        <v>X</v>
      </c>
      <c r="AR187" s="54" t="str">
        <f t="shared" si="280"/>
        <v>X</v>
      </c>
      <c r="AS187" s="54" t="str">
        <f t="shared" si="280"/>
        <v>X</v>
      </c>
      <c r="AT187" s="54" t="str">
        <f t="shared" si="280"/>
        <v>X</v>
      </c>
      <c r="AU187" s="54" t="str">
        <f t="shared" si="280"/>
        <v>X</v>
      </c>
      <c r="AV187" s="53"/>
      <c r="AW187" s="53"/>
      <c r="AX187" s="53"/>
      <c r="BC187" s="22"/>
      <c r="BF187" s="47"/>
    </row>
    <row r="188" spans="1:66">
      <c r="A188" s="250"/>
      <c r="B188" s="54" t="s">
        <v>657</v>
      </c>
      <c r="C188" s="54" t="str">
        <f t="shared" ref="C188:AU188" ca="1" si="281">IF(C10=27,"O",IF(C10=30,"O",IF(C10=33,"O",IF(C10=36,"O",IF(C10=39,"O",IF(C10=42,"O",IF(C10=45,"O","X")))))))</f>
        <v>X</v>
      </c>
      <c r="D188" s="54" t="str">
        <f t="shared" ca="1" si="281"/>
        <v>X</v>
      </c>
      <c r="E188" s="54" t="str">
        <f t="shared" ca="1" si="281"/>
        <v>X</v>
      </c>
      <c r="F188" s="54" t="str">
        <f t="shared" ca="1" si="281"/>
        <v>X</v>
      </c>
      <c r="G188" s="54" t="str">
        <f t="shared" ca="1" si="281"/>
        <v>X</v>
      </c>
      <c r="H188" s="54" t="str">
        <f t="shared" ca="1" si="281"/>
        <v>X</v>
      </c>
      <c r="I188" s="54" t="str">
        <f t="shared" ca="1" si="281"/>
        <v>X</v>
      </c>
      <c r="J188" s="54" t="str">
        <f t="shared" ca="1" si="281"/>
        <v>X</v>
      </c>
      <c r="K188" s="54" t="str">
        <f t="shared" ca="1" si="281"/>
        <v>O</v>
      </c>
      <c r="L188" s="54" t="str">
        <f t="shared" ca="1" si="281"/>
        <v>O</v>
      </c>
      <c r="M188" s="54" t="str">
        <f t="shared" ca="1" si="281"/>
        <v>X</v>
      </c>
      <c r="N188" s="54" t="str">
        <f t="shared" ca="1" si="281"/>
        <v>X</v>
      </c>
      <c r="O188" s="54" t="str">
        <f t="shared" ca="1" si="281"/>
        <v>X</v>
      </c>
      <c r="P188" s="54" t="str">
        <f t="shared" ca="1" si="281"/>
        <v>O</v>
      </c>
      <c r="Q188" s="54" t="str">
        <f t="shared" ca="1" si="281"/>
        <v>X</v>
      </c>
      <c r="R188" s="54" t="str">
        <f t="shared" si="281"/>
        <v>X</v>
      </c>
      <c r="S188" s="54" t="str">
        <f t="shared" si="281"/>
        <v>X</v>
      </c>
      <c r="T188" s="54" t="str">
        <f t="shared" si="281"/>
        <v>X</v>
      </c>
      <c r="U188" s="54" t="str">
        <f t="shared" si="281"/>
        <v>X</v>
      </c>
      <c r="V188" s="54" t="str">
        <f t="shared" si="281"/>
        <v>X</v>
      </c>
      <c r="W188" s="54" t="str">
        <f t="shared" si="281"/>
        <v>X</v>
      </c>
      <c r="X188" s="54" t="str">
        <f t="shared" si="281"/>
        <v>X</v>
      </c>
      <c r="Y188" s="54" t="str">
        <f t="shared" si="281"/>
        <v>X</v>
      </c>
      <c r="Z188" s="54" t="str">
        <f t="shared" si="281"/>
        <v>X</v>
      </c>
      <c r="AA188" s="54" t="str">
        <f t="shared" si="281"/>
        <v>X</v>
      </c>
      <c r="AB188" s="54" t="str">
        <f t="shared" si="281"/>
        <v>X</v>
      </c>
      <c r="AC188" s="54" t="str">
        <f t="shared" si="281"/>
        <v>X</v>
      </c>
      <c r="AD188" s="54" t="str">
        <f t="shared" si="281"/>
        <v>X</v>
      </c>
      <c r="AE188" s="54" t="str">
        <f t="shared" si="281"/>
        <v>X</v>
      </c>
      <c r="AF188" s="54" t="str">
        <f t="shared" si="281"/>
        <v>X</v>
      </c>
      <c r="AG188" s="54" t="str">
        <f t="shared" si="281"/>
        <v>X</v>
      </c>
      <c r="AH188" s="54" t="str">
        <f t="shared" si="281"/>
        <v>X</v>
      </c>
      <c r="AI188" s="54" t="str">
        <f t="shared" si="281"/>
        <v>X</v>
      </c>
      <c r="AJ188" s="54" t="str">
        <f t="shared" si="281"/>
        <v>X</v>
      </c>
      <c r="AK188" s="54" t="str">
        <f t="shared" si="281"/>
        <v>X</v>
      </c>
      <c r="AL188" s="54" t="str">
        <f t="shared" si="281"/>
        <v>X</v>
      </c>
      <c r="AM188" s="54" t="str">
        <f t="shared" si="281"/>
        <v>X</v>
      </c>
      <c r="AN188" s="54" t="str">
        <f t="shared" si="281"/>
        <v>X</v>
      </c>
      <c r="AO188" s="54" t="str">
        <f t="shared" si="281"/>
        <v>X</v>
      </c>
      <c r="AP188" s="54" t="str">
        <f t="shared" si="281"/>
        <v>X</v>
      </c>
      <c r="AQ188" s="54" t="str">
        <f t="shared" si="281"/>
        <v>X</v>
      </c>
      <c r="AR188" s="54" t="str">
        <f t="shared" si="281"/>
        <v>X</v>
      </c>
      <c r="AS188" s="54" t="str">
        <f t="shared" si="281"/>
        <v>X</v>
      </c>
      <c r="AT188" s="54" t="str">
        <f t="shared" si="281"/>
        <v>X</v>
      </c>
      <c r="AU188" s="54" t="str">
        <f t="shared" si="281"/>
        <v>X</v>
      </c>
      <c r="AV188" s="53"/>
      <c r="AW188" s="53"/>
      <c r="AX188" s="53"/>
      <c r="BC188" s="22"/>
      <c r="BF188" s="47"/>
    </row>
    <row r="189" spans="1:66">
      <c r="A189" s="250"/>
      <c r="B189" s="54" t="s">
        <v>658</v>
      </c>
      <c r="C189" s="54" t="str">
        <f t="shared" ref="C189:AU189" ca="1" si="282">IF(C11=27,"O",IF(C11=30,"O",IF(C11=33,"O",IF(C11=36,"O",IF(C11=39,"O",IF(C11=42,"O",IF(C11=45,"O","X")))))))</f>
        <v>X</v>
      </c>
      <c r="D189" s="54" t="str">
        <f t="shared" ca="1" si="282"/>
        <v>O</v>
      </c>
      <c r="E189" s="54" t="str">
        <f t="shared" ca="1" si="282"/>
        <v>X</v>
      </c>
      <c r="F189" s="54" t="str">
        <f t="shared" ca="1" si="282"/>
        <v>X</v>
      </c>
      <c r="G189" s="54" t="str">
        <f t="shared" ca="1" si="282"/>
        <v>X</v>
      </c>
      <c r="H189" s="54" t="str">
        <f t="shared" ca="1" si="282"/>
        <v>X</v>
      </c>
      <c r="I189" s="54" t="str">
        <f t="shared" ca="1" si="282"/>
        <v>X</v>
      </c>
      <c r="J189" s="54" t="str">
        <f t="shared" ca="1" si="282"/>
        <v>X</v>
      </c>
      <c r="K189" s="54" t="str">
        <f t="shared" ca="1" si="282"/>
        <v>X</v>
      </c>
      <c r="L189" s="54" t="str">
        <f t="shared" ca="1" si="282"/>
        <v>X</v>
      </c>
      <c r="M189" s="54" t="str">
        <f t="shared" ca="1" si="282"/>
        <v>X</v>
      </c>
      <c r="N189" s="54" t="str">
        <f t="shared" ca="1" si="282"/>
        <v>X</v>
      </c>
      <c r="O189" s="54" t="str">
        <f t="shared" ca="1" si="282"/>
        <v>X</v>
      </c>
      <c r="P189" s="54" t="str">
        <f t="shared" ca="1" si="282"/>
        <v>O</v>
      </c>
      <c r="Q189" s="54" t="str">
        <f t="shared" ca="1" si="282"/>
        <v>X</v>
      </c>
      <c r="R189" s="54" t="str">
        <f t="shared" si="282"/>
        <v>X</v>
      </c>
      <c r="S189" s="54" t="str">
        <f t="shared" si="282"/>
        <v>X</v>
      </c>
      <c r="T189" s="54" t="str">
        <f t="shared" si="282"/>
        <v>X</v>
      </c>
      <c r="U189" s="54" t="str">
        <f t="shared" si="282"/>
        <v>X</v>
      </c>
      <c r="V189" s="54" t="str">
        <f t="shared" si="282"/>
        <v>X</v>
      </c>
      <c r="W189" s="54" t="str">
        <f t="shared" si="282"/>
        <v>X</v>
      </c>
      <c r="X189" s="54" t="str">
        <f t="shared" si="282"/>
        <v>X</v>
      </c>
      <c r="Y189" s="54" t="str">
        <f t="shared" si="282"/>
        <v>X</v>
      </c>
      <c r="Z189" s="54" t="str">
        <f t="shared" si="282"/>
        <v>X</v>
      </c>
      <c r="AA189" s="54" t="str">
        <f t="shared" si="282"/>
        <v>X</v>
      </c>
      <c r="AB189" s="54" t="str">
        <f t="shared" si="282"/>
        <v>X</v>
      </c>
      <c r="AC189" s="54" t="str">
        <f t="shared" si="282"/>
        <v>X</v>
      </c>
      <c r="AD189" s="54" t="str">
        <f t="shared" si="282"/>
        <v>X</v>
      </c>
      <c r="AE189" s="54" t="str">
        <f t="shared" si="282"/>
        <v>X</v>
      </c>
      <c r="AF189" s="54" t="str">
        <f t="shared" si="282"/>
        <v>X</v>
      </c>
      <c r="AG189" s="54" t="str">
        <f t="shared" si="282"/>
        <v>X</v>
      </c>
      <c r="AH189" s="54" t="str">
        <f t="shared" si="282"/>
        <v>X</v>
      </c>
      <c r="AI189" s="54" t="str">
        <f t="shared" si="282"/>
        <v>X</v>
      </c>
      <c r="AJ189" s="54" t="str">
        <f t="shared" si="282"/>
        <v>X</v>
      </c>
      <c r="AK189" s="54" t="str">
        <f t="shared" si="282"/>
        <v>X</v>
      </c>
      <c r="AL189" s="54" t="str">
        <f t="shared" si="282"/>
        <v>X</v>
      </c>
      <c r="AM189" s="54" t="str">
        <f t="shared" si="282"/>
        <v>X</v>
      </c>
      <c r="AN189" s="54" t="str">
        <f t="shared" si="282"/>
        <v>X</v>
      </c>
      <c r="AO189" s="54" t="str">
        <f t="shared" si="282"/>
        <v>X</v>
      </c>
      <c r="AP189" s="54" t="str">
        <f t="shared" si="282"/>
        <v>X</v>
      </c>
      <c r="AQ189" s="54" t="str">
        <f t="shared" si="282"/>
        <v>X</v>
      </c>
      <c r="AR189" s="54" t="str">
        <f t="shared" si="282"/>
        <v>X</v>
      </c>
      <c r="AS189" s="54" t="str">
        <f t="shared" si="282"/>
        <v>X</v>
      </c>
      <c r="AT189" s="54" t="str">
        <f t="shared" si="282"/>
        <v>X</v>
      </c>
      <c r="AU189" s="54" t="str">
        <f t="shared" si="282"/>
        <v>X</v>
      </c>
      <c r="AV189" s="53"/>
      <c r="AW189" s="53"/>
      <c r="AX189" s="53"/>
      <c r="BC189" s="22"/>
      <c r="BF189" s="47"/>
      <c r="BI189"/>
    </row>
    <row r="190" spans="1:66">
      <c r="A190" s="250"/>
      <c r="B190" s="54" t="s">
        <v>659</v>
      </c>
      <c r="C190" s="54" t="str">
        <f t="shared" ref="C190:AU190" ca="1" si="283">IF(C12=27,"O",IF(C12=30,"O",IF(C12=33,"O",IF(C12=36,"O",IF(C12=39,"O",IF(C12=42,"O",IF(C12=45,"O","X")))))))</f>
        <v>X</v>
      </c>
      <c r="D190" s="54" t="str">
        <f t="shared" ca="1" si="283"/>
        <v>X</v>
      </c>
      <c r="E190" s="54" t="str">
        <f t="shared" ca="1" si="283"/>
        <v>O</v>
      </c>
      <c r="F190" s="54" t="str">
        <f t="shared" ca="1" si="283"/>
        <v>X</v>
      </c>
      <c r="G190" s="54" t="str">
        <f t="shared" ca="1" si="283"/>
        <v>X</v>
      </c>
      <c r="H190" s="54" t="str">
        <f t="shared" ca="1" si="283"/>
        <v>X</v>
      </c>
      <c r="I190" s="54" t="str">
        <f t="shared" ca="1" si="283"/>
        <v>X</v>
      </c>
      <c r="J190" s="54" t="str">
        <f t="shared" ca="1" si="283"/>
        <v>X</v>
      </c>
      <c r="K190" s="54" t="str">
        <f t="shared" ca="1" si="283"/>
        <v>X</v>
      </c>
      <c r="L190" s="54" t="str">
        <f t="shared" ca="1" si="283"/>
        <v>X</v>
      </c>
      <c r="M190" s="54" t="str">
        <f t="shared" ca="1" si="283"/>
        <v>X</v>
      </c>
      <c r="N190" s="54" t="str">
        <f t="shared" ca="1" si="283"/>
        <v>O</v>
      </c>
      <c r="O190" s="54" t="str">
        <f t="shared" ca="1" si="283"/>
        <v>X</v>
      </c>
      <c r="P190" s="54" t="str">
        <f t="shared" ca="1" si="283"/>
        <v>X</v>
      </c>
      <c r="Q190" s="54" t="str">
        <f t="shared" ca="1" si="283"/>
        <v>X</v>
      </c>
      <c r="R190" s="54" t="str">
        <f t="shared" si="283"/>
        <v>X</v>
      </c>
      <c r="S190" s="54" t="str">
        <f t="shared" si="283"/>
        <v>X</v>
      </c>
      <c r="T190" s="54" t="str">
        <f t="shared" si="283"/>
        <v>X</v>
      </c>
      <c r="U190" s="54" t="str">
        <f t="shared" si="283"/>
        <v>X</v>
      </c>
      <c r="V190" s="54" t="str">
        <f t="shared" si="283"/>
        <v>X</v>
      </c>
      <c r="W190" s="54" t="str">
        <f t="shared" si="283"/>
        <v>X</v>
      </c>
      <c r="X190" s="54" t="str">
        <f t="shared" si="283"/>
        <v>X</v>
      </c>
      <c r="Y190" s="54" t="str">
        <f t="shared" si="283"/>
        <v>X</v>
      </c>
      <c r="Z190" s="54" t="str">
        <f t="shared" si="283"/>
        <v>X</v>
      </c>
      <c r="AA190" s="54" t="str">
        <f t="shared" si="283"/>
        <v>X</v>
      </c>
      <c r="AB190" s="54" t="str">
        <f t="shared" si="283"/>
        <v>X</v>
      </c>
      <c r="AC190" s="54" t="str">
        <f t="shared" si="283"/>
        <v>X</v>
      </c>
      <c r="AD190" s="54" t="str">
        <f t="shared" si="283"/>
        <v>X</v>
      </c>
      <c r="AE190" s="54" t="str">
        <f t="shared" si="283"/>
        <v>X</v>
      </c>
      <c r="AF190" s="54" t="str">
        <f t="shared" si="283"/>
        <v>X</v>
      </c>
      <c r="AG190" s="54" t="str">
        <f t="shared" si="283"/>
        <v>X</v>
      </c>
      <c r="AH190" s="54" t="str">
        <f t="shared" si="283"/>
        <v>X</v>
      </c>
      <c r="AI190" s="54" t="str">
        <f t="shared" si="283"/>
        <v>X</v>
      </c>
      <c r="AJ190" s="54" t="str">
        <f t="shared" si="283"/>
        <v>X</v>
      </c>
      <c r="AK190" s="54" t="str">
        <f t="shared" si="283"/>
        <v>X</v>
      </c>
      <c r="AL190" s="54" t="str">
        <f t="shared" si="283"/>
        <v>X</v>
      </c>
      <c r="AM190" s="54" t="str">
        <f t="shared" si="283"/>
        <v>X</v>
      </c>
      <c r="AN190" s="54" t="str">
        <f t="shared" si="283"/>
        <v>X</v>
      </c>
      <c r="AO190" s="54" t="str">
        <f t="shared" si="283"/>
        <v>X</v>
      </c>
      <c r="AP190" s="54" t="str">
        <f t="shared" si="283"/>
        <v>X</v>
      </c>
      <c r="AQ190" s="54" t="str">
        <f t="shared" si="283"/>
        <v>X</v>
      </c>
      <c r="AR190" s="54" t="str">
        <f t="shared" si="283"/>
        <v>X</v>
      </c>
      <c r="AS190" s="54" t="str">
        <f t="shared" si="283"/>
        <v>X</v>
      </c>
      <c r="AT190" s="54" t="str">
        <f t="shared" si="283"/>
        <v>X</v>
      </c>
      <c r="AU190" s="54" t="str">
        <f t="shared" si="283"/>
        <v>X</v>
      </c>
      <c r="AV190" s="53"/>
      <c r="AW190" s="53"/>
      <c r="AX190" s="53"/>
      <c r="BC190" s="22"/>
      <c r="BF190" s="47"/>
      <c r="BI190"/>
    </row>
    <row r="191" spans="1:66">
      <c r="A191" s="250"/>
      <c r="B191" s="60" t="s">
        <v>666</v>
      </c>
      <c r="C191" s="55">
        <f ca="1">COUNTIF(C179:C190,"O")</f>
        <v>0</v>
      </c>
      <c r="D191" s="55">
        <f t="shared" ref="D191:Q191" ca="1" si="284">COUNTIF(D179:D190,"O")</f>
        <v>2</v>
      </c>
      <c r="E191" s="55">
        <f t="shared" ca="1" si="284"/>
        <v>2</v>
      </c>
      <c r="F191" s="55">
        <f t="shared" ca="1" si="284"/>
        <v>2</v>
      </c>
      <c r="G191" s="55">
        <f t="shared" ca="1" si="284"/>
        <v>2</v>
      </c>
      <c r="H191" s="55">
        <f t="shared" ca="1" si="284"/>
        <v>2</v>
      </c>
      <c r="I191" s="55">
        <f t="shared" ca="1" si="284"/>
        <v>3</v>
      </c>
      <c r="J191" s="55">
        <f t="shared" ca="1" si="284"/>
        <v>2</v>
      </c>
      <c r="K191" s="55">
        <f t="shared" ca="1" si="284"/>
        <v>2</v>
      </c>
      <c r="L191" s="55">
        <f t="shared" ca="1" si="284"/>
        <v>3</v>
      </c>
      <c r="M191" s="55">
        <f t="shared" ca="1" si="284"/>
        <v>2</v>
      </c>
      <c r="N191" s="55">
        <f t="shared" ca="1" si="284"/>
        <v>3</v>
      </c>
      <c r="O191" s="55">
        <f t="shared" ca="1" si="284"/>
        <v>0</v>
      </c>
      <c r="P191" s="55">
        <f t="shared" ca="1" si="284"/>
        <v>3</v>
      </c>
      <c r="Q191" s="55">
        <f t="shared" ca="1" si="284"/>
        <v>4</v>
      </c>
      <c r="R191" s="55">
        <f t="shared" ref="R191:AH191" si="285">COUNTIF(R179:R190,"O")</f>
        <v>0</v>
      </c>
      <c r="S191" s="55">
        <f t="shared" si="285"/>
        <v>0</v>
      </c>
      <c r="T191" s="55">
        <f t="shared" si="285"/>
        <v>0</v>
      </c>
      <c r="U191" s="55">
        <f t="shared" si="285"/>
        <v>0</v>
      </c>
      <c r="V191" s="55">
        <f t="shared" si="285"/>
        <v>0</v>
      </c>
      <c r="W191" s="55">
        <f t="shared" si="285"/>
        <v>0</v>
      </c>
      <c r="X191" s="55">
        <f t="shared" si="285"/>
        <v>0</v>
      </c>
      <c r="Y191" s="55">
        <f t="shared" si="285"/>
        <v>0</v>
      </c>
      <c r="Z191" s="55">
        <f t="shared" si="285"/>
        <v>0</v>
      </c>
      <c r="AA191" s="55">
        <f t="shared" si="285"/>
        <v>0</v>
      </c>
      <c r="AB191" s="55">
        <f t="shared" si="285"/>
        <v>0</v>
      </c>
      <c r="AC191" s="55">
        <f t="shared" si="285"/>
        <v>0</v>
      </c>
      <c r="AD191" s="55">
        <f t="shared" si="285"/>
        <v>0</v>
      </c>
      <c r="AE191" s="55">
        <f t="shared" si="285"/>
        <v>0</v>
      </c>
      <c r="AF191" s="55">
        <f t="shared" si="285"/>
        <v>0</v>
      </c>
      <c r="AG191" s="55">
        <f t="shared" si="285"/>
        <v>0</v>
      </c>
      <c r="AH191" s="55">
        <f t="shared" si="285"/>
        <v>0</v>
      </c>
      <c r="AI191" s="55">
        <f>COUNTIF(AI179:AI190,"O")</f>
        <v>0</v>
      </c>
      <c r="AJ191" s="55">
        <f>COUNTIF(AJ179:AJ190,"O")</f>
        <v>0</v>
      </c>
      <c r="AK191" s="55">
        <f>COUNTIF(AK179:AK190,"O")</f>
        <v>0</v>
      </c>
      <c r="AL191" s="55">
        <f t="shared" ref="AL191:AU191" si="286">COUNTIF(AL179:AL190,"O")</f>
        <v>0</v>
      </c>
      <c r="AM191" s="55">
        <f t="shared" si="286"/>
        <v>0</v>
      </c>
      <c r="AN191" s="55">
        <f t="shared" si="286"/>
        <v>0</v>
      </c>
      <c r="AO191" s="55">
        <f t="shared" si="286"/>
        <v>0</v>
      </c>
      <c r="AP191" s="55">
        <f t="shared" si="286"/>
        <v>0</v>
      </c>
      <c r="AQ191" s="55">
        <f t="shared" si="286"/>
        <v>0</v>
      </c>
      <c r="AR191" s="55">
        <f t="shared" si="286"/>
        <v>0</v>
      </c>
      <c r="AS191" s="55">
        <f t="shared" si="286"/>
        <v>0</v>
      </c>
      <c r="AT191" s="55">
        <f t="shared" si="286"/>
        <v>0</v>
      </c>
      <c r="AU191" s="55">
        <f t="shared" si="286"/>
        <v>0</v>
      </c>
      <c r="AV191" s="171"/>
      <c r="AW191" s="171"/>
      <c r="AX191" s="171"/>
      <c r="BI191"/>
    </row>
    <row r="192" spans="1:66">
      <c r="A192" s="250" t="s">
        <v>668</v>
      </c>
      <c r="B192" s="54" t="s">
        <v>565</v>
      </c>
      <c r="C192" s="54" t="str">
        <f t="shared" ref="C192:AU192" ca="1" si="287">IF(C7=1,"O",IF(C7=4,"O",IF(C7=8,"O",IF(C7=10,"O",IF(C7=14,"O",IF(C7=16,"O",IF(C7=20,"O",IF(C7=22,"O","X"))))))))</f>
        <v>X</v>
      </c>
      <c r="D192" s="54" t="str">
        <f t="shared" ca="1" si="287"/>
        <v>O</v>
      </c>
      <c r="E192" s="54" t="str">
        <f t="shared" ca="1" si="287"/>
        <v>X</v>
      </c>
      <c r="F192" s="54" t="str">
        <f t="shared" ca="1" si="287"/>
        <v>X</v>
      </c>
      <c r="G192" s="54" t="str">
        <f t="shared" ca="1" si="287"/>
        <v>X</v>
      </c>
      <c r="H192" s="54" t="str">
        <f t="shared" ca="1" si="287"/>
        <v>X</v>
      </c>
      <c r="I192" s="54" t="str">
        <f t="shared" ca="1" si="287"/>
        <v>X</v>
      </c>
      <c r="J192" s="54" t="str">
        <f t="shared" ca="1" si="287"/>
        <v>X</v>
      </c>
      <c r="K192" s="54" t="str">
        <f t="shared" ca="1" si="287"/>
        <v>X</v>
      </c>
      <c r="L192" s="54" t="str">
        <f t="shared" ca="1" si="287"/>
        <v>X</v>
      </c>
      <c r="M192" s="54" t="str">
        <f t="shared" ca="1" si="287"/>
        <v>X</v>
      </c>
      <c r="N192" s="54" t="str">
        <f t="shared" ca="1" si="287"/>
        <v>X</v>
      </c>
      <c r="O192" s="54" t="str">
        <f t="shared" ca="1" si="287"/>
        <v>X</v>
      </c>
      <c r="P192" s="54" t="str">
        <f t="shared" ca="1" si="287"/>
        <v>X</v>
      </c>
      <c r="Q192" s="54" t="str">
        <f t="shared" ca="1" si="287"/>
        <v>X</v>
      </c>
      <c r="R192" s="54" t="str">
        <f t="shared" si="287"/>
        <v>X</v>
      </c>
      <c r="S192" s="54" t="str">
        <f t="shared" si="287"/>
        <v>X</v>
      </c>
      <c r="T192" s="54" t="str">
        <f t="shared" si="287"/>
        <v>X</v>
      </c>
      <c r="U192" s="54" t="str">
        <f t="shared" si="287"/>
        <v>X</v>
      </c>
      <c r="V192" s="54" t="str">
        <f t="shared" si="287"/>
        <v>X</v>
      </c>
      <c r="W192" s="54" t="str">
        <f t="shared" si="287"/>
        <v>X</v>
      </c>
      <c r="X192" s="54" t="str">
        <f t="shared" si="287"/>
        <v>X</v>
      </c>
      <c r="Y192" s="54" t="str">
        <f t="shared" si="287"/>
        <v>X</v>
      </c>
      <c r="Z192" s="54" t="str">
        <f t="shared" si="287"/>
        <v>X</v>
      </c>
      <c r="AA192" s="54" t="str">
        <f t="shared" si="287"/>
        <v>X</v>
      </c>
      <c r="AB192" s="54" t="str">
        <f t="shared" si="287"/>
        <v>X</v>
      </c>
      <c r="AC192" s="54" t="str">
        <f t="shared" si="287"/>
        <v>X</v>
      </c>
      <c r="AD192" s="54" t="str">
        <f t="shared" si="287"/>
        <v>X</v>
      </c>
      <c r="AE192" s="54" t="str">
        <f t="shared" si="287"/>
        <v>X</v>
      </c>
      <c r="AF192" s="54" t="str">
        <f t="shared" si="287"/>
        <v>X</v>
      </c>
      <c r="AG192" s="54" t="str">
        <f t="shared" si="287"/>
        <v>X</v>
      </c>
      <c r="AH192" s="54" t="str">
        <f t="shared" si="287"/>
        <v>X</v>
      </c>
      <c r="AI192" s="54" t="str">
        <f t="shared" si="287"/>
        <v>X</v>
      </c>
      <c r="AJ192" s="54" t="str">
        <f t="shared" si="287"/>
        <v>X</v>
      </c>
      <c r="AK192" s="54" t="str">
        <f t="shared" si="287"/>
        <v>X</v>
      </c>
      <c r="AL192" s="54" t="str">
        <f t="shared" si="287"/>
        <v>X</v>
      </c>
      <c r="AM192" s="54" t="str">
        <f t="shared" si="287"/>
        <v>X</v>
      </c>
      <c r="AN192" s="54" t="str">
        <f t="shared" si="287"/>
        <v>X</v>
      </c>
      <c r="AO192" s="54" t="str">
        <f t="shared" si="287"/>
        <v>X</v>
      </c>
      <c r="AP192" s="54" t="str">
        <f t="shared" si="287"/>
        <v>X</v>
      </c>
      <c r="AQ192" s="54" t="str">
        <f t="shared" si="287"/>
        <v>X</v>
      </c>
      <c r="AR192" s="54" t="str">
        <f t="shared" si="287"/>
        <v>X</v>
      </c>
      <c r="AS192" s="54" t="str">
        <f t="shared" si="287"/>
        <v>X</v>
      </c>
      <c r="AT192" s="54" t="str">
        <f t="shared" si="287"/>
        <v>X</v>
      </c>
      <c r="AU192" s="54" t="str">
        <f t="shared" si="287"/>
        <v>X</v>
      </c>
      <c r="AV192" s="53"/>
      <c r="AW192" s="53"/>
      <c r="AX192" s="53"/>
      <c r="BI192"/>
    </row>
    <row r="193" spans="1:64">
      <c r="A193" s="250"/>
      <c r="B193" s="54" t="s">
        <v>566</v>
      </c>
      <c r="C193" s="54" t="str">
        <f t="shared" ref="C193:AU193" ca="1" si="288">IF(C8=1,"O",IF(C8=4,"O",IF(C8=8,"O",IF(C8=10,"O",IF(C8=14,"O",IF(C8=16,"O",IF(C8=20,"O",IF(C8=22,"O","X"))))))))</f>
        <v>O</v>
      </c>
      <c r="D193" s="54" t="str">
        <f t="shared" ca="1" si="288"/>
        <v>X</v>
      </c>
      <c r="E193" s="54" t="str">
        <f t="shared" ca="1" si="288"/>
        <v>X</v>
      </c>
      <c r="F193" s="54" t="str">
        <f t="shared" ca="1" si="288"/>
        <v>X</v>
      </c>
      <c r="G193" s="54" t="str">
        <f t="shared" ca="1" si="288"/>
        <v>X</v>
      </c>
      <c r="H193" s="54" t="str">
        <f t="shared" ca="1" si="288"/>
        <v>X</v>
      </c>
      <c r="I193" s="54" t="str">
        <f t="shared" ca="1" si="288"/>
        <v>X</v>
      </c>
      <c r="J193" s="54" t="str">
        <f t="shared" ca="1" si="288"/>
        <v>X</v>
      </c>
      <c r="K193" s="54" t="str">
        <f t="shared" ca="1" si="288"/>
        <v>X</v>
      </c>
      <c r="L193" s="54" t="str">
        <f t="shared" ca="1" si="288"/>
        <v>X</v>
      </c>
      <c r="M193" s="54" t="str">
        <f t="shared" ca="1" si="288"/>
        <v>X</v>
      </c>
      <c r="N193" s="54" t="str">
        <f t="shared" ca="1" si="288"/>
        <v>X</v>
      </c>
      <c r="O193" s="54" t="str">
        <f t="shared" ca="1" si="288"/>
        <v>X</v>
      </c>
      <c r="P193" s="54" t="str">
        <f t="shared" ca="1" si="288"/>
        <v>X</v>
      </c>
      <c r="Q193" s="54" t="str">
        <f t="shared" ca="1" si="288"/>
        <v>X</v>
      </c>
      <c r="R193" s="54" t="str">
        <f t="shared" si="288"/>
        <v>X</v>
      </c>
      <c r="S193" s="54" t="str">
        <f t="shared" si="288"/>
        <v>X</v>
      </c>
      <c r="T193" s="54" t="str">
        <f t="shared" si="288"/>
        <v>X</v>
      </c>
      <c r="U193" s="54" t="str">
        <f t="shared" si="288"/>
        <v>X</v>
      </c>
      <c r="V193" s="54" t="str">
        <f t="shared" si="288"/>
        <v>X</v>
      </c>
      <c r="W193" s="54" t="str">
        <f t="shared" si="288"/>
        <v>X</v>
      </c>
      <c r="X193" s="54" t="str">
        <f t="shared" si="288"/>
        <v>X</v>
      </c>
      <c r="Y193" s="54" t="str">
        <f t="shared" si="288"/>
        <v>X</v>
      </c>
      <c r="Z193" s="54" t="str">
        <f t="shared" si="288"/>
        <v>X</v>
      </c>
      <c r="AA193" s="54" t="str">
        <f t="shared" si="288"/>
        <v>X</v>
      </c>
      <c r="AB193" s="54" t="str">
        <f t="shared" si="288"/>
        <v>X</v>
      </c>
      <c r="AC193" s="54" t="str">
        <f t="shared" si="288"/>
        <v>X</v>
      </c>
      <c r="AD193" s="54" t="str">
        <f t="shared" si="288"/>
        <v>X</v>
      </c>
      <c r="AE193" s="54" t="str">
        <f t="shared" si="288"/>
        <v>X</v>
      </c>
      <c r="AF193" s="54" t="str">
        <f t="shared" si="288"/>
        <v>X</v>
      </c>
      <c r="AG193" s="54" t="str">
        <f t="shared" si="288"/>
        <v>X</v>
      </c>
      <c r="AH193" s="54" t="str">
        <f t="shared" si="288"/>
        <v>X</v>
      </c>
      <c r="AI193" s="54" t="str">
        <f t="shared" si="288"/>
        <v>X</v>
      </c>
      <c r="AJ193" s="54" t="str">
        <f t="shared" si="288"/>
        <v>X</v>
      </c>
      <c r="AK193" s="54" t="str">
        <f t="shared" si="288"/>
        <v>X</v>
      </c>
      <c r="AL193" s="54" t="str">
        <f t="shared" si="288"/>
        <v>X</v>
      </c>
      <c r="AM193" s="54" t="str">
        <f t="shared" si="288"/>
        <v>X</v>
      </c>
      <c r="AN193" s="54" t="str">
        <f t="shared" si="288"/>
        <v>X</v>
      </c>
      <c r="AO193" s="54" t="str">
        <f t="shared" si="288"/>
        <v>X</v>
      </c>
      <c r="AP193" s="54" t="str">
        <f t="shared" si="288"/>
        <v>X</v>
      </c>
      <c r="AQ193" s="54" t="str">
        <f t="shared" si="288"/>
        <v>X</v>
      </c>
      <c r="AR193" s="54" t="str">
        <f t="shared" si="288"/>
        <v>X</v>
      </c>
      <c r="AS193" s="54" t="str">
        <f t="shared" si="288"/>
        <v>X</v>
      </c>
      <c r="AT193" s="54" t="str">
        <f t="shared" si="288"/>
        <v>X</v>
      </c>
      <c r="AU193" s="54" t="str">
        <f t="shared" si="288"/>
        <v>X</v>
      </c>
      <c r="AV193" s="53"/>
      <c r="AW193" s="53"/>
      <c r="AX193" s="53"/>
      <c r="BI193"/>
    </row>
    <row r="194" spans="1:64">
      <c r="A194" s="250"/>
      <c r="B194" s="54" t="s">
        <v>567</v>
      </c>
      <c r="C194" s="54" t="str">
        <f t="shared" ref="C194:AU194" ca="1" si="289">IF(C9=1,"O",IF(C9=4,"O",IF(C9=8,"O",IF(C9=10,"O",IF(C9=14,"O",IF(C9=16,"O",IF(C9=20,"O",IF(C9=22,"O","X"))))))))</f>
        <v>X</v>
      </c>
      <c r="D194" s="54" t="str">
        <f t="shared" ca="1" si="289"/>
        <v>X</v>
      </c>
      <c r="E194" s="54" t="str">
        <f t="shared" ca="1" si="289"/>
        <v>X</v>
      </c>
      <c r="F194" s="54" t="str">
        <f t="shared" ca="1" si="289"/>
        <v>X</v>
      </c>
      <c r="G194" s="54" t="str">
        <f t="shared" ca="1" si="289"/>
        <v>O</v>
      </c>
      <c r="H194" s="54" t="str">
        <f t="shared" ca="1" si="289"/>
        <v>X</v>
      </c>
      <c r="I194" s="54" t="str">
        <f t="shared" ca="1" si="289"/>
        <v>X</v>
      </c>
      <c r="J194" s="54" t="str">
        <f t="shared" ca="1" si="289"/>
        <v>X</v>
      </c>
      <c r="K194" s="54" t="str">
        <f t="shared" ca="1" si="289"/>
        <v>X</v>
      </c>
      <c r="L194" s="54" t="str">
        <f t="shared" ca="1" si="289"/>
        <v>X</v>
      </c>
      <c r="M194" s="54" t="str">
        <f t="shared" ca="1" si="289"/>
        <v>X</v>
      </c>
      <c r="N194" s="54" t="str">
        <f t="shared" ca="1" si="289"/>
        <v>X</v>
      </c>
      <c r="O194" s="54" t="str">
        <f t="shared" ca="1" si="289"/>
        <v>X</v>
      </c>
      <c r="P194" s="54" t="str">
        <f t="shared" ca="1" si="289"/>
        <v>O</v>
      </c>
      <c r="Q194" s="54" t="str">
        <f t="shared" ca="1" si="289"/>
        <v>O</v>
      </c>
      <c r="R194" s="54" t="str">
        <f t="shared" si="289"/>
        <v>X</v>
      </c>
      <c r="S194" s="54" t="str">
        <f t="shared" si="289"/>
        <v>X</v>
      </c>
      <c r="T194" s="54" t="str">
        <f t="shared" si="289"/>
        <v>X</v>
      </c>
      <c r="U194" s="54" t="str">
        <f t="shared" si="289"/>
        <v>X</v>
      </c>
      <c r="V194" s="54" t="str">
        <f t="shared" si="289"/>
        <v>X</v>
      </c>
      <c r="W194" s="54" t="str">
        <f t="shared" si="289"/>
        <v>X</v>
      </c>
      <c r="X194" s="54" t="str">
        <f t="shared" si="289"/>
        <v>X</v>
      </c>
      <c r="Y194" s="54" t="str">
        <f t="shared" si="289"/>
        <v>X</v>
      </c>
      <c r="Z194" s="54" t="str">
        <f t="shared" si="289"/>
        <v>X</v>
      </c>
      <c r="AA194" s="54" t="str">
        <f t="shared" si="289"/>
        <v>X</v>
      </c>
      <c r="AB194" s="54" t="str">
        <f t="shared" si="289"/>
        <v>X</v>
      </c>
      <c r="AC194" s="54" t="str">
        <f t="shared" si="289"/>
        <v>X</v>
      </c>
      <c r="AD194" s="54" t="str">
        <f t="shared" si="289"/>
        <v>X</v>
      </c>
      <c r="AE194" s="54" t="str">
        <f t="shared" si="289"/>
        <v>X</v>
      </c>
      <c r="AF194" s="54" t="str">
        <f t="shared" si="289"/>
        <v>X</v>
      </c>
      <c r="AG194" s="54" t="str">
        <f t="shared" si="289"/>
        <v>X</v>
      </c>
      <c r="AH194" s="54" t="str">
        <f t="shared" si="289"/>
        <v>X</v>
      </c>
      <c r="AI194" s="54" t="str">
        <f t="shared" si="289"/>
        <v>X</v>
      </c>
      <c r="AJ194" s="54" t="str">
        <f t="shared" si="289"/>
        <v>X</v>
      </c>
      <c r="AK194" s="54" t="str">
        <f t="shared" si="289"/>
        <v>X</v>
      </c>
      <c r="AL194" s="54" t="str">
        <f t="shared" si="289"/>
        <v>X</v>
      </c>
      <c r="AM194" s="54" t="str">
        <f t="shared" si="289"/>
        <v>X</v>
      </c>
      <c r="AN194" s="54" t="str">
        <f t="shared" si="289"/>
        <v>X</v>
      </c>
      <c r="AO194" s="54" t="str">
        <f t="shared" si="289"/>
        <v>X</v>
      </c>
      <c r="AP194" s="54" t="str">
        <f t="shared" si="289"/>
        <v>X</v>
      </c>
      <c r="AQ194" s="54" t="str">
        <f t="shared" si="289"/>
        <v>X</v>
      </c>
      <c r="AR194" s="54" t="str">
        <f t="shared" si="289"/>
        <v>X</v>
      </c>
      <c r="AS194" s="54" t="str">
        <f t="shared" si="289"/>
        <v>X</v>
      </c>
      <c r="AT194" s="54" t="str">
        <f t="shared" si="289"/>
        <v>X</v>
      </c>
      <c r="AU194" s="54" t="str">
        <f t="shared" si="289"/>
        <v>X</v>
      </c>
      <c r="AV194" s="53"/>
      <c r="AW194" s="53"/>
      <c r="AX194" s="53"/>
      <c r="BI194"/>
    </row>
    <row r="195" spans="1:64">
      <c r="A195" s="250"/>
      <c r="B195" s="54" t="s">
        <v>568</v>
      </c>
      <c r="C195" s="54" t="str">
        <f t="shared" ref="C195:AU195" ca="1" si="290">IF(C10=1,"O",IF(C10=4,"O",IF(C10=8,"O",IF(C10=10,"O",IF(C10=14,"O",IF(C10=16,"O",IF(C10=20,"O",IF(C10=22,"O","X"))))))))</f>
        <v>X</v>
      </c>
      <c r="D195" s="54" t="str">
        <f t="shared" ca="1" si="290"/>
        <v>O</v>
      </c>
      <c r="E195" s="54" t="str">
        <f t="shared" ca="1" si="290"/>
        <v>X</v>
      </c>
      <c r="F195" s="54" t="str">
        <f t="shared" ca="1" si="290"/>
        <v>X</v>
      </c>
      <c r="G195" s="54" t="str">
        <f t="shared" ca="1" si="290"/>
        <v>X</v>
      </c>
      <c r="H195" s="54" t="str">
        <f t="shared" ca="1" si="290"/>
        <v>O</v>
      </c>
      <c r="I195" s="54" t="str">
        <f t="shared" ca="1" si="290"/>
        <v>X</v>
      </c>
      <c r="J195" s="54" t="str">
        <f t="shared" ca="1" si="290"/>
        <v>X</v>
      </c>
      <c r="K195" s="54" t="str">
        <f t="shared" ca="1" si="290"/>
        <v>X</v>
      </c>
      <c r="L195" s="54" t="str">
        <f t="shared" ca="1" si="290"/>
        <v>X</v>
      </c>
      <c r="M195" s="54" t="str">
        <f t="shared" ca="1" si="290"/>
        <v>O</v>
      </c>
      <c r="N195" s="54" t="str">
        <f t="shared" ca="1" si="290"/>
        <v>X</v>
      </c>
      <c r="O195" s="54" t="str">
        <f t="shared" ca="1" si="290"/>
        <v>X</v>
      </c>
      <c r="P195" s="54" t="str">
        <f t="shared" ca="1" si="290"/>
        <v>X</v>
      </c>
      <c r="Q195" s="54" t="str">
        <f t="shared" ca="1" si="290"/>
        <v>X</v>
      </c>
      <c r="R195" s="54" t="str">
        <f t="shared" si="290"/>
        <v>X</v>
      </c>
      <c r="S195" s="54" t="str">
        <f t="shared" si="290"/>
        <v>X</v>
      </c>
      <c r="T195" s="54" t="str">
        <f t="shared" si="290"/>
        <v>X</v>
      </c>
      <c r="U195" s="54" t="str">
        <f t="shared" si="290"/>
        <v>X</v>
      </c>
      <c r="V195" s="54" t="str">
        <f t="shared" si="290"/>
        <v>X</v>
      </c>
      <c r="W195" s="54" t="str">
        <f t="shared" si="290"/>
        <v>X</v>
      </c>
      <c r="X195" s="54" t="str">
        <f t="shared" si="290"/>
        <v>X</v>
      </c>
      <c r="Y195" s="54" t="str">
        <f t="shared" si="290"/>
        <v>X</v>
      </c>
      <c r="Z195" s="54" t="str">
        <f t="shared" si="290"/>
        <v>X</v>
      </c>
      <c r="AA195" s="54" t="str">
        <f t="shared" si="290"/>
        <v>X</v>
      </c>
      <c r="AB195" s="54" t="str">
        <f t="shared" si="290"/>
        <v>X</v>
      </c>
      <c r="AC195" s="54" t="str">
        <f t="shared" si="290"/>
        <v>X</v>
      </c>
      <c r="AD195" s="54" t="str">
        <f t="shared" si="290"/>
        <v>X</v>
      </c>
      <c r="AE195" s="54" t="str">
        <f t="shared" si="290"/>
        <v>X</v>
      </c>
      <c r="AF195" s="54" t="str">
        <f t="shared" si="290"/>
        <v>X</v>
      </c>
      <c r="AG195" s="54" t="str">
        <f t="shared" si="290"/>
        <v>X</v>
      </c>
      <c r="AH195" s="54" t="str">
        <f t="shared" si="290"/>
        <v>X</v>
      </c>
      <c r="AI195" s="54" t="str">
        <f t="shared" si="290"/>
        <v>X</v>
      </c>
      <c r="AJ195" s="54" t="str">
        <f t="shared" si="290"/>
        <v>X</v>
      </c>
      <c r="AK195" s="54" t="str">
        <f t="shared" si="290"/>
        <v>X</v>
      </c>
      <c r="AL195" s="54" t="str">
        <f t="shared" si="290"/>
        <v>X</v>
      </c>
      <c r="AM195" s="54" t="str">
        <f t="shared" si="290"/>
        <v>X</v>
      </c>
      <c r="AN195" s="54" t="str">
        <f t="shared" si="290"/>
        <v>X</v>
      </c>
      <c r="AO195" s="54" t="str">
        <f t="shared" si="290"/>
        <v>X</v>
      </c>
      <c r="AP195" s="54" t="str">
        <f t="shared" si="290"/>
        <v>X</v>
      </c>
      <c r="AQ195" s="54" t="str">
        <f t="shared" si="290"/>
        <v>X</v>
      </c>
      <c r="AR195" s="54" t="str">
        <f t="shared" si="290"/>
        <v>X</v>
      </c>
      <c r="AS195" s="54" t="str">
        <f t="shared" si="290"/>
        <v>X</v>
      </c>
      <c r="AT195" s="54" t="str">
        <f t="shared" si="290"/>
        <v>X</v>
      </c>
      <c r="AU195" s="54" t="str">
        <f t="shared" si="290"/>
        <v>X</v>
      </c>
      <c r="AV195" s="53"/>
      <c r="AW195" s="53"/>
      <c r="AX195" s="53"/>
      <c r="BI195"/>
    </row>
    <row r="196" spans="1:64">
      <c r="A196" s="250"/>
      <c r="B196" s="54" t="s">
        <v>569</v>
      </c>
      <c r="C196" s="54" t="str">
        <f t="shared" ref="C196:AU196" ca="1" si="291">IF(C11=1,"O",IF(C11=4,"O",IF(C11=8,"O",IF(C11=10,"O",IF(C11=14,"O",IF(C11=16,"O",IF(C11=20,"O",IF(C11=22,"O","X"))))))))</f>
        <v>O</v>
      </c>
      <c r="D196" s="54" t="str">
        <f t="shared" ca="1" si="291"/>
        <v>X</v>
      </c>
      <c r="E196" s="54" t="str">
        <f t="shared" ca="1" si="291"/>
        <v>X</v>
      </c>
      <c r="F196" s="54" t="str">
        <f t="shared" ca="1" si="291"/>
        <v>X</v>
      </c>
      <c r="G196" s="54" t="str">
        <f t="shared" ca="1" si="291"/>
        <v>X</v>
      </c>
      <c r="H196" s="54" t="str">
        <f t="shared" ca="1" si="291"/>
        <v>X</v>
      </c>
      <c r="I196" s="54" t="str">
        <f t="shared" ca="1" si="291"/>
        <v>X</v>
      </c>
      <c r="J196" s="54" t="str">
        <f t="shared" ca="1" si="291"/>
        <v>O</v>
      </c>
      <c r="K196" s="54" t="str">
        <f t="shared" ca="1" si="291"/>
        <v>X</v>
      </c>
      <c r="L196" s="54" t="str">
        <f t="shared" ca="1" si="291"/>
        <v>X</v>
      </c>
      <c r="M196" s="54" t="str">
        <f t="shared" ca="1" si="291"/>
        <v>X</v>
      </c>
      <c r="N196" s="54" t="str">
        <f t="shared" ca="1" si="291"/>
        <v>X</v>
      </c>
      <c r="O196" s="54" t="str">
        <f t="shared" ca="1" si="291"/>
        <v>X</v>
      </c>
      <c r="P196" s="54" t="str">
        <f t="shared" ca="1" si="291"/>
        <v>X</v>
      </c>
      <c r="Q196" s="54" t="str">
        <f t="shared" ca="1" si="291"/>
        <v>X</v>
      </c>
      <c r="R196" s="54" t="str">
        <f t="shared" si="291"/>
        <v>X</v>
      </c>
      <c r="S196" s="54" t="str">
        <f t="shared" si="291"/>
        <v>X</v>
      </c>
      <c r="T196" s="54" t="str">
        <f t="shared" si="291"/>
        <v>X</v>
      </c>
      <c r="U196" s="54" t="str">
        <f t="shared" si="291"/>
        <v>X</v>
      </c>
      <c r="V196" s="54" t="str">
        <f t="shared" si="291"/>
        <v>X</v>
      </c>
      <c r="W196" s="54" t="str">
        <f t="shared" si="291"/>
        <v>X</v>
      </c>
      <c r="X196" s="54" t="str">
        <f t="shared" si="291"/>
        <v>X</v>
      </c>
      <c r="Y196" s="54" t="str">
        <f t="shared" si="291"/>
        <v>X</v>
      </c>
      <c r="Z196" s="54" t="str">
        <f t="shared" si="291"/>
        <v>X</v>
      </c>
      <c r="AA196" s="54" t="str">
        <f t="shared" si="291"/>
        <v>X</v>
      </c>
      <c r="AB196" s="54" t="str">
        <f t="shared" si="291"/>
        <v>X</v>
      </c>
      <c r="AC196" s="54" t="str">
        <f t="shared" si="291"/>
        <v>X</v>
      </c>
      <c r="AD196" s="54" t="str">
        <f t="shared" si="291"/>
        <v>X</v>
      </c>
      <c r="AE196" s="54" t="str">
        <f t="shared" si="291"/>
        <v>X</v>
      </c>
      <c r="AF196" s="54" t="str">
        <f t="shared" si="291"/>
        <v>X</v>
      </c>
      <c r="AG196" s="54" t="str">
        <f t="shared" si="291"/>
        <v>X</v>
      </c>
      <c r="AH196" s="54" t="str">
        <f t="shared" si="291"/>
        <v>X</v>
      </c>
      <c r="AI196" s="54" t="str">
        <f t="shared" si="291"/>
        <v>X</v>
      </c>
      <c r="AJ196" s="54" t="str">
        <f t="shared" si="291"/>
        <v>X</v>
      </c>
      <c r="AK196" s="54" t="str">
        <f t="shared" si="291"/>
        <v>X</v>
      </c>
      <c r="AL196" s="54" t="str">
        <f t="shared" si="291"/>
        <v>X</v>
      </c>
      <c r="AM196" s="54" t="str">
        <f t="shared" si="291"/>
        <v>X</v>
      </c>
      <c r="AN196" s="54" t="str">
        <f t="shared" si="291"/>
        <v>X</v>
      </c>
      <c r="AO196" s="54" t="str">
        <f t="shared" si="291"/>
        <v>X</v>
      </c>
      <c r="AP196" s="54" t="str">
        <f t="shared" si="291"/>
        <v>X</v>
      </c>
      <c r="AQ196" s="54" t="str">
        <f t="shared" si="291"/>
        <v>X</v>
      </c>
      <c r="AR196" s="54" t="str">
        <f t="shared" si="291"/>
        <v>X</v>
      </c>
      <c r="AS196" s="54" t="str">
        <f t="shared" si="291"/>
        <v>X</v>
      </c>
      <c r="AT196" s="54" t="str">
        <f t="shared" si="291"/>
        <v>X</v>
      </c>
      <c r="AU196" s="54" t="str">
        <f t="shared" si="291"/>
        <v>X</v>
      </c>
      <c r="AV196" s="53"/>
      <c r="AW196" s="53"/>
      <c r="AX196" s="53"/>
      <c r="BI196" s="22"/>
    </row>
    <row r="197" spans="1:64">
      <c r="A197" s="250"/>
      <c r="B197" s="66" t="s">
        <v>540</v>
      </c>
      <c r="C197" s="66" t="str">
        <f t="shared" ref="C197:AU197" ca="1" si="292">IF(C12=1,"O",IF(C12=4,"O",IF(C12=8,"O",IF(C12=10,"O",IF(C12=14,"O",IF(C12=16,"O",IF(C12=20,"O",IF(C12=22,"O","X"))))))))</f>
        <v>O</v>
      </c>
      <c r="D197" s="66" t="str">
        <f t="shared" ca="1" si="292"/>
        <v>X</v>
      </c>
      <c r="E197" s="66" t="str">
        <f t="shared" ca="1" si="292"/>
        <v>X</v>
      </c>
      <c r="F197" s="66" t="str">
        <f t="shared" ca="1" si="292"/>
        <v>X</v>
      </c>
      <c r="G197" s="66" t="str">
        <f t="shared" ca="1" si="292"/>
        <v>X</v>
      </c>
      <c r="H197" s="66" t="str">
        <f t="shared" ca="1" si="292"/>
        <v>X</v>
      </c>
      <c r="I197" s="66" t="str">
        <f t="shared" ca="1" si="292"/>
        <v>X</v>
      </c>
      <c r="J197" s="66" t="str">
        <f t="shared" ca="1" si="292"/>
        <v>X</v>
      </c>
      <c r="K197" s="66" t="str">
        <f t="shared" ca="1" si="292"/>
        <v>X</v>
      </c>
      <c r="L197" s="66" t="str">
        <f t="shared" ca="1" si="292"/>
        <v>X</v>
      </c>
      <c r="M197" s="66" t="str">
        <f t="shared" ca="1" si="292"/>
        <v>X</v>
      </c>
      <c r="N197" s="66" t="str">
        <f t="shared" ca="1" si="292"/>
        <v>X</v>
      </c>
      <c r="O197" s="66" t="str">
        <f t="shared" ca="1" si="292"/>
        <v>X</v>
      </c>
      <c r="P197" s="66" t="str">
        <f t="shared" ca="1" si="292"/>
        <v>O</v>
      </c>
      <c r="Q197" s="66" t="str">
        <f t="shared" ca="1" si="292"/>
        <v>X</v>
      </c>
      <c r="R197" s="66" t="str">
        <f t="shared" si="292"/>
        <v>X</v>
      </c>
      <c r="S197" s="66" t="str">
        <f t="shared" si="292"/>
        <v>X</v>
      </c>
      <c r="T197" s="66" t="str">
        <f t="shared" si="292"/>
        <v>X</v>
      </c>
      <c r="U197" s="66" t="str">
        <f t="shared" si="292"/>
        <v>X</v>
      </c>
      <c r="V197" s="66" t="str">
        <f t="shared" si="292"/>
        <v>X</v>
      </c>
      <c r="W197" s="66" t="str">
        <f t="shared" si="292"/>
        <v>X</v>
      </c>
      <c r="X197" s="66" t="str">
        <f t="shared" si="292"/>
        <v>X</v>
      </c>
      <c r="Y197" s="66" t="str">
        <f t="shared" si="292"/>
        <v>X</v>
      </c>
      <c r="Z197" s="66" t="str">
        <f t="shared" si="292"/>
        <v>X</v>
      </c>
      <c r="AA197" s="66" t="str">
        <f t="shared" si="292"/>
        <v>X</v>
      </c>
      <c r="AB197" s="66" t="str">
        <f t="shared" si="292"/>
        <v>X</v>
      </c>
      <c r="AC197" s="66" t="str">
        <f t="shared" si="292"/>
        <v>X</v>
      </c>
      <c r="AD197" s="66" t="str">
        <f t="shared" si="292"/>
        <v>X</v>
      </c>
      <c r="AE197" s="66" t="str">
        <f t="shared" si="292"/>
        <v>X</v>
      </c>
      <c r="AF197" s="66" t="str">
        <f t="shared" si="292"/>
        <v>X</v>
      </c>
      <c r="AG197" s="66" t="str">
        <f t="shared" si="292"/>
        <v>X</v>
      </c>
      <c r="AH197" s="66" t="str">
        <f t="shared" si="292"/>
        <v>X</v>
      </c>
      <c r="AI197" s="66" t="str">
        <f t="shared" si="292"/>
        <v>X</v>
      </c>
      <c r="AJ197" s="66" t="str">
        <f t="shared" si="292"/>
        <v>X</v>
      </c>
      <c r="AK197" s="66" t="str">
        <f t="shared" si="292"/>
        <v>X</v>
      </c>
      <c r="AL197" s="66" t="str">
        <f t="shared" si="292"/>
        <v>X</v>
      </c>
      <c r="AM197" s="66" t="str">
        <f t="shared" si="292"/>
        <v>X</v>
      </c>
      <c r="AN197" s="66" t="str">
        <f t="shared" si="292"/>
        <v>X</v>
      </c>
      <c r="AO197" s="66" t="str">
        <f t="shared" si="292"/>
        <v>X</v>
      </c>
      <c r="AP197" s="66" t="str">
        <f t="shared" si="292"/>
        <v>X</v>
      </c>
      <c r="AQ197" s="66" t="str">
        <f t="shared" si="292"/>
        <v>X</v>
      </c>
      <c r="AR197" s="66" t="str">
        <f t="shared" si="292"/>
        <v>X</v>
      </c>
      <c r="AS197" s="66" t="str">
        <f t="shared" si="292"/>
        <v>X</v>
      </c>
      <c r="AT197" s="66" t="str">
        <f t="shared" si="292"/>
        <v>X</v>
      </c>
      <c r="AU197" s="66" t="str">
        <f t="shared" si="292"/>
        <v>X</v>
      </c>
      <c r="AV197" s="175"/>
      <c r="AW197" s="175"/>
      <c r="AX197" s="175"/>
      <c r="BI197" s="22"/>
    </row>
    <row r="198" spans="1:64">
      <c r="A198" s="250"/>
      <c r="B198" s="54" t="s">
        <v>654</v>
      </c>
      <c r="C198" s="54" t="str">
        <f t="shared" ref="C198:AU198" ca="1" si="293">IF(C7=25,"O",IF(C7=26,"O",IF(C7=28,"O",IF(C7=32,"O",IF(C7=34,"O",IF(C7=35,"O",IF(C7=38,"O",IF(C7=44,"O","X"))))))))</f>
        <v>X</v>
      </c>
      <c r="D198" s="54" t="str">
        <f t="shared" ca="1" si="293"/>
        <v>X</v>
      </c>
      <c r="E198" s="54" t="str">
        <f t="shared" ca="1" si="293"/>
        <v>X</v>
      </c>
      <c r="F198" s="54" t="str">
        <f t="shared" ca="1" si="293"/>
        <v>X</v>
      </c>
      <c r="G198" s="54" t="str">
        <f t="shared" ca="1" si="293"/>
        <v>O</v>
      </c>
      <c r="H198" s="54" t="str">
        <f t="shared" ca="1" si="293"/>
        <v>X</v>
      </c>
      <c r="I198" s="54" t="str">
        <f t="shared" ca="1" si="293"/>
        <v>X</v>
      </c>
      <c r="J198" s="54" t="str">
        <f t="shared" ca="1" si="293"/>
        <v>O</v>
      </c>
      <c r="K198" s="54" t="str">
        <f t="shared" ca="1" si="293"/>
        <v>X</v>
      </c>
      <c r="L198" s="54" t="str">
        <f t="shared" ca="1" si="293"/>
        <v>X</v>
      </c>
      <c r="M198" s="54" t="str">
        <f t="shared" ca="1" si="293"/>
        <v>X</v>
      </c>
      <c r="N198" s="54" t="str">
        <f t="shared" ca="1" si="293"/>
        <v>O</v>
      </c>
      <c r="O198" s="54" t="str">
        <f t="shared" ca="1" si="293"/>
        <v>X</v>
      </c>
      <c r="P198" s="54" t="str">
        <f t="shared" ca="1" si="293"/>
        <v>X</v>
      </c>
      <c r="Q198" s="54" t="str">
        <f t="shared" ca="1" si="293"/>
        <v>X</v>
      </c>
      <c r="R198" s="54" t="str">
        <f t="shared" si="293"/>
        <v>X</v>
      </c>
      <c r="S198" s="54" t="str">
        <f t="shared" si="293"/>
        <v>X</v>
      </c>
      <c r="T198" s="54" t="str">
        <f t="shared" si="293"/>
        <v>X</v>
      </c>
      <c r="U198" s="54" t="str">
        <f t="shared" si="293"/>
        <v>X</v>
      </c>
      <c r="V198" s="54" t="str">
        <f t="shared" si="293"/>
        <v>X</v>
      </c>
      <c r="W198" s="54" t="str">
        <f t="shared" si="293"/>
        <v>X</v>
      </c>
      <c r="X198" s="54" t="str">
        <f t="shared" si="293"/>
        <v>X</v>
      </c>
      <c r="Y198" s="54" t="str">
        <f t="shared" si="293"/>
        <v>X</v>
      </c>
      <c r="Z198" s="54" t="str">
        <f t="shared" si="293"/>
        <v>X</v>
      </c>
      <c r="AA198" s="54" t="str">
        <f t="shared" si="293"/>
        <v>X</v>
      </c>
      <c r="AB198" s="54" t="str">
        <f t="shared" si="293"/>
        <v>X</v>
      </c>
      <c r="AC198" s="54" t="str">
        <f t="shared" si="293"/>
        <v>X</v>
      </c>
      <c r="AD198" s="54" t="str">
        <f t="shared" si="293"/>
        <v>X</v>
      </c>
      <c r="AE198" s="54" t="str">
        <f t="shared" si="293"/>
        <v>X</v>
      </c>
      <c r="AF198" s="54" t="str">
        <f t="shared" si="293"/>
        <v>X</v>
      </c>
      <c r="AG198" s="54" t="str">
        <f t="shared" si="293"/>
        <v>X</v>
      </c>
      <c r="AH198" s="54" t="str">
        <f t="shared" si="293"/>
        <v>X</v>
      </c>
      <c r="AI198" s="54" t="str">
        <f t="shared" si="293"/>
        <v>X</v>
      </c>
      <c r="AJ198" s="54" t="str">
        <f t="shared" si="293"/>
        <v>X</v>
      </c>
      <c r="AK198" s="54" t="str">
        <f t="shared" si="293"/>
        <v>X</v>
      </c>
      <c r="AL198" s="54" t="str">
        <f t="shared" si="293"/>
        <v>X</v>
      </c>
      <c r="AM198" s="54" t="str">
        <f t="shared" si="293"/>
        <v>X</v>
      </c>
      <c r="AN198" s="54" t="str">
        <f t="shared" si="293"/>
        <v>X</v>
      </c>
      <c r="AO198" s="54" t="str">
        <f t="shared" si="293"/>
        <v>X</v>
      </c>
      <c r="AP198" s="54" t="str">
        <f t="shared" si="293"/>
        <v>X</v>
      </c>
      <c r="AQ198" s="54" t="str">
        <f t="shared" si="293"/>
        <v>X</v>
      </c>
      <c r="AR198" s="54" t="str">
        <f t="shared" si="293"/>
        <v>X</v>
      </c>
      <c r="AS198" s="54" t="str">
        <f t="shared" si="293"/>
        <v>X</v>
      </c>
      <c r="AT198" s="54" t="str">
        <f t="shared" si="293"/>
        <v>X</v>
      </c>
      <c r="AU198" s="54" t="str">
        <f t="shared" si="293"/>
        <v>X</v>
      </c>
      <c r="AV198" s="53"/>
      <c r="AW198" s="53"/>
      <c r="AX198" s="53"/>
      <c r="BI198" s="22"/>
    </row>
    <row r="199" spans="1:64">
      <c r="A199" s="250"/>
      <c r="B199" s="54" t="s">
        <v>655</v>
      </c>
      <c r="C199" s="54" t="str">
        <f t="shared" ref="C199:AU199" ca="1" si="294">IF(C8=25,"O",IF(C8=26,"O",IF(C8=28,"O",IF(C8=32,"O",IF(C8=34,"O",IF(C8=35,"O",IF(C8=38,"O",IF(C8=44,"O","X"))))))))</f>
        <v>X</v>
      </c>
      <c r="D199" s="54" t="str">
        <f t="shared" ca="1" si="294"/>
        <v>X</v>
      </c>
      <c r="E199" s="54" t="str">
        <f t="shared" ca="1" si="294"/>
        <v>X</v>
      </c>
      <c r="F199" s="54" t="str">
        <f t="shared" ca="1" si="294"/>
        <v>X</v>
      </c>
      <c r="G199" s="54" t="str">
        <f t="shared" ca="1" si="294"/>
        <v>X</v>
      </c>
      <c r="H199" s="54" t="str">
        <f t="shared" ca="1" si="294"/>
        <v>O</v>
      </c>
      <c r="I199" s="54" t="str">
        <f t="shared" ca="1" si="294"/>
        <v>X</v>
      </c>
      <c r="J199" s="54" t="str">
        <f t="shared" ca="1" si="294"/>
        <v>X</v>
      </c>
      <c r="K199" s="54" t="str">
        <f t="shared" ca="1" si="294"/>
        <v>X</v>
      </c>
      <c r="L199" s="54" t="str">
        <f t="shared" ca="1" si="294"/>
        <v>X</v>
      </c>
      <c r="M199" s="54" t="str">
        <f t="shared" ca="1" si="294"/>
        <v>X</v>
      </c>
      <c r="N199" s="54" t="str">
        <f t="shared" ca="1" si="294"/>
        <v>X</v>
      </c>
      <c r="O199" s="54" t="str">
        <f t="shared" ca="1" si="294"/>
        <v>X</v>
      </c>
      <c r="P199" s="54" t="str">
        <f t="shared" ca="1" si="294"/>
        <v>O</v>
      </c>
      <c r="Q199" s="54" t="str">
        <f t="shared" ca="1" si="294"/>
        <v>X</v>
      </c>
      <c r="R199" s="54" t="str">
        <f t="shared" si="294"/>
        <v>X</v>
      </c>
      <c r="S199" s="54" t="str">
        <f t="shared" si="294"/>
        <v>X</v>
      </c>
      <c r="T199" s="54" t="str">
        <f t="shared" si="294"/>
        <v>X</v>
      </c>
      <c r="U199" s="54" t="str">
        <f t="shared" si="294"/>
        <v>X</v>
      </c>
      <c r="V199" s="54" t="str">
        <f t="shared" si="294"/>
        <v>X</v>
      </c>
      <c r="W199" s="54" t="str">
        <f t="shared" si="294"/>
        <v>X</v>
      </c>
      <c r="X199" s="54" t="str">
        <f t="shared" si="294"/>
        <v>X</v>
      </c>
      <c r="Y199" s="54" t="str">
        <f t="shared" si="294"/>
        <v>X</v>
      </c>
      <c r="Z199" s="54" t="str">
        <f t="shared" si="294"/>
        <v>X</v>
      </c>
      <c r="AA199" s="54" t="str">
        <f t="shared" si="294"/>
        <v>X</v>
      </c>
      <c r="AB199" s="54" t="str">
        <f t="shared" si="294"/>
        <v>X</v>
      </c>
      <c r="AC199" s="54" t="str">
        <f t="shared" si="294"/>
        <v>X</v>
      </c>
      <c r="AD199" s="54" t="str">
        <f t="shared" si="294"/>
        <v>X</v>
      </c>
      <c r="AE199" s="54" t="str">
        <f t="shared" si="294"/>
        <v>X</v>
      </c>
      <c r="AF199" s="54" t="str">
        <f t="shared" si="294"/>
        <v>X</v>
      </c>
      <c r="AG199" s="54" t="str">
        <f t="shared" si="294"/>
        <v>X</v>
      </c>
      <c r="AH199" s="54" t="str">
        <f t="shared" si="294"/>
        <v>X</v>
      </c>
      <c r="AI199" s="54" t="str">
        <f t="shared" si="294"/>
        <v>X</v>
      </c>
      <c r="AJ199" s="54" t="str">
        <f t="shared" si="294"/>
        <v>X</v>
      </c>
      <c r="AK199" s="54" t="str">
        <f t="shared" si="294"/>
        <v>X</v>
      </c>
      <c r="AL199" s="54" t="str">
        <f t="shared" si="294"/>
        <v>X</v>
      </c>
      <c r="AM199" s="54" t="str">
        <f t="shared" si="294"/>
        <v>X</v>
      </c>
      <c r="AN199" s="54" t="str">
        <f t="shared" si="294"/>
        <v>X</v>
      </c>
      <c r="AO199" s="54" t="str">
        <f t="shared" si="294"/>
        <v>X</v>
      </c>
      <c r="AP199" s="54" t="str">
        <f t="shared" si="294"/>
        <v>X</v>
      </c>
      <c r="AQ199" s="54" t="str">
        <f t="shared" si="294"/>
        <v>X</v>
      </c>
      <c r="AR199" s="54" t="str">
        <f t="shared" si="294"/>
        <v>X</v>
      </c>
      <c r="AS199" s="54" t="str">
        <f t="shared" si="294"/>
        <v>X</v>
      </c>
      <c r="AT199" s="54" t="str">
        <f t="shared" si="294"/>
        <v>X</v>
      </c>
      <c r="AU199" s="54" t="str">
        <f t="shared" si="294"/>
        <v>X</v>
      </c>
      <c r="AV199" s="53"/>
      <c r="AW199" s="53"/>
      <c r="AX199" s="53"/>
      <c r="BC199" s="180"/>
      <c r="BD199" s="180"/>
      <c r="BI199" s="22"/>
    </row>
    <row r="200" spans="1:64">
      <c r="A200" s="250"/>
      <c r="B200" s="54" t="s">
        <v>656</v>
      </c>
      <c r="C200" s="54" t="str">
        <f t="shared" ref="C200:AU200" ca="1" si="295">IF(C9=25,"O",IF(C9=26,"O",IF(C9=28,"O",IF(C9=32,"O",IF(C9=34,"O",IF(C9=35,"O",IF(C9=38,"O",IF(C9=44,"O","X"))))))))</f>
        <v>X</v>
      </c>
      <c r="D200" s="54" t="str">
        <f t="shared" ca="1" si="295"/>
        <v>X</v>
      </c>
      <c r="E200" s="54" t="str">
        <f t="shared" ca="1" si="295"/>
        <v>O</v>
      </c>
      <c r="F200" s="54" t="str">
        <f t="shared" ca="1" si="295"/>
        <v>X</v>
      </c>
      <c r="G200" s="54" t="str">
        <f t="shared" ca="1" si="295"/>
        <v>X</v>
      </c>
      <c r="H200" s="54" t="str">
        <f t="shared" ca="1" si="295"/>
        <v>X</v>
      </c>
      <c r="I200" s="54" t="str">
        <f t="shared" ca="1" si="295"/>
        <v>X</v>
      </c>
      <c r="J200" s="54" t="str">
        <f t="shared" ca="1" si="295"/>
        <v>X</v>
      </c>
      <c r="K200" s="54" t="str">
        <f t="shared" ca="1" si="295"/>
        <v>X</v>
      </c>
      <c r="L200" s="54" t="str">
        <f t="shared" ca="1" si="295"/>
        <v>X</v>
      </c>
      <c r="M200" s="54" t="str">
        <f t="shared" ca="1" si="295"/>
        <v>X</v>
      </c>
      <c r="N200" s="54" t="str">
        <f t="shared" ca="1" si="295"/>
        <v>O</v>
      </c>
      <c r="O200" s="54" t="str">
        <f t="shared" ca="1" si="295"/>
        <v>O</v>
      </c>
      <c r="P200" s="54" t="str">
        <f t="shared" ca="1" si="295"/>
        <v>X</v>
      </c>
      <c r="Q200" s="54" t="str">
        <f t="shared" ca="1" si="295"/>
        <v>X</v>
      </c>
      <c r="R200" s="54" t="str">
        <f t="shared" si="295"/>
        <v>X</v>
      </c>
      <c r="S200" s="54" t="str">
        <f t="shared" si="295"/>
        <v>X</v>
      </c>
      <c r="T200" s="54" t="str">
        <f t="shared" si="295"/>
        <v>X</v>
      </c>
      <c r="U200" s="54" t="str">
        <f t="shared" si="295"/>
        <v>X</v>
      </c>
      <c r="V200" s="54" t="str">
        <f t="shared" si="295"/>
        <v>X</v>
      </c>
      <c r="W200" s="54" t="str">
        <f t="shared" si="295"/>
        <v>X</v>
      </c>
      <c r="X200" s="54" t="str">
        <f t="shared" si="295"/>
        <v>X</v>
      </c>
      <c r="Y200" s="54" t="str">
        <f t="shared" si="295"/>
        <v>X</v>
      </c>
      <c r="Z200" s="54" t="str">
        <f t="shared" si="295"/>
        <v>X</v>
      </c>
      <c r="AA200" s="54" t="str">
        <f t="shared" si="295"/>
        <v>X</v>
      </c>
      <c r="AB200" s="54" t="str">
        <f t="shared" si="295"/>
        <v>X</v>
      </c>
      <c r="AC200" s="54" t="str">
        <f t="shared" si="295"/>
        <v>X</v>
      </c>
      <c r="AD200" s="54" t="str">
        <f t="shared" si="295"/>
        <v>X</v>
      </c>
      <c r="AE200" s="54" t="str">
        <f t="shared" si="295"/>
        <v>X</v>
      </c>
      <c r="AF200" s="54" t="str">
        <f t="shared" si="295"/>
        <v>X</v>
      </c>
      <c r="AG200" s="54" t="str">
        <f t="shared" si="295"/>
        <v>X</v>
      </c>
      <c r="AH200" s="54" t="str">
        <f t="shared" si="295"/>
        <v>X</v>
      </c>
      <c r="AI200" s="54" t="str">
        <f t="shared" si="295"/>
        <v>X</v>
      </c>
      <c r="AJ200" s="54" t="str">
        <f t="shared" si="295"/>
        <v>X</v>
      </c>
      <c r="AK200" s="54" t="str">
        <f t="shared" si="295"/>
        <v>X</v>
      </c>
      <c r="AL200" s="54" t="str">
        <f t="shared" si="295"/>
        <v>X</v>
      </c>
      <c r="AM200" s="54" t="str">
        <f t="shared" si="295"/>
        <v>X</v>
      </c>
      <c r="AN200" s="54" t="str">
        <f t="shared" si="295"/>
        <v>X</v>
      </c>
      <c r="AO200" s="54" t="str">
        <f t="shared" si="295"/>
        <v>X</v>
      </c>
      <c r="AP200" s="54" t="str">
        <f t="shared" si="295"/>
        <v>X</v>
      </c>
      <c r="AQ200" s="54" t="str">
        <f t="shared" si="295"/>
        <v>X</v>
      </c>
      <c r="AR200" s="54" t="str">
        <f t="shared" si="295"/>
        <v>X</v>
      </c>
      <c r="AS200" s="54" t="str">
        <f t="shared" si="295"/>
        <v>X</v>
      </c>
      <c r="AT200" s="54" t="str">
        <f t="shared" si="295"/>
        <v>X</v>
      </c>
      <c r="AU200" s="54" t="str">
        <f t="shared" si="295"/>
        <v>X</v>
      </c>
      <c r="AV200" s="53"/>
      <c r="AW200" s="53"/>
      <c r="AX200" s="53"/>
      <c r="BC200" s="179"/>
      <c r="BD200" s="179"/>
      <c r="BI200" s="22"/>
    </row>
    <row r="201" spans="1:64">
      <c r="A201" s="250"/>
      <c r="B201" s="54" t="s">
        <v>657</v>
      </c>
      <c r="C201" s="54" t="str">
        <f t="shared" ref="C201:AU201" ca="1" si="296">IF(C10=25,"O",IF(C10=26,"O",IF(C10=28,"O",IF(C10=32,"O",IF(C10=34,"O",IF(C10=35,"O",IF(C10=38,"O",IF(C10=44,"O","X"))))))))</f>
        <v>X</v>
      </c>
      <c r="D201" s="54" t="str">
        <f t="shared" ca="1" si="296"/>
        <v>X</v>
      </c>
      <c r="E201" s="54" t="str">
        <f t="shared" ca="1" si="296"/>
        <v>O</v>
      </c>
      <c r="F201" s="54" t="str">
        <f t="shared" ca="1" si="296"/>
        <v>X</v>
      </c>
      <c r="G201" s="54" t="str">
        <f t="shared" ca="1" si="296"/>
        <v>X</v>
      </c>
      <c r="H201" s="54" t="str">
        <f t="shared" ca="1" si="296"/>
        <v>X</v>
      </c>
      <c r="I201" s="54" t="str">
        <f t="shared" ca="1" si="296"/>
        <v>X</v>
      </c>
      <c r="J201" s="54" t="str">
        <f t="shared" ca="1" si="296"/>
        <v>X</v>
      </c>
      <c r="K201" s="54" t="str">
        <f t="shared" ca="1" si="296"/>
        <v>X</v>
      </c>
      <c r="L201" s="54" t="str">
        <f t="shared" ca="1" si="296"/>
        <v>X</v>
      </c>
      <c r="M201" s="54" t="str">
        <f t="shared" ca="1" si="296"/>
        <v>X</v>
      </c>
      <c r="N201" s="54" t="str">
        <f t="shared" ca="1" si="296"/>
        <v>X</v>
      </c>
      <c r="O201" s="54" t="str">
        <f t="shared" ca="1" si="296"/>
        <v>X</v>
      </c>
      <c r="P201" s="54" t="str">
        <f t="shared" ca="1" si="296"/>
        <v>X</v>
      </c>
      <c r="Q201" s="54" t="str">
        <f t="shared" ca="1" si="296"/>
        <v>X</v>
      </c>
      <c r="R201" s="54" t="str">
        <f t="shared" si="296"/>
        <v>X</v>
      </c>
      <c r="S201" s="54" t="str">
        <f t="shared" si="296"/>
        <v>X</v>
      </c>
      <c r="T201" s="54" t="str">
        <f t="shared" si="296"/>
        <v>X</v>
      </c>
      <c r="U201" s="54" t="str">
        <f t="shared" si="296"/>
        <v>X</v>
      </c>
      <c r="V201" s="54" t="str">
        <f t="shared" si="296"/>
        <v>X</v>
      </c>
      <c r="W201" s="54" t="str">
        <f t="shared" si="296"/>
        <v>X</v>
      </c>
      <c r="X201" s="54" t="str">
        <f t="shared" si="296"/>
        <v>X</v>
      </c>
      <c r="Y201" s="54" t="str">
        <f t="shared" si="296"/>
        <v>X</v>
      </c>
      <c r="Z201" s="54" t="str">
        <f t="shared" si="296"/>
        <v>X</v>
      </c>
      <c r="AA201" s="54" t="str">
        <f t="shared" si="296"/>
        <v>X</v>
      </c>
      <c r="AB201" s="54" t="str">
        <f t="shared" si="296"/>
        <v>X</v>
      </c>
      <c r="AC201" s="54" t="str">
        <f t="shared" si="296"/>
        <v>X</v>
      </c>
      <c r="AD201" s="54" t="str">
        <f t="shared" si="296"/>
        <v>X</v>
      </c>
      <c r="AE201" s="54" t="str">
        <f t="shared" si="296"/>
        <v>X</v>
      </c>
      <c r="AF201" s="54" t="str">
        <f t="shared" si="296"/>
        <v>X</v>
      </c>
      <c r="AG201" s="54" t="str">
        <f t="shared" si="296"/>
        <v>X</v>
      </c>
      <c r="AH201" s="54" t="str">
        <f t="shared" si="296"/>
        <v>X</v>
      </c>
      <c r="AI201" s="54" t="str">
        <f t="shared" si="296"/>
        <v>X</v>
      </c>
      <c r="AJ201" s="54" t="str">
        <f t="shared" si="296"/>
        <v>X</v>
      </c>
      <c r="AK201" s="54" t="str">
        <f t="shared" si="296"/>
        <v>X</v>
      </c>
      <c r="AL201" s="54" t="str">
        <f t="shared" si="296"/>
        <v>X</v>
      </c>
      <c r="AM201" s="54" t="str">
        <f t="shared" si="296"/>
        <v>X</v>
      </c>
      <c r="AN201" s="54" t="str">
        <f t="shared" si="296"/>
        <v>X</v>
      </c>
      <c r="AO201" s="54" t="str">
        <f t="shared" si="296"/>
        <v>X</v>
      </c>
      <c r="AP201" s="54" t="str">
        <f t="shared" si="296"/>
        <v>X</v>
      </c>
      <c r="AQ201" s="54" t="str">
        <f t="shared" si="296"/>
        <v>X</v>
      </c>
      <c r="AR201" s="54" t="str">
        <f t="shared" si="296"/>
        <v>X</v>
      </c>
      <c r="AS201" s="54" t="str">
        <f t="shared" si="296"/>
        <v>X</v>
      </c>
      <c r="AT201" s="54" t="str">
        <f t="shared" si="296"/>
        <v>X</v>
      </c>
      <c r="AU201" s="54" t="str">
        <f t="shared" si="296"/>
        <v>X</v>
      </c>
      <c r="AV201" s="53"/>
      <c r="AW201" s="53"/>
      <c r="AX201" s="53"/>
      <c r="BC201" s="179"/>
      <c r="BD201" s="180"/>
    </row>
    <row r="202" spans="1:64">
      <c r="A202" s="250"/>
      <c r="B202" s="54" t="s">
        <v>658</v>
      </c>
      <c r="C202" s="54" t="str">
        <f t="shared" ref="C202:AU202" ca="1" si="297">IF(C11=25,"O",IF(C11=26,"O",IF(C11=28,"O",IF(C11=32,"O",IF(C11=34,"O",IF(C11=35,"O",IF(C11=38,"O",IF(C11=44,"O","X"))))))))</f>
        <v>X</v>
      </c>
      <c r="D202" s="54" t="str">
        <f t="shared" ca="1" si="297"/>
        <v>X</v>
      </c>
      <c r="E202" s="54" t="str">
        <f t="shared" ca="1" si="297"/>
        <v>X</v>
      </c>
      <c r="F202" s="54" t="str">
        <f t="shared" ca="1" si="297"/>
        <v>X</v>
      </c>
      <c r="G202" s="54" t="str">
        <f t="shared" ca="1" si="297"/>
        <v>X</v>
      </c>
      <c r="H202" s="54" t="str">
        <f t="shared" ca="1" si="297"/>
        <v>X</v>
      </c>
      <c r="I202" s="54" t="str">
        <f t="shared" ca="1" si="297"/>
        <v>X</v>
      </c>
      <c r="J202" s="54" t="str">
        <f t="shared" ca="1" si="297"/>
        <v>X</v>
      </c>
      <c r="K202" s="54" t="str">
        <f t="shared" ca="1" si="297"/>
        <v>X</v>
      </c>
      <c r="L202" s="54" t="str">
        <f t="shared" ca="1" si="297"/>
        <v>X</v>
      </c>
      <c r="M202" s="54" t="str">
        <f t="shared" ca="1" si="297"/>
        <v>X</v>
      </c>
      <c r="N202" s="54" t="str">
        <f t="shared" ca="1" si="297"/>
        <v>O</v>
      </c>
      <c r="O202" s="54" t="str">
        <f t="shared" ca="1" si="297"/>
        <v>O</v>
      </c>
      <c r="P202" s="54" t="str">
        <f t="shared" ca="1" si="297"/>
        <v>X</v>
      </c>
      <c r="Q202" s="54" t="str">
        <f t="shared" ca="1" si="297"/>
        <v>X</v>
      </c>
      <c r="R202" s="54" t="str">
        <f t="shared" si="297"/>
        <v>X</v>
      </c>
      <c r="S202" s="54" t="str">
        <f t="shared" si="297"/>
        <v>X</v>
      </c>
      <c r="T202" s="54" t="str">
        <f t="shared" si="297"/>
        <v>X</v>
      </c>
      <c r="U202" s="54" t="str">
        <f t="shared" si="297"/>
        <v>X</v>
      </c>
      <c r="V202" s="54" t="str">
        <f t="shared" si="297"/>
        <v>X</v>
      </c>
      <c r="W202" s="54" t="str">
        <f t="shared" si="297"/>
        <v>X</v>
      </c>
      <c r="X202" s="54" t="str">
        <f t="shared" si="297"/>
        <v>X</v>
      </c>
      <c r="Y202" s="54" t="str">
        <f t="shared" si="297"/>
        <v>X</v>
      </c>
      <c r="Z202" s="54" t="str">
        <f t="shared" si="297"/>
        <v>X</v>
      </c>
      <c r="AA202" s="54" t="str">
        <f t="shared" si="297"/>
        <v>X</v>
      </c>
      <c r="AB202" s="54" t="str">
        <f t="shared" si="297"/>
        <v>X</v>
      </c>
      <c r="AC202" s="54" t="str">
        <f t="shared" si="297"/>
        <v>X</v>
      </c>
      <c r="AD202" s="54" t="str">
        <f t="shared" si="297"/>
        <v>X</v>
      </c>
      <c r="AE202" s="54" t="str">
        <f t="shared" si="297"/>
        <v>X</v>
      </c>
      <c r="AF202" s="54" t="str">
        <f t="shared" si="297"/>
        <v>X</v>
      </c>
      <c r="AG202" s="54" t="str">
        <f t="shared" si="297"/>
        <v>X</v>
      </c>
      <c r="AH202" s="54" t="str">
        <f t="shared" si="297"/>
        <v>X</v>
      </c>
      <c r="AI202" s="54" t="str">
        <f t="shared" si="297"/>
        <v>X</v>
      </c>
      <c r="AJ202" s="54" t="str">
        <f t="shared" si="297"/>
        <v>X</v>
      </c>
      <c r="AK202" s="54" t="str">
        <f t="shared" si="297"/>
        <v>X</v>
      </c>
      <c r="AL202" s="54" t="str">
        <f t="shared" si="297"/>
        <v>X</v>
      </c>
      <c r="AM202" s="54" t="str">
        <f t="shared" si="297"/>
        <v>X</v>
      </c>
      <c r="AN202" s="54" t="str">
        <f t="shared" si="297"/>
        <v>X</v>
      </c>
      <c r="AO202" s="54" t="str">
        <f t="shared" si="297"/>
        <v>X</v>
      </c>
      <c r="AP202" s="54" t="str">
        <f t="shared" si="297"/>
        <v>X</v>
      </c>
      <c r="AQ202" s="54" t="str">
        <f t="shared" si="297"/>
        <v>X</v>
      </c>
      <c r="AR202" s="54" t="str">
        <f t="shared" si="297"/>
        <v>X</v>
      </c>
      <c r="AS202" s="54" t="str">
        <f t="shared" si="297"/>
        <v>X</v>
      </c>
      <c r="AT202" s="54" t="str">
        <f t="shared" si="297"/>
        <v>X</v>
      </c>
      <c r="AU202" s="54" t="str">
        <f t="shared" si="297"/>
        <v>X</v>
      </c>
      <c r="AV202" s="53"/>
      <c r="AW202" s="53"/>
      <c r="AX202" s="53"/>
      <c r="BC202" s="179"/>
      <c r="BD202" s="180"/>
      <c r="BL202"/>
    </row>
    <row r="203" spans="1:64">
      <c r="A203" s="250"/>
      <c r="B203" s="54" t="s">
        <v>659</v>
      </c>
      <c r="C203" s="54" t="str">
        <f t="shared" ref="C203:AU203" ca="1" si="298">IF(C12=25,"O",IF(C12=26,"O",IF(C12=28,"O",IF(C12=32,"O",IF(C12=34,"O",IF(C12=35,"O",IF(C12=38,"O",IF(C12=44,"O","X"))))))))</f>
        <v>X</v>
      </c>
      <c r="D203" s="54" t="str">
        <f t="shared" ca="1" si="298"/>
        <v>O</v>
      </c>
      <c r="E203" s="54" t="str">
        <f t="shared" ca="1" si="298"/>
        <v>X</v>
      </c>
      <c r="F203" s="54" t="str">
        <f t="shared" ca="1" si="298"/>
        <v>X</v>
      </c>
      <c r="G203" s="54" t="str">
        <f t="shared" ca="1" si="298"/>
        <v>X</v>
      </c>
      <c r="H203" s="54" t="str">
        <f t="shared" ca="1" si="298"/>
        <v>X</v>
      </c>
      <c r="I203" s="54" t="str">
        <f t="shared" ca="1" si="298"/>
        <v>X</v>
      </c>
      <c r="J203" s="54" t="str">
        <f t="shared" ca="1" si="298"/>
        <v>O</v>
      </c>
      <c r="K203" s="54" t="str">
        <f t="shared" ca="1" si="298"/>
        <v>X</v>
      </c>
      <c r="L203" s="54" t="str">
        <f t="shared" ca="1" si="298"/>
        <v>O</v>
      </c>
      <c r="M203" s="54" t="str">
        <f t="shared" ca="1" si="298"/>
        <v>O</v>
      </c>
      <c r="N203" s="54" t="str">
        <f t="shared" ca="1" si="298"/>
        <v>X</v>
      </c>
      <c r="O203" s="54" t="str">
        <f t="shared" ca="1" si="298"/>
        <v>X</v>
      </c>
      <c r="P203" s="54" t="str">
        <f t="shared" ca="1" si="298"/>
        <v>X</v>
      </c>
      <c r="Q203" s="54" t="str">
        <f t="shared" ca="1" si="298"/>
        <v>X</v>
      </c>
      <c r="R203" s="54" t="str">
        <f t="shared" si="298"/>
        <v>X</v>
      </c>
      <c r="S203" s="54" t="str">
        <f t="shared" si="298"/>
        <v>X</v>
      </c>
      <c r="T203" s="54" t="str">
        <f t="shared" si="298"/>
        <v>X</v>
      </c>
      <c r="U203" s="54" t="str">
        <f t="shared" si="298"/>
        <v>X</v>
      </c>
      <c r="V203" s="54" t="str">
        <f t="shared" si="298"/>
        <v>X</v>
      </c>
      <c r="W203" s="54" t="str">
        <f t="shared" si="298"/>
        <v>X</v>
      </c>
      <c r="X203" s="54" t="str">
        <f t="shared" si="298"/>
        <v>X</v>
      </c>
      <c r="Y203" s="54" t="str">
        <f t="shared" si="298"/>
        <v>X</v>
      </c>
      <c r="Z203" s="54" t="str">
        <f t="shared" si="298"/>
        <v>X</v>
      </c>
      <c r="AA203" s="54" t="str">
        <f t="shared" si="298"/>
        <v>X</v>
      </c>
      <c r="AB203" s="54" t="str">
        <f t="shared" si="298"/>
        <v>X</v>
      </c>
      <c r="AC203" s="54" t="str">
        <f t="shared" si="298"/>
        <v>X</v>
      </c>
      <c r="AD203" s="54" t="str">
        <f t="shared" si="298"/>
        <v>X</v>
      </c>
      <c r="AE203" s="54" t="str">
        <f t="shared" si="298"/>
        <v>X</v>
      </c>
      <c r="AF203" s="54" t="str">
        <f t="shared" si="298"/>
        <v>X</v>
      </c>
      <c r="AG203" s="54" t="str">
        <f t="shared" si="298"/>
        <v>X</v>
      </c>
      <c r="AH203" s="54" t="str">
        <f t="shared" si="298"/>
        <v>X</v>
      </c>
      <c r="AI203" s="54" t="str">
        <f t="shared" si="298"/>
        <v>X</v>
      </c>
      <c r="AJ203" s="54" t="str">
        <f t="shared" si="298"/>
        <v>X</v>
      </c>
      <c r="AK203" s="54" t="str">
        <f t="shared" si="298"/>
        <v>X</v>
      </c>
      <c r="AL203" s="54" t="str">
        <f t="shared" si="298"/>
        <v>X</v>
      </c>
      <c r="AM203" s="54" t="str">
        <f t="shared" si="298"/>
        <v>X</v>
      </c>
      <c r="AN203" s="54" t="str">
        <f t="shared" si="298"/>
        <v>X</v>
      </c>
      <c r="AO203" s="54" t="str">
        <f t="shared" si="298"/>
        <v>X</v>
      </c>
      <c r="AP203" s="54" t="str">
        <f t="shared" si="298"/>
        <v>X</v>
      </c>
      <c r="AQ203" s="54" t="str">
        <f t="shared" si="298"/>
        <v>X</v>
      </c>
      <c r="AR203" s="54" t="str">
        <f t="shared" si="298"/>
        <v>X</v>
      </c>
      <c r="AS203" s="54" t="str">
        <f t="shared" si="298"/>
        <v>X</v>
      </c>
      <c r="AT203" s="54" t="str">
        <f t="shared" si="298"/>
        <v>X</v>
      </c>
      <c r="AU203" s="54" t="str">
        <f t="shared" si="298"/>
        <v>X</v>
      </c>
      <c r="AV203" s="53"/>
      <c r="AW203" s="53"/>
      <c r="AX203" s="53"/>
      <c r="BC203" s="179"/>
      <c r="BD203" s="180"/>
      <c r="BL203"/>
    </row>
    <row r="204" spans="1:64">
      <c r="A204" s="250"/>
      <c r="B204" s="60" t="s">
        <v>669</v>
      </c>
      <c r="C204" s="55">
        <f ca="1">COUNTIF(C192:C203,"O")</f>
        <v>3</v>
      </c>
      <c r="D204" s="55">
        <f t="shared" ref="D204:Q204" ca="1" si="299">COUNTIF(D192:D203,"O")</f>
        <v>3</v>
      </c>
      <c r="E204" s="55">
        <f t="shared" ca="1" si="299"/>
        <v>2</v>
      </c>
      <c r="F204" s="55">
        <f t="shared" ca="1" si="299"/>
        <v>0</v>
      </c>
      <c r="G204" s="55">
        <f t="shared" ca="1" si="299"/>
        <v>2</v>
      </c>
      <c r="H204" s="55">
        <f t="shared" ca="1" si="299"/>
        <v>2</v>
      </c>
      <c r="I204" s="55">
        <f t="shared" ca="1" si="299"/>
        <v>0</v>
      </c>
      <c r="J204" s="55">
        <f t="shared" ca="1" si="299"/>
        <v>3</v>
      </c>
      <c r="K204" s="55">
        <f t="shared" ca="1" si="299"/>
        <v>0</v>
      </c>
      <c r="L204" s="55">
        <f t="shared" ca="1" si="299"/>
        <v>1</v>
      </c>
      <c r="M204" s="55">
        <f t="shared" ca="1" si="299"/>
        <v>2</v>
      </c>
      <c r="N204" s="55">
        <f t="shared" ca="1" si="299"/>
        <v>3</v>
      </c>
      <c r="O204" s="55">
        <f t="shared" ca="1" si="299"/>
        <v>2</v>
      </c>
      <c r="P204" s="55">
        <f t="shared" ca="1" si="299"/>
        <v>3</v>
      </c>
      <c r="Q204" s="55">
        <f t="shared" ca="1" si="299"/>
        <v>1</v>
      </c>
      <c r="R204" s="55">
        <f t="shared" ref="R204:AH204" si="300">COUNTIF(R192:R203,"O")</f>
        <v>0</v>
      </c>
      <c r="S204" s="55">
        <f t="shared" si="300"/>
        <v>0</v>
      </c>
      <c r="T204" s="55">
        <f t="shared" si="300"/>
        <v>0</v>
      </c>
      <c r="U204" s="55">
        <f t="shared" si="300"/>
        <v>0</v>
      </c>
      <c r="V204" s="55">
        <f t="shared" si="300"/>
        <v>0</v>
      </c>
      <c r="W204" s="55">
        <f t="shared" si="300"/>
        <v>0</v>
      </c>
      <c r="X204" s="55">
        <f t="shared" si="300"/>
        <v>0</v>
      </c>
      <c r="Y204" s="55">
        <f t="shared" si="300"/>
        <v>0</v>
      </c>
      <c r="Z204" s="55">
        <f t="shared" si="300"/>
        <v>0</v>
      </c>
      <c r="AA204" s="55">
        <f t="shared" si="300"/>
        <v>0</v>
      </c>
      <c r="AB204" s="55">
        <f t="shared" si="300"/>
        <v>0</v>
      </c>
      <c r="AC204" s="55">
        <f t="shared" si="300"/>
        <v>0</v>
      </c>
      <c r="AD204" s="55">
        <f t="shared" si="300"/>
        <v>0</v>
      </c>
      <c r="AE204" s="55">
        <f t="shared" si="300"/>
        <v>0</v>
      </c>
      <c r="AF204" s="55">
        <f t="shared" si="300"/>
        <v>0</v>
      </c>
      <c r="AG204" s="55">
        <f t="shared" si="300"/>
        <v>0</v>
      </c>
      <c r="AH204" s="55">
        <f t="shared" si="300"/>
        <v>0</v>
      </c>
      <c r="AI204" s="55">
        <f>COUNTIF(AI192:AI203,"O")</f>
        <v>0</v>
      </c>
      <c r="AJ204" s="55">
        <f>COUNTIF(AJ192:AJ203,"O")</f>
        <v>0</v>
      </c>
      <c r="AK204" s="55">
        <f>COUNTIF(AK192:AK203,"O")</f>
        <v>0</v>
      </c>
      <c r="AL204" s="55">
        <f t="shared" ref="AL204:AU204" si="301">COUNTIF(AL192:AL203,"O")</f>
        <v>0</v>
      </c>
      <c r="AM204" s="55">
        <f t="shared" si="301"/>
        <v>0</v>
      </c>
      <c r="AN204" s="55">
        <f t="shared" si="301"/>
        <v>0</v>
      </c>
      <c r="AO204" s="55">
        <f t="shared" si="301"/>
        <v>0</v>
      </c>
      <c r="AP204" s="55">
        <f t="shared" si="301"/>
        <v>0</v>
      </c>
      <c r="AQ204" s="55">
        <f t="shared" si="301"/>
        <v>0</v>
      </c>
      <c r="AR204" s="55">
        <f t="shared" si="301"/>
        <v>0</v>
      </c>
      <c r="AS204" s="55">
        <f t="shared" si="301"/>
        <v>0</v>
      </c>
      <c r="AT204" s="55">
        <f t="shared" si="301"/>
        <v>0</v>
      </c>
      <c r="AU204" s="55">
        <f t="shared" si="301"/>
        <v>0</v>
      </c>
      <c r="AV204" s="171"/>
      <c r="AW204" s="171"/>
      <c r="AX204" s="171"/>
      <c r="BC204" s="179"/>
      <c r="BK204" s="22"/>
      <c r="BL204"/>
    </row>
    <row r="205" spans="1:64">
      <c r="A205" s="248" t="s">
        <v>674</v>
      </c>
      <c r="B205" s="249"/>
      <c r="C205" s="55">
        <f t="shared" ref="C205:AU205" ca="1" si="302">IF(C101=2,1,0)</f>
        <v>0</v>
      </c>
      <c r="D205" s="55">
        <f t="shared" ca="1" si="302"/>
        <v>0</v>
      </c>
      <c r="E205" s="55">
        <f t="shared" ca="1" si="302"/>
        <v>1</v>
      </c>
      <c r="F205" s="55">
        <f t="shared" ca="1" si="302"/>
        <v>0</v>
      </c>
      <c r="G205" s="55">
        <f t="shared" ca="1" si="302"/>
        <v>1</v>
      </c>
      <c r="H205" s="55">
        <f t="shared" ca="1" si="302"/>
        <v>1</v>
      </c>
      <c r="I205" s="55">
        <f t="shared" ca="1" si="302"/>
        <v>0</v>
      </c>
      <c r="J205" s="55">
        <f t="shared" ca="1" si="302"/>
        <v>0</v>
      </c>
      <c r="K205" s="55">
        <f t="shared" ca="1" si="302"/>
        <v>0</v>
      </c>
      <c r="L205" s="55">
        <f t="shared" ca="1" si="302"/>
        <v>1</v>
      </c>
      <c r="M205" s="55">
        <f t="shared" ca="1" si="302"/>
        <v>1</v>
      </c>
      <c r="N205" s="55">
        <f t="shared" ca="1" si="302"/>
        <v>0</v>
      </c>
      <c r="O205" s="55">
        <f t="shared" ca="1" si="302"/>
        <v>0</v>
      </c>
      <c r="P205" s="55">
        <f t="shared" ca="1" si="302"/>
        <v>0</v>
      </c>
      <c r="Q205" s="55">
        <f t="shared" ca="1" si="302"/>
        <v>1</v>
      </c>
      <c r="R205" s="55">
        <f t="shared" si="302"/>
        <v>0</v>
      </c>
      <c r="S205" s="55">
        <f t="shared" si="302"/>
        <v>0</v>
      </c>
      <c r="T205" s="55">
        <f t="shared" si="302"/>
        <v>0</v>
      </c>
      <c r="U205" s="55">
        <f t="shared" si="302"/>
        <v>0</v>
      </c>
      <c r="V205" s="55">
        <f t="shared" si="302"/>
        <v>0</v>
      </c>
      <c r="W205" s="55">
        <f t="shared" si="302"/>
        <v>0</v>
      </c>
      <c r="X205" s="55">
        <f t="shared" si="302"/>
        <v>0</v>
      </c>
      <c r="Y205" s="55">
        <f t="shared" si="302"/>
        <v>0</v>
      </c>
      <c r="Z205" s="55">
        <f t="shared" si="302"/>
        <v>0</v>
      </c>
      <c r="AA205" s="55">
        <f t="shared" si="302"/>
        <v>0</v>
      </c>
      <c r="AB205" s="55">
        <f t="shared" si="302"/>
        <v>0</v>
      </c>
      <c r="AC205" s="55">
        <f t="shared" si="302"/>
        <v>0</v>
      </c>
      <c r="AD205" s="55">
        <f t="shared" si="302"/>
        <v>0</v>
      </c>
      <c r="AE205" s="55">
        <f t="shared" si="302"/>
        <v>0</v>
      </c>
      <c r="AF205" s="55">
        <f t="shared" si="302"/>
        <v>0</v>
      </c>
      <c r="AG205" s="55">
        <f t="shared" si="302"/>
        <v>0</v>
      </c>
      <c r="AH205" s="55">
        <f t="shared" si="302"/>
        <v>0</v>
      </c>
      <c r="AI205" s="55">
        <f t="shared" si="302"/>
        <v>0</v>
      </c>
      <c r="AJ205" s="55">
        <f t="shared" si="302"/>
        <v>0</v>
      </c>
      <c r="AK205" s="55">
        <f t="shared" si="302"/>
        <v>0</v>
      </c>
      <c r="AL205" s="55">
        <f t="shared" si="302"/>
        <v>0</v>
      </c>
      <c r="AM205" s="55">
        <f t="shared" si="302"/>
        <v>0</v>
      </c>
      <c r="AN205" s="55">
        <f t="shared" si="302"/>
        <v>0</v>
      </c>
      <c r="AO205" s="55">
        <f t="shared" si="302"/>
        <v>0</v>
      </c>
      <c r="AP205" s="55">
        <f t="shared" si="302"/>
        <v>0</v>
      </c>
      <c r="AQ205" s="55">
        <f t="shared" si="302"/>
        <v>0</v>
      </c>
      <c r="AR205" s="55">
        <f t="shared" si="302"/>
        <v>0</v>
      </c>
      <c r="AS205" s="55">
        <f t="shared" si="302"/>
        <v>0</v>
      </c>
      <c r="AT205" s="55">
        <f t="shared" si="302"/>
        <v>0</v>
      </c>
      <c r="AU205" s="55">
        <f t="shared" si="302"/>
        <v>0</v>
      </c>
      <c r="AV205" s="171"/>
      <c r="AW205" s="171"/>
      <c r="AX205" s="171"/>
      <c r="BC205" s="179"/>
      <c r="BK205" s="22"/>
      <c r="BL205"/>
    </row>
    <row r="206" spans="1:64">
      <c r="A206" s="248" t="s">
        <v>673</v>
      </c>
      <c r="B206" s="249"/>
      <c r="C206" s="55">
        <f ca="1">IF(C191=2,1,0)</f>
        <v>0</v>
      </c>
      <c r="D206" s="55">
        <f t="shared" ref="D206:Q206" ca="1" si="303">IF(D191=2,1,0)</f>
        <v>1</v>
      </c>
      <c r="E206" s="55">
        <f t="shared" ca="1" si="303"/>
        <v>1</v>
      </c>
      <c r="F206" s="55">
        <f t="shared" ca="1" si="303"/>
        <v>1</v>
      </c>
      <c r="G206" s="55">
        <f t="shared" ca="1" si="303"/>
        <v>1</v>
      </c>
      <c r="H206" s="55">
        <f t="shared" ca="1" si="303"/>
        <v>1</v>
      </c>
      <c r="I206" s="55">
        <f t="shared" ca="1" si="303"/>
        <v>0</v>
      </c>
      <c r="J206" s="55">
        <f t="shared" ca="1" si="303"/>
        <v>1</v>
      </c>
      <c r="K206" s="55">
        <f t="shared" ca="1" si="303"/>
        <v>1</v>
      </c>
      <c r="L206" s="55">
        <f t="shared" ca="1" si="303"/>
        <v>0</v>
      </c>
      <c r="M206" s="55">
        <f t="shared" ca="1" si="303"/>
        <v>1</v>
      </c>
      <c r="N206" s="55">
        <f t="shared" ca="1" si="303"/>
        <v>0</v>
      </c>
      <c r="O206" s="55">
        <f t="shared" ca="1" si="303"/>
        <v>0</v>
      </c>
      <c r="P206" s="55">
        <f t="shared" ca="1" si="303"/>
        <v>0</v>
      </c>
      <c r="Q206" s="55">
        <f t="shared" ca="1" si="303"/>
        <v>0</v>
      </c>
      <c r="R206" s="55">
        <f t="shared" ref="R206:AH206" si="304">IF(R191=2,1,0)</f>
        <v>0</v>
      </c>
      <c r="S206" s="55">
        <f t="shared" si="304"/>
        <v>0</v>
      </c>
      <c r="T206" s="55">
        <f t="shared" si="304"/>
        <v>0</v>
      </c>
      <c r="U206" s="55">
        <f t="shared" si="304"/>
        <v>0</v>
      </c>
      <c r="V206" s="55">
        <f t="shared" si="304"/>
        <v>0</v>
      </c>
      <c r="W206" s="55">
        <f t="shared" si="304"/>
        <v>0</v>
      </c>
      <c r="X206" s="55">
        <f t="shared" si="304"/>
        <v>0</v>
      </c>
      <c r="Y206" s="55">
        <f t="shared" si="304"/>
        <v>0</v>
      </c>
      <c r="Z206" s="55">
        <f t="shared" si="304"/>
        <v>0</v>
      </c>
      <c r="AA206" s="55">
        <f t="shared" si="304"/>
        <v>0</v>
      </c>
      <c r="AB206" s="55">
        <f t="shared" si="304"/>
        <v>0</v>
      </c>
      <c r="AC206" s="55">
        <f t="shared" si="304"/>
        <v>0</v>
      </c>
      <c r="AD206" s="55">
        <f t="shared" si="304"/>
        <v>0</v>
      </c>
      <c r="AE206" s="55">
        <f t="shared" si="304"/>
        <v>0</v>
      </c>
      <c r="AF206" s="55">
        <f t="shared" si="304"/>
        <v>0</v>
      </c>
      <c r="AG206" s="55">
        <f t="shared" si="304"/>
        <v>0</v>
      </c>
      <c r="AH206" s="55">
        <f t="shared" si="304"/>
        <v>0</v>
      </c>
      <c r="AI206" s="55">
        <f>IF(AI191=2,1,0)</f>
        <v>0</v>
      </c>
      <c r="AJ206" s="55">
        <f>IF(AJ191=2,1,0)</f>
        <v>0</v>
      </c>
      <c r="AK206" s="55">
        <f>IF(AK191=2,1,0)</f>
        <v>0</v>
      </c>
      <c r="AL206" s="55">
        <f t="shared" ref="AL206:AU206" si="305">IF(AL191=2,1,0)</f>
        <v>0</v>
      </c>
      <c r="AM206" s="55">
        <f t="shared" si="305"/>
        <v>0</v>
      </c>
      <c r="AN206" s="55">
        <f t="shared" si="305"/>
        <v>0</v>
      </c>
      <c r="AO206" s="55">
        <f t="shared" si="305"/>
        <v>0</v>
      </c>
      <c r="AP206" s="55">
        <f t="shared" si="305"/>
        <v>0</v>
      </c>
      <c r="AQ206" s="55">
        <f t="shared" si="305"/>
        <v>0</v>
      </c>
      <c r="AR206" s="55">
        <f t="shared" si="305"/>
        <v>0</v>
      </c>
      <c r="AS206" s="55">
        <f t="shared" si="305"/>
        <v>0</v>
      </c>
      <c r="AT206" s="55">
        <f t="shared" si="305"/>
        <v>0</v>
      </c>
      <c r="AU206" s="55">
        <f t="shared" si="305"/>
        <v>0</v>
      </c>
      <c r="AV206" s="171"/>
      <c r="AW206" s="171"/>
      <c r="AX206" s="171"/>
      <c r="BC206" s="179"/>
      <c r="BK206" s="22"/>
      <c r="BL206"/>
    </row>
    <row r="207" spans="1:64">
      <c r="A207" s="248" t="s">
        <v>675</v>
      </c>
      <c r="B207" s="249"/>
      <c r="C207" s="55">
        <f ca="1">IF(C204=2,1,0)</f>
        <v>0</v>
      </c>
      <c r="D207" s="55">
        <f t="shared" ref="D207:Q207" ca="1" si="306">IF(D204=2,1,0)</f>
        <v>0</v>
      </c>
      <c r="E207" s="55">
        <f t="shared" ca="1" si="306"/>
        <v>1</v>
      </c>
      <c r="F207" s="55">
        <f t="shared" ca="1" si="306"/>
        <v>0</v>
      </c>
      <c r="G207" s="55">
        <f t="shared" ca="1" si="306"/>
        <v>1</v>
      </c>
      <c r="H207" s="55">
        <f t="shared" ca="1" si="306"/>
        <v>1</v>
      </c>
      <c r="I207" s="55">
        <f t="shared" ca="1" si="306"/>
        <v>0</v>
      </c>
      <c r="J207" s="55">
        <f t="shared" ca="1" si="306"/>
        <v>0</v>
      </c>
      <c r="K207" s="55">
        <f t="shared" ca="1" si="306"/>
        <v>0</v>
      </c>
      <c r="L207" s="55">
        <f t="shared" ca="1" si="306"/>
        <v>0</v>
      </c>
      <c r="M207" s="55">
        <f t="shared" ca="1" si="306"/>
        <v>1</v>
      </c>
      <c r="N207" s="55">
        <f t="shared" ca="1" si="306"/>
        <v>0</v>
      </c>
      <c r="O207" s="55">
        <f t="shared" ca="1" si="306"/>
        <v>1</v>
      </c>
      <c r="P207" s="55">
        <f t="shared" ca="1" si="306"/>
        <v>0</v>
      </c>
      <c r="Q207" s="55">
        <f t="shared" ca="1" si="306"/>
        <v>0</v>
      </c>
      <c r="R207" s="55">
        <f t="shared" ref="R207:AH207" si="307">IF(R204=2,1,0)</f>
        <v>0</v>
      </c>
      <c r="S207" s="55">
        <f t="shared" si="307"/>
        <v>0</v>
      </c>
      <c r="T207" s="55">
        <f t="shared" si="307"/>
        <v>0</v>
      </c>
      <c r="U207" s="55">
        <f t="shared" si="307"/>
        <v>0</v>
      </c>
      <c r="V207" s="55">
        <f t="shared" si="307"/>
        <v>0</v>
      </c>
      <c r="W207" s="55">
        <f t="shared" si="307"/>
        <v>0</v>
      </c>
      <c r="X207" s="55">
        <f t="shared" si="307"/>
        <v>0</v>
      </c>
      <c r="Y207" s="55">
        <f t="shared" si="307"/>
        <v>0</v>
      </c>
      <c r="Z207" s="55">
        <f t="shared" si="307"/>
        <v>0</v>
      </c>
      <c r="AA207" s="55">
        <f t="shared" si="307"/>
        <v>0</v>
      </c>
      <c r="AB207" s="55">
        <f t="shared" si="307"/>
        <v>0</v>
      </c>
      <c r="AC207" s="55">
        <f t="shared" si="307"/>
        <v>0</v>
      </c>
      <c r="AD207" s="55">
        <f t="shared" si="307"/>
        <v>0</v>
      </c>
      <c r="AE207" s="55">
        <f t="shared" si="307"/>
        <v>0</v>
      </c>
      <c r="AF207" s="55">
        <f t="shared" si="307"/>
        <v>0</v>
      </c>
      <c r="AG207" s="55">
        <f t="shared" si="307"/>
        <v>0</v>
      </c>
      <c r="AH207" s="55">
        <f t="shared" si="307"/>
        <v>0</v>
      </c>
      <c r="AI207" s="55">
        <f>IF(AI204=2,1,0)</f>
        <v>0</v>
      </c>
      <c r="AJ207" s="55">
        <f>IF(AJ204=2,1,0)</f>
        <v>0</v>
      </c>
      <c r="AK207" s="55">
        <f>IF(AK204=2,1,0)</f>
        <v>0</v>
      </c>
      <c r="AL207" s="55">
        <f t="shared" ref="AL207:AU207" si="308">IF(AL204=2,1,0)</f>
        <v>0</v>
      </c>
      <c r="AM207" s="55">
        <f t="shared" si="308"/>
        <v>0</v>
      </c>
      <c r="AN207" s="55">
        <f t="shared" si="308"/>
        <v>0</v>
      </c>
      <c r="AO207" s="55">
        <f t="shared" si="308"/>
        <v>0</v>
      </c>
      <c r="AP207" s="55">
        <f t="shared" si="308"/>
        <v>0</v>
      </c>
      <c r="AQ207" s="55">
        <f t="shared" si="308"/>
        <v>0</v>
      </c>
      <c r="AR207" s="55">
        <f t="shared" si="308"/>
        <v>0</v>
      </c>
      <c r="AS207" s="55">
        <f t="shared" si="308"/>
        <v>0</v>
      </c>
      <c r="AT207" s="55">
        <f t="shared" si="308"/>
        <v>0</v>
      </c>
      <c r="AU207" s="55">
        <f t="shared" si="308"/>
        <v>0</v>
      </c>
      <c r="AV207" s="171"/>
      <c r="AW207" s="171"/>
      <c r="AX207" s="171"/>
      <c r="BC207" s="179"/>
      <c r="BK207" s="22"/>
      <c r="BL207"/>
    </row>
    <row r="208" spans="1:64">
      <c r="A208" s="246" t="s">
        <v>671</v>
      </c>
      <c r="B208" s="247"/>
      <c r="C208" s="82">
        <f ca="1">SUM(C205:C207)</f>
        <v>0</v>
      </c>
      <c r="D208" s="82">
        <f t="shared" ref="D208:Q208" ca="1" si="309">SUM(D205:D207)</f>
        <v>1</v>
      </c>
      <c r="E208" s="82">
        <f t="shared" ca="1" si="309"/>
        <v>3</v>
      </c>
      <c r="F208" s="82">
        <f t="shared" ca="1" si="309"/>
        <v>1</v>
      </c>
      <c r="G208" s="82">
        <f t="shared" ca="1" si="309"/>
        <v>3</v>
      </c>
      <c r="H208" s="82">
        <f t="shared" ca="1" si="309"/>
        <v>3</v>
      </c>
      <c r="I208" s="82">
        <f t="shared" ca="1" si="309"/>
        <v>0</v>
      </c>
      <c r="J208" s="82">
        <f t="shared" ca="1" si="309"/>
        <v>1</v>
      </c>
      <c r="K208" s="82">
        <f t="shared" ca="1" si="309"/>
        <v>1</v>
      </c>
      <c r="L208" s="82">
        <f t="shared" ca="1" si="309"/>
        <v>1</v>
      </c>
      <c r="M208" s="82">
        <f t="shared" ca="1" si="309"/>
        <v>3</v>
      </c>
      <c r="N208" s="82">
        <f t="shared" ca="1" si="309"/>
        <v>0</v>
      </c>
      <c r="O208" s="82">
        <f t="shared" ca="1" si="309"/>
        <v>1</v>
      </c>
      <c r="P208" s="82">
        <f t="shared" ca="1" si="309"/>
        <v>0</v>
      </c>
      <c r="Q208" s="82">
        <f t="shared" ca="1" si="309"/>
        <v>1</v>
      </c>
      <c r="R208" s="82">
        <f t="shared" ref="R208:AH208" si="310">SUM(R205:R207)</f>
        <v>0</v>
      </c>
      <c r="S208" s="82">
        <f t="shared" si="310"/>
        <v>0</v>
      </c>
      <c r="T208" s="82">
        <f t="shared" si="310"/>
        <v>0</v>
      </c>
      <c r="U208" s="82">
        <f t="shared" si="310"/>
        <v>0</v>
      </c>
      <c r="V208" s="82">
        <f t="shared" si="310"/>
        <v>0</v>
      </c>
      <c r="W208" s="82">
        <f t="shared" si="310"/>
        <v>0</v>
      </c>
      <c r="X208" s="82">
        <f t="shared" si="310"/>
        <v>0</v>
      </c>
      <c r="Y208" s="82">
        <f t="shared" si="310"/>
        <v>0</v>
      </c>
      <c r="Z208" s="82">
        <f t="shared" si="310"/>
        <v>0</v>
      </c>
      <c r="AA208" s="82">
        <f t="shared" si="310"/>
        <v>0</v>
      </c>
      <c r="AB208" s="82">
        <f t="shared" si="310"/>
        <v>0</v>
      </c>
      <c r="AC208" s="82">
        <f t="shared" si="310"/>
        <v>0</v>
      </c>
      <c r="AD208" s="82">
        <f t="shared" si="310"/>
        <v>0</v>
      </c>
      <c r="AE208" s="82">
        <f t="shared" si="310"/>
        <v>0</v>
      </c>
      <c r="AF208" s="82">
        <f t="shared" si="310"/>
        <v>0</v>
      </c>
      <c r="AG208" s="82">
        <f t="shared" si="310"/>
        <v>0</v>
      </c>
      <c r="AH208" s="82">
        <f t="shared" si="310"/>
        <v>0</v>
      </c>
      <c r="AI208" s="82">
        <f>SUM(AI205:AI207)</f>
        <v>0</v>
      </c>
      <c r="AJ208" s="82">
        <f>SUM(AJ205:AJ207)</f>
        <v>0</v>
      </c>
      <c r="AK208" s="82">
        <f>SUM(AK205:AK207)</f>
        <v>0</v>
      </c>
      <c r="AL208" s="82">
        <f t="shared" ref="AL208:AU208" si="311">SUM(AL205:AL207)</f>
        <v>0</v>
      </c>
      <c r="AM208" s="82">
        <f t="shared" si="311"/>
        <v>0</v>
      </c>
      <c r="AN208" s="82">
        <f t="shared" si="311"/>
        <v>0</v>
      </c>
      <c r="AO208" s="82">
        <f t="shared" si="311"/>
        <v>0</v>
      </c>
      <c r="AP208" s="82">
        <f t="shared" si="311"/>
        <v>0</v>
      </c>
      <c r="AQ208" s="82">
        <f t="shared" si="311"/>
        <v>0</v>
      </c>
      <c r="AR208" s="82">
        <f t="shared" si="311"/>
        <v>0</v>
      </c>
      <c r="AS208" s="82">
        <f t="shared" si="311"/>
        <v>0</v>
      </c>
      <c r="AT208" s="82">
        <f t="shared" si="311"/>
        <v>0</v>
      </c>
      <c r="AU208" s="82">
        <f t="shared" si="311"/>
        <v>0</v>
      </c>
      <c r="AV208" s="176"/>
      <c r="AW208" s="176"/>
      <c r="AX208" s="176"/>
      <c r="BC208" s="179"/>
      <c r="BK208" s="22"/>
      <c r="BL208"/>
    </row>
    <row r="209" spans="1:64">
      <c r="A209" s="127" t="s">
        <v>695</v>
      </c>
      <c r="B209" s="54" t="s">
        <v>697</v>
      </c>
      <c r="C209" s="54" t="str">
        <f t="shared" ref="C209:AU209" ca="1" si="312">IF(C$88=$BC$18,"O",IF(C$88=$BD$18,"O",IF(C$88=$BE$18,"O",IF(C$88=$BF$18,"O",IF(C$88=$BG$18,"O",IF(C$88=$BH$18,"O",IF(C$88=$BI$18,"O",IF(C$88=$BJ$18,"O",IF(C$88=$BK$18,"O",IF(C$88=$BL$18,"O",IF(C$88=$BM$18,"O",IF(C$88=$BN$18,"O",IF(C$88=$BO$18,"O",IF(C$88=$BP$18,"O",IF(C$88=$BQ$18,"O",IF(C$88=$BR$18,"O",IF(C$88=$BS$18,"O",IF(C$88=$BT$18,"O",IF(C$88=$BU$18,"O",IF(C$88=$BV$18,"O","X"))))))))))))))))))))</f>
        <v>X</v>
      </c>
      <c r="D209" s="54" t="str">
        <f t="shared" ca="1" si="312"/>
        <v>O</v>
      </c>
      <c r="E209" s="54" t="str">
        <f t="shared" ca="1" si="312"/>
        <v>O</v>
      </c>
      <c r="F209" s="54" t="str">
        <f t="shared" ca="1" si="312"/>
        <v>X</v>
      </c>
      <c r="G209" s="54" t="str">
        <f t="shared" ca="1" si="312"/>
        <v>O</v>
      </c>
      <c r="H209" s="54" t="str">
        <f t="shared" ca="1" si="312"/>
        <v>O</v>
      </c>
      <c r="I209" s="54" t="str">
        <f t="shared" ca="1" si="312"/>
        <v>O</v>
      </c>
      <c r="J209" s="54" t="str">
        <f t="shared" ca="1" si="312"/>
        <v>O</v>
      </c>
      <c r="K209" s="54" t="str">
        <f t="shared" ca="1" si="312"/>
        <v>O</v>
      </c>
      <c r="L209" s="54" t="str">
        <f t="shared" ca="1" si="312"/>
        <v>O</v>
      </c>
      <c r="M209" s="54" t="str">
        <f t="shared" ca="1" si="312"/>
        <v>O</v>
      </c>
      <c r="N209" s="54" t="str">
        <f t="shared" ca="1" si="312"/>
        <v>O</v>
      </c>
      <c r="O209" s="54" t="str">
        <f t="shared" ca="1" si="312"/>
        <v>O</v>
      </c>
      <c r="P209" s="54" t="str">
        <f t="shared" ca="1" si="312"/>
        <v>O</v>
      </c>
      <c r="Q209" s="54" t="str">
        <f t="shared" ca="1" si="312"/>
        <v>O</v>
      </c>
      <c r="R209" s="54" t="e">
        <f t="shared" si="312"/>
        <v>#VALUE!</v>
      </c>
      <c r="S209" s="54" t="e">
        <f t="shared" si="312"/>
        <v>#VALUE!</v>
      </c>
      <c r="T209" s="54" t="e">
        <f t="shared" si="312"/>
        <v>#VALUE!</v>
      </c>
      <c r="U209" s="54" t="e">
        <f t="shared" si="312"/>
        <v>#VALUE!</v>
      </c>
      <c r="V209" s="54" t="e">
        <f t="shared" si="312"/>
        <v>#VALUE!</v>
      </c>
      <c r="W209" s="54" t="e">
        <f t="shared" si="312"/>
        <v>#VALUE!</v>
      </c>
      <c r="X209" s="54" t="e">
        <f t="shared" si="312"/>
        <v>#VALUE!</v>
      </c>
      <c r="Y209" s="54" t="e">
        <f t="shared" si="312"/>
        <v>#VALUE!</v>
      </c>
      <c r="Z209" s="54" t="e">
        <f t="shared" si="312"/>
        <v>#VALUE!</v>
      </c>
      <c r="AA209" s="54" t="e">
        <f t="shared" si="312"/>
        <v>#VALUE!</v>
      </c>
      <c r="AB209" s="54" t="e">
        <f t="shared" si="312"/>
        <v>#VALUE!</v>
      </c>
      <c r="AC209" s="54" t="e">
        <f t="shared" si="312"/>
        <v>#VALUE!</v>
      </c>
      <c r="AD209" s="54" t="e">
        <f t="shared" si="312"/>
        <v>#VALUE!</v>
      </c>
      <c r="AE209" s="54" t="e">
        <f t="shared" si="312"/>
        <v>#VALUE!</v>
      </c>
      <c r="AF209" s="54" t="e">
        <f t="shared" si="312"/>
        <v>#VALUE!</v>
      </c>
      <c r="AG209" s="54" t="e">
        <f t="shared" si="312"/>
        <v>#VALUE!</v>
      </c>
      <c r="AH209" s="54" t="e">
        <f t="shared" si="312"/>
        <v>#VALUE!</v>
      </c>
      <c r="AI209" s="54" t="e">
        <f t="shared" si="312"/>
        <v>#VALUE!</v>
      </c>
      <c r="AJ209" s="54" t="e">
        <f t="shared" si="312"/>
        <v>#VALUE!</v>
      </c>
      <c r="AK209" s="54" t="e">
        <f t="shared" si="312"/>
        <v>#VALUE!</v>
      </c>
      <c r="AL209" s="54" t="e">
        <f t="shared" si="312"/>
        <v>#VALUE!</v>
      </c>
      <c r="AM209" s="54" t="e">
        <f t="shared" si="312"/>
        <v>#VALUE!</v>
      </c>
      <c r="AN209" s="54" t="e">
        <f t="shared" si="312"/>
        <v>#VALUE!</v>
      </c>
      <c r="AO209" s="54" t="e">
        <f t="shared" si="312"/>
        <v>#VALUE!</v>
      </c>
      <c r="AP209" s="54" t="e">
        <f t="shared" si="312"/>
        <v>#VALUE!</v>
      </c>
      <c r="AQ209" s="54" t="e">
        <f t="shared" si="312"/>
        <v>#VALUE!</v>
      </c>
      <c r="AR209" s="54" t="e">
        <f t="shared" si="312"/>
        <v>#VALUE!</v>
      </c>
      <c r="AS209" s="54" t="e">
        <f t="shared" si="312"/>
        <v>#VALUE!</v>
      </c>
      <c r="AT209" s="54" t="e">
        <f t="shared" si="312"/>
        <v>#VALUE!</v>
      </c>
      <c r="AU209" s="54" t="e">
        <f t="shared" si="312"/>
        <v>#VALUE!</v>
      </c>
      <c r="AV209" s="53"/>
      <c r="AW209" s="53"/>
      <c r="AX209" s="53"/>
      <c r="BC209" s="179"/>
      <c r="BK209" s="22"/>
      <c r="BL209"/>
    </row>
    <row r="210" spans="1:64">
      <c r="A210" s="128"/>
      <c r="B210" s="60" t="s">
        <v>634</v>
      </c>
      <c r="C210" s="55">
        <f ca="1">COUNTIF(C209:C209,"O")</f>
        <v>0</v>
      </c>
      <c r="D210" s="55">
        <f t="shared" ref="D210:Q210" ca="1" si="313">COUNTIF(D209:D209,"O")</f>
        <v>1</v>
      </c>
      <c r="E210" s="55">
        <f t="shared" ca="1" si="313"/>
        <v>1</v>
      </c>
      <c r="F210" s="55">
        <f t="shared" ca="1" si="313"/>
        <v>0</v>
      </c>
      <c r="G210" s="55">
        <f t="shared" ca="1" si="313"/>
        <v>1</v>
      </c>
      <c r="H210" s="55">
        <f t="shared" ca="1" si="313"/>
        <v>1</v>
      </c>
      <c r="I210" s="55">
        <f t="shared" ca="1" si="313"/>
        <v>1</v>
      </c>
      <c r="J210" s="55">
        <f t="shared" ca="1" si="313"/>
        <v>1</v>
      </c>
      <c r="K210" s="55">
        <f t="shared" ca="1" si="313"/>
        <v>1</v>
      </c>
      <c r="L210" s="55">
        <f t="shared" ca="1" si="313"/>
        <v>1</v>
      </c>
      <c r="M210" s="55">
        <f t="shared" ca="1" si="313"/>
        <v>1</v>
      </c>
      <c r="N210" s="55">
        <f t="shared" ca="1" si="313"/>
        <v>1</v>
      </c>
      <c r="O210" s="55">
        <f t="shared" ca="1" si="313"/>
        <v>1</v>
      </c>
      <c r="P210" s="55">
        <f t="shared" ca="1" si="313"/>
        <v>1</v>
      </c>
      <c r="Q210" s="55">
        <f t="shared" ca="1" si="313"/>
        <v>1</v>
      </c>
      <c r="R210" s="55">
        <f t="shared" ref="R210:AH210" si="314">COUNTIF(R209:R209,"O")</f>
        <v>0</v>
      </c>
      <c r="S210" s="55">
        <f t="shared" si="314"/>
        <v>0</v>
      </c>
      <c r="T210" s="55">
        <f t="shared" si="314"/>
        <v>0</v>
      </c>
      <c r="U210" s="55">
        <f t="shared" si="314"/>
        <v>0</v>
      </c>
      <c r="V210" s="55">
        <f t="shared" si="314"/>
        <v>0</v>
      </c>
      <c r="W210" s="55">
        <f t="shared" si="314"/>
        <v>0</v>
      </c>
      <c r="X210" s="55">
        <f t="shared" si="314"/>
        <v>0</v>
      </c>
      <c r="Y210" s="55">
        <f t="shared" si="314"/>
        <v>0</v>
      </c>
      <c r="Z210" s="55">
        <f t="shared" si="314"/>
        <v>0</v>
      </c>
      <c r="AA210" s="55">
        <f t="shared" si="314"/>
        <v>0</v>
      </c>
      <c r="AB210" s="55">
        <f t="shared" si="314"/>
        <v>0</v>
      </c>
      <c r="AC210" s="55">
        <f t="shared" si="314"/>
        <v>0</v>
      </c>
      <c r="AD210" s="55">
        <f t="shared" si="314"/>
        <v>0</v>
      </c>
      <c r="AE210" s="55">
        <f t="shared" si="314"/>
        <v>0</v>
      </c>
      <c r="AF210" s="55">
        <f t="shared" si="314"/>
        <v>0</v>
      </c>
      <c r="AG210" s="55">
        <f t="shared" si="314"/>
        <v>0</v>
      </c>
      <c r="AH210" s="55">
        <f t="shared" si="314"/>
        <v>0</v>
      </c>
      <c r="AI210" s="55">
        <f>COUNTIF(AI209:AI209,"O")</f>
        <v>0</v>
      </c>
      <c r="AJ210" s="55">
        <f>COUNTIF(AJ209:AJ209,"O")</f>
        <v>0</v>
      </c>
      <c r="AK210" s="55">
        <f>COUNTIF(AK209:AK209,"O")</f>
        <v>0</v>
      </c>
      <c r="AL210" s="55">
        <f t="shared" ref="AL210:AU210" si="315">COUNTIF(AL209:AL209,"O")</f>
        <v>0</v>
      </c>
      <c r="AM210" s="55">
        <f t="shared" si="315"/>
        <v>0</v>
      </c>
      <c r="AN210" s="55">
        <f t="shared" si="315"/>
        <v>0</v>
      </c>
      <c r="AO210" s="55">
        <f t="shared" si="315"/>
        <v>0</v>
      </c>
      <c r="AP210" s="55">
        <f t="shared" si="315"/>
        <v>0</v>
      </c>
      <c r="AQ210" s="55">
        <f t="shared" si="315"/>
        <v>0</v>
      </c>
      <c r="AR210" s="55">
        <f t="shared" si="315"/>
        <v>0</v>
      </c>
      <c r="AS210" s="55">
        <f t="shared" si="315"/>
        <v>0</v>
      </c>
      <c r="AT210" s="55">
        <f t="shared" si="315"/>
        <v>0</v>
      </c>
      <c r="AU210" s="55">
        <f t="shared" si="315"/>
        <v>0</v>
      </c>
      <c r="AV210" s="171"/>
      <c r="AW210" s="171"/>
      <c r="AX210" s="171"/>
      <c r="BC210" s="179"/>
      <c r="BK210" s="22"/>
      <c r="BL210"/>
    </row>
    <row r="211" spans="1:64">
      <c r="A211" s="129"/>
      <c r="BC211" s="179"/>
      <c r="BK211" s="22"/>
      <c r="BL211"/>
    </row>
    <row r="212" spans="1:64">
      <c r="BC212" s="179"/>
      <c r="BK212" s="22"/>
      <c r="BL212"/>
    </row>
    <row r="213" spans="1:64">
      <c r="BK213" s="22"/>
      <c r="BL213"/>
    </row>
    <row r="214" spans="1:64">
      <c r="BK214" s="22"/>
      <c r="BL214"/>
    </row>
    <row r="215" spans="1:64">
      <c r="BK215" s="22"/>
    </row>
    <row r="216" spans="1:64">
      <c r="BK216" s="22"/>
    </row>
    <row r="217" spans="1:64">
      <c r="BK217" s="22"/>
    </row>
  </sheetData>
  <sortState xmlns:xlrd2="http://schemas.microsoft.com/office/spreadsheetml/2017/richdata2" ref="BD38:BD67">
    <sortCondition ref="BD38"/>
  </sortState>
  <mergeCells count="44">
    <mergeCell ref="I2:L2"/>
    <mergeCell ref="C34:D34"/>
    <mergeCell ref="E34:F34"/>
    <mergeCell ref="G34:H34"/>
    <mergeCell ref="C4:D4"/>
    <mergeCell ref="E4:F4"/>
    <mergeCell ref="G4:H4"/>
    <mergeCell ref="A14:B14"/>
    <mergeCell ref="H36:L36"/>
    <mergeCell ref="A38:A43"/>
    <mergeCell ref="AZ31:BB31"/>
    <mergeCell ref="BA15:BB15"/>
    <mergeCell ref="BA16:BB16"/>
    <mergeCell ref="C36:G36"/>
    <mergeCell ref="AZ14:BB14"/>
    <mergeCell ref="BA17:BB17"/>
    <mergeCell ref="BA18:BB18"/>
    <mergeCell ref="BA19:BB19"/>
    <mergeCell ref="BA20:BB20"/>
    <mergeCell ref="BA21:BB21"/>
    <mergeCell ref="BA27:BB27"/>
    <mergeCell ref="BA28:BB28"/>
    <mergeCell ref="BA29:BB29"/>
    <mergeCell ref="A44:A49"/>
    <mergeCell ref="A50:A55"/>
    <mergeCell ref="A179:A191"/>
    <mergeCell ref="A56:A58"/>
    <mergeCell ref="A89:A101"/>
    <mergeCell ref="A66:A71"/>
    <mergeCell ref="A72:A78"/>
    <mergeCell ref="A79:A84"/>
    <mergeCell ref="A85:A87"/>
    <mergeCell ref="A59:A64"/>
    <mergeCell ref="A208:B208"/>
    <mergeCell ref="A205:B205"/>
    <mergeCell ref="A206:B206"/>
    <mergeCell ref="A207:B207"/>
    <mergeCell ref="A192:A204"/>
    <mergeCell ref="BA30:BB30"/>
    <mergeCell ref="BA22:BB22"/>
    <mergeCell ref="BA23:BB23"/>
    <mergeCell ref="BA24:BB24"/>
    <mergeCell ref="BA25:BB25"/>
    <mergeCell ref="BA26:BB26"/>
  </mergeCells>
  <phoneticPr fontId="2" type="noConversion"/>
  <conditionalFormatting sqref="R31:AX31">
    <cfRule type="containsText" dxfId="19" priority="115" operator="containsText" text="GD">
      <formula>NOT(ISERROR(SEARCH("GD",R31)))</formula>
    </cfRule>
  </conditionalFormatting>
  <conditionalFormatting sqref="R15:AX30">
    <cfRule type="containsText" dxfId="18" priority="113" operator="containsText" text="실패">
      <formula>NOT(ISERROR(SEARCH("실패",R15)))</formula>
    </cfRule>
    <cfRule type="containsText" dxfId="17" priority="114" operator="containsText" text="당첨">
      <formula>NOT(ISERROR(SEARCH("당첨",R15)))</formula>
    </cfRule>
  </conditionalFormatting>
  <conditionalFormatting sqref="R31:AX31">
    <cfRule type="containsText" dxfId="16" priority="108" operator="containsText" text="당첨">
      <formula>NOT(ISERROR(SEARCH("당첨",R31)))</formula>
    </cfRule>
    <cfRule type="containsText" dxfId="15" priority="109" operator="containsText" text="당첨">
      <formula>NOT(ISERROR(SEARCH("당첨",R31)))</formula>
    </cfRule>
    <cfRule type="containsText" dxfId="14" priority="110" operator="containsText" text="실패">
      <formula>NOT(ISERROR(SEARCH("실패",R31)))</formula>
    </cfRule>
  </conditionalFormatting>
  <conditionalFormatting sqref="C79:AX84">
    <cfRule type="containsText" dxfId="13" priority="107" operator="containsText" text="고수">
      <formula>NOT(ISERROR(SEARCH("고수",C79)))</formula>
    </cfRule>
  </conditionalFormatting>
  <conditionalFormatting sqref="R15:AX31">
    <cfRule type="containsText" dxfId="12" priority="106" operator="containsText" text="낙첨">
      <formula>NOT(ISERROR(SEARCH("낙첨",R15)))</formula>
    </cfRule>
  </conditionalFormatting>
  <conditionalFormatting sqref="R31:AX31">
    <cfRule type="containsText" dxfId="11" priority="101" operator="containsText" text="8">
      <formula>NOT(ISERROR(SEARCH("8",R31)))</formula>
    </cfRule>
  </conditionalFormatting>
  <conditionalFormatting sqref="BC31:DB31">
    <cfRule type="cellIs" dxfId="10" priority="76" operator="greaterThan">
      <formula>10</formula>
    </cfRule>
  </conditionalFormatting>
  <conditionalFormatting sqref="BG116:BG141">
    <cfRule type="cellIs" dxfId="9" priority="75" operator="greaterThan">
      <formula>45</formula>
    </cfRule>
  </conditionalFormatting>
  <conditionalFormatting sqref="AV38:AW43">
    <cfRule type="cellIs" dxfId="8" priority="4" operator="equal">
      <formula>43</formula>
    </cfRule>
    <cfRule type="cellIs" dxfId="7" priority="5" operator="equal">
      <formula>40</formula>
    </cfRule>
    <cfRule type="cellIs" dxfId="6" priority="6" operator="equal">
      <formula>26</formula>
    </cfRule>
    <cfRule type="cellIs" dxfId="5" priority="7" operator="equal">
      <formula>19</formula>
    </cfRule>
    <cfRule type="cellIs" dxfId="4" priority="8" operator="equal">
      <formula>15</formula>
    </cfRule>
    <cfRule type="cellIs" dxfId="3" priority="9" operator="equal">
      <formula>12</formula>
    </cfRule>
  </conditionalFormatting>
  <conditionalFormatting sqref="C15:Q30">
    <cfRule type="cellIs" dxfId="2" priority="2" operator="equal">
      <formula>"당첨"</formula>
    </cfRule>
    <cfRule type="cellIs" dxfId="1" priority="3" operator="equal">
      <formula>"낙첨"</formula>
    </cfRule>
  </conditionalFormatting>
  <conditionalFormatting sqref="C31:Q31">
    <cfRule type="cellIs" dxfId="0" priority="1" operator="equal">
      <formula>"낙첨"</formula>
    </cfRule>
  </conditionalFormatting>
  <pageMargins left="0.7" right="0.7" top="0.75" bottom="0.75" header="0.3" footer="0.3"/>
  <pageSetup paperSize="9" orientation="portrait" r:id="rId1"/>
  <ignoredErrors>
    <ignoredError sqref="C62:C64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FF00"/>
  </sheetPr>
  <dimension ref="A1:CR725"/>
  <sheetViews>
    <sheetView tabSelected="1" zoomScale="70" zoomScaleNormal="70" workbookViewId="0">
      <pane xSplit="4" ySplit="4" topLeftCell="AR707" activePane="bottomRight" state="frozen"/>
      <selection activeCell="G93" sqref="G93"/>
      <selection pane="topRight" activeCell="G93" sqref="G93"/>
      <selection pane="bottomLeft" activeCell="G93" sqref="G93"/>
      <selection pane="bottomRight" activeCell="AW738" sqref="AW738"/>
    </sheetView>
  </sheetViews>
  <sheetFormatPr defaultColWidth="9" defaultRowHeight="14.5"/>
  <cols>
    <col min="1" max="1" width="13.75" style="16" bestFit="1" customWidth="1"/>
    <col min="2" max="2" width="4.58203125" style="16" bestFit="1" customWidth="1"/>
    <col min="3" max="3" width="9.25" style="23" bestFit="1" customWidth="1"/>
    <col min="4" max="4" width="7.5" style="16" hidden="1" customWidth="1"/>
    <col min="5" max="5" width="12.5" style="16" hidden="1" customWidth="1"/>
    <col min="6" max="6" width="7.5" style="16" hidden="1" customWidth="1"/>
    <col min="7" max="7" width="10.08203125" style="16" hidden="1" customWidth="1"/>
    <col min="8" max="8" width="7.5" style="16" hidden="1" customWidth="1"/>
    <col min="9" max="9" width="8.33203125" style="16" hidden="1" customWidth="1"/>
    <col min="10" max="11" width="7.5" style="16" hidden="1" customWidth="1"/>
    <col min="12" max="12" width="8.33203125" style="16" hidden="1" customWidth="1"/>
    <col min="13" max="13" width="7.5" style="16" hidden="1" customWidth="1"/>
    <col min="14" max="21" width="4.58203125" style="23" customWidth="1"/>
    <col min="22" max="22" width="1.25" style="23" customWidth="1"/>
    <col min="23" max="26" width="4.33203125" style="22" customWidth="1"/>
    <col min="27" max="28" width="4.33203125" style="23" customWidth="1"/>
    <col min="29" max="40" width="4.33203125" style="22" customWidth="1"/>
    <col min="41" max="64" width="6" style="22" customWidth="1"/>
    <col min="65" max="65" width="1" style="22" customWidth="1"/>
    <col min="66" max="66" width="1" style="23" customWidth="1"/>
    <col min="67" max="77" width="5.75" style="23" customWidth="1"/>
    <col min="78" max="82" width="5.75" style="16" customWidth="1"/>
    <col min="83" max="83" width="2.08203125" style="23" customWidth="1"/>
    <col min="84" max="84" width="4.5" style="22" bestFit="1" customWidth="1"/>
    <col min="85" max="86" width="4.33203125" style="22" customWidth="1"/>
    <col min="87" max="87" width="8" style="22" bestFit="1" customWidth="1"/>
    <col min="88" max="88" width="4.75" style="22" customWidth="1"/>
    <col min="89" max="89" width="2.5" style="23" customWidth="1"/>
    <col min="90" max="90" width="4" style="23" customWidth="1"/>
    <col min="91" max="92" width="3.5" style="23" customWidth="1"/>
    <col min="93" max="95" width="5.33203125" style="23" customWidth="1"/>
    <col min="96" max="96" width="3.5" style="23" customWidth="1"/>
    <col min="97" max="16384" width="9" style="16"/>
  </cols>
  <sheetData>
    <row r="1" spans="1:95" ht="19.5" customHeight="1">
      <c r="A1" s="15" t="s">
        <v>20</v>
      </c>
      <c r="B1" s="15"/>
      <c r="C1" s="202"/>
      <c r="D1" s="15"/>
      <c r="E1" s="15"/>
      <c r="F1" s="15"/>
      <c r="G1" s="15"/>
      <c r="H1" s="15"/>
      <c r="I1" s="15"/>
      <c r="Z1" s="122">
        <v>16</v>
      </c>
      <c r="AA1" s="122">
        <v>18</v>
      </c>
      <c r="AB1" s="122">
        <v>19</v>
      </c>
      <c r="AC1" s="122">
        <v>20</v>
      </c>
      <c r="AD1" s="123">
        <v>21</v>
      </c>
      <c r="AE1" s="123">
        <v>22</v>
      </c>
      <c r="AF1" s="123">
        <v>23</v>
      </c>
      <c r="AG1" s="123">
        <v>24</v>
      </c>
      <c r="AH1" s="123">
        <v>25</v>
      </c>
      <c r="AI1" s="123">
        <v>26</v>
      </c>
      <c r="AJ1" s="92">
        <v>27</v>
      </c>
      <c r="AK1" s="92">
        <v>28</v>
      </c>
      <c r="AL1" s="92">
        <v>29</v>
      </c>
      <c r="AM1" s="92">
        <v>30</v>
      </c>
      <c r="AN1" s="92">
        <v>31</v>
      </c>
      <c r="AO1" s="92">
        <v>32</v>
      </c>
      <c r="AP1" s="92">
        <v>33</v>
      </c>
      <c r="AQ1" s="92">
        <v>34</v>
      </c>
      <c r="AR1" s="92">
        <v>35</v>
      </c>
      <c r="AS1" s="92">
        <v>36</v>
      </c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34" t="s">
        <v>584</v>
      </c>
      <c r="BZ1" s="234"/>
      <c r="CA1" s="234"/>
      <c r="CB1" s="234"/>
      <c r="CC1" s="234"/>
      <c r="CD1" s="234"/>
      <c r="CE1" s="235" t="s">
        <v>749</v>
      </c>
      <c r="CF1" s="228"/>
      <c r="CG1" s="228"/>
      <c r="CH1" s="228"/>
      <c r="CI1" s="228"/>
      <c r="CJ1" s="228"/>
    </row>
    <row r="2" spans="1:95" ht="19.5" customHeight="1">
      <c r="A2" s="15"/>
      <c r="B2" s="15"/>
      <c r="C2" s="202"/>
      <c r="D2" s="15"/>
      <c r="E2" s="15"/>
      <c r="F2" s="15"/>
      <c r="G2" s="15"/>
      <c r="H2" s="15"/>
      <c r="I2" s="15"/>
      <c r="R2" s="228" t="s">
        <v>699</v>
      </c>
      <c r="S2" s="229"/>
      <c r="T2" s="240">
        <f>AVERAGE(U487:U2487)</f>
        <v>139.163179916318</v>
      </c>
      <c r="U2" s="240"/>
      <c r="BO2" s="22"/>
      <c r="BP2" s="22"/>
      <c r="BQ2" s="22"/>
      <c r="BR2" s="242" t="s">
        <v>747</v>
      </c>
      <c r="BS2" s="242"/>
      <c r="BT2" s="242"/>
      <c r="BU2" s="242"/>
      <c r="BV2" s="242"/>
      <c r="BW2" s="242"/>
      <c r="BZ2" s="23"/>
      <c r="CA2" s="23"/>
      <c r="CB2" s="23"/>
      <c r="CC2" s="23"/>
      <c r="CD2" s="23"/>
      <c r="CF2" s="235" t="s">
        <v>662</v>
      </c>
      <c r="CG2" s="235"/>
      <c r="CH2" s="235"/>
      <c r="CI2" s="235"/>
      <c r="CJ2" s="235"/>
    </row>
    <row r="3" spans="1:95" ht="17.25" customHeight="1" thickBot="1">
      <c r="A3" s="15" t="s">
        <v>21</v>
      </c>
      <c r="B3" s="15"/>
      <c r="C3" s="202"/>
      <c r="D3" s="15" t="s">
        <v>22</v>
      </c>
      <c r="E3" s="15"/>
      <c r="F3" s="15" t="s">
        <v>23</v>
      </c>
      <c r="G3" s="15"/>
      <c r="H3" s="15" t="s">
        <v>24</v>
      </c>
      <c r="I3" s="15"/>
      <c r="J3" s="16" t="s">
        <v>25</v>
      </c>
      <c r="L3" s="16" t="s">
        <v>26</v>
      </c>
      <c r="N3" s="23" t="s">
        <v>27</v>
      </c>
      <c r="R3" s="228" t="s">
        <v>698</v>
      </c>
      <c r="S3" s="229"/>
      <c r="T3" s="237">
        <f>AVERAGE(U5:U2488)</f>
        <v>138.29264909847433</v>
      </c>
      <c r="U3" s="237"/>
      <c r="W3" s="231" t="s">
        <v>606</v>
      </c>
      <c r="X3" s="231"/>
      <c r="Y3" s="231"/>
      <c r="Z3" s="231"/>
      <c r="AA3" s="231"/>
      <c r="AB3" s="231"/>
      <c r="AC3" s="231"/>
      <c r="AD3" s="231"/>
      <c r="AE3" s="231"/>
      <c r="AF3" s="232" t="s">
        <v>607</v>
      </c>
      <c r="AG3" s="232"/>
      <c r="AH3" s="232"/>
      <c r="AI3" s="232"/>
      <c r="AJ3" s="232"/>
      <c r="AK3" s="232"/>
      <c r="AL3" s="232"/>
      <c r="AM3" s="232"/>
      <c r="AN3" s="232"/>
      <c r="AO3" s="61" t="s">
        <v>605</v>
      </c>
      <c r="AP3" s="236" t="s">
        <v>635</v>
      </c>
      <c r="AQ3" s="236"/>
      <c r="AR3" s="236"/>
      <c r="AS3" s="236"/>
      <c r="AT3" s="236"/>
      <c r="AU3" s="236"/>
      <c r="AV3" s="236"/>
      <c r="AW3" s="236"/>
      <c r="AX3" s="236"/>
      <c r="AY3" s="236"/>
      <c r="AZ3" s="236"/>
      <c r="BA3" s="236"/>
      <c r="BB3" s="236"/>
      <c r="BC3" s="95"/>
      <c r="BD3" s="95"/>
      <c r="BE3" s="95"/>
      <c r="BF3" s="95"/>
      <c r="BG3" s="95"/>
      <c r="BH3" s="95"/>
      <c r="BI3" s="95"/>
      <c r="BJ3" s="95"/>
      <c r="BK3" s="95"/>
      <c r="BL3" s="95"/>
      <c r="BO3" s="22"/>
      <c r="BP3" s="22"/>
      <c r="BQ3" s="22"/>
      <c r="BR3" s="238" t="s">
        <v>771</v>
      </c>
      <c r="BS3" s="238"/>
      <c r="BT3" s="238"/>
      <c r="BU3" s="238"/>
      <c r="BV3" s="238"/>
      <c r="BW3" s="238"/>
      <c r="BZ3" s="23"/>
      <c r="CA3" s="23"/>
      <c r="CB3" s="23"/>
      <c r="CC3" s="23"/>
      <c r="CD3" s="23"/>
      <c r="CF3" s="230" t="s">
        <v>670</v>
      </c>
      <c r="CG3" s="230"/>
      <c r="CH3" s="230"/>
      <c r="CI3" s="230"/>
      <c r="CJ3" s="230"/>
    </row>
    <row r="4" spans="1:95">
      <c r="A4" s="15"/>
      <c r="B4" s="15" t="s">
        <v>750</v>
      </c>
      <c r="C4" s="202" t="s">
        <v>751</v>
      </c>
      <c r="D4" s="15" t="s">
        <v>28</v>
      </c>
      <c r="E4" s="15" t="s">
        <v>29</v>
      </c>
      <c r="F4" s="15" t="s">
        <v>28</v>
      </c>
      <c r="G4" s="15" t="s">
        <v>29</v>
      </c>
      <c r="H4" s="15" t="s">
        <v>28</v>
      </c>
      <c r="I4" s="15" t="s">
        <v>29</v>
      </c>
      <c r="J4" s="16" t="s">
        <v>28</v>
      </c>
      <c r="K4" s="16" t="s">
        <v>29</v>
      </c>
      <c r="L4" s="16" t="s">
        <v>28</v>
      </c>
      <c r="M4" s="16" t="s">
        <v>29</v>
      </c>
      <c r="N4" s="23" t="s">
        <v>521</v>
      </c>
      <c r="O4" s="23" t="s">
        <v>522</v>
      </c>
      <c r="P4" s="23" t="s">
        <v>523</v>
      </c>
      <c r="Q4" s="23" t="s">
        <v>524</v>
      </c>
      <c r="R4" s="23" t="s">
        <v>525</v>
      </c>
      <c r="S4" s="58" t="s">
        <v>526</v>
      </c>
      <c r="T4" s="23" t="s">
        <v>30</v>
      </c>
      <c r="U4" s="22" t="s">
        <v>519</v>
      </c>
      <c r="W4" s="22" t="s">
        <v>589</v>
      </c>
      <c r="X4" s="22" t="s">
        <v>590</v>
      </c>
      <c r="Y4" s="22" t="s">
        <v>591</v>
      </c>
      <c r="Z4" s="22" t="s">
        <v>592</v>
      </c>
      <c r="AA4" s="22" t="s">
        <v>593</v>
      </c>
      <c r="AB4" s="22" t="s">
        <v>594</v>
      </c>
      <c r="AC4" s="22" t="s">
        <v>595</v>
      </c>
      <c r="AD4" s="22" t="s">
        <v>587</v>
      </c>
      <c r="AE4" s="22" t="s">
        <v>588</v>
      </c>
      <c r="AF4" s="22" t="s">
        <v>596</v>
      </c>
      <c r="AG4" s="22" t="s">
        <v>597</v>
      </c>
      <c r="AH4" s="22" t="s">
        <v>598</v>
      </c>
      <c r="AI4" s="22" t="s">
        <v>599</v>
      </c>
      <c r="AJ4" s="22" t="s">
        <v>600</v>
      </c>
      <c r="AK4" s="22" t="s">
        <v>601</v>
      </c>
      <c r="AL4" s="22" t="s">
        <v>602</v>
      </c>
      <c r="AM4" s="22" t="s">
        <v>603</v>
      </c>
      <c r="AN4" s="22" t="s">
        <v>604</v>
      </c>
      <c r="AO4" s="22" t="s">
        <v>608</v>
      </c>
      <c r="AP4" s="22" t="s">
        <v>636</v>
      </c>
      <c r="AQ4" s="22" t="s">
        <v>637</v>
      </c>
      <c r="AR4" s="22" t="s">
        <v>638</v>
      </c>
      <c r="AS4" s="22" t="s">
        <v>639</v>
      </c>
      <c r="AT4" s="22" t="s">
        <v>640</v>
      </c>
      <c r="AU4" s="26" t="s">
        <v>641</v>
      </c>
      <c r="AV4" s="22" t="s">
        <v>642</v>
      </c>
      <c r="AW4" s="22" t="s">
        <v>643</v>
      </c>
      <c r="AX4" s="22" t="s">
        <v>644</v>
      </c>
      <c r="AY4" s="22" t="s">
        <v>645</v>
      </c>
      <c r="AZ4" s="22" t="s">
        <v>646</v>
      </c>
      <c r="BA4" s="26" t="s">
        <v>647</v>
      </c>
      <c r="BB4" s="22" t="s">
        <v>648</v>
      </c>
      <c r="BC4" s="22" t="s">
        <v>521</v>
      </c>
      <c r="BD4" s="22" t="s">
        <v>522</v>
      </c>
      <c r="BE4" s="22" t="s">
        <v>523</v>
      </c>
      <c r="BF4" s="22" t="s">
        <v>524</v>
      </c>
      <c r="BG4" s="22" t="s">
        <v>525</v>
      </c>
      <c r="BH4" s="26" t="s">
        <v>526</v>
      </c>
      <c r="BI4" s="22" t="s">
        <v>706</v>
      </c>
      <c r="BJ4" s="22" t="s">
        <v>709</v>
      </c>
      <c r="BK4" s="22" t="s">
        <v>710</v>
      </c>
      <c r="BL4" s="22" t="s">
        <v>712</v>
      </c>
      <c r="BO4" s="27" t="s">
        <v>468</v>
      </c>
      <c r="BP4" s="28" t="s">
        <v>469</v>
      </c>
      <c r="BQ4" s="29" t="s">
        <v>470</v>
      </c>
      <c r="BR4" s="22" t="s">
        <v>520</v>
      </c>
      <c r="BS4" s="22" t="s">
        <v>802</v>
      </c>
      <c r="BT4" s="22" t="s">
        <v>527</v>
      </c>
      <c r="BU4" s="22" t="s">
        <v>528</v>
      </c>
      <c r="BV4" s="22" t="s">
        <v>529</v>
      </c>
      <c r="BW4" s="97" t="s">
        <v>711</v>
      </c>
      <c r="BX4" s="46" t="s">
        <v>533</v>
      </c>
      <c r="BY4" s="46" t="s">
        <v>531</v>
      </c>
      <c r="BZ4" s="46" t="s">
        <v>532</v>
      </c>
      <c r="CA4" s="46" t="s">
        <v>528</v>
      </c>
      <c r="CB4" s="46" t="s">
        <v>470</v>
      </c>
      <c r="CC4" s="26" t="s">
        <v>534</v>
      </c>
      <c r="CD4" s="26" t="s">
        <v>535</v>
      </c>
      <c r="CF4" s="47" t="s">
        <v>623</v>
      </c>
      <c r="CG4" s="47" t="s">
        <v>608</v>
      </c>
      <c r="CH4" s="47" t="s">
        <v>621</v>
      </c>
      <c r="CI4" s="47" t="s">
        <v>586</v>
      </c>
      <c r="CJ4" s="47" t="s">
        <v>622</v>
      </c>
      <c r="CL4" s="23" t="s">
        <v>765</v>
      </c>
      <c r="CM4" s="23" t="s">
        <v>766</v>
      </c>
      <c r="CN4" s="81"/>
      <c r="CO4" s="68" t="s">
        <v>767</v>
      </c>
      <c r="CP4" s="68" t="s">
        <v>768</v>
      </c>
      <c r="CQ4" s="68" t="s">
        <v>769</v>
      </c>
    </row>
    <row r="5" spans="1:95">
      <c r="A5" s="15">
        <v>2002</v>
      </c>
      <c r="B5" s="15">
        <v>1</v>
      </c>
      <c r="C5" s="202" t="s">
        <v>31</v>
      </c>
      <c r="D5" s="15">
        <v>0</v>
      </c>
      <c r="E5" s="15">
        <v>0</v>
      </c>
      <c r="F5" s="15">
        <v>1</v>
      </c>
      <c r="G5" s="17">
        <v>143934100</v>
      </c>
      <c r="H5" s="15">
        <v>28</v>
      </c>
      <c r="I5" s="17">
        <v>5140500</v>
      </c>
      <c r="J5" s="17">
        <v>2537</v>
      </c>
      <c r="K5" s="17">
        <v>113400</v>
      </c>
      <c r="L5" s="17">
        <v>40155</v>
      </c>
      <c r="M5" s="17">
        <v>10000</v>
      </c>
      <c r="N5" s="23">
        <v>10</v>
      </c>
      <c r="O5" s="23">
        <v>23</v>
      </c>
      <c r="P5" s="23">
        <v>29</v>
      </c>
      <c r="Q5" s="23">
        <v>33</v>
      </c>
      <c r="R5" s="23">
        <v>37</v>
      </c>
      <c r="S5" s="23">
        <v>40</v>
      </c>
      <c r="T5" s="23">
        <v>16</v>
      </c>
      <c r="U5" s="23">
        <f>SUM(N5:S5)</f>
        <v>172</v>
      </c>
      <c r="W5" s="22" t="str">
        <f t="shared" ref="W5:W49" si="0">IF(RIGHT(N5,1)="1","홀수",IF(RIGHT(N5,1)="3","홀수",IF(RIGHT(N5,1)="5","홀수",IF(RIGHT(N5,1)="7","홀수",IF(RIGHT(N5,1)="9","홀수","짝수")))))</f>
        <v>짝수</v>
      </c>
      <c r="X5" s="22" t="str">
        <f t="shared" ref="X5:X49" si="1">IF(RIGHT(O5,1)="1","홀수",IF(RIGHT(O5,1)="3","홀수",IF(RIGHT(O5,1)="5","홀수",IF(RIGHT(O5,1)="7","홀수",IF(RIGHT(O5,1)="9","홀수","짝수")))))</f>
        <v>홀수</v>
      </c>
      <c r="Y5" s="22" t="str">
        <f t="shared" ref="Y5:Y49" si="2">IF(RIGHT(P5,1)="1","홀수",IF(RIGHT(P5,1)="3","홀수",IF(RIGHT(P5,1)="5","홀수",IF(RIGHT(P5,1)="7","홀수",IF(RIGHT(P5,1)="9","홀수","짝수")))))</f>
        <v>홀수</v>
      </c>
      <c r="Z5" s="22" t="str">
        <f t="shared" ref="Z5:AB6" si="3">IF(RIGHT(Q5,1)="1","홀수",IF(RIGHT(Q5,1)="3","홀수",IF(RIGHT(Q5,1)="5","홀수",IF(RIGHT(Q5,1)="7","홀수",IF(RIGHT(Q5,1)="9","홀수","짝수")))))</f>
        <v>홀수</v>
      </c>
      <c r="AA5" s="22" t="str">
        <f t="shared" si="3"/>
        <v>홀수</v>
      </c>
      <c r="AB5" s="22" t="str">
        <f t="shared" si="3"/>
        <v>짝수</v>
      </c>
      <c r="AC5" s="52" t="str">
        <f>AD5&amp;" : "&amp;AE5</f>
        <v>4 : 2</v>
      </c>
      <c r="AD5" s="22">
        <f>COUNTIF(W5:AB5,"홀수")</f>
        <v>4</v>
      </c>
      <c r="AE5" s="22">
        <f>COUNTIF(W5:AB5,"짝수")</f>
        <v>2</v>
      </c>
      <c r="AF5" s="22" t="str">
        <f t="shared" ref="AF5:AK5" si="4">IF(N5&lt;23,"저수","고수")</f>
        <v>저수</v>
      </c>
      <c r="AG5" s="22" t="str">
        <f t="shared" si="4"/>
        <v>고수</v>
      </c>
      <c r="AH5" s="22" t="str">
        <f t="shared" si="4"/>
        <v>고수</v>
      </c>
      <c r="AI5" s="22" t="str">
        <f t="shared" si="4"/>
        <v>고수</v>
      </c>
      <c r="AJ5" s="22" t="str">
        <f t="shared" si="4"/>
        <v>고수</v>
      </c>
      <c r="AK5" s="22" t="str">
        <f t="shared" si="4"/>
        <v>고수</v>
      </c>
      <c r="AL5" s="52" t="str">
        <f>AM5&amp;" : "&amp;AN5</f>
        <v>1 : 5</v>
      </c>
      <c r="AM5" s="22">
        <f>COUNTIF(AF5:AK5,"저수")</f>
        <v>1</v>
      </c>
      <c r="AN5" s="22">
        <f>COUNTIF(AF5:AK5,"고수")</f>
        <v>5</v>
      </c>
      <c r="AO5" s="22">
        <f>RIGHT(N5,1)+RIGHT(O5,1)+RIGHT(P5,1)+RIGHT(Q5,1)+RIGHT(R5,1)+RIGHT(S5,1)</f>
        <v>22</v>
      </c>
      <c r="AP5" s="22" t="str">
        <f t="shared" ref="AP5:AU5" si="5">IF(N5=2,"O",IF(N5=3,"O",IF(N5=5,"O",IF(N5=7,"O",IF(N5=11,"O",IF(N5=13,"O",IF(N5=17,"O",IF(N5=19,"O","X"))))))))</f>
        <v>X</v>
      </c>
      <c r="AQ5" s="22" t="str">
        <f t="shared" si="5"/>
        <v>X</v>
      </c>
      <c r="AR5" s="22" t="str">
        <f t="shared" si="5"/>
        <v>X</v>
      </c>
      <c r="AS5" s="22" t="str">
        <f t="shared" si="5"/>
        <v>X</v>
      </c>
      <c r="AT5" s="22" t="str">
        <f t="shared" si="5"/>
        <v>X</v>
      </c>
      <c r="AU5" s="22" t="str">
        <f t="shared" si="5"/>
        <v>X</v>
      </c>
      <c r="AV5" s="22" t="str">
        <f t="shared" ref="AV5:BA5" si="6">IF(N5=23,"O",IF(N5=29,"O",IF(N5=31,"O",IF(N5=37,"O",IF(N5=41,"O",IF(N5=43,"O","X"))))))</f>
        <v>X</v>
      </c>
      <c r="AW5" s="22" t="str">
        <f t="shared" si="6"/>
        <v>O</v>
      </c>
      <c r="AX5" s="22" t="str">
        <f t="shared" si="6"/>
        <v>O</v>
      </c>
      <c r="AY5" s="22" t="str">
        <f t="shared" si="6"/>
        <v>X</v>
      </c>
      <c r="AZ5" s="22" t="str">
        <f t="shared" si="6"/>
        <v>O</v>
      </c>
      <c r="BA5" s="22" t="str">
        <f t="shared" si="6"/>
        <v>X</v>
      </c>
      <c r="BB5" s="22">
        <f>COUNTIF(AP5:BA5,"O")</f>
        <v>3</v>
      </c>
      <c r="BC5" s="22" t="str">
        <f t="shared" ref="BC5:BC68" si="7">VLOOKUP(N5,삼그룹,6,FALSE)</f>
        <v>1G</v>
      </c>
      <c r="BD5" s="22" t="str">
        <f t="shared" ref="BD5:BD68" si="8">VLOOKUP(O5,삼그룹,6,FALSE)</f>
        <v>2G</v>
      </c>
      <c r="BE5" s="22" t="str">
        <f t="shared" ref="BE5:BE68" si="9">VLOOKUP(P5,삼그룹,6,FALSE)</f>
        <v>2G</v>
      </c>
      <c r="BF5" s="22" t="str">
        <f t="shared" ref="BF5:BF68" si="10">VLOOKUP(Q5,삼그룹,6,FALSE)</f>
        <v>3G</v>
      </c>
      <c r="BG5" s="22" t="str">
        <f t="shared" ref="BG5:BG68" si="11">VLOOKUP(R5,삼그룹,6,FALSE)</f>
        <v>3G</v>
      </c>
      <c r="BH5" s="22" t="str">
        <f t="shared" ref="BH5:BH68" si="12">VLOOKUP(S5,삼그룹,6,FALSE)</f>
        <v>3G</v>
      </c>
      <c r="BI5" s="22">
        <f>COUNTIF($BC5:$BH5,"1G")</f>
        <v>1</v>
      </c>
      <c r="BJ5" s="22">
        <f>COUNTIF($BC5:$BH5,"2G")</f>
        <v>2</v>
      </c>
      <c r="BK5" s="22">
        <f>COUNTIF($BC5:$BH5,"3G")</f>
        <v>3</v>
      </c>
      <c r="BL5" s="22" t="str">
        <f>BI5&amp;BJ5&amp;BK5</f>
        <v>123</v>
      </c>
      <c r="BO5" s="30">
        <v>20</v>
      </c>
      <c r="BP5" s="31">
        <f t="shared" ref="BP5:BP49" si="13">COUNTIF(전체출현번호,$BO5)</f>
        <v>130</v>
      </c>
      <c r="BQ5" s="32">
        <f t="shared" ref="BQ5:BQ49" si="14">RANK($BP5,$BP$5:$BP$49)</f>
        <v>2</v>
      </c>
      <c r="BR5" s="108">
        <v>1</v>
      </c>
      <c r="BS5" s="24">
        <f>COUNTIF(최근10회,BR5)</f>
        <v>40</v>
      </c>
      <c r="BT5" s="24">
        <f>COUNTIF(최근5회,BR5)</f>
        <v>39</v>
      </c>
      <c r="BU5" s="51">
        <f>BS5+BT5</f>
        <v>79</v>
      </c>
      <c r="BV5" s="22" t="str">
        <f>IF(BU5&gt;=2,"당첨","")</f>
        <v>당첨</v>
      </c>
      <c r="BW5" s="22" t="s">
        <v>825</v>
      </c>
      <c r="BX5" s="26">
        <v>20</v>
      </c>
      <c r="BY5" s="25">
        <v>20</v>
      </c>
      <c r="BZ5" s="25">
        <v>19</v>
      </c>
      <c r="CA5" s="25">
        <v>39</v>
      </c>
      <c r="CB5" s="96" t="s">
        <v>530</v>
      </c>
      <c r="CC5" s="22" t="str">
        <f t="shared" ref="CC5:CC12" si="15">IF(RIGHT(BX5,1)="1","홀수",IF(RIGHT(BX5,1)="3","홀수",IF(RIGHT(BX5,1)="5","홀수",IF(RIGHT(BX5,1)="7","홀수",IF(RIGHT(BX5,1)="9","홀수","짝수")))))</f>
        <v>짝수</v>
      </c>
      <c r="CD5" s="23">
        <f t="shared" ref="CD5:CD12" si="16">IF(CB5="당첨",RANK(BY5,$BY$5:$BY$49),"")</f>
        <v>1</v>
      </c>
      <c r="CF5" s="79">
        <v>1</v>
      </c>
      <c r="CG5" s="70">
        <v>25</v>
      </c>
      <c r="CH5" s="70">
        <f t="shared" ref="CH5:CH37" si="17">COUNTIF($AO$5:$AO$1000,CG5)</f>
        <v>48</v>
      </c>
      <c r="CI5" s="75">
        <f t="shared" ref="CI5:CI37" si="18">CH5/$CH$38</f>
        <v>6.6945606694560664E-2</v>
      </c>
      <c r="CJ5" s="70">
        <f t="shared" ref="CJ5:CJ37" si="19">RANK(CI5,$CI$5:$CI$37)</f>
        <v>2</v>
      </c>
      <c r="CL5" s="23">
        <v>48</v>
      </c>
      <c r="CM5" s="23">
        <v>50</v>
      </c>
      <c r="CO5" s="103">
        <v>130</v>
      </c>
      <c r="CP5" s="103">
        <f t="shared" ref="CP5:CP22" si="20">COUNTIF($CM$5:$CM$499,CO5)</f>
        <v>68</v>
      </c>
      <c r="CQ5" s="139">
        <f t="shared" ref="CQ5:CQ22" si="21">CP5/$CP$23</f>
        <v>0.13737373737373737</v>
      </c>
    </row>
    <row r="6" spans="1:95">
      <c r="A6" s="15"/>
      <c r="B6" s="15">
        <v>2</v>
      </c>
      <c r="C6" s="202" t="s">
        <v>32</v>
      </c>
      <c r="D6" s="15">
        <v>1</v>
      </c>
      <c r="E6" s="17">
        <v>2002006800</v>
      </c>
      <c r="F6" s="15">
        <v>2</v>
      </c>
      <c r="G6" s="17">
        <v>94866800</v>
      </c>
      <c r="H6" s="15">
        <v>103</v>
      </c>
      <c r="I6" s="17">
        <v>1842000</v>
      </c>
      <c r="J6" s="17">
        <v>3763</v>
      </c>
      <c r="K6" s="17">
        <v>100800</v>
      </c>
      <c r="L6" s="17">
        <v>55480</v>
      </c>
      <c r="M6" s="17">
        <v>10000</v>
      </c>
      <c r="N6" s="23">
        <v>9</v>
      </c>
      <c r="O6" s="23">
        <v>13</v>
      </c>
      <c r="P6" s="23">
        <v>21</v>
      </c>
      <c r="Q6" s="23">
        <v>25</v>
      </c>
      <c r="R6" s="23">
        <v>32</v>
      </c>
      <c r="S6" s="23">
        <v>42</v>
      </c>
      <c r="T6" s="23">
        <v>2</v>
      </c>
      <c r="U6" s="23">
        <f t="shared" ref="U6:U69" si="22">SUM(N6:S6)</f>
        <v>142</v>
      </c>
      <c r="W6" s="22" t="str">
        <f t="shared" si="0"/>
        <v>홀수</v>
      </c>
      <c r="X6" s="22" t="str">
        <f t="shared" si="1"/>
        <v>홀수</v>
      </c>
      <c r="Y6" s="22" t="str">
        <f t="shared" si="2"/>
        <v>홀수</v>
      </c>
      <c r="Z6" s="22" t="str">
        <f t="shared" si="3"/>
        <v>홀수</v>
      </c>
      <c r="AA6" s="22" t="str">
        <f t="shared" si="3"/>
        <v>짝수</v>
      </c>
      <c r="AB6" s="22" t="str">
        <f t="shared" si="3"/>
        <v>짝수</v>
      </c>
      <c r="AC6" s="52" t="str">
        <f>AD6&amp;" : "&amp;AE6</f>
        <v>4 : 2</v>
      </c>
      <c r="AD6" s="22">
        <f>COUNTIF(W6:AB6,"홀수")</f>
        <v>4</v>
      </c>
      <c r="AE6" s="22">
        <f>COUNTIF(W6:AB6,"짝수")</f>
        <v>2</v>
      </c>
      <c r="AF6" s="22" t="str">
        <f t="shared" ref="AF6:AF69" si="23">IF(N6&lt;23,"저수","고수")</f>
        <v>저수</v>
      </c>
      <c r="AG6" s="22" t="str">
        <f t="shared" ref="AG6:AG69" si="24">IF(O6&lt;23,"저수","고수")</f>
        <v>저수</v>
      </c>
      <c r="AH6" s="22" t="str">
        <f t="shared" ref="AH6:AH69" si="25">IF(P6&lt;23,"저수","고수")</f>
        <v>저수</v>
      </c>
      <c r="AI6" s="22" t="str">
        <f t="shared" ref="AI6:AI69" si="26">IF(Q6&lt;23,"저수","고수")</f>
        <v>고수</v>
      </c>
      <c r="AJ6" s="22" t="str">
        <f t="shared" ref="AJ6:AJ69" si="27">IF(R6&lt;23,"저수","고수")</f>
        <v>고수</v>
      </c>
      <c r="AK6" s="22" t="str">
        <f t="shared" ref="AK6:AK69" si="28">IF(S6&lt;23,"저수","고수")</f>
        <v>고수</v>
      </c>
      <c r="AL6" s="52" t="str">
        <f t="shared" ref="AL6:AL69" si="29">AM6&amp;" : "&amp;AN6</f>
        <v>3 : 3</v>
      </c>
      <c r="AM6" s="22">
        <f t="shared" ref="AM6:AM69" si="30">COUNTIF(AF6:AK6,"저수")</f>
        <v>3</v>
      </c>
      <c r="AN6" s="22">
        <f t="shared" ref="AN6:AN69" si="31">COUNTIF(AF6:AK6,"고수")</f>
        <v>3</v>
      </c>
      <c r="AO6" s="22">
        <f t="shared" ref="AO6:AO69" si="32">RIGHT(N6,1)+RIGHT(O6,1)+RIGHT(P6,1)+RIGHT(Q6,1)+RIGHT(R6,1)+RIGHT(S6,1)</f>
        <v>22</v>
      </c>
      <c r="AP6" s="22" t="str">
        <f t="shared" ref="AP6:AP69" si="33">IF(N6=2,"O",IF(N6=3,"O",IF(N6=5,"O",IF(N6=7,"O",IF(N6=11,"O",IF(N6=13,"O",IF(N6=17,"O",IF(N6=19,"O","X"))))))))</f>
        <v>X</v>
      </c>
      <c r="AQ6" s="22" t="str">
        <f t="shared" ref="AQ6:AQ69" si="34">IF(O6=2,"O",IF(O6=3,"O",IF(O6=5,"O",IF(O6=7,"O",IF(O6=11,"O",IF(O6=13,"O",IF(O6=17,"O",IF(O6=19,"O","X"))))))))</f>
        <v>O</v>
      </c>
      <c r="AR6" s="22" t="str">
        <f t="shared" ref="AR6:AR69" si="35">IF(P6=2,"O",IF(P6=3,"O",IF(P6=5,"O",IF(P6=7,"O",IF(P6=11,"O",IF(P6=13,"O",IF(P6=17,"O",IF(P6=19,"O","X"))))))))</f>
        <v>X</v>
      </c>
      <c r="AS6" s="22" t="str">
        <f t="shared" ref="AS6:AS69" si="36">IF(Q6=2,"O",IF(Q6=3,"O",IF(Q6=5,"O",IF(Q6=7,"O",IF(Q6=11,"O",IF(Q6=13,"O",IF(Q6=17,"O",IF(Q6=19,"O","X"))))))))</f>
        <v>X</v>
      </c>
      <c r="AT6" s="22" t="str">
        <f t="shared" ref="AT6:AT69" si="37">IF(R6=2,"O",IF(R6=3,"O",IF(R6=5,"O",IF(R6=7,"O",IF(R6=11,"O",IF(R6=13,"O",IF(R6=17,"O",IF(R6=19,"O","X"))))))))</f>
        <v>X</v>
      </c>
      <c r="AU6" s="22" t="str">
        <f t="shared" ref="AU6:AU69" si="38">IF(S6=2,"O",IF(S6=3,"O",IF(S6=5,"O",IF(S6=7,"O",IF(S6=11,"O",IF(S6=13,"O",IF(S6=17,"O",IF(S6=19,"O","X"))))))))</f>
        <v>X</v>
      </c>
      <c r="AV6" s="22" t="str">
        <f t="shared" ref="AV6:AV69" si="39">IF(N6=23,"O",IF(N6=29,"O",IF(N6=31,"O",IF(N6=37,"O",IF(N6=41,"O",IF(N6=43,"O","X"))))))</f>
        <v>X</v>
      </c>
      <c r="AW6" s="22" t="str">
        <f t="shared" ref="AW6:AW69" si="40">IF(O6=23,"O",IF(O6=29,"O",IF(O6=31,"O",IF(O6=37,"O",IF(O6=41,"O",IF(O6=43,"O","X"))))))</f>
        <v>X</v>
      </c>
      <c r="AX6" s="22" t="str">
        <f t="shared" ref="AX6:AX69" si="41">IF(P6=23,"O",IF(P6=29,"O",IF(P6=31,"O",IF(P6=37,"O",IF(P6=41,"O",IF(P6=43,"O","X"))))))</f>
        <v>X</v>
      </c>
      <c r="AY6" s="22" t="str">
        <f t="shared" ref="AY6:AY69" si="42">IF(Q6=23,"O",IF(Q6=29,"O",IF(Q6=31,"O",IF(Q6=37,"O",IF(Q6=41,"O",IF(Q6=43,"O","X"))))))</f>
        <v>X</v>
      </c>
      <c r="AZ6" s="22" t="str">
        <f t="shared" ref="AZ6:AZ69" si="43">IF(R6=23,"O",IF(R6=29,"O",IF(R6=31,"O",IF(R6=37,"O",IF(R6=41,"O",IF(R6=43,"O","X"))))))</f>
        <v>X</v>
      </c>
      <c r="BA6" s="22" t="str">
        <f t="shared" ref="BA6:BA69" si="44">IF(S6=23,"O",IF(S6=29,"O",IF(S6=31,"O",IF(S6=37,"O",IF(S6=41,"O",IF(S6=43,"O","X"))))))</f>
        <v>X</v>
      </c>
      <c r="BB6" s="22">
        <f t="shared" ref="BB6:BB69" si="45">COUNTIF(AP6:BA6,"O")</f>
        <v>1</v>
      </c>
      <c r="BC6" s="22" t="str">
        <f t="shared" si="7"/>
        <v>1G</v>
      </c>
      <c r="BD6" s="22" t="str">
        <f t="shared" si="8"/>
        <v>1G</v>
      </c>
      <c r="BE6" s="22" t="str">
        <f t="shared" si="9"/>
        <v>2G</v>
      </c>
      <c r="BF6" s="22" t="str">
        <f t="shared" si="10"/>
        <v>2G</v>
      </c>
      <c r="BG6" s="22" t="str">
        <f t="shared" si="11"/>
        <v>3G</v>
      </c>
      <c r="BH6" s="22" t="str">
        <f t="shared" si="12"/>
        <v>3G</v>
      </c>
      <c r="BI6" s="22">
        <f t="shared" ref="BI6:BI69" si="46">COUNTIF($BC6:$BH6,"1G")</f>
        <v>2</v>
      </c>
      <c r="BJ6" s="22">
        <f t="shared" ref="BJ6:BJ69" si="47">COUNTIF($BC6:$BH6,"2G")</f>
        <v>2</v>
      </c>
      <c r="BK6" s="22">
        <f t="shared" ref="BK6:BK69" si="48">COUNTIF($BC6:$BH6,"3G")</f>
        <v>2</v>
      </c>
      <c r="BL6" s="22" t="str">
        <f t="shared" ref="BL6:BL69" si="49">BI6&amp;BJ6&amp;BK6</f>
        <v>222</v>
      </c>
      <c r="BO6" s="30">
        <v>1</v>
      </c>
      <c r="BP6" s="31">
        <f t="shared" si="13"/>
        <v>133</v>
      </c>
      <c r="BQ6" s="32">
        <f t="shared" si="14"/>
        <v>1</v>
      </c>
      <c r="BR6" s="108">
        <v>2</v>
      </c>
      <c r="BS6" s="24">
        <f>COUNTIF(최근10회,BR6)</f>
        <v>39</v>
      </c>
      <c r="BT6" s="24">
        <f t="shared" ref="BT6:BT49" si="50">COUNTIF(최근5회,BR6)</f>
        <v>35</v>
      </c>
      <c r="BU6" s="51">
        <f t="shared" ref="BU6:BU49" si="51">BS6+BT6</f>
        <v>74</v>
      </c>
      <c r="BV6" s="22" t="str">
        <f t="shared" ref="BV6:BV49" si="52">IF(BU6&gt;=2,"당첨","")</f>
        <v>당첨</v>
      </c>
      <c r="BW6" s="22" t="s">
        <v>706</v>
      </c>
      <c r="BX6" s="26">
        <v>12</v>
      </c>
      <c r="BY6" s="25">
        <v>19</v>
      </c>
      <c r="BZ6" s="25">
        <v>19</v>
      </c>
      <c r="CA6" s="25">
        <v>38</v>
      </c>
      <c r="CB6" s="96" t="s">
        <v>530</v>
      </c>
      <c r="CC6" s="22" t="str">
        <f t="shared" si="15"/>
        <v>짝수</v>
      </c>
      <c r="CD6" s="23">
        <f t="shared" si="16"/>
        <v>2</v>
      </c>
      <c r="CF6" s="79">
        <v>2</v>
      </c>
      <c r="CG6" s="70">
        <v>24</v>
      </c>
      <c r="CH6" s="70">
        <f t="shared" si="17"/>
        <v>49</v>
      </c>
      <c r="CI6" s="75">
        <f t="shared" si="18"/>
        <v>6.8340306834030681E-2</v>
      </c>
      <c r="CJ6" s="70">
        <f t="shared" si="19"/>
        <v>1</v>
      </c>
      <c r="CL6" s="23">
        <v>56</v>
      </c>
      <c r="CM6" s="23">
        <v>50</v>
      </c>
      <c r="CO6" s="103">
        <v>140</v>
      </c>
      <c r="CP6" s="103">
        <f t="shared" si="20"/>
        <v>59</v>
      </c>
      <c r="CQ6" s="139">
        <f t="shared" si="21"/>
        <v>0.1191919191919192</v>
      </c>
    </row>
    <row r="7" spans="1:95">
      <c r="A7" s="15"/>
      <c r="B7" s="15">
        <v>3</v>
      </c>
      <c r="C7" s="202" t="s">
        <v>33</v>
      </c>
      <c r="D7" s="15">
        <v>1</v>
      </c>
      <c r="E7" s="17">
        <v>2000000000</v>
      </c>
      <c r="F7" s="15">
        <v>0</v>
      </c>
      <c r="G7" s="15">
        <v>0</v>
      </c>
      <c r="H7" s="15">
        <v>139</v>
      </c>
      <c r="I7" s="17">
        <v>1174100</v>
      </c>
      <c r="J7" s="17">
        <v>5940</v>
      </c>
      <c r="K7" s="17">
        <v>54900</v>
      </c>
      <c r="L7" s="17">
        <v>73256</v>
      </c>
      <c r="M7" s="17">
        <v>10000</v>
      </c>
      <c r="N7" s="23">
        <v>11</v>
      </c>
      <c r="O7" s="23">
        <v>16</v>
      </c>
      <c r="P7" s="23">
        <v>19</v>
      </c>
      <c r="Q7" s="23">
        <v>21</v>
      </c>
      <c r="R7" s="23">
        <v>27</v>
      </c>
      <c r="S7" s="23">
        <v>31</v>
      </c>
      <c r="T7" s="23">
        <v>30</v>
      </c>
      <c r="U7" s="23">
        <f t="shared" si="22"/>
        <v>125</v>
      </c>
      <c r="W7" s="22" t="str">
        <f t="shared" si="0"/>
        <v>홀수</v>
      </c>
      <c r="X7" s="22" t="str">
        <f t="shared" si="1"/>
        <v>짝수</v>
      </c>
      <c r="Y7" s="22" t="str">
        <f t="shared" si="2"/>
        <v>홀수</v>
      </c>
      <c r="Z7" s="22" t="str">
        <f t="shared" ref="Z7:Z52" si="53">IF(RIGHT(Q7,1)="1","홀수",IF(RIGHT(Q7,1)="3","홀수",IF(RIGHT(Q7,1)="5","홀수",IF(RIGHT(Q7,1)="7","홀수",IF(RIGHT(Q7,1)="9","홀수","짝수")))))</f>
        <v>홀수</v>
      </c>
      <c r="AA7" s="22" t="str">
        <f t="shared" ref="AA7:AA52" si="54">IF(RIGHT(R7,1)="1","홀수",IF(RIGHT(R7,1)="3","홀수",IF(RIGHT(R7,1)="5","홀수",IF(RIGHT(R7,1)="7","홀수",IF(RIGHT(R7,1)="9","홀수","짝수")))))</f>
        <v>홀수</v>
      </c>
      <c r="AB7" s="22" t="str">
        <f t="shared" ref="AB7:AB52" si="55">IF(RIGHT(S7,1)="1","홀수",IF(RIGHT(S7,1)="3","홀수",IF(RIGHT(S7,1)="5","홀수",IF(RIGHT(S7,1)="7","홀수",IF(RIGHT(S7,1)="9","홀수","짝수")))))</f>
        <v>홀수</v>
      </c>
      <c r="AC7" s="52" t="str">
        <f t="shared" ref="AC7:AC52" si="56">AD7&amp;" : "&amp;AE7</f>
        <v>5 : 1</v>
      </c>
      <c r="AD7" s="22">
        <f t="shared" ref="AD7:AD52" si="57">COUNTIF(W7:AB7,"홀수")</f>
        <v>5</v>
      </c>
      <c r="AE7" s="22">
        <f t="shared" ref="AE7:AE52" si="58">COUNTIF(W7:AB7,"짝수")</f>
        <v>1</v>
      </c>
      <c r="AF7" s="22" t="str">
        <f t="shared" si="23"/>
        <v>저수</v>
      </c>
      <c r="AG7" s="22" t="str">
        <f t="shared" si="24"/>
        <v>저수</v>
      </c>
      <c r="AH7" s="22" t="str">
        <f t="shared" si="25"/>
        <v>저수</v>
      </c>
      <c r="AI7" s="22" t="str">
        <f t="shared" si="26"/>
        <v>저수</v>
      </c>
      <c r="AJ7" s="22" t="str">
        <f t="shared" si="27"/>
        <v>고수</v>
      </c>
      <c r="AK7" s="22" t="str">
        <f t="shared" si="28"/>
        <v>고수</v>
      </c>
      <c r="AL7" s="52" t="str">
        <f t="shared" si="29"/>
        <v>4 : 2</v>
      </c>
      <c r="AM7" s="22">
        <f t="shared" si="30"/>
        <v>4</v>
      </c>
      <c r="AN7" s="22">
        <f t="shared" si="31"/>
        <v>2</v>
      </c>
      <c r="AO7" s="22">
        <f t="shared" si="32"/>
        <v>25</v>
      </c>
      <c r="AP7" s="22" t="str">
        <f t="shared" si="33"/>
        <v>O</v>
      </c>
      <c r="AQ7" s="22" t="str">
        <f t="shared" si="34"/>
        <v>X</v>
      </c>
      <c r="AR7" s="22" t="str">
        <f t="shared" si="35"/>
        <v>O</v>
      </c>
      <c r="AS7" s="22" t="str">
        <f t="shared" si="36"/>
        <v>X</v>
      </c>
      <c r="AT7" s="22" t="str">
        <f t="shared" si="37"/>
        <v>X</v>
      </c>
      <c r="AU7" s="22" t="str">
        <f t="shared" si="38"/>
        <v>X</v>
      </c>
      <c r="AV7" s="22" t="str">
        <f t="shared" si="39"/>
        <v>X</v>
      </c>
      <c r="AW7" s="22" t="str">
        <f t="shared" si="40"/>
        <v>X</v>
      </c>
      <c r="AX7" s="22" t="str">
        <f t="shared" si="41"/>
        <v>X</v>
      </c>
      <c r="AY7" s="22" t="str">
        <f t="shared" si="42"/>
        <v>X</v>
      </c>
      <c r="AZ7" s="22" t="str">
        <f t="shared" si="43"/>
        <v>X</v>
      </c>
      <c r="BA7" s="22" t="str">
        <f t="shared" si="44"/>
        <v>O</v>
      </c>
      <c r="BB7" s="22">
        <f t="shared" si="45"/>
        <v>3</v>
      </c>
      <c r="BC7" s="22" t="str">
        <f t="shared" si="7"/>
        <v>1G</v>
      </c>
      <c r="BD7" s="22" t="str">
        <f t="shared" si="8"/>
        <v>2G</v>
      </c>
      <c r="BE7" s="22" t="str">
        <f t="shared" si="9"/>
        <v>2G</v>
      </c>
      <c r="BF7" s="22" t="str">
        <f t="shared" si="10"/>
        <v>2G</v>
      </c>
      <c r="BG7" s="22" t="str">
        <f t="shared" si="11"/>
        <v>2G</v>
      </c>
      <c r="BH7" s="22" t="str">
        <f t="shared" si="12"/>
        <v>3G</v>
      </c>
      <c r="BI7" s="22">
        <f t="shared" si="46"/>
        <v>1</v>
      </c>
      <c r="BJ7" s="22">
        <f t="shared" si="47"/>
        <v>4</v>
      </c>
      <c r="BK7" s="22">
        <f t="shared" si="48"/>
        <v>1</v>
      </c>
      <c r="BL7" s="22" t="str">
        <f t="shared" si="49"/>
        <v>141</v>
      </c>
      <c r="BO7" s="30">
        <v>40</v>
      </c>
      <c r="BP7" s="31">
        <f t="shared" si="13"/>
        <v>127</v>
      </c>
      <c r="BQ7" s="32">
        <f t="shared" si="14"/>
        <v>4</v>
      </c>
      <c r="BR7" s="108">
        <v>3</v>
      </c>
      <c r="BS7" s="24">
        <f t="shared" ref="BS7:BS49" si="59">COUNTIF(최근10회,BR7)</f>
        <v>33</v>
      </c>
      <c r="BT7" s="24">
        <f t="shared" si="50"/>
        <v>33</v>
      </c>
      <c r="BU7" s="51">
        <f t="shared" si="51"/>
        <v>66</v>
      </c>
      <c r="BV7" s="22" t="str">
        <f t="shared" si="52"/>
        <v>당첨</v>
      </c>
      <c r="BW7" s="22" t="s">
        <v>706</v>
      </c>
      <c r="BX7" s="26">
        <v>26</v>
      </c>
      <c r="BY7" s="25">
        <v>19</v>
      </c>
      <c r="BZ7" s="25">
        <v>18</v>
      </c>
      <c r="CA7" s="25">
        <v>37</v>
      </c>
      <c r="CB7" s="96" t="s">
        <v>530</v>
      </c>
      <c r="CC7" s="22" t="str">
        <f t="shared" si="15"/>
        <v>짝수</v>
      </c>
      <c r="CD7" s="23">
        <f t="shared" si="16"/>
        <v>2</v>
      </c>
      <c r="CF7" s="79">
        <v>3</v>
      </c>
      <c r="CG7" s="70">
        <v>28</v>
      </c>
      <c r="CH7" s="70">
        <f t="shared" si="17"/>
        <v>47</v>
      </c>
      <c r="CI7" s="75">
        <f t="shared" si="18"/>
        <v>6.555090655509066E-2</v>
      </c>
      <c r="CJ7" s="70">
        <f t="shared" si="19"/>
        <v>3</v>
      </c>
      <c r="CL7" s="23">
        <v>58</v>
      </c>
      <c r="CM7" s="23">
        <v>50</v>
      </c>
      <c r="CO7" s="103">
        <v>160</v>
      </c>
      <c r="CP7" s="103">
        <f t="shared" si="20"/>
        <v>59</v>
      </c>
      <c r="CQ7" s="139">
        <f t="shared" si="21"/>
        <v>0.1191919191919192</v>
      </c>
    </row>
    <row r="8" spans="1:95">
      <c r="A8" s="15"/>
      <c r="B8" s="15">
        <v>4</v>
      </c>
      <c r="C8" s="202" t="s">
        <v>34</v>
      </c>
      <c r="D8" s="15">
        <v>0</v>
      </c>
      <c r="E8" s="15">
        <v>0</v>
      </c>
      <c r="F8" s="15">
        <v>1</v>
      </c>
      <c r="G8" s="17">
        <v>211191200</v>
      </c>
      <c r="H8" s="15">
        <v>29</v>
      </c>
      <c r="I8" s="17">
        <v>7282400</v>
      </c>
      <c r="J8" s="17">
        <v>2777</v>
      </c>
      <c r="K8" s="17">
        <v>152100</v>
      </c>
      <c r="L8" s="17">
        <v>52382</v>
      </c>
      <c r="M8" s="17">
        <v>10000</v>
      </c>
      <c r="N8" s="23">
        <v>14</v>
      </c>
      <c r="O8" s="23">
        <v>27</v>
      </c>
      <c r="P8" s="23">
        <v>30</v>
      </c>
      <c r="Q8" s="23">
        <v>31</v>
      </c>
      <c r="R8" s="23">
        <v>40</v>
      </c>
      <c r="S8" s="23">
        <v>42</v>
      </c>
      <c r="T8" s="23">
        <v>2</v>
      </c>
      <c r="U8" s="23">
        <f t="shared" si="22"/>
        <v>184</v>
      </c>
      <c r="W8" s="22" t="str">
        <f t="shared" si="0"/>
        <v>짝수</v>
      </c>
      <c r="X8" s="22" t="str">
        <f t="shared" si="1"/>
        <v>홀수</v>
      </c>
      <c r="Y8" s="22" t="str">
        <f t="shared" si="2"/>
        <v>짝수</v>
      </c>
      <c r="Z8" s="22" t="str">
        <f t="shared" si="53"/>
        <v>홀수</v>
      </c>
      <c r="AA8" s="22" t="str">
        <f t="shared" si="54"/>
        <v>짝수</v>
      </c>
      <c r="AB8" s="22" t="str">
        <f t="shared" si="55"/>
        <v>짝수</v>
      </c>
      <c r="AC8" s="52" t="str">
        <f t="shared" si="56"/>
        <v>2 : 4</v>
      </c>
      <c r="AD8" s="22">
        <f t="shared" si="57"/>
        <v>2</v>
      </c>
      <c r="AE8" s="22">
        <f t="shared" si="58"/>
        <v>4</v>
      </c>
      <c r="AF8" s="22" t="str">
        <f t="shared" si="23"/>
        <v>저수</v>
      </c>
      <c r="AG8" s="22" t="str">
        <f t="shared" si="24"/>
        <v>고수</v>
      </c>
      <c r="AH8" s="22" t="str">
        <f t="shared" si="25"/>
        <v>고수</v>
      </c>
      <c r="AI8" s="22" t="str">
        <f t="shared" si="26"/>
        <v>고수</v>
      </c>
      <c r="AJ8" s="22" t="str">
        <f t="shared" si="27"/>
        <v>고수</v>
      </c>
      <c r="AK8" s="22" t="str">
        <f t="shared" si="28"/>
        <v>고수</v>
      </c>
      <c r="AL8" s="52" t="str">
        <f t="shared" si="29"/>
        <v>1 : 5</v>
      </c>
      <c r="AM8" s="22">
        <f t="shared" si="30"/>
        <v>1</v>
      </c>
      <c r="AN8" s="22">
        <f t="shared" si="31"/>
        <v>5</v>
      </c>
      <c r="AO8" s="22">
        <f t="shared" si="32"/>
        <v>14</v>
      </c>
      <c r="AP8" s="22" t="str">
        <f t="shared" si="33"/>
        <v>X</v>
      </c>
      <c r="AQ8" s="22" t="str">
        <f t="shared" si="34"/>
        <v>X</v>
      </c>
      <c r="AR8" s="22" t="str">
        <f t="shared" si="35"/>
        <v>X</v>
      </c>
      <c r="AS8" s="22" t="str">
        <f t="shared" si="36"/>
        <v>X</v>
      </c>
      <c r="AT8" s="22" t="str">
        <f t="shared" si="37"/>
        <v>X</v>
      </c>
      <c r="AU8" s="22" t="str">
        <f t="shared" si="38"/>
        <v>X</v>
      </c>
      <c r="AV8" s="22" t="str">
        <f t="shared" si="39"/>
        <v>X</v>
      </c>
      <c r="AW8" s="22" t="str">
        <f t="shared" si="40"/>
        <v>X</v>
      </c>
      <c r="AX8" s="22" t="str">
        <f t="shared" si="41"/>
        <v>X</v>
      </c>
      <c r="AY8" s="22" t="str">
        <f t="shared" si="42"/>
        <v>O</v>
      </c>
      <c r="AZ8" s="22" t="str">
        <f t="shared" si="43"/>
        <v>X</v>
      </c>
      <c r="BA8" s="22" t="str">
        <f t="shared" si="44"/>
        <v>X</v>
      </c>
      <c r="BB8" s="22">
        <f t="shared" si="45"/>
        <v>1</v>
      </c>
      <c r="BC8" s="22" t="str">
        <f t="shared" si="7"/>
        <v>1G</v>
      </c>
      <c r="BD8" s="22" t="str">
        <f t="shared" si="8"/>
        <v>2G</v>
      </c>
      <c r="BE8" s="22" t="str">
        <f t="shared" si="9"/>
        <v>2G</v>
      </c>
      <c r="BF8" s="22" t="str">
        <f t="shared" si="10"/>
        <v>3G</v>
      </c>
      <c r="BG8" s="22" t="str">
        <f t="shared" si="11"/>
        <v>3G</v>
      </c>
      <c r="BH8" s="22" t="str">
        <f t="shared" si="12"/>
        <v>3G</v>
      </c>
      <c r="BI8" s="22">
        <f t="shared" si="46"/>
        <v>1</v>
      </c>
      <c r="BJ8" s="22">
        <f t="shared" si="47"/>
        <v>2</v>
      </c>
      <c r="BK8" s="22">
        <f t="shared" si="48"/>
        <v>3</v>
      </c>
      <c r="BL8" s="22" t="str">
        <f t="shared" si="49"/>
        <v>123</v>
      </c>
      <c r="BO8" s="33">
        <v>27</v>
      </c>
      <c r="BP8" s="34">
        <f t="shared" si="13"/>
        <v>129</v>
      </c>
      <c r="BQ8" s="35">
        <f t="shared" si="14"/>
        <v>3</v>
      </c>
      <c r="BR8" s="108">
        <v>4</v>
      </c>
      <c r="BS8" s="24">
        <f t="shared" si="59"/>
        <v>41</v>
      </c>
      <c r="BT8" s="24">
        <f t="shared" si="50"/>
        <v>39</v>
      </c>
      <c r="BU8" s="51">
        <f t="shared" si="51"/>
        <v>80</v>
      </c>
      <c r="BV8" s="22" t="str">
        <f t="shared" si="52"/>
        <v>당첨</v>
      </c>
      <c r="BW8" s="22" t="s">
        <v>706</v>
      </c>
      <c r="BX8" s="26">
        <v>43</v>
      </c>
      <c r="BY8" s="25">
        <v>19</v>
      </c>
      <c r="BZ8" s="25">
        <v>17</v>
      </c>
      <c r="CA8" s="25">
        <v>36</v>
      </c>
      <c r="CB8" s="96" t="s">
        <v>530</v>
      </c>
      <c r="CC8" s="22" t="str">
        <f t="shared" si="15"/>
        <v>홀수</v>
      </c>
      <c r="CD8" s="23">
        <f t="shared" si="16"/>
        <v>2</v>
      </c>
      <c r="CF8" s="79">
        <v>4</v>
      </c>
      <c r="CG8" s="70">
        <v>23</v>
      </c>
      <c r="CH8" s="70">
        <f t="shared" si="17"/>
        <v>43</v>
      </c>
      <c r="CI8" s="75">
        <f t="shared" si="18"/>
        <v>5.9972105997210597E-2</v>
      </c>
      <c r="CJ8" s="70">
        <f t="shared" si="19"/>
        <v>4</v>
      </c>
      <c r="CL8" s="23">
        <v>63</v>
      </c>
      <c r="CM8" s="23">
        <v>60</v>
      </c>
      <c r="CO8" s="103">
        <v>120</v>
      </c>
      <c r="CP8" s="103">
        <f t="shared" si="20"/>
        <v>56</v>
      </c>
      <c r="CQ8" s="139">
        <f t="shared" si="21"/>
        <v>0.11313131313131314</v>
      </c>
    </row>
    <row r="9" spans="1:95">
      <c r="A9" s="15">
        <v>2003</v>
      </c>
      <c r="B9" s="15">
        <v>5</v>
      </c>
      <c r="C9" s="202" t="s">
        <v>35</v>
      </c>
      <c r="D9" s="15">
        <v>0</v>
      </c>
      <c r="E9" s="15">
        <v>0</v>
      </c>
      <c r="F9" s="15">
        <v>0</v>
      </c>
      <c r="G9" s="15">
        <v>0</v>
      </c>
      <c r="H9" s="15">
        <v>42</v>
      </c>
      <c r="I9" s="17">
        <v>6033800</v>
      </c>
      <c r="J9" s="17">
        <v>3043</v>
      </c>
      <c r="K9" s="17">
        <v>166500</v>
      </c>
      <c r="L9" s="17">
        <v>60434</v>
      </c>
      <c r="M9" s="17">
        <v>10000</v>
      </c>
      <c r="N9" s="23">
        <v>16</v>
      </c>
      <c r="O9" s="23">
        <v>24</v>
      </c>
      <c r="P9" s="23">
        <v>29</v>
      </c>
      <c r="Q9" s="23">
        <v>40</v>
      </c>
      <c r="R9" s="23">
        <v>41</v>
      </c>
      <c r="S9" s="23">
        <v>42</v>
      </c>
      <c r="T9" s="23">
        <v>3</v>
      </c>
      <c r="U9" s="23">
        <f t="shared" si="22"/>
        <v>192</v>
      </c>
      <c r="W9" s="22" t="str">
        <f t="shared" si="0"/>
        <v>짝수</v>
      </c>
      <c r="X9" s="22" t="str">
        <f t="shared" si="1"/>
        <v>짝수</v>
      </c>
      <c r="Y9" s="22" t="str">
        <f t="shared" si="2"/>
        <v>홀수</v>
      </c>
      <c r="Z9" s="22" t="str">
        <f t="shared" si="53"/>
        <v>짝수</v>
      </c>
      <c r="AA9" s="22" t="str">
        <f t="shared" si="54"/>
        <v>홀수</v>
      </c>
      <c r="AB9" s="22" t="str">
        <f t="shared" si="55"/>
        <v>짝수</v>
      </c>
      <c r="AC9" s="52" t="str">
        <f t="shared" si="56"/>
        <v>2 : 4</v>
      </c>
      <c r="AD9" s="22">
        <f t="shared" si="57"/>
        <v>2</v>
      </c>
      <c r="AE9" s="22">
        <f t="shared" si="58"/>
        <v>4</v>
      </c>
      <c r="AF9" s="22" t="str">
        <f t="shared" si="23"/>
        <v>저수</v>
      </c>
      <c r="AG9" s="22" t="str">
        <f t="shared" si="24"/>
        <v>고수</v>
      </c>
      <c r="AH9" s="22" t="str">
        <f t="shared" si="25"/>
        <v>고수</v>
      </c>
      <c r="AI9" s="22" t="str">
        <f t="shared" si="26"/>
        <v>고수</v>
      </c>
      <c r="AJ9" s="22" t="str">
        <f t="shared" si="27"/>
        <v>고수</v>
      </c>
      <c r="AK9" s="22" t="str">
        <f t="shared" si="28"/>
        <v>고수</v>
      </c>
      <c r="AL9" s="52" t="str">
        <f t="shared" si="29"/>
        <v>1 : 5</v>
      </c>
      <c r="AM9" s="22">
        <f t="shared" si="30"/>
        <v>1</v>
      </c>
      <c r="AN9" s="22">
        <f t="shared" si="31"/>
        <v>5</v>
      </c>
      <c r="AO9" s="22">
        <f t="shared" si="32"/>
        <v>22</v>
      </c>
      <c r="AP9" s="22" t="str">
        <f t="shared" si="33"/>
        <v>X</v>
      </c>
      <c r="AQ9" s="22" t="str">
        <f t="shared" si="34"/>
        <v>X</v>
      </c>
      <c r="AR9" s="22" t="str">
        <f t="shared" si="35"/>
        <v>X</v>
      </c>
      <c r="AS9" s="22" t="str">
        <f t="shared" si="36"/>
        <v>X</v>
      </c>
      <c r="AT9" s="22" t="str">
        <f t="shared" si="37"/>
        <v>X</v>
      </c>
      <c r="AU9" s="22" t="str">
        <f t="shared" si="38"/>
        <v>X</v>
      </c>
      <c r="AV9" s="22" t="str">
        <f t="shared" si="39"/>
        <v>X</v>
      </c>
      <c r="AW9" s="22" t="str">
        <f t="shared" si="40"/>
        <v>X</v>
      </c>
      <c r="AX9" s="22" t="str">
        <f t="shared" si="41"/>
        <v>O</v>
      </c>
      <c r="AY9" s="22" t="str">
        <f t="shared" si="42"/>
        <v>X</v>
      </c>
      <c r="AZ9" s="22" t="str">
        <f t="shared" si="43"/>
        <v>O</v>
      </c>
      <c r="BA9" s="22" t="str">
        <f t="shared" si="44"/>
        <v>X</v>
      </c>
      <c r="BB9" s="22">
        <f t="shared" si="45"/>
        <v>2</v>
      </c>
      <c r="BC9" s="22" t="str">
        <f t="shared" si="7"/>
        <v>2G</v>
      </c>
      <c r="BD9" s="22" t="str">
        <f t="shared" si="8"/>
        <v>2G</v>
      </c>
      <c r="BE9" s="22" t="str">
        <f t="shared" si="9"/>
        <v>2G</v>
      </c>
      <c r="BF9" s="22" t="str">
        <f t="shared" si="10"/>
        <v>3G</v>
      </c>
      <c r="BG9" s="22" t="str">
        <f t="shared" si="11"/>
        <v>3G</v>
      </c>
      <c r="BH9" s="22" t="str">
        <f t="shared" si="12"/>
        <v>3G</v>
      </c>
      <c r="BI9" s="22">
        <f t="shared" si="46"/>
        <v>0</v>
      </c>
      <c r="BJ9" s="22">
        <f t="shared" si="47"/>
        <v>3</v>
      </c>
      <c r="BK9" s="22">
        <f t="shared" si="48"/>
        <v>3</v>
      </c>
      <c r="BL9" s="22" t="str">
        <f t="shared" si="49"/>
        <v>033</v>
      </c>
      <c r="BO9" s="30">
        <v>37</v>
      </c>
      <c r="BP9" s="31">
        <f t="shared" si="13"/>
        <v>123</v>
      </c>
      <c r="BQ9" s="32">
        <f t="shared" si="14"/>
        <v>6</v>
      </c>
      <c r="BR9" s="108">
        <v>5</v>
      </c>
      <c r="BS9" s="24">
        <f t="shared" si="59"/>
        <v>41</v>
      </c>
      <c r="BT9" s="24">
        <f t="shared" si="50"/>
        <v>41</v>
      </c>
      <c r="BU9" s="51">
        <f t="shared" si="51"/>
        <v>82</v>
      </c>
      <c r="BV9" s="22" t="str">
        <f t="shared" si="52"/>
        <v>당첨</v>
      </c>
      <c r="BW9" s="22" t="s">
        <v>706</v>
      </c>
      <c r="BX9" s="109">
        <v>31</v>
      </c>
      <c r="BY9" s="25">
        <v>18</v>
      </c>
      <c r="BZ9" s="25">
        <v>17</v>
      </c>
      <c r="CA9" s="25">
        <v>35</v>
      </c>
      <c r="CB9" s="96" t="s">
        <v>530</v>
      </c>
      <c r="CC9" s="22" t="str">
        <f t="shared" si="15"/>
        <v>홀수</v>
      </c>
      <c r="CD9" s="23">
        <f t="shared" si="16"/>
        <v>5</v>
      </c>
      <c r="CF9" s="79">
        <v>5</v>
      </c>
      <c r="CG9" s="70">
        <v>26</v>
      </c>
      <c r="CH9" s="70">
        <f t="shared" si="17"/>
        <v>40</v>
      </c>
      <c r="CI9" s="75">
        <f t="shared" si="18"/>
        <v>5.5788005578800558E-2</v>
      </c>
      <c r="CJ9" s="70">
        <f t="shared" si="19"/>
        <v>5</v>
      </c>
      <c r="CL9" s="23">
        <v>64</v>
      </c>
      <c r="CM9" s="23">
        <v>60</v>
      </c>
      <c r="CO9" s="103">
        <v>150</v>
      </c>
      <c r="CP9" s="103">
        <f t="shared" si="20"/>
        <v>40</v>
      </c>
      <c r="CQ9" s="139">
        <f t="shared" si="21"/>
        <v>8.0808080808080815E-2</v>
      </c>
    </row>
    <row r="10" spans="1:95">
      <c r="A10" s="15"/>
      <c r="B10" s="15">
        <v>6</v>
      </c>
      <c r="C10" s="202" t="s">
        <v>36</v>
      </c>
      <c r="D10" s="15">
        <v>1</v>
      </c>
      <c r="E10" s="17">
        <v>6574451700</v>
      </c>
      <c r="F10" s="15">
        <v>3</v>
      </c>
      <c r="G10" s="17">
        <v>196297600</v>
      </c>
      <c r="H10" s="15">
        <v>138</v>
      </c>
      <c r="I10" s="17">
        <v>4267300</v>
      </c>
      <c r="J10" s="17">
        <v>13445</v>
      </c>
      <c r="K10" s="17">
        <v>87600</v>
      </c>
      <c r="L10" s="17">
        <v>176375</v>
      </c>
      <c r="M10" s="17">
        <v>10000</v>
      </c>
      <c r="N10" s="23">
        <v>14</v>
      </c>
      <c r="O10" s="23">
        <v>15</v>
      </c>
      <c r="P10" s="23">
        <v>26</v>
      </c>
      <c r="Q10" s="23">
        <v>27</v>
      </c>
      <c r="R10" s="23">
        <v>40</v>
      </c>
      <c r="S10" s="23">
        <v>42</v>
      </c>
      <c r="T10" s="23">
        <v>34</v>
      </c>
      <c r="U10" s="23">
        <f t="shared" si="22"/>
        <v>164</v>
      </c>
      <c r="W10" s="22" t="str">
        <f t="shared" si="0"/>
        <v>짝수</v>
      </c>
      <c r="X10" s="22" t="str">
        <f t="shared" si="1"/>
        <v>홀수</v>
      </c>
      <c r="Y10" s="22" t="str">
        <f t="shared" si="2"/>
        <v>짝수</v>
      </c>
      <c r="Z10" s="22" t="str">
        <f t="shared" si="53"/>
        <v>홀수</v>
      </c>
      <c r="AA10" s="22" t="str">
        <f t="shared" si="54"/>
        <v>짝수</v>
      </c>
      <c r="AB10" s="22" t="str">
        <f t="shared" si="55"/>
        <v>짝수</v>
      </c>
      <c r="AC10" s="52" t="str">
        <f t="shared" si="56"/>
        <v>2 : 4</v>
      </c>
      <c r="AD10" s="22">
        <f t="shared" si="57"/>
        <v>2</v>
      </c>
      <c r="AE10" s="22">
        <f t="shared" si="58"/>
        <v>4</v>
      </c>
      <c r="AF10" s="22" t="str">
        <f t="shared" si="23"/>
        <v>저수</v>
      </c>
      <c r="AG10" s="22" t="str">
        <f t="shared" si="24"/>
        <v>저수</v>
      </c>
      <c r="AH10" s="22" t="str">
        <f t="shared" si="25"/>
        <v>고수</v>
      </c>
      <c r="AI10" s="22" t="str">
        <f t="shared" si="26"/>
        <v>고수</v>
      </c>
      <c r="AJ10" s="22" t="str">
        <f t="shared" si="27"/>
        <v>고수</v>
      </c>
      <c r="AK10" s="22" t="str">
        <f t="shared" si="28"/>
        <v>고수</v>
      </c>
      <c r="AL10" s="52" t="str">
        <f t="shared" si="29"/>
        <v>2 : 4</v>
      </c>
      <c r="AM10" s="22">
        <f t="shared" si="30"/>
        <v>2</v>
      </c>
      <c r="AN10" s="22">
        <f t="shared" si="31"/>
        <v>4</v>
      </c>
      <c r="AO10" s="22">
        <f t="shared" si="32"/>
        <v>24</v>
      </c>
      <c r="AP10" s="22" t="str">
        <f t="shared" si="33"/>
        <v>X</v>
      </c>
      <c r="AQ10" s="22" t="str">
        <f t="shared" si="34"/>
        <v>X</v>
      </c>
      <c r="AR10" s="22" t="str">
        <f t="shared" si="35"/>
        <v>X</v>
      </c>
      <c r="AS10" s="22" t="str">
        <f t="shared" si="36"/>
        <v>X</v>
      </c>
      <c r="AT10" s="22" t="str">
        <f t="shared" si="37"/>
        <v>X</v>
      </c>
      <c r="AU10" s="22" t="str">
        <f t="shared" si="38"/>
        <v>X</v>
      </c>
      <c r="AV10" s="22" t="str">
        <f t="shared" si="39"/>
        <v>X</v>
      </c>
      <c r="AW10" s="22" t="str">
        <f t="shared" si="40"/>
        <v>X</v>
      </c>
      <c r="AX10" s="22" t="str">
        <f t="shared" si="41"/>
        <v>X</v>
      </c>
      <c r="AY10" s="22" t="str">
        <f t="shared" si="42"/>
        <v>X</v>
      </c>
      <c r="AZ10" s="22" t="str">
        <f t="shared" si="43"/>
        <v>X</v>
      </c>
      <c r="BA10" s="22" t="str">
        <f t="shared" si="44"/>
        <v>X</v>
      </c>
      <c r="BB10" s="22">
        <f t="shared" si="45"/>
        <v>0</v>
      </c>
      <c r="BC10" s="22" t="str">
        <f t="shared" si="7"/>
        <v>1G</v>
      </c>
      <c r="BD10" s="22" t="str">
        <f t="shared" si="8"/>
        <v>1G</v>
      </c>
      <c r="BE10" s="22" t="str">
        <f t="shared" si="9"/>
        <v>2G</v>
      </c>
      <c r="BF10" s="22" t="str">
        <f t="shared" si="10"/>
        <v>2G</v>
      </c>
      <c r="BG10" s="22" t="str">
        <f t="shared" si="11"/>
        <v>3G</v>
      </c>
      <c r="BH10" s="22" t="str">
        <f t="shared" si="12"/>
        <v>3G</v>
      </c>
      <c r="BI10" s="22">
        <f t="shared" si="46"/>
        <v>2</v>
      </c>
      <c r="BJ10" s="22">
        <f t="shared" si="47"/>
        <v>2</v>
      </c>
      <c r="BK10" s="22">
        <f t="shared" si="48"/>
        <v>2</v>
      </c>
      <c r="BL10" s="22" t="str">
        <f t="shared" si="49"/>
        <v>222</v>
      </c>
      <c r="BO10" s="36">
        <v>43</v>
      </c>
      <c r="BP10" s="37">
        <f t="shared" si="13"/>
        <v>127</v>
      </c>
      <c r="BQ10" s="38">
        <f t="shared" si="14"/>
        <v>4</v>
      </c>
      <c r="BR10" s="108">
        <v>6</v>
      </c>
      <c r="BS10" s="24">
        <f t="shared" si="59"/>
        <v>40</v>
      </c>
      <c r="BT10" s="24">
        <f t="shared" si="50"/>
        <v>40</v>
      </c>
      <c r="BU10" s="51">
        <f t="shared" si="51"/>
        <v>80</v>
      </c>
      <c r="BV10" s="22" t="str">
        <f t="shared" si="52"/>
        <v>당첨</v>
      </c>
      <c r="BW10" s="22" t="s">
        <v>706</v>
      </c>
      <c r="BX10" s="26">
        <v>4</v>
      </c>
      <c r="BY10" s="25">
        <v>18</v>
      </c>
      <c r="BZ10" s="25">
        <v>16</v>
      </c>
      <c r="CA10" s="25">
        <v>34</v>
      </c>
      <c r="CB10" s="96" t="s">
        <v>530</v>
      </c>
      <c r="CC10" s="22" t="str">
        <f t="shared" si="15"/>
        <v>짝수</v>
      </c>
      <c r="CD10" s="23">
        <f t="shared" si="16"/>
        <v>5</v>
      </c>
      <c r="CF10" s="79">
        <v>6</v>
      </c>
      <c r="CG10" s="70">
        <v>21</v>
      </c>
      <c r="CH10" s="70">
        <f t="shared" si="17"/>
        <v>35</v>
      </c>
      <c r="CI10" s="75">
        <f t="shared" si="18"/>
        <v>4.8814504881450491E-2</v>
      </c>
      <c r="CJ10" s="70">
        <f t="shared" si="19"/>
        <v>8</v>
      </c>
      <c r="CL10" s="23">
        <v>66</v>
      </c>
      <c r="CM10" s="23">
        <v>60</v>
      </c>
      <c r="CO10" s="68">
        <v>110</v>
      </c>
      <c r="CP10" s="68">
        <f t="shared" si="20"/>
        <v>37</v>
      </c>
      <c r="CQ10" s="101">
        <f t="shared" si="21"/>
        <v>7.4747474747474743E-2</v>
      </c>
    </row>
    <row r="11" spans="1:95" ht="15" thickBot="1">
      <c r="B11" s="15">
        <v>7</v>
      </c>
      <c r="C11" s="23" t="s">
        <v>37</v>
      </c>
      <c r="D11" s="16">
        <v>0</v>
      </c>
      <c r="E11" s="16">
        <v>0</v>
      </c>
      <c r="F11" s="16">
        <v>9</v>
      </c>
      <c r="G11" s="17">
        <v>48165000</v>
      </c>
      <c r="H11" s="16">
        <v>270</v>
      </c>
      <c r="I11" s="17">
        <v>1605500</v>
      </c>
      <c r="J11" s="17">
        <v>13229</v>
      </c>
      <c r="K11" s="17">
        <v>65500</v>
      </c>
      <c r="L11" s="17">
        <v>206259</v>
      </c>
      <c r="M11" s="17">
        <v>10000</v>
      </c>
      <c r="N11" s="23">
        <v>2</v>
      </c>
      <c r="O11" s="23">
        <v>9</v>
      </c>
      <c r="P11" s="23">
        <v>16</v>
      </c>
      <c r="Q11" s="23">
        <v>25</v>
      </c>
      <c r="R11" s="23">
        <v>26</v>
      </c>
      <c r="S11" s="23">
        <v>40</v>
      </c>
      <c r="T11" s="23">
        <v>42</v>
      </c>
      <c r="U11" s="23">
        <f t="shared" si="22"/>
        <v>118</v>
      </c>
      <c r="W11" s="22" t="str">
        <f t="shared" si="0"/>
        <v>짝수</v>
      </c>
      <c r="X11" s="22" t="str">
        <f t="shared" si="1"/>
        <v>홀수</v>
      </c>
      <c r="Y11" s="22" t="str">
        <f t="shared" si="2"/>
        <v>짝수</v>
      </c>
      <c r="Z11" s="22" t="str">
        <f t="shared" si="53"/>
        <v>홀수</v>
      </c>
      <c r="AA11" s="22" t="str">
        <f t="shared" si="54"/>
        <v>짝수</v>
      </c>
      <c r="AB11" s="22" t="str">
        <f t="shared" si="55"/>
        <v>짝수</v>
      </c>
      <c r="AC11" s="52" t="str">
        <f t="shared" si="56"/>
        <v>2 : 4</v>
      </c>
      <c r="AD11" s="22">
        <f t="shared" si="57"/>
        <v>2</v>
      </c>
      <c r="AE11" s="22">
        <f t="shared" si="58"/>
        <v>4</v>
      </c>
      <c r="AF11" s="22" t="str">
        <f t="shared" si="23"/>
        <v>저수</v>
      </c>
      <c r="AG11" s="22" t="str">
        <f t="shared" si="24"/>
        <v>저수</v>
      </c>
      <c r="AH11" s="22" t="str">
        <f t="shared" si="25"/>
        <v>저수</v>
      </c>
      <c r="AI11" s="22" t="str">
        <f t="shared" si="26"/>
        <v>고수</v>
      </c>
      <c r="AJ11" s="22" t="str">
        <f t="shared" si="27"/>
        <v>고수</v>
      </c>
      <c r="AK11" s="22" t="str">
        <f t="shared" si="28"/>
        <v>고수</v>
      </c>
      <c r="AL11" s="52" t="str">
        <f t="shared" si="29"/>
        <v>3 : 3</v>
      </c>
      <c r="AM11" s="22">
        <f t="shared" si="30"/>
        <v>3</v>
      </c>
      <c r="AN11" s="22">
        <f t="shared" si="31"/>
        <v>3</v>
      </c>
      <c r="AO11" s="22">
        <f t="shared" si="32"/>
        <v>28</v>
      </c>
      <c r="AP11" s="22" t="str">
        <f t="shared" si="33"/>
        <v>O</v>
      </c>
      <c r="AQ11" s="22" t="str">
        <f t="shared" si="34"/>
        <v>X</v>
      </c>
      <c r="AR11" s="22" t="str">
        <f t="shared" si="35"/>
        <v>X</v>
      </c>
      <c r="AS11" s="22" t="str">
        <f t="shared" si="36"/>
        <v>X</v>
      </c>
      <c r="AT11" s="22" t="str">
        <f t="shared" si="37"/>
        <v>X</v>
      </c>
      <c r="AU11" s="22" t="str">
        <f t="shared" si="38"/>
        <v>X</v>
      </c>
      <c r="AV11" s="22" t="str">
        <f t="shared" si="39"/>
        <v>X</v>
      </c>
      <c r="AW11" s="22" t="str">
        <f t="shared" si="40"/>
        <v>X</v>
      </c>
      <c r="AX11" s="22" t="str">
        <f t="shared" si="41"/>
        <v>X</v>
      </c>
      <c r="AY11" s="22" t="str">
        <f t="shared" si="42"/>
        <v>X</v>
      </c>
      <c r="AZ11" s="22" t="str">
        <f t="shared" si="43"/>
        <v>X</v>
      </c>
      <c r="BA11" s="22" t="str">
        <f t="shared" si="44"/>
        <v>X</v>
      </c>
      <c r="BB11" s="22">
        <f t="shared" si="45"/>
        <v>1</v>
      </c>
      <c r="BC11" s="22" t="str">
        <f t="shared" si="7"/>
        <v>1G</v>
      </c>
      <c r="BD11" s="22" t="str">
        <f t="shared" si="8"/>
        <v>1G</v>
      </c>
      <c r="BE11" s="22" t="str">
        <f t="shared" si="9"/>
        <v>2G</v>
      </c>
      <c r="BF11" s="22" t="str">
        <f t="shared" si="10"/>
        <v>2G</v>
      </c>
      <c r="BG11" s="22" t="str">
        <f t="shared" si="11"/>
        <v>2G</v>
      </c>
      <c r="BH11" s="22" t="str">
        <f t="shared" si="12"/>
        <v>3G</v>
      </c>
      <c r="BI11" s="22">
        <f t="shared" si="46"/>
        <v>2</v>
      </c>
      <c r="BJ11" s="22">
        <f t="shared" si="47"/>
        <v>3</v>
      </c>
      <c r="BK11" s="22">
        <f t="shared" si="48"/>
        <v>1</v>
      </c>
      <c r="BL11" s="22" t="str">
        <f t="shared" si="49"/>
        <v>231</v>
      </c>
      <c r="BO11" s="30">
        <v>34</v>
      </c>
      <c r="BP11" s="31">
        <f t="shared" si="13"/>
        <v>123</v>
      </c>
      <c r="BQ11" s="32">
        <f t="shared" si="14"/>
        <v>6</v>
      </c>
      <c r="BR11" s="108">
        <v>7</v>
      </c>
      <c r="BS11" s="24">
        <f t="shared" si="59"/>
        <v>42</v>
      </c>
      <c r="BT11" s="24">
        <f t="shared" si="50"/>
        <v>41</v>
      </c>
      <c r="BU11" s="51">
        <f t="shared" si="51"/>
        <v>83</v>
      </c>
      <c r="BV11" s="22" t="str">
        <f t="shared" si="52"/>
        <v>당첨</v>
      </c>
      <c r="BW11" s="22" t="s">
        <v>706</v>
      </c>
      <c r="BX11" s="26">
        <v>40</v>
      </c>
      <c r="BY11" s="25">
        <v>18</v>
      </c>
      <c r="BZ11" s="25">
        <v>16</v>
      </c>
      <c r="CA11" s="25">
        <v>34</v>
      </c>
      <c r="CB11" s="96" t="s">
        <v>530</v>
      </c>
      <c r="CC11" s="22" t="str">
        <f t="shared" si="15"/>
        <v>짝수</v>
      </c>
      <c r="CD11" s="23">
        <f t="shared" si="16"/>
        <v>5</v>
      </c>
      <c r="CF11" s="79">
        <v>7</v>
      </c>
      <c r="CG11" s="70">
        <v>29</v>
      </c>
      <c r="CH11" s="70">
        <f t="shared" si="17"/>
        <v>39</v>
      </c>
      <c r="CI11" s="75">
        <f t="shared" si="18"/>
        <v>5.4393305439330547E-2</v>
      </c>
      <c r="CJ11" s="70">
        <f t="shared" si="19"/>
        <v>6</v>
      </c>
      <c r="CL11" s="23">
        <v>69</v>
      </c>
      <c r="CM11" s="23">
        <v>60</v>
      </c>
      <c r="CO11" s="104">
        <v>170</v>
      </c>
      <c r="CP11" s="104">
        <f t="shared" si="20"/>
        <v>35</v>
      </c>
      <c r="CQ11" s="105">
        <f t="shared" si="21"/>
        <v>7.0707070707070704E-2</v>
      </c>
    </row>
    <row r="12" spans="1:95">
      <c r="B12" s="15">
        <v>8</v>
      </c>
      <c r="C12" s="23" t="s">
        <v>38</v>
      </c>
      <c r="D12" s="16">
        <v>0</v>
      </c>
      <c r="E12" s="16">
        <v>0</v>
      </c>
      <c r="F12" s="16">
        <v>6</v>
      </c>
      <c r="G12" s="17">
        <v>131555000</v>
      </c>
      <c r="H12" s="16">
        <v>348</v>
      </c>
      <c r="I12" s="17">
        <v>2268100</v>
      </c>
      <c r="J12" s="17">
        <v>14279</v>
      </c>
      <c r="K12" s="17">
        <v>110500</v>
      </c>
      <c r="L12" s="17">
        <v>248242</v>
      </c>
      <c r="M12" s="17">
        <v>10000</v>
      </c>
      <c r="N12" s="23">
        <v>8</v>
      </c>
      <c r="O12" s="23">
        <v>19</v>
      </c>
      <c r="P12" s="23">
        <v>25</v>
      </c>
      <c r="Q12" s="23">
        <v>34</v>
      </c>
      <c r="R12" s="23">
        <v>37</v>
      </c>
      <c r="S12" s="23">
        <v>39</v>
      </c>
      <c r="T12" s="23">
        <v>9</v>
      </c>
      <c r="U12" s="23">
        <f t="shared" si="22"/>
        <v>162</v>
      </c>
      <c r="W12" s="22" t="str">
        <f t="shared" si="0"/>
        <v>짝수</v>
      </c>
      <c r="X12" s="22" t="str">
        <f t="shared" si="1"/>
        <v>홀수</v>
      </c>
      <c r="Y12" s="22" t="str">
        <f t="shared" si="2"/>
        <v>홀수</v>
      </c>
      <c r="Z12" s="22" t="str">
        <f t="shared" si="53"/>
        <v>짝수</v>
      </c>
      <c r="AA12" s="22" t="str">
        <f t="shared" si="54"/>
        <v>홀수</v>
      </c>
      <c r="AB12" s="22" t="str">
        <f t="shared" si="55"/>
        <v>홀수</v>
      </c>
      <c r="AC12" s="52" t="str">
        <f t="shared" si="56"/>
        <v>4 : 2</v>
      </c>
      <c r="AD12" s="22">
        <f t="shared" si="57"/>
        <v>4</v>
      </c>
      <c r="AE12" s="22">
        <f t="shared" si="58"/>
        <v>2</v>
      </c>
      <c r="AF12" s="22" t="str">
        <f t="shared" si="23"/>
        <v>저수</v>
      </c>
      <c r="AG12" s="22" t="str">
        <f t="shared" si="24"/>
        <v>저수</v>
      </c>
      <c r="AH12" s="22" t="str">
        <f t="shared" si="25"/>
        <v>고수</v>
      </c>
      <c r="AI12" s="22" t="str">
        <f t="shared" si="26"/>
        <v>고수</v>
      </c>
      <c r="AJ12" s="22" t="str">
        <f t="shared" si="27"/>
        <v>고수</v>
      </c>
      <c r="AK12" s="22" t="str">
        <f t="shared" si="28"/>
        <v>고수</v>
      </c>
      <c r="AL12" s="52" t="str">
        <f t="shared" si="29"/>
        <v>2 : 4</v>
      </c>
      <c r="AM12" s="22">
        <f t="shared" si="30"/>
        <v>2</v>
      </c>
      <c r="AN12" s="22">
        <f t="shared" si="31"/>
        <v>4</v>
      </c>
      <c r="AO12" s="22">
        <f t="shared" si="32"/>
        <v>42</v>
      </c>
      <c r="AP12" s="22" t="str">
        <f t="shared" si="33"/>
        <v>X</v>
      </c>
      <c r="AQ12" s="22" t="str">
        <f t="shared" si="34"/>
        <v>O</v>
      </c>
      <c r="AR12" s="22" t="str">
        <f t="shared" si="35"/>
        <v>X</v>
      </c>
      <c r="AS12" s="22" t="str">
        <f t="shared" si="36"/>
        <v>X</v>
      </c>
      <c r="AT12" s="22" t="str">
        <f t="shared" si="37"/>
        <v>X</v>
      </c>
      <c r="AU12" s="22" t="str">
        <f t="shared" si="38"/>
        <v>X</v>
      </c>
      <c r="AV12" s="22" t="str">
        <f t="shared" si="39"/>
        <v>X</v>
      </c>
      <c r="AW12" s="22" t="str">
        <f t="shared" si="40"/>
        <v>X</v>
      </c>
      <c r="AX12" s="22" t="str">
        <f t="shared" si="41"/>
        <v>X</v>
      </c>
      <c r="AY12" s="22" t="str">
        <f t="shared" si="42"/>
        <v>X</v>
      </c>
      <c r="AZ12" s="22" t="str">
        <f t="shared" si="43"/>
        <v>O</v>
      </c>
      <c r="BA12" s="22" t="str">
        <f t="shared" si="44"/>
        <v>X</v>
      </c>
      <c r="BB12" s="22">
        <f t="shared" si="45"/>
        <v>2</v>
      </c>
      <c r="BC12" s="22" t="str">
        <f t="shared" si="7"/>
        <v>1G</v>
      </c>
      <c r="BD12" s="22" t="str">
        <f t="shared" si="8"/>
        <v>2G</v>
      </c>
      <c r="BE12" s="22" t="str">
        <f t="shared" si="9"/>
        <v>2G</v>
      </c>
      <c r="BF12" s="22" t="str">
        <f t="shared" si="10"/>
        <v>3G</v>
      </c>
      <c r="BG12" s="22" t="str">
        <f t="shared" si="11"/>
        <v>3G</v>
      </c>
      <c r="BH12" s="22" t="str">
        <f t="shared" si="12"/>
        <v>3G</v>
      </c>
      <c r="BI12" s="22">
        <f t="shared" si="46"/>
        <v>1</v>
      </c>
      <c r="BJ12" s="22">
        <f t="shared" si="47"/>
        <v>2</v>
      </c>
      <c r="BK12" s="22">
        <f t="shared" si="48"/>
        <v>3</v>
      </c>
      <c r="BL12" s="22" t="str">
        <f t="shared" si="49"/>
        <v>123</v>
      </c>
      <c r="BO12" s="30">
        <v>17</v>
      </c>
      <c r="BP12" s="31">
        <f t="shared" si="13"/>
        <v>121</v>
      </c>
      <c r="BQ12" s="32">
        <f t="shared" si="14"/>
        <v>9</v>
      </c>
      <c r="BR12" s="108">
        <v>8</v>
      </c>
      <c r="BS12" s="24">
        <f t="shared" si="59"/>
        <v>42</v>
      </c>
      <c r="BT12" s="24">
        <f t="shared" si="50"/>
        <v>39</v>
      </c>
      <c r="BU12" s="51">
        <f t="shared" si="51"/>
        <v>81</v>
      </c>
      <c r="BV12" s="22" t="str">
        <f t="shared" si="52"/>
        <v>당첨</v>
      </c>
      <c r="BW12" s="22" t="s">
        <v>706</v>
      </c>
      <c r="BX12" s="109">
        <v>32</v>
      </c>
      <c r="BY12" s="25">
        <v>17</v>
      </c>
      <c r="BZ12" s="25">
        <v>17</v>
      </c>
      <c r="CA12" s="25">
        <v>34</v>
      </c>
      <c r="CB12" s="96" t="s">
        <v>530</v>
      </c>
      <c r="CC12" s="22" t="str">
        <f t="shared" si="15"/>
        <v>짝수</v>
      </c>
      <c r="CD12" s="23">
        <f t="shared" si="16"/>
        <v>8</v>
      </c>
      <c r="CF12" s="79">
        <v>8</v>
      </c>
      <c r="CG12" s="70">
        <v>32</v>
      </c>
      <c r="CH12" s="70">
        <f t="shared" si="17"/>
        <v>35</v>
      </c>
      <c r="CI12" s="75">
        <f t="shared" si="18"/>
        <v>4.8814504881450491E-2</v>
      </c>
      <c r="CJ12" s="70">
        <f t="shared" si="19"/>
        <v>8</v>
      </c>
      <c r="CL12" s="23">
        <v>70</v>
      </c>
      <c r="CM12" s="23">
        <v>70</v>
      </c>
      <c r="CO12" s="136">
        <v>100</v>
      </c>
      <c r="CP12" s="138">
        <f t="shared" si="20"/>
        <v>33</v>
      </c>
      <c r="CQ12" s="142">
        <f t="shared" si="21"/>
        <v>6.6666666666666666E-2</v>
      </c>
    </row>
    <row r="13" spans="1:95">
      <c r="B13" s="15">
        <v>9</v>
      </c>
      <c r="C13" s="23" t="s">
        <v>39</v>
      </c>
      <c r="D13" s="16">
        <v>0</v>
      </c>
      <c r="E13" s="16">
        <v>0</v>
      </c>
      <c r="F13" s="16">
        <v>4</v>
      </c>
      <c r="G13" s="17">
        <v>769456500</v>
      </c>
      <c r="H13" s="16">
        <v>352</v>
      </c>
      <c r="I13" s="17">
        <v>8743800</v>
      </c>
      <c r="J13" s="17">
        <v>23672</v>
      </c>
      <c r="K13" s="17">
        <v>260000</v>
      </c>
      <c r="L13" s="17">
        <v>603375</v>
      </c>
      <c r="M13" s="17">
        <v>10000</v>
      </c>
      <c r="N13" s="23">
        <v>2</v>
      </c>
      <c r="O13" s="23">
        <v>4</v>
      </c>
      <c r="P13" s="23">
        <v>16</v>
      </c>
      <c r="Q13" s="23">
        <v>17</v>
      </c>
      <c r="R13" s="23">
        <v>36</v>
      </c>
      <c r="S13" s="23">
        <v>39</v>
      </c>
      <c r="T13" s="23">
        <v>14</v>
      </c>
      <c r="U13" s="23">
        <f t="shared" si="22"/>
        <v>114</v>
      </c>
      <c r="W13" s="22" t="str">
        <f t="shared" si="0"/>
        <v>짝수</v>
      </c>
      <c r="X13" s="22" t="str">
        <f t="shared" si="1"/>
        <v>짝수</v>
      </c>
      <c r="Y13" s="22" t="str">
        <f t="shared" si="2"/>
        <v>짝수</v>
      </c>
      <c r="Z13" s="22" t="str">
        <f t="shared" si="53"/>
        <v>홀수</v>
      </c>
      <c r="AA13" s="22" t="str">
        <f t="shared" si="54"/>
        <v>짝수</v>
      </c>
      <c r="AB13" s="22" t="str">
        <f t="shared" si="55"/>
        <v>홀수</v>
      </c>
      <c r="AC13" s="52" t="str">
        <f t="shared" si="56"/>
        <v>2 : 4</v>
      </c>
      <c r="AD13" s="22">
        <f t="shared" si="57"/>
        <v>2</v>
      </c>
      <c r="AE13" s="22">
        <f t="shared" si="58"/>
        <v>4</v>
      </c>
      <c r="AF13" s="22" t="str">
        <f t="shared" si="23"/>
        <v>저수</v>
      </c>
      <c r="AG13" s="22" t="str">
        <f t="shared" si="24"/>
        <v>저수</v>
      </c>
      <c r="AH13" s="22" t="str">
        <f t="shared" si="25"/>
        <v>저수</v>
      </c>
      <c r="AI13" s="22" t="str">
        <f t="shared" si="26"/>
        <v>저수</v>
      </c>
      <c r="AJ13" s="22" t="str">
        <f t="shared" si="27"/>
        <v>고수</v>
      </c>
      <c r="AK13" s="22" t="str">
        <f t="shared" si="28"/>
        <v>고수</v>
      </c>
      <c r="AL13" s="52" t="str">
        <f t="shared" si="29"/>
        <v>4 : 2</v>
      </c>
      <c r="AM13" s="22">
        <f t="shared" si="30"/>
        <v>4</v>
      </c>
      <c r="AN13" s="22">
        <f t="shared" si="31"/>
        <v>2</v>
      </c>
      <c r="AO13" s="22">
        <f t="shared" si="32"/>
        <v>34</v>
      </c>
      <c r="AP13" s="22" t="str">
        <f t="shared" si="33"/>
        <v>O</v>
      </c>
      <c r="AQ13" s="22" t="str">
        <f t="shared" si="34"/>
        <v>X</v>
      </c>
      <c r="AR13" s="22" t="str">
        <f t="shared" si="35"/>
        <v>X</v>
      </c>
      <c r="AS13" s="22" t="str">
        <f t="shared" si="36"/>
        <v>O</v>
      </c>
      <c r="AT13" s="22" t="str">
        <f t="shared" si="37"/>
        <v>X</v>
      </c>
      <c r="AU13" s="22" t="str">
        <f t="shared" si="38"/>
        <v>X</v>
      </c>
      <c r="AV13" s="22" t="str">
        <f t="shared" si="39"/>
        <v>X</v>
      </c>
      <c r="AW13" s="22" t="str">
        <f t="shared" si="40"/>
        <v>X</v>
      </c>
      <c r="AX13" s="22" t="str">
        <f t="shared" si="41"/>
        <v>X</v>
      </c>
      <c r="AY13" s="22" t="str">
        <f t="shared" si="42"/>
        <v>X</v>
      </c>
      <c r="AZ13" s="22" t="str">
        <f t="shared" si="43"/>
        <v>X</v>
      </c>
      <c r="BA13" s="22" t="str">
        <f t="shared" si="44"/>
        <v>X</v>
      </c>
      <c r="BB13" s="22">
        <f t="shared" si="45"/>
        <v>2</v>
      </c>
      <c r="BC13" s="22" t="str">
        <f t="shared" si="7"/>
        <v>1G</v>
      </c>
      <c r="BD13" s="22" t="str">
        <f t="shared" si="8"/>
        <v>1G</v>
      </c>
      <c r="BE13" s="22" t="str">
        <f t="shared" si="9"/>
        <v>2G</v>
      </c>
      <c r="BF13" s="22" t="str">
        <f t="shared" si="10"/>
        <v>2G</v>
      </c>
      <c r="BG13" s="22" t="str">
        <f t="shared" si="11"/>
        <v>3G</v>
      </c>
      <c r="BH13" s="22" t="str">
        <f t="shared" si="12"/>
        <v>3G</v>
      </c>
      <c r="BI13" s="22">
        <f t="shared" si="46"/>
        <v>2</v>
      </c>
      <c r="BJ13" s="22">
        <f t="shared" si="47"/>
        <v>2</v>
      </c>
      <c r="BK13" s="22">
        <f t="shared" si="48"/>
        <v>2</v>
      </c>
      <c r="BL13" s="22" t="str">
        <f t="shared" si="49"/>
        <v>222</v>
      </c>
      <c r="BO13" s="36">
        <v>4</v>
      </c>
      <c r="BP13" s="37">
        <f t="shared" si="13"/>
        <v>122</v>
      </c>
      <c r="BQ13" s="38">
        <f t="shared" si="14"/>
        <v>8</v>
      </c>
      <c r="BR13" s="108">
        <v>9</v>
      </c>
      <c r="BS13" s="24">
        <f t="shared" si="59"/>
        <v>22</v>
      </c>
      <c r="BT13" s="24">
        <f t="shared" si="50"/>
        <v>22</v>
      </c>
      <c r="BU13" s="51">
        <f t="shared" si="51"/>
        <v>44</v>
      </c>
      <c r="BV13" s="22" t="str">
        <f t="shared" si="52"/>
        <v>당첨</v>
      </c>
      <c r="BW13" s="22" t="s">
        <v>706</v>
      </c>
      <c r="BX13" s="26">
        <v>41</v>
      </c>
      <c r="BY13" s="25">
        <v>15</v>
      </c>
      <c r="BZ13" s="25">
        <v>14</v>
      </c>
      <c r="CA13" s="25">
        <v>29</v>
      </c>
      <c r="CB13" s="96" t="s">
        <v>530</v>
      </c>
      <c r="CC13" s="22" t="str">
        <f>IF(RIGHT(BX12,1)="1","홀수",IF(RIGHT(BX12,1)="3","홀수",IF(RIGHT(BX12,1)="5","홀수",IF(RIGHT(BX12,1)="7","홀수",IF(RIGHT(BX12,1)="9","홀수","짝수")))))</f>
        <v>짝수</v>
      </c>
      <c r="CD13" s="23">
        <f>IF(CB13="당첨",RANK(BY12,$BY$5:$BY$49),"")</f>
        <v>8</v>
      </c>
      <c r="CF13" s="79">
        <v>9</v>
      </c>
      <c r="CG13" s="70">
        <v>22</v>
      </c>
      <c r="CH13" s="70">
        <f t="shared" si="17"/>
        <v>33</v>
      </c>
      <c r="CI13" s="75">
        <f t="shared" si="18"/>
        <v>4.6025104602510462E-2</v>
      </c>
      <c r="CJ13" s="70">
        <f t="shared" si="19"/>
        <v>10</v>
      </c>
      <c r="CL13" s="23">
        <v>71</v>
      </c>
      <c r="CM13" s="23">
        <v>70</v>
      </c>
      <c r="CO13" s="134">
        <v>90</v>
      </c>
      <c r="CP13" s="68">
        <f t="shared" si="20"/>
        <v>23</v>
      </c>
      <c r="CQ13" s="140">
        <f t="shared" si="21"/>
        <v>4.6464646464646465E-2</v>
      </c>
    </row>
    <row r="14" spans="1:95">
      <c r="B14" s="15">
        <v>10</v>
      </c>
      <c r="C14" s="23" t="s">
        <v>40</v>
      </c>
      <c r="D14" s="16">
        <v>13</v>
      </c>
      <c r="E14" s="17">
        <v>6430437900</v>
      </c>
      <c r="F14" s="16">
        <v>236</v>
      </c>
      <c r="G14" s="17">
        <v>40813400</v>
      </c>
      <c r="H14" s="17">
        <v>11247</v>
      </c>
      <c r="I14" s="17">
        <v>856400</v>
      </c>
      <c r="J14" s="17">
        <v>703234</v>
      </c>
      <c r="K14" s="17">
        <v>27300</v>
      </c>
      <c r="L14" s="17">
        <v>3410846</v>
      </c>
      <c r="M14" s="17">
        <v>10000</v>
      </c>
      <c r="N14" s="23">
        <v>9</v>
      </c>
      <c r="O14" s="23">
        <v>25</v>
      </c>
      <c r="P14" s="23">
        <v>30</v>
      </c>
      <c r="Q14" s="23">
        <v>33</v>
      </c>
      <c r="R14" s="23">
        <v>41</v>
      </c>
      <c r="S14" s="23">
        <v>44</v>
      </c>
      <c r="T14" s="23">
        <v>6</v>
      </c>
      <c r="U14" s="23">
        <f t="shared" si="22"/>
        <v>182</v>
      </c>
      <c r="W14" s="22" t="str">
        <f t="shared" si="0"/>
        <v>홀수</v>
      </c>
      <c r="X14" s="22" t="str">
        <f t="shared" si="1"/>
        <v>홀수</v>
      </c>
      <c r="Y14" s="22" t="str">
        <f t="shared" si="2"/>
        <v>짝수</v>
      </c>
      <c r="Z14" s="22" t="str">
        <f t="shared" si="53"/>
        <v>홀수</v>
      </c>
      <c r="AA14" s="22" t="str">
        <f t="shared" si="54"/>
        <v>홀수</v>
      </c>
      <c r="AB14" s="22" t="str">
        <f t="shared" si="55"/>
        <v>짝수</v>
      </c>
      <c r="AC14" s="52" t="str">
        <f t="shared" si="56"/>
        <v>4 : 2</v>
      </c>
      <c r="AD14" s="22">
        <f t="shared" si="57"/>
        <v>4</v>
      </c>
      <c r="AE14" s="22">
        <f t="shared" si="58"/>
        <v>2</v>
      </c>
      <c r="AF14" s="22" t="str">
        <f t="shared" si="23"/>
        <v>저수</v>
      </c>
      <c r="AG14" s="22" t="str">
        <f t="shared" si="24"/>
        <v>고수</v>
      </c>
      <c r="AH14" s="22" t="str">
        <f t="shared" si="25"/>
        <v>고수</v>
      </c>
      <c r="AI14" s="22" t="str">
        <f t="shared" si="26"/>
        <v>고수</v>
      </c>
      <c r="AJ14" s="22" t="str">
        <f t="shared" si="27"/>
        <v>고수</v>
      </c>
      <c r="AK14" s="22" t="str">
        <f t="shared" si="28"/>
        <v>고수</v>
      </c>
      <c r="AL14" s="52" t="str">
        <f t="shared" si="29"/>
        <v>1 : 5</v>
      </c>
      <c r="AM14" s="22">
        <f t="shared" si="30"/>
        <v>1</v>
      </c>
      <c r="AN14" s="22">
        <f t="shared" si="31"/>
        <v>5</v>
      </c>
      <c r="AO14" s="22">
        <f t="shared" si="32"/>
        <v>22</v>
      </c>
      <c r="AP14" s="22" t="str">
        <f t="shared" si="33"/>
        <v>X</v>
      </c>
      <c r="AQ14" s="22" t="str">
        <f t="shared" si="34"/>
        <v>X</v>
      </c>
      <c r="AR14" s="22" t="str">
        <f t="shared" si="35"/>
        <v>X</v>
      </c>
      <c r="AS14" s="22" t="str">
        <f t="shared" si="36"/>
        <v>X</v>
      </c>
      <c r="AT14" s="22" t="str">
        <f t="shared" si="37"/>
        <v>X</v>
      </c>
      <c r="AU14" s="22" t="str">
        <f t="shared" si="38"/>
        <v>X</v>
      </c>
      <c r="AV14" s="22" t="str">
        <f t="shared" si="39"/>
        <v>X</v>
      </c>
      <c r="AW14" s="22" t="str">
        <f t="shared" si="40"/>
        <v>X</v>
      </c>
      <c r="AX14" s="22" t="str">
        <f t="shared" si="41"/>
        <v>X</v>
      </c>
      <c r="AY14" s="22" t="str">
        <f t="shared" si="42"/>
        <v>X</v>
      </c>
      <c r="AZ14" s="22" t="str">
        <f t="shared" si="43"/>
        <v>O</v>
      </c>
      <c r="BA14" s="22" t="str">
        <f t="shared" si="44"/>
        <v>X</v>
      </c>
      <c r="BB14" s="22">
        <f t="shared" si="45"/>
        <v>1</v>
      </c>
      <c r="BC14" s="22" t="str">
        <f t="shared" si="7"/>
        <v>1G</v>
      </c>
      <c r="BD14" s="22" t="str">
        <f t="shared" si="8"/>
        <v>2G</v>
      </c>
      <c r="BE14" s="22" t="str">
        <f t="shared" si="9"/>
        <v>2G</v>
      </c>
      <c r="BF14" s="22" t="str">
        <f t="shared" si="10"/>
        <v>3G</v>
      </c>
      <c r="BG14" s="22" t="str">
        <f t="shared" si="11"/>
        <v>3G</v>
      </c>
      <c r="BH14" s="22" t="str">
        <f t="shared" si="12"/>
        <v>3G</v>
      </c>
      <c r="BI14" s="22">
        <f t="shared" si="46"/>
        <v>1</v>
      </c>
      <c r="BJ14" s="22">
        <f t="shared" si="47"/>
        <v>2</v>
      </c>
      <c r="BK14" s="22">
        <f t="shared" si="48"/>
        <v>3</v>
      </c>
      <c r="BL14" s="22" t="str">
        <f t="shared" si="49"/>
        <v>123</v>
      </c>
      <c r="BO14" s="33">
        <v>26</v>
      </c>
      <c r="BP14" s="34">
        <f t="shared" si="13"/>
        <v>117</v>
      </c>
      <c r="BQ14" s="35">
        <f t="shared" si="14"/>
        <v>13</v>
      </c>
      <c r="BR14" s="108">
        <v>10</v>
      </c>
      <c r="BS14" s="24">
        <f t="shared" si="59"/>
        <v>32</v>
      </c>
      <c r="BT14" s="24">
        <f t="shared" si="50"/>
        <v>32</v>
      </c>
      <c r="BU14" s="51">
        <f t="shared" si="51"/>
        <v>64</v>
      </c>
      <c r="BV14" s="22" t="str">
        <f t="shared" si="52"/>
        <v>당첨</v>
      </c>
      <c r="BW14" s="22" t="s">
        <v>706</v>
      </c>
      <c r="BX14" s="26">
        <v>34</v>
      </c>
      <c r="BY14" s="25">
        <v>16</v>
      </c>
      <c r="BZ14" s="25">
        <v>16</v>
      </c>
      <c r="CA14" s="25">
        <v>32</v>
      </c>
      <c r="CB14" s="96" t="s">
        <v>530</v>
      </c>
      <c r="CC14" s="22" t="str">
        <f t="shared" ref="CC14:CC35" si="60">IF(RIGHT(BX14,1)="1","홀수",IF(RIGHT(BX14,1)="3","홀수",IF(RIGHT(BX14,1)="5","홀수",IF(RIGHT(BX14,1)="7","홀수",IF(RIGHT(BX14,1)="9","홀수","짝수")))))</f>
        <v>짝수</v>
      </c>
      <c r="CD14" s="23">
        <f t="shared" ref="CD14:CD35" si="61">IF(CB14="당첨",RANK(BY14,$BY$5:$BY$49),"")</f>
        <v>9</v>
      </c>
      <c r="CF14" s="79">
        <v>10</v>
      </c>
      <c r="CG14" s="70">
        <v>30</v>
      </c>
      <c r="CH14" s="70">
        <f t="shared" si="17"/>
        <v>30</v>
      </c>
      <c r="CI14" s="75">
        <f t="shared" si="18"/>
        <v>4.1841004184100417E-2</v>
      </c>
      <c r="CJ14" s="70">
        <f t="shared" si="19"/>
        <v>12</v>
      </c>
      <c r="CL14" s="23">
        <v>72</v>
      </c>
      <c r="CM14" s="23">
        <v>70</v>
      </c>
      <c r="CO14" s="134">
        <v>180</v>
      </c>
      <c r="CP14" s="68">
        <f t="shared" si="20"/>
        <v>23</v>
      </c>
      <c r="CQ14" s="140">
        <f t="shared" si="21"/>
        <v>4.6464646464646465E-2</v>
      </c>
    </row>
    <row r="15" spans="1:95">
      <c r="B15" s="15">
        <v>11</v>
      </c>
      <c r="C15" s="23" t="s">
        <v>41</v>
      </c>
      <c r="D15" s="16">
        <v>5</v>
      </c>
      <c r="E15" s="17">
        <v>4780152300</v>
      </c>
      <c r="F15" s="16">
        <v>11</v>
      </c>
      <c r="G15" s="17">
        <v>362132700</v>
      </c>
      <c r="H15" s="16">
        <v>428</v>
      </c>
      <c r="I15" s="17">
        <v>9307100</v>
      </c>
      <c r="J15" s="17">
        <v>38515</v>
      </c>
      <c r="K15" s="17">
        <v>206800</v>
      </c>
      <c r="L15" s="17">
        <v>612805</v>
      </c>
      <c r="M15" s="17">
        <v>10000</v>
      </c>
      <c r="N15" s="23">
        <v>1</v>
      </c>
      <c r="O15" s="23">
        <v>7</v>
      </c>
      <c r="P15" s="23">
        <v>36</v>
      </c>
      <c r="Q15" s="23">
        <v>37</v>
      </c>
      <c r="R15" s="23">
        <v>41</v>
      </c>
      <c r="S15" s="23">
        <v>42</v>
      </c>
      <c r="T15" s="23">
        <v>14</v>
      </c>
      <c r="U15" s="23">
        <f t="shared" si="22"/>
        <v>164</v>
      </c>
      <c r="W15" s="22" t="str">
        <f t="shared" si="0"/>
        <v>홀수</v>
      </c>
      <c r="X15" s="22" t="str">
        <f t="shared" si="1"/>
        <v>홀수</v>
      </c>
      <c r="Y15" s="22" t="str">
        <f t="shared" si="2"/>
        <v>짝수</v>
      </c>
      <c r="Z15" s="22" t="str">
        <f t="shared" si="53"/>
        <v>홀수</v>
      </c>
      <c r="AA15" s="22" t="str">
        <f t="shared" si="54"/>
        <v>홀수</v>
      </c>
      <c r="AB15" s="22" t="str">
        <f t="shared" si="55"/>
        <v>짝수</v>
      </c>
      <c r="AC15" s="52" t="str">
        <f t="shared" si="56"/>
        <v>4 : 2</v>
      </c>
      <c r="AD15" s="22">
        <f t="shared" si="57"/>
        <v>4</v>
      </c>
      <c r="AE15" s="22">
        <f t="shared" si="58"/>
        <v>2</v>
      </c>
      <c r="AF15" s="22" t="str">
        <f t="shared" si="23"/>
        <v>저수</v>
      </c>
      <c r="AG15" s="22" t="str">
        <f t="shared" si="24"/>
        <v>저수</v>
      </c>
      <c r="AH15" s="22" t="str">
        <f t="shared" si="25"/>
        <v>고수</v>
      </c>
      <c r="AI15" s="22" t="str">
        <f t="shared" si="26"/>
        <v>고수</v>
      </c>
      <c r="AJ15" s="22" t="str">
        <f t="shared" si="27"/>
        <v>고수</v>
      </c>
      <c r="AK15" s="22" t="str">
        <f t="shared" si="28"/>
        <v>고수</v>
      </c>
      <c r="AL15" s="52" t="str">
        <f t="shared" si="29"/>
        <v>2 : 4</v>
      </c>
      <c r="AM15" s="22">
        <f t="shared" si="30"/>
        <v>2</v>
      </c>
      <c r="AN15" s="22">
        <f t="shared" si="31"/>
        <v>4</v>
      </c>
      <c r="AO15" s="22">
        <f t="shared" si="32"/>
        <v>24</v>
      </c>
      <c r="AP15" s="22" t="str">
        <f t="shared" si="33"/>
        <v>X</v>
      </c>
      <c r="AQ15" s="22" t="str">
        <f t="shared" si="34"/>
        <v>O</v>
      </c>
      <c r="AR15" s="22" t="str">
        <f t="shared" si="35"/>
        <v>X</v>
      </c>
      <c r="AS15" s="22" t="str">
        <f t="shared" si="36"/>
        <v>X</v>
      </c>
      <c r="AT15" s="22" t="str">
        <f t="shared" si="37"/>
        <v>X</v>
      </c>
      <c r="AU15" s="22" t="str">
        <f t="shared" si="38"/>
        <v>X</v>
      </c>
      <c r="AV15" s="22" t="str">
        <f t="shared" si="39"/>
        <v>X</v>
      </c>
      <c r="AW15" s="22" t="str">
        <f t="shared" si="40"/>
        <v>X</v>
      </c>
      <c r="AX15" s="22" t="str">
        <f t="shared" si="41"/>
        <v>X</v>
      </c>
      <c r="AY15" s="22" t="str">
        <f t="shared" si="42"/>
        <v>O</v>
      </c>
      <c r="AZ15" s="22" t="str">
        <f t="shared" si="43"/>
        <v>O</v>
      </c>
      <c r="BA15" s="22" t="str">
        <f t="shared" si="44"/>
        <v>X</v>
      </c>
      <c r="BB15" s="22">
        <f t="shared" si="45"/>
        <v>3</v>
      </c>
      <c r="BC15" s="22" t="str">
        <f t="shared" si="7"/>
        <v>1G</v>
      </c>
      <c r="BD15" s="22" t="str">
        <f t="shared" si="8"/>
        <v>1G</v>
      </c>
      <c r="BE15" s="22" t="str">
        <f t="shared" si="9"/>
        <v>3G</v>
      </c>
      <c r="BF15" s="22" t="str">
        <f t="shared" si="10"/>
        <v>3G</v>
      </c>
      <c r="BG15" s="22" t="str">
        <f t="shared" si="11"/>
        <v>3G</v>
      </c>
      <c r="BH15" s="22" t="str">
        <f t="shared" si="12"/>
        <v>3G</v>
      </c>
      <c r="BI15" s="22">
        <f t="shared" si="46"/>
        <v>2</v>
      </c>
      <c r="BJ15" s="22">
        <f t="shared" si="47"/>
        <v>0</v>
      </c>
      <c r="BK15" s="22">
        <f t="shared" si="48"/>
        <v>4</v>
      </c>
      <c r="BL15" s="22" t="str">
        <f t="shared" si="49"/>
        <v>204</v>
      </c>
      <c r="BO15" s="39">
        <v>13</v>
      </c>
      <c r="BP15" s="40">
        <f t="shared" si="13"/>
        <v>121</v>
      </c>
      <c r="BQ15" s="41">
        <f t="shared" si="14"/>
        <v>9</v>
      </c>
      <c r="BR15" s="108">
        <v>11</v>
      </c>
      <c r="BS15" s="24">
        <f t="shared" si="59"/>
        <v>39</v>
      </c>
      <c r="BT15" s="24">
        <f t="shared" si="50"/>
        <v>38</v>
      </c>
      <c r="BU15" s="51">
        <f t="shared" si="51"/>
        <v>77</v>
      </c>
      <c r="BV15" s="22" t="str">
        <f t="shared" si="52"/>
        <v>당첨</v>
      </c>
      <c r="BW15" s="22" t="s">
        <v>706</v>
      </c>
      <c r="BX15" s="26">
        <v>1</v>
      </c>
      <c r="BY15" s="25">
        <v>16</v>
      </c>
      <c r="BZ15" s="25">
        <v>15</v>
      </c>
      <c r="CA15" s="25">
        <v>31</v>
      </c>
      <c r="CB15" s="96" t="s">
        <v>530</v>
      </c>
      <c r="CC15" s="22" t="str">
        <f t="shared" si="60"/>
        <v>홀수</v>
      </c>
      <c r="CD15" s="23">
        <f t="shared" si="61"/>
        <v>9</v>
      </c>
      <c r="CF15" s="79">
        <v>11</v>
      </c>
      <c r="CG15" s="70">
        <v>20</v>
      </c>
      <c r="CH15" s="70">
        <f t="shared" si="17"/>
        <v>29</v>
      </c>
      <c r="CI15" s="75">
        <f t="shared" si="18"/>
        <v>4.0446304044630406E-2</v>
      </c>
      <c r="CJ15" s="70">
        <f t="shared" si="19"/>
        <v>13</v>
      </c>
      <c r="CL15" s="23">
        <v>73</v>
      </c>
      <c r="CM15" s="23">
        <v>70</v>
      </c>
      <c r="CO15" s="134">
        <v>70</v>
      </c>
      <c r="CP15" s="68">
        <f t="shared" si="20"/>
        <v>17</v>
      </c>
      <c r="CQ15" s="140">
        <f t="shared" si="21"/>
        <v>3.4343434343434343E-2</v>
      </c>
    </row>
    <row r="16" spans="1:95" ht="15" thickBot="1">
      <c r="B16" s="15">
        <v>12</v>
      </c>
      <c r="C16" s="23" t="s">
        <v>42</v>
      </c>
      <c r="D16" s="16">
        <v>12</v>
      </c>
      <c r="E16" s="17">
        <v>1348845700</v>
      </c>
      <c r="F16" s="16">
        <v>27</v>
      </c>
      <c r="G16" s="17">
        <v>99914400</v>
      </c>
      <c r="H16" s="17">
        <v>1903</v>
      </c>
      <c r="I16" s="17">
        <v>1417500</v>
      </c>
      <c r="J16" s="17">
        <v>76845</v>
      </c>
      <c r="K16" s="17">
        <v>70200</v>
      </c>
      <c r="L16" s="17">
        <v>1115084</v>
      </c>
      <c r="M16" s="17">
        <v>10000</v>
      </c>
      <c r="N16" s="23">
        <v>2</v>
      </c>
      <c r="O16" s="23">
        <v>11</v>
      </c>
      <c r="P16" s="23">
        <v>21</v>
      </c>
      <c r="Q16" s="23">
        <v>25</v>
      </c>
      <c r="R16" s="23">
        <v>39</v>
      </c>
      <c r="S16" s="23">
        <v>45</v>
      </c>
      <c r="T16" s="23">
        <v>44</v>
      </c>
      <c r="U16" s="23">
        <f t="shared" si="22"/>
        <v>143</v>
      </c>
      <c r="W16" s="22" t="str">
        <f t="shared" si="0"/>
        <v>짝수</v>
      </c>
      <c r="X16" s="22" t="str">
        <f t="shared" si="1"/>
        <v>홀수</v>
      </c>
      <c r="Y16" s="22" t="str">
        <f t="shared" si="2"/>
        <v>홀수</v>
      </c>
      <c r="Z16" s="22" t="str">
        <f t="shared" si="53"/>
        <v>홀수</v>
      </c>
      <c r="AA16" s="22" t="str">
        <f t="shared" si="54"/>
        <v>홀수</v>
      </c>
      <c r="AB16" s="22" t="str">
        <f t="shared" si="55"/>
        <v>홀수</v>
      </c>
      <c r="AC16" s="52" t="str">
        <f t="shared" si="56"/>
        <v>5 : 1</v>
      </c>
      <c r="AD16" s="22">
        <f t="shared" si="57"/>
        <v>5</v>
      </c>
      <c r="AE16" s="22">
        <f t="shared" si="58"/>
        <v>1</v>
      </c>
      <c r="AF16" s="22" t="str">
        <f t="shared" si="23"/>
        <v>저수</v>
      </c>
      <c r="AG16" s="22" t="str">
        <f t="shared" si="24"/>
        <v>저수</v>
      </c>
      <c r="AH16" s="22" t="str">
        <f t="shared" si="25"/>
        <v>저수</v>
      </c>
      <c r="AI16" s="22" t="str">
        <f t="shared" si="26"/>
        <v>고수</v>
      </c>
      <c r="AJ16" s="22" t="str">
        <f t="shared" si="27"/>
        <v>고수</v>
      </c>
      <c r="AK16" s="22" t="str">
        <f t="shared" si="28"/>
        <v>고수</v>
      </c>
      <c r="AL16" s="52" t="str">
        <f t="shared" si="29"/>
        <v>3 : 3</v>
      </c>
      <c r="AM16" s="22">
        <f t="shared" si="30"/>
        <v>3</v>
      </c>
      <c r="AN16" s="22">
        <f t="shared" si="31"/>
        <v>3</v>
      </c>
      <c r="AO16" s="22">
        <f t="shared" si="32"/>
        <v>23</v>
      </c>
      <c r="AP16" s="22" t="str">
        <f t="shared" si="33"/>
        <v>O</v>
      </c>
      <c r="AQ16" s="22" t="str">
        <f t="shared" si="34"/>
        <v>O</v>
      </c>
      <c r="AR16" s="22" t="str">
        <f t="shared" si="35"/>
        <v>X</v>
      </c>
      <c r="AS16" s="22" t="str">
        <f t="shared" si="36"/>
        <v>X</v>
      </c>
      <c r="AT16" s="22" t="str">
        <f t="shared" si="37"/>
        <v>X</v>
      </c>
      <c r="AU16" s="22" t="str">
        <f t="shared" si="38"/>
        <v>X</v>
      </c>
      <c r="AV16" s="22" t="str">
        <f t="shared" si="39"/>
        <v>X</v>
      </c>
      <c r="AW16" s="22" t="str">
        <f t="shared" si="40"/>
        <v>X</v>
      </c>
      <c r="AX16" s="22" t="str">
        <f t="shared" si="41"/>
        <v>X</v>
      </c>
      <c r="AY16" s="22" t="str">
        <f t="shared" si="42"/>
        <v>X</v>
      </c>
      <c r="AZ16" s="22" t="str">
        <f t="shared" si="43"/>
        <v>X</v>
      </c>
      <c r="BA16" s="22" t="str">
        <f t="shared" si="44"/>
        <v>X</v>
      </c>
      <c r="BB16" s="22">
        <f t="shared" si="45"/>
        <v>2</v>
      </c>
      <c r="BC16" s="22" t="str">
        <f t="shared" si="7"/>
        <v>1G</v>
      </c>
      <c r="BD16" s="22" t="str">
        <f t="shared" si="8"/>
        <v>1G</v>
      </c>
      <c r="BE16" s="22" t="str">
        <f t="shared" si="9"/>
        <v>2G</v>
      </c>
      <c r="BF16" s="22" t="str">
        <f t="shared" si="10"/>
        <v>2G</v>
      </c>
      <c r="BG16" s="22" t="str">
        <f t="shared" si="11"/>
        <v>3G</v>
      </c>
      <c r="BH16" s="22" t="str">
        <f t="shared" si="12"/>
        <v>3G</v>
      </c>
      <c r="BI16" s="22">
        <f t="shared" si="46"/>
        <v>2</v>
      </c>
      <c r="BJ16" s="22">
        <f t="shared" si="47"/>
        <v>2</v>
      </c>
      <c r="BK16" s="22">
        <f t="shared" si="48"/>
        <v>2</v>
      </c>
      <c r="BL16" s="22" t="str">
        <f t="shared" si="49"/>
        <v>222</v>
      </c>
      <c r="BO16" s="39">
        <v>8</v>
      </c>
      <c r="BP16" s="40">
        <f t="shared" si="13"/>
        <v>120</v>
      </c>
      <c r="BQ16" s="41">
        <f t="shared" si="14"/>
        <v>11</v>
      </c>
      <c r="BR16" s="108">
        <v>12</v>
      </c>
      <c r="BS16" s="24">
        <f t="shared" si="59"/>
        <v>43</v>
      </c>
      <c r="BT16" s="24">
        <f t="shared" si="50"/>
        <v>43</v>
      </c>
      <c r="BU16" s="51">
        <f t="shared" si="51"/>
        <v>86</v>
      </c>
      <c r="BV16" s="22" t="str">
        <f t="shared" si="52"/>
        <v>당첨</v>
      </c>
      <c r="BW16" s="22" t="s">
        <v>706</v>
      </c>
      <c r="BX16" s="26">
        <v>17</v>
      </c>
      <c r="BY16" s="25">
        <v>16</v>
      </c>
      <c r="BZ16" s="25">
        <v>15</v>
      </c>
      <c r="CA16" s="25">
        <v>31</v>
      </c>
      <c r="CB16" s="96" t="s">
        <v>530</v>
      </c>
      <c r="CC16" s="22" t="str">
        <f t="shared" si="60"/>
        <v>홀수</v>
      </c>
      <c r="CD16" s="23">
        <f t="shared" si="61"/>
        <v>9</v>
      </c>
      <c r="CF16" s="79">
        <v>12</v>
      </c>
      <c r="CG16" s="70">
        <v>19</v>
      </c>
      <c r="CH16" s="70">
        <f t="shared" si="17"/>
        <v>31</v>
      </c>
      <c r="CI16" s="75">
        <f t="shared" si="18"/>
        <v>4.3235704323570434E-2</v>
      </c>
      <c r="CJ16" s="70">
        <f t="shared" si="19"/>
        <v>11</v>
      </c>
      <c r="CL16" s="23">
        <v>73</v>
      </c>
      <c r="CM16" s="23">
        <v>70</v>
      </c>
      <c r="CO16" s="135">
        <v>190</v>
      </c>
      <c r="CP16" s="137">
        <f t="shared" si="20"/>
        <v>15</v>
      </c>
      <c r="CQ16" s="141">
        <f t="shared" si="21"/>
        <v>3.0303030303030304E-2</v>
      </c>
    </row>
    <row r="17" spans="2:95">
      <c r="B17" s="15">
        <v>13</v>
      </c>
      <c r="C17" s="23" t="s">
        <v>43</v>
      </c>
      <c r="D17" s="16">
        <v>0</v>
      </c>
      <c r="E17" s="16">
        <v>0</v>
      </c>
      <c r="F17" s="16">
        <v>6</v>
      </c>
      <c r="G17" s="17">
        <v>433309300</v>
      </c>
      <c r="H17" s="16">
        <v>450</v>
      </c>
      <c r="I17" s="17">
        <v>5777400</v>
      </c>
      <c r="J17" s="17">
        <v>29601</v>
      </c>
      <c r="K17" s="17">
        <v>175600</v>
      </c>
      <c r="L17" s="17">
        <v>726751</v>
      </c>
      <c r="M17" s="17">
        <v>10000</v>
      </c>
      <c r="N17" s="23">
        <v>22</v>
      </c>
      <c r="O17" s="23">
        <v>23</v>
      </c>
      <c r="P17" s="23">
        <v>25</v>
      </c>
      <c r="Q17" s="23">
        <v>37</v>
      </c>
      <c r="R17" s="23">
        <v>38</v>
      </c>
      <c r="S17" s="23">
        <v>42</v>
      </c>
      <c r="T17" s="23">
        <v>26</v>
      </c>
      <c r="U17" s="23">
        <f t="shared" si="22"/>
        <v>187</v>
      </c>
      <c r="W17" s="22" t="str">
        <f t="shared" si="0"/>
        <v>짝수</v>
      </c>
      <c r="X17" s="22" t="str">
        <f t="shared" si="1"/>
        <v>홀수</v>
      </c>
      <c r="Y17" s="22" t="str">
        <f t="shared" si="2"/>
        <v>홀수</v>
      </c>
      <c r="Z17" s="22" t="str">
        <f t="shared" si="53"/>
        <v>홀수</v>
      </c>
      <c r="AA17" s="22" t="str">
        <f t="shared" si="54"/>
        <v>짝수</v>
      </c>
      <c r="AB17" s="22" t="str">
        <f t="shared" si="55"/>
        <v>짝수</v>
      </c>
      <c r="AC17" s="52" t="str">
        <f t="shared" si="56"/>
        <v>3 : 3</v>
      </c>
      <c r="AD17" s="22">
        <f t="shared" si="57"/>
        <v>3</v>
      </c>
      <c r="AE17" s="22">
        <f t="shared" si="58"/>
        <v>3</v>
      </c>
      <c r="AF17" s="22" t="str">
        <f t="shared" si="23"/>
        <v>저수</v>
      </c>
      <c r="AG17" s="22" t="str">
        <f t="shared" si="24"/>
        <v>고수</v>
      </c>
      <c r="AH17" s="22" t="str">
        <f t="shared" si="25"/>
        <v>고수</v>
      </c>
      <c r="AI17" s="22" t="str">
        <f t="shared" si="26"/>
        <v>고수</v>
      </c>
      <c r="AJ17" s="22" t="str">
        <f t="shared" si="27"/>
        <v>고수</v>
      </c>
      <c r="AK17" s="22" t="str">
        <f t="shared" si="28"/>
        <v>고수</v>
      </c>
      <c r="AL17" s="52" t="str">
        <f t="shared" si="29"/>
        <v>1 : 5</v>
      </c>
      <c r="AM17" s="22">
        <f t="shared" si="30"/>
        <v>1</v>
      </c>
      <c r="AN17" s="22">
        <f t="shared" si="31"/>
        <v>5</v>
      </c>
      <c r="AO17" s="22">
        <f t="shared" si="32"/>
        <v>27</v>
      </c>
      <c r="AP17" s="22" t="str">
        <f t="shared" si="33"/>
        <v>X</v>
      </c>
      <c r="AQ17" s="22" t="str">
        <f t="shared" si="34"/>
        <v>X</v>
      </c>
      <c r="AR17" s="22" t="str">
        <f t="shared" si="35"/>
        <v>X</v>
      </c>
      <c r="AS17" s="22" t="str">
        <f t="shared" si="36"/>
        <v>X</v>
      </c>
      <c r="AT17" s="22" t="str">
        <f t="shared" si="37"/>
        <v>X</v>
      </c>
      <c r="AU17" s="22" t="str">
        <f t="shared" si="38"/>
        <v>X</v>
      </c>
      <c r="AV17" s="22" t="str">
        <f t="shared" si="39"/>
        <v>X</v>
      </c>
      <c r="AW17" s="22" t="str">
        <f t="shared" si="40"/>
        <v>O</v>
      </c>
      <c r="AX17" s="22" t="str">
        <f t="shared" si="41"/>
        <v>X</v>
      </c>
      <c r="AY17" s="22" t="str">
        <f t="shared" si="42"/>
        <v>O</v>
      </c>
      <c r="AZ17" s="22" t="str">
        <f t="shared" si="43"/>
        <v>X</v>
      </c>
      <c r="BA17" s="22" t="str">
        <f t="shared" si="44"/>
        <v>X</v>
      </c>
      <c r="BB17" s="22">
        <f t="shared" si="45"/>
        <v>2</v>
      </c>
      <c r="BC17" s="22" t="str">
        <f t="shared" si="7"/>
        <v>2G</v>
      </c>
      <c r="BD17" s="22" t="str">
        <f t="shared" si="8"/>
        <v>2G</v>
      </c>
      <c r="BE17" s="22" t="str">
        <f t="shared" si="9"/>
        <v>2G</v>
      </c>
      <c r="BF17" s="22" t="str">
        <f t="shared" si="10"/>
        <v>3G</v>
      </c>
      <c r="BG17" s="22" t="str">
        <f t="shared" si="11"/>
        <v>3G</v>
      </c>
      <c r="BH17" s="22" t="str">
        <f t="shared" si="12"/>
        <v>3G</v>
      </c>
      <c r="BI17" s="22">
        <f t="shared" si="46"/>
        <v>0</v>
      </c>
      <c r="BJ17" s="22">
        <f t="shared" si="47"/>
        <v>3</v>
      </c>
      <c r="BK17" s="22">
        <f t="shared" si="48"/>
        <v>3</v>
      </c>
      <c r="BL17" s="22" t="str">
        <f t="shared" si="49"/>
        <v>033</v>
      </c>
      <c r="BO17" s="30">
        <v>14</v>
      </c>
      <c r="BP17" s="31">
        <f t="shared" si="13"/>
        <v>117</v>
      </c>
      <c r="BQ17" s="32">
        <f t="shared" si="14"/>
        <v>13</v>
      </c>
      <c r="BR17" s="108">
        <v>13</v>
      </c>
      <c r="BS17" s="24">
        <f t="shared" si="59"/>
        <v>45</v>
      </c>
      <c r="BT17" s="24">
        <f t="shared" si="50"/>
        <v>45</v>
      </c>
      <c r="BU17" s="51">
        <f t="shared" si="51"/>
        <v>90</v>
      </c>
      <c r="BV17" s="22" t="str">
        <f t="shared" si="52"/>
        <v>당첨</v>
      </c>
      <c r="BW17" s="22" t="s">
        <v>706</v>
      </c>
      <c r="BX17" s="109">
        <v>23</v>
      </c>
      <c r="BY17" s="25">
        <v>16</v>
      </c>
      <c r="BZ17" s="25">
        <v>15</v>
      </c>
      <c r="CA17" s="25">
        <v>31</v>
      </c>
      <c r="CB17" s="96" t="s">
        <v>530</v>
      </c>
      <c r="CC17" s="22" t="str">
        <f t="shared" si="60"/>
        <v>홀수</v>
      </c>
      <c r="CD17" s="23">
        <f t="shared" si="61"/>
        <v>9</v>
      </c>
      <c r="CF17" s="79">
        <v>13</v>
      </c>
      <c r="CG17" s="70">
        <v>27</v>
      </c>
      <c r="CH17" s="70">
        <f t="shared" si="17"/>
        <v>39</v>
      </c>
      <c r="CI17" s="75">
        <f t="shared" si="18"/>
        <v>5.4393305439330547E-2</v>
      </c>
      <c r="CJ17" s="70">
        <f t="shared" si="19"/>
        <v>6</v>
      </c>
      <c r="CL17" s="23">
        <v>75</v>
      </c>
      <c r="CM17" s="23">
        <v>70</v>
      </c>
      <c r="CO17" s="106">
        <v>80</v>
      </c>
      <c r="CP17" s="106">
        <f t="shared" si="20"/>
        <v>13</v>
      </c>
      <c r="CQ17" s="107">
        <f t="shared" si="21"/>
        <v>2.6262626262626262E-2</v>
      </c>
    </row>
    <row r="18" spans="2:95">
      <c r="B18" s="15">
        <v>14</v>
      </c>
      <c r="C18" s="23" t="s">
        <v>44</v>
      </c>
      <c r="D18" s="16">
        <v>4</v>
      </c>
      <c r="E18" s="17">
        <v>9375048300</v>
      </c>
      <c r="F18" s="16">
        <v>28</v>
      </c>
      <c r="G18" s="17">
        <v>130363400</v>
      </c>
      <c r="H18" s="17">
        <v>1421</v>
      </c>
      <c r="I18" s="17">
        <v>2568700</v>
      </c>
      <c r="J18" s="17">
        <v>77736</v>
      </c>
      <c r="K18" s="17">
        <v>93900</v>
      </c>
      <c r="L18" s="17">
        <v>1341756</v>
      </c>
      <c r="M18" s="17">
        <v>10000</v>
      </c>
      <c r="N18" s="23">
        <v>2</v>
      </c>
      <c r="O18" s="23">
        <v>6</v>
      </c>
      <c r="P18" s="23">
        <v>12</v>
      </c>
      <c r="Q18" s="23">
        <v>31</v>
      </c>
      <c r="R18" s="23">
        <v>33</v>
      </c>
      <c r="S18" s="23">
        <v>40</v>
      </c>
      <c r="T18" s="23">
        <v>15</v>
      </c>
      <c r="U18" s="23">
        <f t="shared" si="22"/>
        <v>124</v>
      </c>
      <c r="W18" s="22" t="str">
        <f t="shared" si="0"/>
        <v>짝수</v>
      </c>
      <c r="X18" s="22" t="str">
        <f t="shared" si="1"/>
        <v>짝수</v>
      </c>
      <c r="Y18" s="22" t="str">
        <f t="shared" si="2"/>
        <v>짝수</v>
      </c>
      <c r="Z18" s="22" t="str">
        <f t="shared" si="53"/>
        <v>홀수</v>
      </c>
      <c r="AA18" s="22" t="str">
        <f t="shared" si="54"/>
        <v>홀수</v>
      </c>
      <c r="AB18" s="22" t="str">
        <f t="shared" si="55"/>
        <v>짝수</v>
      </c>
      <c r="AC18" s="52" t="str">
        <f t="shared" si="56"/>
        <v>2 : 4</v>
      </c>
      <c r="AD18" s="22">
        <f t="shared" si="57"/>
        <v>2</v>
      </c>
      <c r="AE18" s="22">
        <f t="shared" si="58"/>
        <v>4</v>
      </c>
      <c r="AF18" s="22" t="str">
        <f t="shared" si="23"/>
        <v>저수</v>
      </c>
      <c r="AG18" s="22" t="str">
        <f t="shared" si="24"/>
        <v>저수</v>
      </c>
      <c r="AH18" s="22" t="str">
        <f t="shared" si="25"/>
        <v>저수</v>
      </c>
      <c r="AI18" s="22" t="str">
        <f t="shared" si="26"/>
        <v>고수</v>
      </c>
      <c r="AJ18" s="22" t="str">
        <f t="shared" si="27"/>
        <v>고수</v>
      </c>
      <c r="AK18" s="22" t="str">
        <f t="shared" si="28"/>
        <v>고수</v>
      </c>
      <c r="AL18" s="52" t="str">
        <f t="shared" si="29"/>
        <v>3 : 3</v>
      </c>
      <c r="AM18" s="22">
        <f t="shared" si="30"/>
        <v>3</v>
      </c>
      <c r="AN18" s="22">
        <f t="shared" si="31"/>
        <v>3</v>
      </c>
      <c r="AO18" s="22">
        <f t="shared" si="32"/>
        <v>14</v>
      </c>
      <c r="AP18" s="22" t="str">
        <f t="shared" si="33"/>
        <v>O</v>
      </c>
      <c r="AQ18" s="22" t="str">
        <f t="shared" si="34"/>
        <v>X</v>
      </c>
      <c r="AR18" s="22" t="str">
        <f t="shared" si="35"/>
        <v>X</v>
      </c>
      <c r="AS18" s="22" t="str">
        <f t="shared" si="36"/>
        <v>X</v>
      </c>
      <c r="AT18" s="22" t="str">
        <f t="shared" si="37"/>
        <v>X</v>
      </c>
      <c r="AU18" s="22" t="str">
        <f t="shared" si="38"/>
        <v>X</v>
      </c>
      <c r="AV18" s="22" t="str">
        <f t="shared" si="39"/>
        <v>X</v>
      </c>
      <c r="AW18" s="22" t="str">
        <f t="shared" si="40"/>
        <v>X</v>
      </c>
      <c r="AX18" s="22" t="str">
        <f t="shared" si="41"/>
        <v>X</v>
      </c>
      <c r="AY18" s="22" t="str">
        <f t="shared" si="42"/>
        <v>O</v>
      </c>
      <c r="AZ18" s="22" t="str">
        <f t="shared" si="43"/>
        <v>X</v>
      </c>
      <c r="BA18" s="22" t="str">
        <f t="shared" si="44"/>
        <v>X</v>
      </c>
      <c r="BB18" s="22">
        <f t="shared" si="45"/>
        <v>2</v>
      </c>
      <c r="BC18" s="22" t="str">
        <f t="shared" si="7"/>
        <v>1G</v>
      </c>
      <c r="BD18" s="22" t="str">
        <f t="shared" si="8"/>
        <v>1G</v>
      </c>
      <c r="BE18" s="22" t="str">
        <f t="shared" si="9"/>
        <v>1G</v>
      </c>
      <c r="BF18" s="22" t="str">
        <f t="shared" si="10"/>
        <v>3G</v>
      </c>
      <c r="BG18" s="22" t="str">
        <f t="shared" si="11"/>
        <v>3G</v>
      </c>
      <c r="BH18" s="22" t="str">
        <f t="shared" si="12"/>
        <v>3G</v>
      </c>
      <c r="BI18" s="22">
        <f t="shared" si="46"/>
        <v>3</v>
      </c>
      <c r="BJ18" s="22">
        <f t="shared" si="47"/>
        <v>0</v>
      </c>
      <c r="BK18" s="22">
        <f t="shared" si="48"/>
        <v>3</v>
      </c>
      <c r="BL18" s="22" t="str">
        <f t="shared" si="49"/>
        <v>303</v>
      </c>
      <c r="BO18" s="30">
        <v>5</v>
      </c>
      <c r="BP18" s="31">
        <f t="shared" si="13"/>
        <v>115</v>
      </c>
      <c r="BQ18" s="32">
        <f t="shared" si="14"/>
        <v>16</v>
      </c>
      <c r="BR18" s="108">
        <v>14</v>
      </c>
      <c r="BS18" s="24">
        <f t="shared" si="59"/>
        <v>38</v>
      </c>
      <c r="BT18" s="24">
        <f t="shared" si="50"/>
        <v>38</v>
      </c>
      <c r="BU18" s="51">
        <f t="shared" si="51"/>
        <v>76</v>
      </c>
      <c r="BV18" s="22" t="str">
        <f t="shared" si="52"/>
        <v>당첨</v>
      </c>
      <c r="BW18" s="22" t="s">
        <v>706</v>
      </c>
      <c r="BX18" s="109">
        <v>27</v>
      </c>
      <c r="BY18" s="25">
        <v>16</v>
      </c>
      <c r="BZ18" s="25">
        <v>15</v>
      </c>
      <c r="CA18" s="25">
        <v>31</v>
      </c>
      <c r="CB18" s="96" t="s">
        <v>530</v>
      </c>
      <c r="CC18" s="22" t="str">
        <f t="shared" si="60"/>
        <v>홀수</v>
      </c>
      <c r="CD18" s="23">
        <f t="shared" si="61"/>
        <v>9</v>
      </c>
      <c r="CF18" s="79">
        <v>14</v>
      </c>
      <c r="CG18" s="70">
        <v>18</v>
      </c>
      <c r="CH18" s="70">
        <f t="shared" si="17"/>
        <v>26</v>
      </c>
      <c r="CI18" s="75">
        <f t="shared" si="18"/>
        <v>3.626220362622036E-2</v>
      </c>
      <c r="CJ18" s="70">
        <f t="shared" si="19"/>
        <v>15</v>
      </c>
      <c r="CL18" s="23">
        <v>75</v>
      </c>
      <c r="CM18" s="23">
        <v>70</v>
      </c>
      <c r="CO18" s="68">
        <v>200</v>
      </c>
      <c r="CP18" s="68">
        <f t="shared" si="20"/>
        <v>6</v>
      </c>
      <c r="CQ18" s="101">
        <f t="shared" si="21"/>
        <v>1.2121212121212121E-2</v>
      </c>
    </row>
    <row r="19" spans="2:95">
      <c r="B19" s="15">
        <v>15</v>
      </c>
      <c r="C19" s="23" t="s">
        <v>45</v>
      </c>
      <c r="D19" s="16">
        <v>1</v>
      </c>
      <c r="E19" s="17">
        <v>17014245000</v>
      </c>
      <c r="F19" s="16">
        <v>16</v>
      </c>
      <c r="G19" s="17">
        <v>177231700</v>
      </c>
      <c r="H19" s="16">
        <v>509</v>
      </c>
      <c r="I19" s="17">
        <v>5571100</v>
      </c>
      <c r="J19" s="17">
        <v>39202</v>
      </c>
      <c r="K19" s="17">
        <v>144600</v>
      </c>
      <c r="L19" s="17">
        <v>827538</v>
      </c>
      <c r="M19" s="17">
        <v>10000</v>
      </c>
      <c r="N19" s="23">
        <v>3</v>
      </c>
      <c r="O19" s="23">
        <v>4</v>
      </c>
      <c r="P19" s="23">
        <v>16</v>
      </c>
      <c r="Q19" s="23">
        <v>30</v>
      </c>
      <c r="R19" s="23">
        <v>31</v>
      </c>
      <c r="S19" s="23">
        <v>37</v>
      </c>
      <c r="T19" s="23">
        <v>13</v>
      </c>
      <c r="U19" s="23">
        <f t="shared" si="22"/>
        <v>121</v>
      </c>
      <c r="W19" s="22" t="str">
        <f t="shared" si="0"/>
        <v>홀수</v>
      </c>
      <c r="X19" s="22" t="str">
        <f t="shared" si="1"/>
        <v>짝수</v>
      </c>
      <c r="Y19" s="22" t="str">
        <f t="shared" si="2"/>
        <v>짝수</v>
      </c>
      <c r="Z19" s="22" t="str">
        <f t="shared" si="53"/>
        <v>짝수</v>
      </c>
      <c r="AA19" s="22" t="str">
        <f t="shared" si="54"/>
        <v>홀수</v>
      </c>
      <c r="AB19" s="22" t="str">
        <f t="shared" si="55"/>
        <v>홀수</v>
      </c>
      <c r="AC19" s="52" t="str">
        <f t="shared" si="56"/>
        <v>3 : 3</v>
      </c>
      <c r="AD19" s="22">
        <f t="shared" si="57"/>
        <v>3</v>
      </c>
      <c r="AE19" s="22">
        <f t="shared" si="58"/>
        <v>3</v>
      </c>
      <c r="AF19" s="22" t="str">
        <f t="shared" si="23"/>
        <v>저수</v>
      </c>
      <c r="AG19" s="22" t="str">
        <f t="shared" si="24"/>
        <v>저수</v>
      </c>
      <c r="AH19" s="22" t="str">
        <f t="shared" si="25"/>
        <v>저수</v>
      </c>
      <c r="AI19" s="22" t="str">
        <f t="shared" si="26"/>
        <v>고수</v>
      </c>
      <c r="AJ19" s="22" t="str">
        <f t="shared" si="27"/>
        <v>고수</v>
      </c>
      <c r="AK19" s="22" t="str">
        <f t="shared" si="28"/>
        <v>고수</v>
      </c>
      <c r="AL19" s="52" t="str">
        <f t="shared" si="29"/>
        <v>3 : 3</v>
      </c>
      <c r="AM19" s="22">
        <f t="shared" si="30"/>
        <v>3</v>
      </c>
      <c r="AN19" s="22">
        <f t="shared" si="31"/>
        <v>3</v>
      </c>
      <c r="AO19" s="22">
        <f t="shared" si="32"/>
        <v>21</v>
      </c>
      <c r="AP19" s="22" t="str">
        <f t="shared" si="33"/>
        <v>O</v>
      </c>
      <c r="AQ19" s="22" t="str">
        <f t="shared" si="34"/>
        <v>X</v>
      </c>
      <c r="AR19" s="22" t="str">
        <f t="shared" si="35"/>
        <v>X</v>
      </c>
      <c r="AS19" s="22" t="str">
        <f t="shared" si="36"/>
        <v>X</v>
      </c>
      <c r="AT19" s="22" t="str">
        <f t="shared" si="37"/>
        <v>X</v>
      </c>
      <c r="AU19" s="22" t="str">
        <f t="shared" si="38"/>
        <v>X</v>
      </c>
      <c r="AV19" s="22" t="str">
        <f t="shared" si="39"/>
        <v>X</v>
      </c>
      <c r="AW19" s="22" t="str">
        <f t="shared" si="40"/>
        <v>X</v>
      </c>
      <c r="AX19" s="22" t="str">
        <f t="shared" si="41"/>
        <v>X</v>
      </c>
      <c r="AY19" s="22" t="str">
        <f t="shared" si="42"/>
        <v>X</v>
      </c>
      <c r="AZ19" s="22" t="str">
        <f t="shared" si="43"/>
        <v>O</v>
      </c>
      <c r="BA19" s="22" t="str">
        <f t="shared" si="44"/>
        <v>O</v>
      </c>
      <c r="BB19" s="22">
        <f t="shared" si="45"/>
        <v>3</v>
      </c>
      <c r="BC19" s="22" t="str">
        <f t="shared" si="7"/>
        <v>1G</v>
      </c>
      <c r="BD19" s="22" t="str">
        <f t="shared" si="8"/>
        <v>1G</v>
      </c>
      <c r="BE19" s="22" t="str">
        <f t="shared" si="9"/>
        <v>2G</v>
      </c>
      <c r="BF19" s="22" t="str">
        <f t="shared" si="10"/>
        <v>2G</v>
      </c>
      <c r="BG19" s="22" t="str">
        <f t="shared" si="11"/>
        <v>3G</v>
      </c>
      <c r="BH19" s="22" t="str">
        <f t="shared" si="12"/>
        <v>3G</v>
      </c>
      <c r="BI19" s="22">
        <f t="shared" si="46"/>
        <v>2</v>
      </c>
      <c r="BJ19" s="22">
        <f t="shared" si="47"/>
        <v>2</v>
      </c>
      <c r="BK19" s="22">
        <f t="shared" si="48"/>
        <v>2</v>
      </c>
      <c r="BL19" s="22" t="str">
        <f t="shared" si="49"/>
        <v>222</v>
      </c>
      <c r="BO19" s="36">
        <v>31</v>
      </c>
      <c r="BP19" s="37">
        <f t="shared" si="13"/>
        <v>114</v>
      </c>
      <c r="BQ19" s="38">
        <f t="shared" si="14"/>
        <v>21</v>
      </c>
      <c r="BR19" s="108">
        <v>15</v>
      </c>
      <c r="BS19" s="24">
        <f t="shared" si="59"/>
        <v>38</v>
      </c>
      <c r="BT19" s="24">
        <f t="shared" si="50"/>
        <v>37</v>
      </c>
      <c r="BU19" s="51">
        <f t="shared" si="51"/>
        <v>75</v>
      </c>
      <c r="BV19" s="22" t="str">
        <f t="shared" si="52"/>
        <v>당첨</v>
      </c>
      <c r="BW19" s="22" t="s">
        <v>706</v>
      </c>
      <c r="BX19" s="26">
        <v>44</v>
      </c>
      <c r="BY19" s="25">
        <v>15</v>
      </c>
      <c r="BZ19" s="25">
        <v>14</v>
      </c>
      <c r="CA19" s="25">
        <v>29</v>
      </c>
      <c r="CB19" s="96" t="s">
        <v>530</v>
      </c>
      <c r="CC19" s="22" t="str">
        <f t="shared" si="60"/>
        <v>짝수</v>
      </c>
      <c r="CD19" s="23">
        <f t="shared" si="61"/>
        <v>14</v>
      </c>
      <c r="CF19" s="79">
        <v>15</v>
      </c>
      <c r="CG19" s="47">
        <v>33</v>
      </c>
      <c r="CH19" s="47">
        <f t="shared" si="17"/>
        <v>29</v>
      </c>
      <c r="CI19" s="65">
        <f t="shared" si="18"/>
        <v>4.0446304044630406E-2</v>
      </c>
      <c r="CJ19" s="47">
        <f t="shared" si="19"/>
        <v>13</v>
      </c>
      <c r="CL19" s="23">
        <v>75</v>
      </c>
      <c r="CM19" s="23">
        <v>70</v>
      </c>
      <c r="CO19" s="68">
        <v>60</v>
      </c>
      <c r="CP19" s="68">
        <f t="shared" si="20"/>
        <v>4</v>
      </c>
      <c r="CQ19" s="101">
        <f t="shared" si="21"/>
        <v>8.0808080808080808E-3</v>
      </c>
    </row>
    <row r="20" spans="2:95">
      <c r="B20" s="15">
        <v>16</v>
      </c>
      <c r="C20" s="23" t="s">
        <v>46</v>
      </c>
      <c r="D20" s="16">
        <v>4</v>
      </c>
      <c r="E20" s="17">
        <v>4377146100</v>
      </c>
      <c r="F20" s="16">
        <v>12</v>
      </c>
      <c r="G20" s="17">
        <v>243174700</v>
      </c>
      <c r="H20" s="16">
        <v>862</v>
      </c>
      <c r="I20" s="17">
        <v>3385200</v>
      </c>
      <c r="J20" s="17">
        <v>47255</v>
      </c>
      <c r="K20" s="17">
        <v>123500</v>
      </c>
      <c r="L20" s="17">
        <v>870770</v>
      </c>
      <c r="M20" s="17">
        <v>10000</v>
      </c>
      <c r="N20" s="23">
        <v>6</v>
      </c>
      <c r="O20" s="23">
        <v>7</v>
      </c>
      <c r="P20" s="23">
        <v>24</v>
      </c>
      <c r="Q20" s="23">
        <v>37</v>
      </c>
      <c r="R20" s="23">
        <v>38</v>
      </c>
      <c r="S20" s="23">
        <v>40</v>
      </c>
      <c r="T20" s="23">
        <v>33</v>
      </c>
      <c r="U20" s="23">
        <f t="shared" si="22"/>
        <v>152</v>
      </c>
      <c r="W20" s="22" t="str">
        <f t="shared" si="0"/>
        <v>짝수</v>
      </c>
      <c r="X20" s="22" t="str">
        <f t="shared" si="1"/>
        <v>홀수</v>
      </c>
      <c r="Y20" s="22" t="str">
        <f t="shared" si="2"/>
        <v>짝수</v>
      </c>
      <c r="Z20" s="22" t="str">
        <f t="shared" si="53"/>
        <v>홀수</v>
      </c>
      <c r="AA20" s="22" t="str">
        <f t="shared" si="54"/>
        <v>짝수</v>
      </c>
      <c r="AB20" s="22" t="str">
        <f t="shared" si="55"/>
        <v>짝수</v>
      </c>
      <c r="AC20" s="52" t="str">
        <f t="shared" si="56"/>
        <v>2 : 4</v>
      </c>
      <c r="AD20" s="22">
        <f t="shared" si="57"/>
        <v>2</v>
      </c>
      <c r="AE20" s="22">
        <f t="shared" si="58"/>
        <v>4</v>
      </c>
      <c r="AF20" s="22" t="str">
        <f t="shared" si="23"/>
        <v>저수</v>
      </c>
      <c r="AG20" s="22" t="str">
        <f t="shared" si="24"/>
        <v>저수</v>
      </c>
      <c r="AH20" s="22" t="str">
        <f t="shared" si="25"/>
        <v>고수</v>
      </c>
      <c r="AI20" s="22" t="str">
        <f t="shared" si="26"/>
        <v>고수</v>
      </c>
      <c r="AJ20" s="22" t="str">
        <f t="shared" si="27"/>
        <v>고수</v>
      </c>
      <c r="AK20" s="22" t="str">
        <f t="shared" si="28"/>
        <v>고수</v>
      </c>
      <c r="AL20" s="52" t="str">
        <f t="shared" si="29"/>
        <v>2 : 4</v>
      </c>
      <c r="AM20" s="22">
        <f t="shared" si="30"/>
        <v>2</v>
      </c>
      <c r="AN20" s="22">
        <f t="shared" si="31"/>
        <v>4</v>
      </c>
      <c r="AO20" s="22">
        <f t="shared" si="32"/>
        <v>32</v>
      </c>
      <c r="AP20" s="22" t="str">
        <f t="shared" si="33"/>
        <v>X</v>
      </c>
      <c r="AQ20" s="22" t="str">
        <f t="shared" si="34"/>
        <v>O</v>
      </c>
      <c r="AR20" s="22" t="str">
        <f t="shared" si="35"/>
        <v>X</v>
      </c>
      <c r="AS20" s="22" t="str">
        <f t="shared" si="36"/>
        <v>X</v>
      </c>
      <c r="AT20" s="22" t="str">
        <f t="shared" si="37"/>
        <v>X</v>
      </c>
      <c r="AU20" s="22" t="str">
        <f t="shared" si="38"/>
        <v>X</v>
      </c>
      <c r="AV20" s="22" t="str">
        <f t="shared" si="39"/>
        <v>X</v>
      </c>
      <c r="AW20" s="22" t="str">
        <f t="shared" si="40"/>
        <v>X</v>
      </c>
      <c r="AX20" s="22" t="str">
        <f t="shared" si="41"/>
        <v>X</v>
      </c>
      <c r="AY20" s="22" t="str">
        <f t="shared" si="42"/>
        <v>O</v>
      </c>
      <c r="AZ20" s="22" t="str">
        <f t="shared" si="43"/>
        <v>X</v>
      </c>
      <c r="BA20" s="22" t="str">
        <f t="shared" si="44"/>
        <v>X</v>
      </c>
      <c r="BB20" s="22">
        <f t="shared" si="45"/>
        <v>2</v>
      </c>
      <c r="BC20" s="22" t="str">
        <f t="shared" si="7"/>
        <v>1G</v>
      </c>
      <c r="BD20" s="22" t="str">
        <f t="shared" si="8"/>
        <v>1G</v>
      </c>
      <c r="BE20" s="22" t="str">
        <f t="shared" si="9"/>
        <v>2G</v>
      </c>
      <c r="BF20" s="22" t="str">
        <f t="shared" si="10"/>
        <v>3G</v>
      </c>
      <c r="BG20" s="22" t="str">
        <f t="shared" si="11"/>
        <v>3G</v>
      </c>
      <c r="BH20" s="22" t="str">
        <f t="shared" si="12"/>
        <v>3G</v>
      </c>
      <c r="BI20" s="22">
        <f t="shared" si="46"/>
        <v>2</v>
      </c>
      <c r="BJ20" s="22">
        <f t="shared" si="47"/>
        <v>1</v>
      </c>
      <c r="BK20" s="22">
        <f t="shared" si="48"/>
        <v>3</v>
      </c>
      <c r="BL20" s="22" t="str">
        <f t="shared" si="49"/>
        <v>213</v>
      </c>
      <c r="BO20" s="33">
        <v>39</v>
      </c>
      <c r="BP20" s="34">
        <f t="shared" si="13"/>
        <v>115</v>
      </c>
      <c r="BQ20" s="35">
        <f t="shared" si="14"/>
        <v>16</v>
      </c>
      <c r="BR20" s="61">
        <v>16</v>
      </c>
      <c r="BS20" s="24">
        <f>COUNTIF(최근10회,BR20)</f>
        <v>30</v>
      </c>
      <c r="BT20" s="24">
        <f t="shared" si="50"/>
        <v>30</v>
      </c>
      <c r="BU20" s="51">
        <f t="shared" si="51"/>
        <v>60</v>
      </c>
      <c r="BV20" s="22" t="str">
        <f t="shared" si="52"/>
        <v>당첨</v>
      </c>
      <c r="BW20" s="22" t="s">
        <v>707</v>
      </c>
      <c r="BX20" s="26">
        <v>5</v>
      </c>
      <c r="BY20" s="25">
        <v>14</v>
      </c>
      <c r="BZ20" s="25">
        <v>14</v>
      </c>
      <c r="CA20" s="25">
        <v>28</v>
      </c>
      <c r="CB20" s="96" t="s">
        <v>530</v>
      </c>
      <c r="CC20" s="22" t="str">
        <f t="shared" si="60"/>
        <v>홀수</v>
      </c>
      <c r="CD20" s="23">
        <f t="shared" si="61"/>
        <v>16</v>
      </c>
      <c r="CF20" s="79">
        <v>16</v>
      </c>
      <c r="CG20" s="47">
        <v>31</v>
      </c>
      <c r="CH20" s="47">
        <f t="shared" si="17"/>
        <v>19</v>
      </c>
      <c r="CI20" s="65">
        <f t="shared" si="18"/>
        <v>2.6499302649930265E-2</v>
      </c>
      <c r="CJ20" s="47">
        <f t="shared" si="19"/>
        <v>16</v>
      </c>
      <c r="CL20" s="23">
        <v>76</v>
      </c>
      <c r="CM20" s="23">
        <v>70</v>
      </c>
      <c r="CO20" s="68">
        <v>50</v>
      </c>
      <c r="CP20" s="68">
        <f t="shared" si="20"/>
        <v>3</v>
      </c>
      <c r="CQ20" s="101">
        <f t="shared" si="21"/>
        <v>6.0606060606060606E-3</v>
      </c>
    </row>
    <row r="21" spans="2:95">
      <c r="B21" s="15">
        <v>17</v>
      </c>
      <c r="C21" s="23" t="s">
        <v>47</v>
      </c>
      <c r="D21" s="16">
        <v>3</v>
      </c>
      <c r="E21" s="17">
        <v>5349491200</v>
      </c>
      <c r="F21" s="16">
        <v>9</v>
      </c>
      <c r="G21" s="17">
        <v>297193900</v>
      </c>
      <c r="H21" s="17">
        <v>1142</v>
      </c>
      <c r="I21" s="17">
        <v>2342100</v>
      </c>
      <c r="J21" s="17">
        <v>61651</v>
      </c>
      <c r="K21" s="17">
        <v>86700</v>
      </c>
      <c r="L21" s="17">
        <v>961162</v>
      </c>
      <c r="M21" s="17">
        <v>10000</v>
      </c>
      <c r="N21" s="23">
        <v>3</v>
      </c>
      <c r="O21" s="23">
        <v>4</v>
      </c>
      <c r="P21" s="23">
        <v>9</v>
      </c>
      <c r="Q21" s="23">
        <v>17</v>
      </c>
      <c r="R21" s="23">
        <v>32</v>
      </c>
      <c r="S21" s="23">
        <v>37</v>
      </c>
      <c r="T21" s="23">
        <v>1</v>
      </c>
      <c r="U21" s="23">
        <f t="shared" si="22"/>
        <v>102</v>
      </c>
      <c r="W21" s="22" t="str">
        <f t="shared" si="0"/>
        <v>홀수</v>
      </c>
      <c r="X21" s="22" t="str">
        <f t="shared" si="1"/>
        <v>짝수</v>
      </c>
      <c r="Y21" s="22" t="str">
        <f t="shared" si="2"/>
        <v>홀수</v>
      </c>
      <c r="Z21" s="22" t="str">
        <f t="shared" si="53"/>
        <v>홀수</v>
      </c>
      <c r="AA21" s="22" t="str">
        <f t="shared" si="54"/>
        <v>짝수</v>
      </c>
      <c r="AB21" s="22" t="str">
        <f t="shared" si="55"/>
        <v>홀수</v>
      </c>
      <c r="AC21" s="52" t="str">
        <f t="shared" si="56"/>
        <v>4 : 2</v>
      </c>
      <c r="AD21" s="22">
        <f t="shared" si="57"/>
        <v>4</v>
      </c>
      <c r="AE21" s="22">
        <f t="shared" si="58"/>
        <v>2</v>
      </c>
      <c r="AF21" s="22" t="str">
        <f t="shared" si="23"/>
        <v>저수</v>
      </c>
      <c r="AG21" s="22" t="str">
        <f t="shared" si="24"/>
        <v>저수</v>
      </c>
      <c r="AH21" s="22" t="str">
        <f t="shared" si="25"/>
        <v>저수</v>
      </c>
      <c r="AI21" s="22" t="str">
        <f t="shared" si="26"/>
        <v>저수</v>
      </c>
      <c r="AJ21" s="22" t="str">
        <f t="shared" si="27"/>
        <v>고수</v>
      </c>
      <c r="AK21" s="22" t="str">
        <f t="shared" si="28"/>
        <v>고수</v>
      </c>
      <c r="AL21" s="52" t="str">
        <f t="shared" si="29"/>
        <v>4 : 2</v>
      </c>
      <c r="AM21" s="22">
        <f t="shared" si="30"/>
        <v>4</v>
      </c>
      <c r="AN21" s="22">
        <f t="shared" si="31"/>
        <v>2</v>
      </c>
      <c r="AO21" s="22">
        <f t="shared" si="32"/>
        <v>32</v>
      </c>
      <c r="AP21" s="22" t="str">
        <f t="shared" si="33"/>
        <v>O</v>
      </c>
      <c r="AQ21" s="22" t="str">
        <f t="shared" si="34"/>
        <v>X</v>
      </c>
      <c r="AR21" s="22" t="str">
        <f t="shared" si="35"/>
        <v>X</v>
      </c>
      <c r="AS21" s="22" t="str">
        <f t="shared" si="36"/>
        <v>O</v>
      </c>
      <c r="AT21" s="22" t="str">
        <f t="shared" si="37"/>
        <v>X</v>
      </c>
      <c r="AU21" s="22" t="str">
        <f t="shared" si="38"/>
        <v>X</v>
      </c>
      <c r="AV21" s="22" t="str">
        <f t="shared" si="39"/>
        <v>X</v>
      </c>
      <c r="AW21" s="22" t="str">
        <f t="shared" si="40"/>
        <v>X</v>
      </c>
      <c r="AX21" s="22" t="str">
        <f t="shared" si="41"/>
        <v>X</v>
      </c>
      <c r="AY21" s="22" t="str">
        <f t="shared" si="42"/>
        <v>X</v>
      </c>
      <c r="AZ21" s="22" t="str">
        <f t="shared" si="43"/>
        <v>X</v>
      </c>
      <c r="BA21" s="22" t="str">
        <f t="shared" si="44"/>
        <v>O</v>
      </c>
      <c r="BB21" s="22">
        <f t="shared" si="45"/>
        <v>3</v>
      </c>
      <c r="BC21" s="22" t="str">
        <f t="shared" si="7"/>
        <v>1G</v>
      </c>
      <c r="BD21" s="22" t="str">
        <f t="shared" si="8"/>
        <v>1G</v>
      </c>
      <c r="BE21" s="22" t="str">
        <f t="shared" si="9"/>
        <v>1G</v>
      </c>
      <c r="BF21" s="22" t="str">
        <f t="shared" si="10"/>
        <v>2G</v>
      </c>
      <c r="BG21" s="22" t="str">
        <f t="shared" si="11"/>
        <v>3G</v>
      </c>
      <c r="BH21" s="22" t="str">
        <f t="shared" si="12"/>
        <v>3G</v>
      </c>
      <c r="BI21" s="22">
        <f t="shared" si="46"/>
        <v>3</v>
      </c>
      <c r="BJ21" s="22">
        <f t="shared" si="47"/>
        <v>1</v>
      </c>
      <c r="BK21" s="22">
        <f t="shared" si="48"/>
        <v>2</v>
      </c>
      <c r="BL21" s="22" t="str">
        <f t="shared" si="49"/>
        <v>312</v>
      </c>
      <c r="BO21" s="36">
        <v>33</v>
      </c>
      <c r="BP21" s="37">
        <f t="shared" si="13"/>
        <v>120</v>
      </c>
      <c r="BQ21" s="38">
        <f t="shared" si="14"/>
        <v>11</v>
      </c>
      <c r="BR21" s="61">
        <v>17</v>
      </c>
      <c r="BS21" s="24">
        <f t="shared" si="59"/>
        <v>36</v>
      </c>
      <c r="BT21" s="24">
        <f t="shared" si="50"/>
        <v>35</v>
      </c>
      <c r="BU21" s="51">
        <f t="shared" si="51"/>
        <v>71</v>
      </c>
      <c r="BV21" s="22" t="str">
        <f t="shared" si="52"/>
        <v>당첨</v>
      </c>
      <c r="BW21" s="22" t="s">
        <v>707</v>
      </c>
      <c r="BX21" s="26">
        <v>29</v>
      </c>
      <c r="BY21" s="25">
        <v>14</v>
      </c>
      <c r="BZ21" s="25">
        <v>13</v>
      </c>
      <c r="CA21" s="25">
        <v>27</v>
      </c>
      <c r="CB21" s="96" t="s">
        <v>530</v>
      </c>
      <c r="CC21" s="22" t="str">
        <f t="shared" si="60"/>
        <v>홀수</v>
      </c>
      <c r="CD21" s="23">
        <f t="shared" si="61"/>
        <v>16</v>
      </c>
      <c r="CF21" s="79">
        <v>17</v>
      </c>
      <c r="CG21" s="47">
        <v>35</v>
      </c>
      <c r="CH21" s="47">
        <f t="shared" si="17"/>
        <v>18</v>
      </c>
      <c r="CI21" s="65">
        <f t="shared" si="18"/>
        <v>2.5104602510460251E-2</v>
      </c>
      <c r="CJ21" s="47">
        <f t="shared" si="19"/>
        <v>17</v>
      </c>
      <c r="CL21" s="23">
        <v>77</v>
      </c>
      <c r="CM21" s="23">
        <v>70</v>
      </c>
      <c r="CO21" s="68">
        <v>210</v>
      </c>
      <c r="CP21" s="68">
        <f t="shared" si="20"/>
        <v>2</v>
      </c>
      <c r="CQ21" s="101">
        <f t="shared" si="21"/>
        <v>4.0404040404040404E-3</v>
      </c>
    </row>
    <row r="22" spans="2:95">
      <c r="B22" s="15">
        <v>18</v>
      </c>
      <c r="C22" s="23" t="s">
        <v>48</v>
      </c>
      <c r="D22" s="16">
        <v>0</v>
      </c>
      <c r="E22" s="16">
        <v>0</v>
      </c>
      <c r="F22" s="16">
        <v>15</v>
      </c>
      <c r="G22" s="17">
        <v>175017300</v>
      </c>
      <c r="H22" s="16">
        <v>664</v>
      </c>
      <c r="I22" s="17">
        <v>3953700</v>
      </c>
      <c r="J22" s="17">
        <v>38453</v>
      </c>
      <c r="K22" s="17">
        <v>136500</v>
      </c>
      <c r="L22" s="17">
        <v>693323</v>
      </c>
      <c r="M22" s="17">
        <v>10000</v>
      </c>
      <c r="N22" s="23">
        <v>3</v>
      </c>
      <c r="O22" s="23">
        <v>12</v>
      </c>
      <c r="P22" s="23">
        <v>13</v>
      </c>
      <c r="Q22" s="23">
        <v>19</v>
      </c>
      <c r="R22" s="23">
        <v>32</v>
      </c>
      <c r="S22" s="23">
        <v>35</v>
      </c>
      <c r="T22" s="23">
        <v>29</v>
      </c>
      <c r="U22" s="23">
        <f t="shared" si="22"/>
        <v>114</v>
      </c>
      <c r="W22" s="22" t="str">
        <f t="shared" si="0"/>
        <v>홀수</v>
      </c>
      <c r="X22" s="22" t="str">
        <f t="shared" si="1"/>
        <v>짝수</v>
      </c>
      <c r="Y22" s="22" t="str">
        <f t="shared" si="2"/>
        <v>홀수</v>
      </c>
      <c r="Z22" s="22" t="str">
        <f t="shared" si="53"/>
        <v>홀수</v>
      </c>
      <c r="AA22" s="22" t="str">
        <f t="shared" si="54"/>
        <v>짝수</v>
      </c>
      <c r="AB22" s="22" t="str">
        <f t="shared" si="55"/>
        <v>홀수</v>
      </c>
      <c r="AC22" s="52" t="str">
        <f t="shared" si="56"/>
        <v>4 : 2</v>
      </c>
      <c r="AD22" s="22">
        <f t="shared" si="57"/>
        <v>4</v>
      </c>
      <c r="AE22" s="22">
        <f t="shared" si="58"/>
        <v>2</v>
      </c>
      <c r="AF22" s="22" t="str">
        <f t="shared" si="23"/>
        <v>저수</v>
      </c>
      <c r="AG22" s="22" t="str">
        <f t="shared" si="24"/>
        <v>저수</v>
      </c>
      <c r="AH22" s="22" t="str">
        <f t="shared" si="25"/>
        <v>저수</v>
      </c>
      <c r="AI22" s="22" t="str">
        <f t="shared" si="26"/>
        <v>저수</v>
      </c>
      <c r="AJ22" s="22" t="str">
        <f t="shared" si="27"/>
        <v>고수</v>
      </c>
      <c r="AK22" s="22" t="str">
        <f t="shared" si="28"/>
        <v>고수</v>
      </c>
      <c r="AL22" s="52" t="str">
        <f t="shared" si="29"/>
        <v>4 : 2</v>
      </c>
      <c r="AM22" s="22">
        <f t="shared" si="30"/>
        <v>4</v>
      </c>
      <c r="AN22" s="22">
        <f t="shared" si="31"/>
        <v>2</v>
      </c>
      <c r="AO22" s="22">
        <f t="shared" si="32"/>
        <v>24</v>
      </c>
      <c r="AP22" s="22" t="str">
        <f t="shared" si="33"/>
        <v>O</v>
      </c>
      <c r="AQ22" s="22" t="str">
        <f t="shared" si="34"/>
        <v>X</v>
      </c>
      <c r="AR22" s="22" t="str">
        <f t="shared" si="35"/>
        <v>O</v>
      </c>
      <c r="AS22" s="22" t="str">
        <f t="shared" si="36"/>
        <v>O</v>
      </c>
      <c r="AT22" s="22" t="str">
        <f t="shared" si="37"/>
        <v>X</v>
      </c>
      <c r="AU22" s="22" t="str">
        <f t="shared" si="38"/>
        <v>X</v>
      </c>
      <c r="AV22" s="22" t="str">
        <f t="shared" si="39"/>
        <v>X</v>
      </c>
      <c r="AW22" s="22" t="str">
        <f t="shared" si="40"/>
        <v>X</v>
      </c>
      <c r="AX22" s="22" t="str">
        <f t="shared" si="41"/>
        <v>X</v>
      </c>
      <c r="AY22" s="22" t="str">
        <f t="shared" si="42"/>
        <v>X</v>
      </c>
      <c r="AZ22" s="22" t="str">
        <f t="shared" si="43"/>
        <v>X</v>
      </c>
      <c r="BA22" s="22" t="str">
        <f t="shared" si="44"/>
        <v>X</v>
      </c>
      <c r="BB22" s="22">
        <f t="shared" si="45"/>
        <v>3</v>
      </c>
      <c r="BC22" s="22" t="str">
        <f t="shared" si="7"/>
        <v>1G</v>
      </c>
      <c r="BD22" s="22" t="str">
        <f t="shared" si="8"/>
        <v>1G</v>
      </c>
      <c r="BE22" s="22" t="str">
        <f t="shared" si="9"/>
        <v>1G</v>
      </c>
      <c r="BF22" s="22" t="str">
        <f t="shared" si="10"/>
        <v>2G</v>
      </c>
      <c r="BG22" s="22" t="str">
        <f t="shared" si="11"/>
        <v>3G</v>
      </c>
      <c r="BH22" s="22" t="str">
        <f t="shared" si="12"/>
        <v>3G</v>
      </c>
      <c r="BI22" s="22">
        <f t="shared" si="46"/>
        <v>3</v>
      </c>
      <c r="BJ22" s="22">
        <f t="shared" si="47"/>
        <v>1</v>
      </c>
      <c r="BK22" s="22">
        <f t="shared" si="48"/>
        <v>2</v>
      </c>
      <c r="BL22" s="22" t="str">
        <f t="shared" si="49"/>
        <v>312</v>
      </c>
      <c r="BO22" s="33">
        <v>2</v>
      </c>
      <c r="BP22" s="34">
        <f t="shared" si="13"/>
        <v>115</v>
      </c>
      <c r="BQ22" s="35">
        <f t="shared" si="14"/>
        <v>16</v>
      </c>
      <c r="BR22" s="61">
        <v>18</v>
      </c>
      <c r="BS22" s="24">
        <f t="shared" si="59"/>
        <v>34</v>
      </c>
      <c r="BT22" s="24">
        <f t="shared" si="50"/>
        <v>34</v>
      </c>
      <c r="BU22" s="51">
        <f t="shared" si="51"/>
        <v>68</v>
      </c>
      <c r="BV22" s="22" t="str">
        <f t="shared" si="52"/>
        <v>당첨</v>
      </c>
      <c r="BW22" s="22" t="s">
        <v>707</v>
      </c>
      <c r="BX22" s="26">
        <v>37</v>
      </c>
      <c r="BY22" s="25">
        <v>14</v>
      </c>
      <c r="BZ22" s="25">
        <v>13</v>
      </c>
      <c r="CA22" s="25">
        <v>27</v>
      </c>
      <c r="CB22" s="96" t="s">
        <v>530</v>
      </c>
      <c r="CC22" s="22" t="str">
        <f t="shared" si="60"/>
        <v>홀수</v>
      </c>
      <c r="CD22" s="23">
        <f t="shared" si="61"/>
        <v>16</v>
      </c>
      <c r="CF22" s="79">
        <v>18</v>
      </c>
      <c r="CG22" s="47">
        <v>36</v>
      </c>
      <c r="CH22" s="47">
        <f t="shared" si="17"/>
        <v>13</v>
      </c>
      <c r="CI22" s="65">
        <f t="shared" si="18"/>
        <v>1.813110181311018E-2</v>
      </c>
      <c r="CJ22" s="47">
        <f t="shared" si="19"/>
        <v>20</v>
      </c>
      <c r="CL22" s="23">
        <v>78</v>
      </c>
      <c r="CM22" s="23">
        <v>70</v>
      </c>
      <c r="CO22" s="68">
        <v>230</v>
      </c>
      <c r="CP22" s="68">
        <f t="shared" si="20"/>
        <v>2</v>
      </c>
      <c r="CQ22" s="101">
        <f t="shared" si="21"/>
        <v>4.0404040404040404E-3</v>
      </c>
    </row>
    <row r="23" spans="2:95" ht="17">
      <c r="B23" s="15">
        <v>19</v>
      </c>
      <c r="C23" s="23" t="s">
        <v>49</v>
      </c>
      <c r="D23" s="16">
        <v>1</v>
      </c>
      <c r="E23" s="17">
        <v>40722959400</v>
      </c>
      <c r="F23" s="16">
        <v>14</v>
      </c>
      <c r="G23" s="17">
        <v>297278500</v>
      </c>
      <c r="H23" s="16">
        <v>697</v>
      </c>
      <c r="I23" s="17">
        <v>5971100</v>
      </c>
      <c r="J23" s="17">
        <v>55154</v>
      </c>
      <c r="K23" s="17">
        <v>150900</v>
      </c>
      <c r="L23" s="17">
        <v>1135991</v>
      </c>
      <c r="M23" s="17">
        <v>10000</v>
      </c>
      <c r="N23" s="23">
        <v>6</v>
      </c>
      <c r="O23" s="23">
        <v>30</v>
      </c>
      <c r="P23" s="23">
        <v>38</v>
      </c>
      <c r="Q23" s="23">
        <v>39</v>
      </c>
      <c r="R23" s="23">
        <v>40</v>
      </c>
      <c r="S23" s="23">
        <v>43</v>
      </c>
      <c r="T23" s="23">
        <v>26</v>
      </c>
      <c r="U23" s="23">
        <f t="shared" si="22"/>
        <v>196</v>
      </c>
      <c r="W23" s="22" t="str">
        <f t="shared" si="0"/>
        <v>짝수</v>
      </c>
      <c r="X23" s="22" t="str">
        <f t="shared" si="1"/>
        <v>짝수</v>
      </c>
      <c r="Y23" s="22" t="str">
        <f t="shared" si="2"/>
        <v>짝수</v>
      </c>
      <c r="Z23" s="22" t="str">
        <f t="shared" si="53"/>
        <v>홀수</v>
      </c>
      <c r="AA23" s="22" t="str">
        <f t="shared" si="54"/>
        <v>짝수</v>
      </c>
      <c r="AB23" s="22" t="str">
        <f t="shared" si="55"/>
        <v>홀수</v>
      </c>
      <c r="AC23" s="52" t="str">
        <f t="shared" si="56"/>
        <v>2 : 4</v>
      </c>
      <c r="AD23" s="22">
        <f t="shared" si="57"/>
        <v>2</v>
      </c>
      <c r="AE23" s="22">
        <f t="shared" si="58"/>
        <v>4</v>
      </c>
      <c r="AF23" s="22" t="str">
        <f t="shared" si="23"/>
        <v>저수</v>
      </c>
      <c r="AG23" s="22" t="str">
        <f t="shared" si="24"/>
        <v>고수</v>
      </c>
      <c r="AH23" s="22" t="str">
        <f t="shared" si="25"/>
        <v>고수</v>
      </c>
      <c r="AI23" s="22" t="str">
        <f t="shared" si="26"/>
        <v>고수</v>
      </c>
      <c r="AJ23" s="22" t="str">
        <f t="shared" si="27"/>
        <v>고수</v>
      </c>
      <c r="AK23" s="22" t="str">
        <f t="shared" si="28"/>
        <v>고수</v>
      </c>
      <c r="AL23" s="52" t="str">
        <f t="shared" si="29"/>
        <v>1 : 5</v>
      </c>
      <c r="AM23" s="22">
        <f t="shared" si="30"/>
        <v>1</v>
      </c>
      <c r="AN23" s="22">
        <f t="shared" si="31"/>
        <v>5</v>
      </c>
      <c r="AO23" s="22">
        <f t="shared" si="32"/>
        <v>26</v>
      </c>
      <c r="AP23" s="22" t="str">
        <f t="shared" si="33"/>
        <v>X</v>
      </c>
      <c r="AQ23" s="22" t="str">
        <f t="shared" si="34"/>
        <v>X</v>
      </c>
      <c r="AR23" s="22" t="str">
        <f t="shared" si="35"/>
        <v>X</v>
      </c>
      <c r="AS23" s="22" t="str">
        <f t="shared" si="36"/>
        <v>X</v>
      </c>
      <c r="AT23" s="22" t="str">
        <f t="shared" si="37"/>
        <v>X</v>
      </c>
      <c r="AU23" s="22" t="str">
        <f t="shared" si="38"/>
        <v>X</v>
      </c>
      <c r="AV23" s="22" t="str">
        <f t="shared" si="39"/>
        <v>X</v>
      </c>
      <c r="AW23" s="22" t="str">
        <f t="shared" si="40"/>
        <v>X</v>
      </c>
      <c r="AX23" s="22" t="str">
        <f t="shared" si="41"/>
        <v>X</v>
      </c>
      <c r="AY23" s="22" t="str">
        <f t="shared" si="42"/>
        <v>X</v>
      </c>
      <c r="AZ23" s="22" t="str">
        <f t="shared" si="43"/>
        <v>X</v>
      </c>
      <c r="BA23" s="22" t="str">
        <f t="shared" si="44"/>
        <v>O</v>
      </c>
      <c r="BB23" s="22">
        <f t="shared" si="45"/>
        <v>1</v>
      </c>
      <c r="BC23" s="22" t="str">
        <f t="shared" si="7"/>
        <v>1G</v>
      </c>
      <c r="BD23" s="22" t="str">
        <f t="shared" si="8"/>
        <v>2G</v>
      </c>
      <c r="BE23" s="22" t="str">
        <f t="shared" si="9"/>
        <v>3G</v>
      </c>
      <c r="BF23" s="22" t="str">
        <f t="shared" si="10"/>
        <v>3G</v>
      </c>
      <c r="BG23" s="22" t="str">
        <f t="shared" si="11"/>
        <v>3G</v>
      </c>
      <c r="BH23" s="22" t="str">
        <f t="shared" si="12"/>
        <v>3G</v>
      </c>
      <c r="BI23" s="22">
        <f t="shared" si="46"/>
        <v>1</v>
      </c>
      <c r="BJ23" s="22">
        <f t="shared" si="47"/>
        <v>1</v>
      </c>
      <c r="BK23" s="22">
        <f t="shared" si="48"/>
        <v>4</v>
      </c>
      <c r="BL23" s="22" t="str">
        <f t="shared" si="49"/>
        <v>114</v>
      </c>
      <c r="BO23" s="33">
        <v>3</v>
      </c>
      <c r="BP23" s="34">
        <f t="shared" si="13"/>
        <v>112</v>
      </c>
      <c r="BQ23" s="35">
        <f t="shared" si="14"/>
        <v>22</v>
      </c>
      <c r="BR23" s="61">
        <v>19</v>
      </c>
      <c r="BS23" s="24">
        <f t="shared" si="59"/>
        <v>28</v>
      </c>
      <c r="BT23" s="24">
        <f t="shared" si="50"/>
        <v>28</v>
      </c>
      <c r="BU23" s="51">
        <f t="shared" si="51"/>
        <v>56</v>
      </c>
      <c r="BV23" s="22" t="str">
        <f t="shared" si="52"/>
        <v>당첨</v>
      </c>
      <c r="BW23" s="22" t="s">
        <v>707</v>
      </c>
      <c r="BX23" s="26">
        <v>6</v>
      </c>
      <c r="BY23" s="25">
        <v>13</v>
      </c>
      <c r="BZ23" s="25">
        <v>13</v>
      </c>
      <c r="CA23" s="25">
        <v>26</v>
      </c>
      <c r="CB23" s="96" t="s">
        <v>530</v>
      </c>
      <c r="CC23" s="22" t="str">
        <f t="shared" si="60"/>
        <v>짝수</v>
      </c>
      <c r="CD23" s="23">
        <f t="shared" si="61"/>
        <v>20</v>
      </c>
      <c r="CF23" s="79">
        <v>19</v>
      </c>
      <c r="CG23" s="47">
        <v>16</v>
      </c>
      <c r="CH23" s="47">
        <f t="shared" si="17"/>
        <v>16</v>
      </c>
      <c r="CI23" s="65">
        <f t="shared" si="18"/>
        <v>2.2315202231520222E-2</v>
      </c>
      <c r="CJ23" s="47">
        <f t="shared" si="19"/>
        <v>18</v>
      </c>
      <c r="CL23" s="23">
        <v>78</v>
      </c>
      <c r="CM23" s="23">
        <v>70</v>
      </c>
      <c r="CO23" s="102" t="s">
        <v>770</v>
      </c>
      <c r="CP23" s="68">
        <f>SUM(CP5:CP22)</f>
        <v>495</v>
      </c>
      <c r="CQ23" s="101">
        <f>CP23/$CP$23</f>
        <v>1</v>
      </c>
    </row>
    <row r="24" spans="2:95" ht="17">
      <c r="B24" s="15">
        <v>20</v>
      </c>
      <c r="C24" s="23" t="s">
        <v>50</v>
      </c>
      <c r="D24" s="16">
        <v>1</v>
      </c>
      <c r="E24" s="17">
        <v>19352212800</v>
      </c>
      <c r="F24" s="16">
        <v>14</v>
      </c>
      <c r="G24" s="17">
        <v>230383400</v>
      </c>
      <c r="H24" s="16">
        <v>888</v>
      </c>
      <c r="I24" s="17">
        <v>3632100</v>
      </c>
      <c r="J24" s="17">
        <v>48158</v>
      </c>
      <c r="K24" s="17">
        <v>133900</v>
      </c>
      <c r="L24" s="17">
        <v>827470</v>
      </c>
      <c r="M24" s="17">
        <v>10000</v>
      </c>
      <c r="N24" s="23">
        <v>10</v>
      </c>
      <c r="O24" s="154">
        <v>14</v>
      </c>
      <c r="P24" s="23">
        <v>18</v>
      </c>
      <c r="Q24" s="23">
        <v>20</v>
      </c>
      <c r="R24" s="23">
        <v>23</v>
      </c>
      <c r="S24" s="23">
        <v>30</v>
      </c>
      <c r="T24" s="23">
        <v>41</v>
      </c>
      <c r="U24" s="23">
        <f t="shared" si="22"/>
        <v>115</v>
      </c>
      <c r="W24" s="22" t="str">
        <f t="shared" si="0"/>
        <v>짝수</v>
      </c>
      <c r="X24" s="22" t="str">
        <f t="shared" si="1"/>
        <v>짝수</v>
      </c>
      <c r="Y24" s="22" t="str">
        <f t="shared" si="2"/>
        <v>짝수</v>
      </c>
      <c r="Z24" s="22" t="str">
        <f t="shared" si="53"/>
        <v>짝수</v>
      </c>
      <c r="AA24" s="22" t="str">
        <f t="shared" si="54"/>
        <v>홀수</v>
      </c>
      <c r="AB24" s="22" t="str">
        <f t="shared" si="55"/>
        <v>짝수</v>
      </c>
      <c r="AC24" s="52" t="str">
        <f t="shared" si="56"/>
        <v>1 : 5</v>
      </c>
      <c r="AD24" s="22">
        <f t="shared" si="57"/>
        <v>1</v>
      </c>
      <c r="AE24" s="22">
        <f t="shared" si="58"/>
        <v>5</v>
      </c>
      <c r="AF24" s="22" t="str">
        <f t="shared" si="23"/>
        <v>저수</v>
      </c>
      <c r="AG24" s="22" t="str">
        <f t="shared" si="24"/>
        <v>저수</v>
      </c>
      <c r="AH24" s="22" t="str">
        <f t="shared" si="25"/>
        <v>저수</v>
      </c>
      <c r="AI24" s="22" t="str">
        <f t="shared" si="26"/>
        <v>저수</v>
      </c>
      <c r="AJ24" s="22" t="str">
        <f t="shared" si="27"/>
        <v>고수</v>
      </c>
      <c r="AK24" s="22" t="str">
        <f t="shared" si="28"/>
        <v>고수</v>
      </c>
      <c r="AL24" s="52" t="str">
        <f t="shared" si="29"/>
        <v>4 : 2</v>
      </c>
      <c r="AM24" s="22">
        <f t="shared" si="30"/>
        <v>4</v>
      </c>
      <c r="AN24" s="22">
        <f t="shared" si="31"/>
        <v>2</v>
      </c>
      <c r="AO24" s="22">
        <f t="shared" si="32"/>
        <v>15</v>
      </c>
      <c r="AP24" s="22" t="str">
        <f t="shared" si="33"/>
        <v>X</v>
      </c>
      <c r="AQ24" s="22" t="str">
        <f t="shared" si="34"/>
        <v>X</v>
      </c>
      <c r="AR24" s="22" t="str">
        <f t="shared" si="35"/>
        <v>X</v>
      </c>
      <c r="AS24" s="22" t="str">
        <f t="shared" si="36"/>
        <v>X</v>
      </c>
      <c r="AT24" s="22" t="str">
        <f t="shared" si="37"/>
        <v>X</v>
      </c>
      <c r="AU24" s="22" t="str">
        <f t="shared" si="38"/>
        <v>X</v>
      </c>
      <c r="AV24" s="22" t="str">
        <f t="shared" si="39"/>
        <v>X</v>
      </c>
      <c r="AW24" s="22" t="str">
        <f t="shared" si="40"/>
        <v>X</v>
      </c>
      <c r="AX24" s="22" t="str">
        <f t="shared" si="41"/>
        <v>X</v>
      </c>
      <c r="AY24" s="22" t="str">
        <f t="shared" si="42"/>
        <v>X</v>
      </c>
      <c r="AZ24" s="22" t="str">
        <f t="shared" si="43"/>
        <v>O</v>
      </c>
      <c r="BA24" s="22" t="str">
        <f t="shared" si="44"/>
        <v>X</v>
      </c>
      <c r="BB24" s="22">
        <f t="shared" si="45"/>
        <v>1</v>
      </c>
      <c r="BC24" s="22" t="str">
        <f t="shared" si="7"/>
        <v>1G</v>
      </c>
      <c r="BD24" s="22" t="str">
        <f t="shared" si="8"/>
        <v>1G</v>
      </c>
      <c r="BE24" s="22" t="str">
        <f t="shared" si="9"/>
        <v>2G</v>
      </c>
      <c r="BF24" s="22" t="str">
        <f t="shared" si="10"/>
        <v>2G</v>
      </c>
      <c r="BG24" s="22" t="str">
        <f t="shared" si="11"/>
        <v>2G</v>
      </c>
      <c r="BH24" s="22" t="str">
        <f t="shared" si="12"/>
        <v>2G</v>
      </c>
      <c r="BI24" s="22">
        <f t="shared" si="46"/>
        <v>2</v>
      </c>
      <c r="BJ24" s="22">
        <f t="shared" si="47"/>
        <v>4</v>
      </c>
      <c r="BK24" s="22">
        <f t="shared" si="48"/>
        <v>0</v>
      </c>
      <c r="BL24" s="22" t="str">
        <f t="shared" si="49"/>
        <v>240</v>
      </c>
      <c r="BO24" s="33">
        <v>11</v>
      </c>
      <c r="BP24" s="34">
        <f t="shared" si="13"/>
        <v>115</v>
      </c>
      <c r="BQ24" s="35">
        <f t="shared" si="14"/>
        <v>16</v>
      </c>
      <c r="BR24" s="61">
        <v>20</v>
      </c>
      <c r="BS24" s="24">
        <f t="shared" si="59"/>
        <v>43</v>
      </c>
      <c r="BT24" s="24">
        <f t="shared" si="50"/>
        <v>42</v>
      </c>
      <c r="BU24" s="51">
        <f t="shared" si="51"/>
        <v>85</v>
      </c>
      <c r="BV24" s="22" t="str">
        <f t="shared" si="52"/>
        <v>당첨</v>
      </c>
      <c r="BW24" s="22" t="s">
        <v>707</v>
      </c>
      <c r="BX24" s="26">
        <v>13</v>
      </c>
      <c r="BY24" s="25">
        <v>13</v>
      </c>
      <c r="BZ24" s="25">
        <v>13</v>
      </c>
      <c r="CA24" s="25">
        <v>26</v>
      </c>
      <c r="CB24" s="96" t="s">
        <v>530</v>
      </c>
      <c r="CC24" s="22" t="str">
        <f t="shared" si="60"/>
        <v>홀수</v>
      </c>
      <c r="CD24" s="23">
        <f t="shared" si="61"/>
        <v>20</v>
      </c>
      <c r="CF24" s="79">
        <v>20</v>
      </c>
      <c r="CG24" s="47">
        <v>34</v>
      </c>
      <c r="CH24" s="47">
        <f t="shared" si="17"/>
        <v>16</v>
      </c>
      <c r="CI24" s="65">
        <f t="shared" si="18"/>
        <v>2.2315202231520222E-2</v>
      </c>
      <c r="CJ24" s="47">
        <f t="shared" si="19"/>
        <v>18</v>
      </c>
      <c r="CL24" s="23">
        <v>79</v>
      </c>
      <c r="CM24" s="23">
        <v>70</v>
      </c>
      <c r="CO24"/>
    </row>
    <row r="25" spans="2:95" ht="17">
      <c r="B25" s="15">
        <v>21</v>
      </c>
      <c r="C25" s="23" t="s">
        <v>51</v>
      </c>
      <c r="D25" s="16">
        <v>23</v>
      </c>
      <c r="E25" s="17">
        <v>797475400</v>
      </c>
      <c r="F25" s="16">
        <v>26</v>
      </c>
      <c r="G25" s="17">
        <v>117576500</v>
      </c>
      <c r="H25" s="17">
        <v>2008</v>
      </c>
      <c r="I25" s="17">
        <v>1522400</v>
      </c>
      <c r="J25" s="17">
        <v>82996</v>
      </c>
      <c r="K25" s="17">
        <v>73600</v>
      </c>
      <c r="L25" s="17">
        <v>1155368</v>
      </c>
      <c r="M25" s="17">
        <v>10000</v>
      </c>
      <c r="N25" s="23">
        <v>6</v>
      </c>
      <c r="O25" s="23">
        <v>12</v>
      </c>
      <c r="P25" s="23">
        <v>17</v>
      </c>
      <c r="Q25" s="23">
        <v>18</v>
      </c>
      <c r="R25" s="23">
        <v>31</v>
      </c>
      <c r="S25" s="23">
        <v>32</v>
      </c>
      <c r="T25" s="23">
        <v>21</v>
      </c>
      <c r="U25" s="23">
        <f t="shared" si="22"/>
        <v>116</v>
      </c>
      <c r="W25" s="22" t="str">
        <f t="shared" si="0"/>
        <v>짝수</v>
      </c>
      <c r="X25" s="22" t="str">
        <f t="shared" si="1"/>
        <v>짝수</v>
      </c>
      <c r="Y25" s="22" t="str">
        <f t="shared" si="2"/>
        <v>홀수</v>
      </c>
      <c r="Z25" s="22" t="str">
        <f t="shared" si="53"/>
        <v>짝수</v>
      </c>
      <c r="AA25" s="22" t="str">
        <f t="shared" si="54"/>
        <v>홀수</v>
      </c>
      <c r="AB25" s="22" t="str">
        <f t="shared" si="55"/>
        <v>짝수</v>
      </c>
      <c r="AC25" s="52" t="str">
        <f t="shared" si="56"/>
        <v>2 : 4</v>
      </c>
      <c r="AD25" s="22">
        <f t="shared" si="57"/>
        <v>2</v>
      </c>
      <c r="AE25" s="22">
        <f t="shared" si="58"/>
        <v>4</v>
      </c>
      <c r="AF25" s="22" t="str">
        <f t="shared" si="23"/>
        <v>저수</v>
      </c>
      <c r="AG25" s="22" t="str">
        <f t="shared" si="24"/>
        <v>저수</v>
      </c>
      <c r="AH25" s="22" t="str">
        <f t="shared" si="25"/>
        <v>저수</v>
      </c>
      <c r="AI25" s="22" t="str">
        <f t="shared" si="26"/>
        <v>저수</v>
      </c>
      <c r="AJ25" s="22" t="str">
        <f t="shared" si="27"/>
        <v>고수</v>
      </c>
      <c r="AK25" s="22" t="str">
        <f t="shared" si="28"/>
        <v>고수</v>
      </c>
      <c r="AL25" s="52" t="str">
        <f t="shared" si="29"/>
        <v>4 : 2</v>
      </c>
      <c r="AM25" s="22">
        <f t="shared" si="30"/>
        <v>4</v>
      </c>
      <c r="AN25" s="22">
        <f t="shared" si="31"/>
        <v>2</v>
      </c>
      <c r="AO25" s="22">
        <f t="shared" si="32"/>
        <v>26</v>
      </c>
      <c r="AP25" s="22" t="str">
        <f t="shared" si="33"/>
        <v>X</v>
      </c>
      <c r="AQ25" s="22" t="str">
        <f t="shared" si="34"/>
        <v>X</v>
      </c>
      <c r="AR25" s="22" t="str">
        <f t="shared" si="35"/>
        <v>O</v>
      </c>
      <c r="AS25" s="22" t="str">
        <f t="shared" si="36"/>
        <v>X</v>
      </c>
      <c r="AT25" s="22" t="str">
        <f t="shared" si="37"/>
        <v>X</v>
      </c>
      <c r="AU25" s="22" t="str">
        <f t="shared" si="38"/>
        <v>X</v>
      </c>
      <c r="AV25" s="22" t="str">
        <f t="shared" si="39"/>
        <v>X</v>
      </c>
      <c r="AW25" s="22" t="str">
        <f t="shared" si="40"/>
        <v>X</v>
      </c>
      <c r="AX25" s="22" t="str">
        <f t="shared" si="41"/>
        <v>X</v>
      </c>
      <c r="AY25" s="22" t="str">
        <f t="shared" si="42"/>
        <v>X</v>
      </c>
      <c r="AZ25" s="22" t="str">
        <f t="shared" si="43"/>
        <v>O</v>
      </c>
      <c r="BA25" s="22" t="str">
        <f t="shared" si="44"/>
        <v>X</v>
      </c>
      <c r="BB25" s="22">
        <f t="shared" si="45"/>
        <v>2</v>
      </c>
      <c r="BC25" s="22" t="str">
        <f t="shared" si="7"/>
        <v>1G</v>
      </c>
      <c r="BD25" s="22" t="str">
        <f t="shared" si="8"/>
        <v>1G</v>
      </c>
      <c r="BE25" s="22" t="str">
        <f t="shared" si="9"/>
        <v>2G</v>
      </c>
      <c r="BF25" s="22" t="str">
        <f t="shared" si="10"/>
        <v>2G</v>
      </c>
      <c r="BG25" s="22" t="str">
        <f t="shared" si="11"/>
        <v>3G</v>
      </c>
      <c r="BH25" s="22" t="str">
        <f t="shared" si="12"/>
        <v>3G</v>
      </c>
      <c r="BI25" s="22">
        <f t="shared" si="46"/>
        <v>2</v>
      </c>
      <c r="BJ25" s="22">
        <f t="shared" si="47"/>
        <v>2</v>
      </c>
      <c r="BK25" s="22">
        <f t="shared" si="48"/>
        <v>2</v>
      </c>
      <c r="BL25" s="22" t="str">
        <f t="shared" si="49"/>
        <v>222</v>
      </c>
      <c r="BO25" s="39">
        <v>44</v>
      </c>
      <c r="BP25" s="40">
        <f t="shared" si="13"/>
        <v>115</v>
      </c>
      <c r="BQ25" s="41">
        <f t="shared" si="14"/>
        <v>16</v>
      </c>
      <c r="BR25" s="61">
        <v>21</v>
      </c>
      <c r="BS25" s="24">
        <f t="shared" si="59"/>
        <v>31</v>
      </c>
      <c r="BT25" s="24">
        <f t="shared" si="50"/>
        <v>30</v>
      </c>
      <c r="BU25" s="51">
        <f t="shared" si="51"/>
        <v>61</v>
      </c>
      <c r="BV25" s="22" t="str">
        <f t="shared" si="52"/>
        <v>당첨</v>
      </c>
      <c r="BW25" s="22" t="s">
        <v>707</v>
      </c>
      <c r="BX25" s="26">
        <v>14</v>
      </c>
      <c r="BY25" s="25">
        <v>13</v>
      </c>
      <c r="BZ25" s="25">
        <v>13</v>
      </c>
      <c r="CA25" s="25">
        <v>26</v>
      </c>
      <c r="CB25" s="96" t="s">
        <v>530</v>
      </c>
      <c r="CC25" s="22" t="str">
        <f t="shared" si="60"/>
        <v>짝수</v>
      </c>
      <c r="CD25" s="23">
        <f t="shared" si="61"/>
        <v>20</v>
      </c>
      <c r="CF25" s="79">
        <v>21</v>
      </c>
      <c r="CG25" s="47">
        <v>15</v>
      </c>
      <c r="CH25" s="47">
        <f t="shared" si="17"/>
        <v>13</v>
      </c>
      <c r="CI25" s="65">
        <f t="shared" si="18"/>
        <v>1.813110181311018E-2</v>
      </c>
      <c r="CJ25" s="47">
        <f t="shared" si="19"/>
        <v>20</v>
      </c>
      <c r="CL25" s="23">
        <v>79</v>
      </c>
      <c r="CM25" s="23">
        <v>70</v>
      </c>
      <c r="CO25"/>
    </row>
    <row r="26" spans="2:95" ht="17">
      <c r="B26" s="15">
        <v>22</v>
      </c>
      <c r="C26" s="23" t="s">
        <v>52</v>
      </c>
      <c r="D26" s="16">
        <v>4</v>
      </c>
      <c r="E26" s="17">
        <v>4552194900</v>
      </c>
      <c r="F26" s="16">
        <v>32</v>
      </c>
      <c r="G26" s="17">
        <v>94837300</v>
      </c>
      <c r="H26" s="16">
        <v>827</v>
      </c>
      <c r="I26" s="17">
        <v>3669600</v>
      </c>
      <c r="J26" s="17">
        <v>53248</v>
      </c>
      <c r="K26" s="17">
        <v>113900</v>
      </c>
      <c r="L26" s="17">
        <v>937961</v>
      </c>
      <c r="M26" s="17">
        <v>10000</v>
      </c>
      <c r="N26" s="23">
        <v>4</v>
      </c>
      <c r="O26" s="23">
        <v>5</v>
      </c>
      <c r="P26" s="23">
        <v>6</v>
      </c>
      <c r="Q26" s="23">
        <v>8</v>
      </c>
      <c r="R26" s="23">
        <v>17</v>
      </c>
      <c r="S26" s="23">
        <v>39</v>
      </c>
      <c r="T26" s="23">
        <v>25</v>
      </c>
      <c r="U26" s="23">
        <f t="shared" si="22"/>
        <v>79</v>
      </c>
      <c r="W26" s="22" t="str">
        <f t="shared" si="0"/>
        <v>짝수</v>
      </c>
      <c r="X26" s="22" t="str">
        <f t="shared" si="1"/>
        <v>홀수</v>
      </c>
      <c r="Y26" s="22" t="str">
        <f t="shared" si="2"/>
        <v>짝수</v>
      </c>
      <c r="Z26" s="22" t="str">
        <f t="shared" si="53"/>
        <v>짝수</v>
      </c>
      <c r="AA26" s="22" t="str">
        <f t="shared" si="54"/>
        <v>홀수</v>
      </c>
      <c r="AB26" s="22" t="str">
        <f t="shared" si="55"/>
        <v>홀수</v>
      </c>
      <c r="AC26" s="52" t="str">
        <f t="shared" si="56"/>
        <v>3 : 3</v>
      </c>
      <c r="AD26" s="22">
        <f t="shared" si="57"/>
        <v>3</v>
      </c>
      <c r="AE26" s="22">
        <f t="shared" si="58"/>
        <v>3</v>
      </c>
      <c r="AF26" s="22" t="str">
        <f t="shared" si="23"/>
        <v>저수</v>
      </c>
      <c r="AG26" s="22" t="str">
        <f t="shared" si="24"/>
        <v>저수</v>
      </c>
      <c r="AH26" s="22" t="str">
        <f t="shared" si="25"/>
        <v>저수</v>
      </c>
      <c r="AI26" s="22" t="str">
        <f t="shared" si="26"/>
        <v>저수</v>
      </c>
      <c r="AJ26" s="22" t="str">
        <f t="shared" si="27"/>
        <v>저수</v>
      </c>
      <c r="AK26" s="22" t="str">
        <f t="shared" si="28"/>
        <v>고수</v>
      </c>
      <c r="AL26" s="52" t="str">
        <f t="shared" si="29"/>
        <v>5 : 1</v>
      </c>
      <c r="AM26" s="22">
        <f t="shared" si="30"/>
        <v>5</v>
      </c>
      <c r="AN26" s="22">
        <f t="shared" si="31"/>
        <v>1</v>
      </c>
      <c r="AO26" s="22">
        <f t="shared" si="32"/>
        <v>39</v>
      </c>
      <c r="AP26" s="22" t="str">
        <f t="shared" si="33"/>
        <v>X</v>
      </c>
      <c r="AQ26" s="22" t="str">
        <f t="shared" si="34"/>
        <v>O</v>
      </c>
      <c r="AR26" s="22" t="str">
        <f t="shared" si="35"/>
        <v>X</v>
      </c>
      <c r="AS26" s="22" t="str">
        <f t="shared" si="36"/>
        <v>X</v>
      </c>
      <c r="AT26" s="22" t="str">
        <f t="shared" si="37"/>
        <v>O</v>
      </c>
      <c r="AU26" s="22" t="str">
        <f t="shared" si="38"/>
        <v>X</v>
      </c>
      <c r="AV26" s="22" t="str">
        <f t="shared" si="39"/>
        <v>X</v>
      </c>
      <c r="AW26" s="22" t="str">
        <f t="shared" si="40"/>
        <v>X</v>
      </c>
      <c r="AX26" s="22" t="str">
        <f t="shared" si="41"/>
        <v>X</v>
      </c>
      <c r="AY26" s="22" t="str">
        <f t="shared" si="42"/>
        <v>X</v>
      </c>
      <c r="AZ26" s="22" t="str">
        <f t="shared" si="43"/>
        <v>X</v>
      </c>
      <c r="BA26" s="22" t="str">
        <f t="shared" si="44"/>
        <v>X</v>
      </c>
      <c r="BB26" s="22">
        <f t="shared" si="45"/>
        <v>2</v>
      </c>
      <c r="BC26" s="22" t="str">
        <f t="shared" si="7"/>
        <v>1G</v>
      </c>
      <c r="BD26" s="22" t="str">
        <f t="shared" si="8"/>
        <v>1G</v>
      </c>
      <c r="BE26" s="22" t="str">
        <f t="shared" si="9"/>
        <v>1G</v>
      </c>
      <c r="BF26" s="22" t="str">
        <f t="shared" si="10"/>
        <v>1G</v>
      </c>
      <c r="BG26" s="22" t="str">
        <f t="shared" si="11"/>
        <v>2G</v>
      </c>
      <c r="BH26" s="22" t="str">
        <f t="shared" si="12"/>
        <v>3G</v>
      </c>
      <c r="BI26" s="22">
        <f t="shared" si="46"/>
        <v>4</v>
      </c>
      <c r="BJ26" s="22">
        <f t="shared" si="47"/>
        <v>1</v>
      </c>
      <c r="BK26" s="22">
        <f t="shared" si="48"/>
        <v>1</v>
      </c>
      <c r="BL26" s="22" t="str">
        <f t="shared" si="49"/>
        <v>411</v>
      </c>
      <c r="BO26" s="36">
        <v>7</v>
      </c>
      <c r="BP26" s="37">
        <f t="shared" si="13"/>
        <v>116</v>
      </c>
      <c r="BQ26" s="38">
        <f t="shared" si="14"/>
        <v>15</v>
      </c>
      <c r="BR26" s="61">
        <v>22</v>
      </c>
      <c r="BS26" s="24">
        <f t="shared" si="59"/>
        <v>30</v>
      </c>
      <c r="BT26" s="24">
        <f t="shared" si="50"/>
        <v>30</v>
      </c>
      <c r="BU26" s="51">
        <f t="shared" si="51"/>
        <v>60</v>
      </c>
      <c r="BV26" s="22" t="str">
        <f t="shared" si="52"/>
        <v>당첨</v>
      </c>
      <c r="BW26" s="22" t="s">
        <v>707</v>
      </c>
      <c r="BX26" s="26">
        <v>42</v>
      </c>
      <c r="BY26" s="25">
        <v>13</v>
      </c>
      <c r="BZ26" s="25">
        <v>12</v>
      </c>
      <c r="CA26" s="25">
        <v>25</v>
      </c>
      <c r="CB26" s="96" t="s">
        <v>530</v>
      </c>
      <c r="CC26" s="22" t="str">
        <f t="shared" si="60"/>
        <v>짝수</v>
      </c>
      <c r="CD26" s="23">
        <f t="shared" si="61"/>
        <v>20</v>
      </c>
      <c r="CF26" s="79">
        <v>22</v>
      </c>
      <c r="CG26" s="47">
        <v>14</v>
      </c>
      <c r="CH26" s="47">
        <f t="shared" si="17"/>
        <v>12</v>
      </c>
      <c r="CI26" s="65">
        <f t="shared" si="18"/>
        <v>1.6736401673640166E-2</v>
      </c>
      <c r="CJ26" s="47">
        <f t="shared" si="19"/>
        <v>22</v>
      </c>
      <c r="CL26" s="23">
        <v>79</v>
      </c>
      <c r="CM26" s="23">
        <v>70</v>
      </c>
      <c r="CO26"/>
    </row>
    <row r="27" spans="2:95" ht="17">
      <c r="B27" s="15">
        <v>23</v>
      </c>
      <c r="C27" s="23" t="s">
        <v>53</v>
      </c>
      <c r="D27" s="16">
        <v>4</v>
      </c>
      <c r="E27" s="17">
        <v>4317947700</v>
      </c>
      <c r="F27" s="16">
        <v>23</v>
      </c>
      <c r="G27" s="17">
        <v>125157900</v>
      </c>
      <c r="H27" s="17">
        <v>1372</v>
      </c>
      <c r="I27" s="17">
        <v>2098100</v>
      </c>
      <c r="J27" s="17">
        <v>63717</v>
      </c>
      <c r="K27" s="17">
        <v>90300</v>
      </c>
      <c r="L27" s="17">
        <v>990081</v>
      </c>
      <c r="M27" s="17">
        <v>10000</v>
      </c>
      <c r="N27" s="23">
        <v>5</v>
      </c>
      <c r="O27" s="23">
        <v>13</v>
      </c>
      <c r="P27" s="23">
        <v>17</v>
      </c>
      <c r="Q27" s="23">
        <v>18</v>
      </c>
      <c r="R27" s="23">
        <v>33</v>
      </c>
      <c r="S27" s="23">
        <v>42</v>
      </c>
      <c r="T27" s="23">
        <v>44</v>
      </c>
      <c r="U27" s="23">
        <f t="shared" si="22"/>
        <v>128</v>
      </c>
      <c r="W27" s="22" t="str">
        <f t="shared" si="0"/>
        <v>홀수</v>
      </c>
      <c r="X27" s="22" t="str">
        <f t="shared" si="1"/>
        <v>홀수</v>
      </c>
      <c r="Y27" s="22" t="str">
        <f t="shared" si="2"/>
        <v>홀수</v>
      </c>
      <c r="Z27" s="22" t="str">
        <f t="shared" si="53"/>
        <v>짝수</v>
      </c>
      <c r="AA27" s="22" t="str">
        <f t="shared" si="54"/>
        <v>홀수</v>
      </c>
      <c r="AB27" s="22" t="str">
        <f t="shared" si="55"/>
        <v>짝수</v>
      </c>
      <c r="AC27" s="52" t="str">
        <f t="shared" si="56"/>
        <v>4 : 2</v>
      </c>
      <c r="AD27" s="22">
        <f t="shared" si="57"/>
        <v>4</v>
      </c>
      <c r="AE27" s="22">
        <f t="shared" si="58"/>
        <v>2</v>
      </c>
      <c r="AF27" s="22" t="str">
        <f t="shared" si="23"/>
        <v>저수</v>
      </c>
      <c r="AG27" s="22" t="str">
        <f t="shared" si="24"/>
        <v>저수</v>
      </c>
      <c r="AH27" s="22" t="str">
        <f t="shared" si="25"/>
        <v>저수</v>
      </c>
      <c r="AI27" s="22" t="str">
        <f t="shared" si="26"/>
        <v>저수</v>
      </c>
      <c r="AJ27" s="22" t="str">
        <f t="shared" si="27"/>
        <v>고수</v>
      </c>
      <c r="AK27" s="22" t="str">
        <f t="shared" si="28"/>
        <v>고수</v>
      </c>
      <c r="AL27" s="52" t="str">
        <f t="shared" si="29"/>
        <v>4 : 2</v>
      </c>
      <c r="AM27" s="22">
        <f t="shared" si="30"/>
        <v>4</v>
      </c>
      <c r="AN27" s="22">
        <f t="shared" si="31"/>
        <v>2</v>
      </c>
      <c r="AO27" s="22">
        <f t="shared" si="32"/>
        <v>28</v>
      </c>
      <c r="AP27" s="22" t="str">
        <f t="shared" si="33"/>
        <v>O</v>
      </c>
      <c r="AQ27" s="22" t="str">
        <f t="shared" si="34"/>
        <v>O</v>
      </c>
      <c r="AR27" s="22" t="str">
        <f t="shared" si="35"/>
        <v>O</v>
      </c>
      <c r="AS27" s="22" t="str">
        <f t="shared" si="36"/>
        <v>X</v>
      </c>
      <c r="AT27" s="22" t="str">
        <f t="shared" si="37"/>
        <v>X</v>
      </c>
      <c r="AU27" s="22" t="str">
        <f t="shared" si="38"/>
        <v>X</v>
      </c>
      <c r="AV27" s="22" t="str">
        <f t="shared" si="39"/>
        <v>X</v>
      </c>
      <c r="AW27" s="22" t="str">
        <f t="shared" si="40"/>
        <v>X</v>
      </c>
      <c r="AX27" s="22" t="str">
        <f t="shared" si="41"/>
        <v>X</v>
      </c>
      <c r="AY27" s="22" t="str">
        <f t="shared" si="42"/>
        <v>X</v>
      </c>
      <c r="AZ27" s="22" t="str">
        <f t="shared" si="43"/>
        <v>X</v>
      </c>
      <c r="BA27" s="22" t="str">
        <f t="shared" si="44"/>
        <v>X</v>
      </c>
      <c r="BB27" s="22">
        <f t="shared" si="45"/>
        <v>3</v>
      </c>
      <c r="BC27" s="22" t="str">
        <f t="shared" si="7"/>
        <v>1G</v>
      </c>
      <c r="BD27" s="22" t="str">
        <f t="shared" si="8"/>
        <v>1G</v>
      </c>
      <c r="BE27" s="22" t="str">
        <f t="shared" si="9"/>
        <v>2G</v>
      </c>
      <c r="BF27" s="22" t="str">
        <f t="shared" si="10"/>
        <v>2G</v>
      </c>
      <c r="BG27" s="22" t="str">
        <f t="shared" si="11"/>
        <v>3G</v>
      </c>
      <c r="BH27" s="22" t="str">
        <f t="shared" si="12"/>
        <v>3G</v>
      </c>
      <c r="BI27" s="22">
        <f t="shared" si="46"/>
        <v>2</v>
      </c>
      <c r="BJ27" s="22">
        <f t="shared" si="47"/>
        <v>2</v>
      </c>
      <c r="BK27" s="22">
        <f t="shared" si="48"/>
        <v>2</v>
      </c>
      <c r="BL27" s="22" t="str">
        <f t="shared" si="49"/>
        <v>222</v>
      </c>
      <c r="BO27" s="33">
        <v>25</v>
      </c>
      <c r="BP27" s="34">
        <f t="shared" si="13"/>
        <v>112</v>
      </c>
      <c r="BQ27" s="35">
        <f t="shared" si="14"/>
        <v>22</v>
      </c>
      <c r="BR27" s="61">
        <v>23</v>
      </c>
      <c r="BS27" s="24">
        <f t="shared" si="59"/>
        <v>39</v>
      </c>
      <c r="BT27" s="24">
        <f t="shared" si="50"/>
        <v>38</v>
      </c>
      <c r="BU27" s="51">
        <f t="shared" si="51"/>
        <v>77</v>
      </c>
      <c r="BV27" s="22" t="str">
        <f t="shared" si="52"/>
        <v>당첨</v>
      </c>
      <c r="BW27" s="22" t="s">
        <v>707</v>
      </c>
      <c r="BX27" s="26">
        <v>25</v>
      </c>
      <c r="BY27" s="25">
        <v>13</v>
      </c>
      <c r="BZ27" s="25">
        <v>10</v>
      </c>
      <c r="CA27" s="25">
        <v>23</v>
      </c>
      <c r="CB27" s="96" t="s">
        <v>530</v>
      </c>
      <c r="CC27" s="22" t="str">
        <f t="shared" si="60"/>
        <v>홀수</v>
      </c>
      <c r="CD27" s="23">
        <f t="shared" si="61"/>
        <v>20</v>
      </c>
      <c r="CF27" s="79">
        <v>23</v>
      </c>
      <c r="CG27" s="47">
        <v>37</v>
      </c>
      <c r="CH27" s="47">
        <f t="shared" si="17"/>
        <v>10</v>
      </c>
      <c r="CI27" s="65">
        <f t="shared" si="18"/>
        <v>1.3947001394700139E-2</v>
      </c>
      <c r="CJ27" s="47">
        <f t="shared" si="19"/>
        <v>24</v>
      </c>
      <c r="CL27" s="23">
        <v>79</v>
      </c>
      <c r="CM27" s="23">
        <v>70</v>
      </c>
      <c r="CO27"/>
    </row>
    <row r="28" spans="2:95" ht="17">
      <c r="B28" s="15">
        <v>24</v>
      </c>
      <c r="C28" s="23" t="s">
        <v>54</v>
      </c>
      <c r="D28" s="16">
        <v>0</v>
      </c>
      <c r="E28" s="16">
        <v>0</v>
      </c>
      <c r="F28" s="16">
        <v>18</v>
      </c>
      <c r="G28" s="17">
        <v>176023700</v>
      </c>
      <c r="H28" s="16">
        <v>925</v>
      </c>
      <c r="I28" s="17">
        <v>3425300</v>
      </c>
      <c r="J28" s="17">
        <v>52777</v>
      </c>
      <c r="K28" s="17">
        <v>120000</v>
      </c>
      <c r="L28" s="17">
        <v>755905</v>
      </c>
      <c r="M28" s="17">
        <v>10000</v>
      </c>
      <c r="N28" s="23">
        <v>7</v>
      </c>
      <c r="O28" s="23">
        <v>8</v>
      </c>
      <c r="P28" s="23">
        <v>27</v>
      </c>
      <c r="Q28" s="23">
        <v>29</v>
      </c>
      <c r="R28" s="23">
        <v>36</v>
      </c>
      <c r="S28" s="23">
        <v>43</v>
      </c>
      <c r="T28" s="23">
        <v>6</v>
      </c>
      <c r="U28" s="23">
        <f t="shared" si="22"/>
        <v>150</v>
      </c>
      <c r="W28" s="22" t="str">
        <f t="shared" si="0"/>
        <v>홀수</v>
      </c>
      <c r="X28" s="22" t="str">
        <f t="shared" si="1"/>
        <v>짝수</v>
      </c>
      <c r="Y28" s="22" t="str">
        <f t="shared" si="2"/>
        <v>홀수</v>
      </c>
      <c r="Z28" s="22" t="str">
        <f t="shared" si="53"/>
        <v>홀수</v>
      </c>
      <c r="AA28" s="22" t="str">
        <f t="shared" si="54"/>
        <v>짝수</v>
      </c>
      <c r="AB28" s="22" t="str">
        <f t="shared" si="55"/>
        <v>홀수</v>
      </c>
      <c r="AC28" s="52" t="str">
        <f t="shared" si="56"/>
        <v>4 : 2</v>
      </c>
      <c r="AD28" s="22">
        <f t="shared" si="57"/>
        <v>4</v>
      </c>
      <c r="AE28" s="22">
        <f t="shared" si="58"/>
        <v>2</v>
      </c>
      <c r="AF28" s="22" t="str">
        <f t="shared" si="23"/>
        <v>저수</v>
      </c>
      <c r="AG28" s="22" t="str">
        <f t="shared" si="24"/>
        <v>저수</v>
      </c>
      <c r="AH28" s="22" t="str">
        <f t="shared" si="25"/>
        <v>고수</v>
      </c>
      <c r="AI28" s="22" t="str">
        <f t="shared" si="26"/>
        <v>고수</v>
      </c>
      <c r="AJ28" s="22" t="str">
        <f t="shared" si="27"/>
        <v>고수</v>
      </c>
      <c r="AK28" s="22" t="str">
        <f t="shared" si="28"/>
        <v>고수</v>
      </c>
      <c r="AL28" s="52" t="str">
        <f t="shared" si="29"/>
        <v>2 : 4</v>
      </c>
      <c r="AM28" s="22">
        <f t="shared" si="30"/>
        <v>2</v>
      </c>
      <c r="AN28" s="22">
        <f t="shared" si="31"/>
        <v>4</v>
      </c>
      <c r="AO28" s="22">
        <f t="shared" si="32"/>
        <v>40</v>
      </c>
      <c r="AP28" s="22" t="str">
        <f t="shared" si="33"/>
        <v>O</v>
      </c>
      <c r="AQ28" s="22" t="str">
        <f t="shared" si="34"/>
        <v>X</v>
      </c>
      <c r="AR28" s="22" t="str">
        <f t="shared" si="35"/>
        <v>X</v>
      </c>
      <c r="AS28" s="22" t="str">
        <f t="shared" si="36"/>
        <v>X</v>
      </c>
      <c r="AT28" s="22" t="str">
        <f t="shared" si="37"/>
        <v>X</v>
      </c>
      <c r="AU28" s="22" t="str">
        <f t="shared" si="38"/>
        <v>X</v>
      </c>
      <c r="AV28" s="22" t="str">
        <f t="shared" si="39"/>
        <v>X</v>
      </c>
      <c r="AW28" s="22" t="str">
        <f t="shared" si="40"/>
        <v>X</v>
      </c>
      <c r="AX28" s="22" t="str">
        <f t="shared" si="41"/>
        <v>X</v>
      </c>
      <c r="AY28" s="22" t="str">
        <f t="shared" si="42"/>
        <v>O</v>
      </c>
      <c r="AZ28" s="22" t="str">
        <f t="shared" si="43"/>
        <v>X</v>
      </c>
      <c r="BA28" s="22" t="str">
        <f t="shared" si="44"/>
        <v>O</v>
      </c>
      <c r="BB28" s="22">
        <f t="shared" si="45"/>
        <v>3</v>
      </c>
      <c r="BC28" s="22" t="str">
        <f t="shared" si="7"/>
        <v>1G</v>
      </c>
      <c r="BD28" s="22" t="str">
        <f t="shared" si="8"/>
        <v>1G</v>
      </c>
      <c r="BE28" s="22" t="str">
        <f t="shared" si="9"/>
        <v>2G</v>
      </c>
      <c r="BF28" s="22" t="str">
        <f t="shared" si="10"/>
        <v>2G</v>
      </c>
      <c r="BG28" s="22" t="str">
        <f t="shared" si="11"/>
        <v>3G</v>
      </c>
      <c r="BH28" s="22" t="str">
        <f t="shared" si="12"/>
        <v>3G</v>
      </c>
      <c r="BI28" s="22">
        <f t="shared" si="46"/>
        <v>2</v>
      </c>
      <c r="BJ28" s="22">
        <f t="shared" si="47"/>
        <v>2</v>
      </c>
      <c r="BK28" s="22">
        <f t="shared" si="48"/>
        <v>2</v>
      </c>
      <c r="BL28" s="22" t="str">
        <f t="shared" si="49"/>
        <v>222</v>
      </c>
      <c r="BO28" s="39">
        <v>6</v>
      </c>
      <c r="BP28" s="40">
        <f t="shared" si="13"/>
        <v>109</v>
      </c>
      <c r="BQ28" s="41">
        <f t="shared" si="14"/>
        <v>30</v>
      </c>
      <c r="BR28" s="61">
        <v>24</v>
      </c>
      <c r="BS28" s="24">
        <f t="shared" si="59"/>
        <v>36</v>
      </c>
      <c r="BT28" s="24">
        <f t="shared" si="50"/>
        <v>36</v>
      </c>
      <c r="BU28" s="51">
        <f t="shared" si="51"/>
        <v>72</v>
      </c>
      <c r="BV28" s="22" t="str">
        <f t="shared" si="52"/>
        <v>당첨</v>
      </c>
      <c r="BW28" s="22" t="s">
        <v>707</v>
      </c>
      <c r="BX28" s="109">
        <v>24</v>
      </c>
      <c r="BY28" s="25">
        <v>12</v>
      </c>
      <c r="BZ28" s="25">
        <v>12</v>
      </c>
      <c r="CA28" s="25">
        <v>24</v>
      </c>
      <c r="CB28" s="96" t="s">
        <v>530</v>
      </c>
      <c r="CC28" s="22" t="str">
        <f t="shared" si="60"/>
        <v>짝수</v>
      </c>
      <c r="CD28" s="23">
        <f t="shared" si="61"/>
        <v>25</v>
      </c>
      <c r="CF28" s="79">
        <v>24</v>
      </c>
      <c r="CG28" s="47">
        <v>17</v>
      </c>
      <c r="CH28" s="47">
        <f t="shared" si="17"/>
        <v>12</v>
      </c>
      <c r="CI28" s="65">
        <f t="shared" si="18"/>
        <v>1.6736401673640166E-2</v>
      </c>
      <c r="CJ28" s="47">
        <f t="shared" si="19"/>
        <v>22</v>
      </c>
      <c r="CL28" s="23">
        <v>79</v>
      </c>
      <c r="CM28" s="23">
        <v>70</v>
      </c>
      <c r="CO28"/>
    </row>
    <row r="29" spans="2:95" ht="17">
      <c r="B29" s="15">
        <v>25</v>
      </c>
      <c r="C29" s="23" t="s">
        <v>55</v>
      </c>
      <c r="D29" s="16">
        <v>2</v>
      </c>
      <c r="E29" s="17">
        <v>24227745300</v>
      </c>
      <c r="F29" s="16">
        <v>28</v>
      </c>
      <c r="G29" s="17">
        <v>175267400</v>
      </c>
      <c r="H29" s="17">
        <v>1111</v>
      </c>
      <c r="I29" s="17">
        <v>4417100</v>
      </c>
      <c r="J29" s="17">
        <v>58903</v>
      </c>
      <c r="K29" s="17">
        <v>166600</v>
      </c>
      <c r="L29" s="17">
        <v>1096200</v>
      </c>
      <c r="M29" s="17">
        <v>10000</v>
      </c>
      <c r="N29" s="23">
        <v>2</v>
      </c>
      <c r="O29" s="23">
        <v>4</v>
      </c>
      <c r="P29" s="23">
        <v>21</v>
      </c>
      <c r="Q29" s="23">
        <v>26</v>
      </c>
      <c r="R29" s="23">
        <v>43</v>
      </c>
      <c r="S29" s="23">
        <v>44</v>
      </c>
      <c r="T29" s="23">
        <v>16</v>
      </c>
      <c r="U29" s="23">
        <f t="shared" si="22"/>
        <v>140</v>
      </c>
      <c r="W29" s="22" t="str">
        <f t="shared" si="0"/>
        <v>짝수</v>
      </c>
      <c r="X29" s="22" t="str">
        <f t="shared" si="1"/>
        <v>짝수</v>
      </c>
      <c r="Y29" s="22" t="str">
        <f t="shared" si="2"/>
        <v>홀수</v>
      </c>
      <c r="Z29" s="22" t="str">
        <f t="shared" si="53"/>
        <v>짝수</v>
      </c>
      <c r="AA29" s="22" t="str">
        <f t="shared" si="54"/>
        <v>홀수</v>
      </c>
      <c r="AB29" s="22" t="str">
        <f t="shared" si="55"/>
        <v>짝수</v>
      </c>
      <c r="AC29" s="52" t="str">
        <f t="shared" si="56"/>
        <v>2 : 4</v>
      </c>
      <c r="AD29" s="22">
        <f t="shared" si="57"/>
        <v>2</v>
      </c>
      <c r="AE29" s="22">
        <f t="shared" si="58"/>
        <v>4</v>
      </c>
      <c r="AF29" s="22" t="str">
        <f t="shared" si="23"/>
        <v>저수</v>
      </c>
      <c r="AG29" s="22" t="str">
        <f t="shared" si="24"/>
        <v>저수</v>
      </c>
      <c r="AH29" s="22" t="str">
        <f t="shared" si="25"/>
        <v>저수</v>
      </c>
      <c r="AI29" s="22" t="str">
        <f t="shared" si="26"/>
        <v>고수</v>
      </c>
      <c r="AJ29" s="22" t="str">
        <f t="shared" si="27"/>
        <v>고수</v>
      </c>
      <c r="AK29" s="22" t="str">
        <f t="shared" si="28"/>
        <v>고수</v>
      </c>
      <c r="AL29" s="52" t="str">
        <f t="shared" si="29"/>
        <v>3 : 3</v>
      </c>
      <c r="AM29" s="22">
        <f t="shared" si="30"/>
        <v>3</v>
      </c>
      <c r="AN29" s="22">
        <f t="shared" si="31"/>
        <v>3</v>
      </c>
      <c r="AO29" s="22">
        <f t="shared" si="32"/>
        <v>20</v>
      </c>
      <c r="AP29" s="22" t="str">
        <f t="shared" si="33"/>
        <v>O</v>
      </c>
      <c r="AQ29" s="22" t="str">
        <f t="shared" si="34"/>
        <v>X</v>
      </c>
      <c r="AR29" s="22" t="str">
        <f t="shared" si="35"/>
        <v>X</v>
      </c>
      <c r="AS29" s="22" t="str">
        <f t="shared" si="36"/>
        <v>X</v>
      </c>
      <c r="AT29" s="22" t="str">
        <f t="shared" si="37"/>
        <v>X</v>
      </c>
      <c r="AU29" s="22" t="str">
        <f t="shared" si="38"/>
        <v>X</v>
      </c>
      <c r="AV29" s="22" t="str">
        <f t="shared" si="39"/>
        <v>X</v>
      </c>
      <c r="AW29" s="22" t="str">
        <f t="shared" si="40"/>
        <v>X</v>
      </c>
      <c r="AX29" s="22" t="str">
        <f t="shared" si="41"/>
        <v>X</v>
      </c>
      <c r="AY29" s="22" t="str">
        <f t="shared" si="42"/>
        <v>X</v>
      </c>
      <c r="AZ29" s="22" t="str">
        <f t="shared" si="43"/>
        <v>O</v>
      </c>
      <c r="BA29" s="22" t="str">
        <f t="shared" si="44"/>
        <v>X</v>
      </c>
      <c r="BB29" s="22">
        <f t="shared" si="45"/>
        <v>2</v>
      </c>
      <c r="BC29" s="22" t="str">
        <f t="shared" si="7"/>
        <v>1G</v>
      </c>
      <c r="BD29" s="22" t="str">
        <f t="shared" si="8"/>
        <v>1G</v>
      </c>
      <c r="BE29" s="22" t="str">
        <f t="shared" si="9"/>
        <v>2G</v>
      </c>
      <c r="BF29" s="22" t="str">
        <f t="shared" si="10"/>
        <v>2G</v>
      </c>
      <c r="BG29" s="22" t="str">
        <f t="shared" si="11"/>
        <v>3G</v>
      </c>
      <c r="BH29" s="22" t="str">
        <f t="shared" si="12"/>
        <v>3G</v>
      </c>
      <c r="BI29" s="22">
        <f t="shared" si="46"/>
        <v>2</v>
      </c>
      <c r="BJ29" s="22">
        <f t="shared" si="47"/>
        <v>2</v>
      </c>
      <c r="BK29" s="22">
        <f t="shared" si="48"/>
        <v>2</v>
      </c>
      <c r="BL29" s="22" t="str">
        <f t="shared" si="49"/>
        <v>222</v>
      </c>
      <c r="BO29" s="36">
        <v>24</v>
      </c>
      <c r="BP29" s="37">
        <f t="shared" si="13"/>
        <v>111</v>
      </c>
      <c r="BQ29" s="38">
        <f t="shared" si="14"/>
        <v>24</v>
      </c>
      <c r="BR29" s="61">
        <v>25</v>
      </c>
      <c r="BS29" s="24">
        <f t="shared" si="59"/>
        <v>37</v>
      </c>
      <c r="BT29" s="24">
        <f t="shared" si="50"/>
        <v>34</v>
      </c>
      <c r="BU29" s="51">
        <f t="shared" si="51"/>
        <v>71</v>
      </c>
      <c r="BV29" s="22" t="str">
        <f t="shared" si="52"/>
        <v>당첨</v>
      </c>
      <c r="BW29" s="22" t="s">
        <v>707</v>
      </c>
      <c r="BX29" s="26">
        <v>35</v>
      </c>
      <c r="BY29" s="25">
        <v>12</v>
      </c>
      <c r="BZ29" s="25">
        <v>12</v>
      </c>
      <c r="CA29" s="25">
        <v>24</v>
      </c>
      <c r="CB29" s="96" t="s">
        <v>530</v>
      </c>
      <c r="CC29" s="22" t="str">
        <f t="shared" si="60"/>
        <v>홀수</v>
      </c>
      <c r="CD29" s="23">
        <f t="shared" si="61"/>
        <v>25</v>
      </c>
      <c r="CF29" s="79">
        <v>25</v>
      </c>
      <c r="CG29" s="47">
        <v>38</v>
      </c>
      <c r="CH29" s="47">
        <f t="shared" si="17"/>
        <v>9</v>
      </c>
      <c r="CI29" s="65">
        <f t="shared" si="18"/>
        <v>1.2552301255230125E-2</v>
      </c>
      <c r="CJ29" s="47">
        <f t="shared" si="19"/>
        <v>25</v>
      </c>
      <c r="CL29" s="23">
        <v>83</v>
      </c>
      <c r="CM29" s="23">
        <v>80</v>
      </c>
      <c r="CO29"/>
    </row>
    <row r="30" spans="2:95" ht="17">
      <c r="B30" s="15">
        <v>26</v>
      </c>
      <c r="C30" s="23" t="s">
        <v>56</v>
      </c>
      <c r="D30" s="16">
        <v>5</v>
      </c>
      <c r="E30" s="17">
        <v>3495069900</v>
      </c>
      <c r="F30" s="16">
        <v>39</v>
      </c>
      <c r="G30" s="17">
        <v>74680900</v>
      </c>
      <c r="H30" s="17">
        <v>1340</v>
      </c>
      <c r="I30" s="17">
        <v>2173500</v>
      </c>
      <c r="J30" s="17">
        <v>72252</v>
      </c>
      <c r="K30" s="17">
        <v>80600</v>
      </c>
      <c r="L30" s="17">
        <v>1097093</v>
      </c>
      <c r="M30" s="17">
        <v>10000</v>
      </c>
      <c r="N30" s="23">
        <v>4</v>
      </c>
      <c r="O30" s="23">
        <v>5</v>
      </c>
      <c r="P30" s="23">
        <v>7</v>
      </c>
      <c r="Q30" s="23">
        <v>18</v>
      </c>
      <c r="R30" s="23">
        <v>20</v>
      </c>
      <c r="S30" s="23">
        <v>25</v>
      </c>
      <c r="T30" s="23">
        <v>31</v>
      </c>
      <c r="U30" s="23">
        <f t="shared" si="22"/>
        <v>79</v>
      </c>
      <c r="W30" s="22" t="str">
        <f t="shared" si="0"/>
        <v>짝수</v>
      </c>
      <c r="X30" s="22" t="str">
        <f t="shared" si="1"/>
        <v>홀수</v>
      </c>
      <c r="Y30" s="22" t="str">
        <f t="shared" si="2"/>
        <v>홀수</v>
      </c>
      <c r="Z30" s="22" t="str">
        <f t="shared" si="53"/>
        <v>짝수</v>
      </c>
      <c r="AA30" s="22" t="str">
        <f t="shared" si="54"/>
        <v>짝수</v>
      </c>
      <c r="AB30" s="22" t="str">
        <f t="shared" si="55"/>
        <v>홀수</v>
      </c>
      <c r="AC30" s="52" t="str">
        <f t="shared" si="56"/>
        <v>3 : 3</v>
      </c>
      <c r="AD30" s="22">
        <f t="shared" si="57"/>
        <v>3</v>
      </c>
      <c r="AE30" s="22">
        <f t="shared" si="58"/>
        <v>3</v>
      </c>
      <c r="AF30" s="22" t="str">
        <f t="shared" si="23"/>
        <v>저수</v>
      </c>
      <c r="AG30" s="22" t="str">
        <f t="shared" si="24"/>
        <v>저수</v>
      </c>
      <c r="AH30" s="22" t="str">
        <f t="shared" si="25"/>
        <v>저수</v>
      </c>
      <c r="AI30" s="22" t="str">
        <f t="shared" si="26"/>
        <v>저수</v>
      </c>
      <c r="AJ30" s="22" t="str">
        <f t="shared" si="27"/>
        <v>저수</v>
      </c>
      <c r="AK30" s="22" t="str">
        <f t="shared" si="28"/>
        <v>고수</v>
      </c>
      <c r="AL30" s="52" t="str">
        <f t="shared" si="29"/>
        <v>5 : 1</v>
      </c>
      <c r="AM30" s="22">
        <f t="shared" si="30"/>
        <v>5</v>
      </c>
      <c r="AN30" s="22">
        <f t="shared" si="31"/>
        <v>1</v>
      </c>
      <c r="AO30" s="22">
        <f t="shared" si="32"/>
        <v>29</v>
      </c>
      <c r="AP30" s="22" t="str">
        <f t="shared" si="33"/>
        <v>X</v>
      </c>
      <c r="AQ30" s="22" t="str">
        <f t="shared" si="34"/>
        <v>O</v>
      </c>
      <c r="AR30" s="22" t="str">
        <f t="shared" si="35"/>
        <v>O</v>
      </c>
      <c r="AS30" s="22" t="str">
        <f t="shared" si="36"/>
        <v>X</v>
      </c>
      <c r="AT30" s="22" t="str">
        <f t="shared" si="37"/>
        <v>X</v>
      </c>
      <c r="AU30" s="22" t="str">
        <f t="shared" si="38"/>
        <v>X</v>
      </c>
      <c r="AV30" s="22" t="str">
        <f t="shared" si="39"/>
        <v>X</v>
      </c>
      <c r="AW30" s="22" t="str">
        <f t="shared" si="40"/>
        <v>X</v>
      </c>
      <c r="AX30" s="22" t="str">
        <f t="shared" si="41"/>
        <v>X</v>
      </c>
      <c r="AY30" s="22" t="str">
        <f t="shared" si="42"/>
        <v>X</v>
      </c>
      <c r="AZ30" s="22" t="str">
        <f t="shared" si="43"/>
        <v>X</v>
      </c>
      <c r="BA30" s="22" t="str">
        <f t="shared" si="44"/>
        <v>X</v>
      </c>
      <c r="BB30" s="22">
        <f t="shared" si="45"/>
        <v>2</v>
      </c>
      <c r="BC30" s="22" t="str">
        <f t="shared" si="7"/>
        <v>1G</v>
      </c>
      <c r="BD30" s="22" t="str">
        <f t="shared" si="8"/>
        <v>1G</v>
      </c>
      <c r="BE30" s="22" t="str">
        <f t="shared" si="9"/>
        <v>1G</v>
      </c>
      <c r="BF30" s="22" t="str">
        <f t="shared" si="10"/>
        <v>2G</v>
      </c>
      <c r="BG30" s="22" t="str">
        <f t="shared" si="11"/>
        <v>2G</v>
      </c>
      <c r="BH30" s="22" t="str">
        <f t="shared" si="12"/>
        <v>2G</v>
      </c>
      <c r="BI30" s="22">
        <f t="shared" si="46"/>
        <v>3</v>
      </c>
      <c r="BJ30" s="22">
        <f t="shared" si="47"/>
        <v>3</v>
      </c>
      <c r="BK30" s="22">
        <f t="shared" si="48"/>
        <v>0</v>
      </c>
      <c r="BL30" s="22" t="str">
        <f t="shared" si="49"/>
        <v>330</v>
      </c>
      <c r="BO30" s="30">
        <v>19</v>
      </c>
      <c r="BP30" s="31">
        <f t="shared" si="13"/>
        <v>109</v>
      </c>
      <c r="BQ30" s="32">
        <f t="shared" si="14"/>
        <v>30</v>
      </c>
      <c r="BR30" s="61">
        <v>26</v>
      </c>
      <c r="BS30" s="24">
        <f t="shared" si="59"/>
        <v>37</v>
      </c>
      <c r="BT30" s="24">
        <f t="shared" si="50"/>
        <v>36</v>
      </c>
      <c r="BU30" s="51">
        <f t="shared" si="51"/>
        <v>73</v>
      </c>
      <c r="BV30" s="22" t="str">
        <f t="shared" si="52"/>
        <v>당첨</v>
      </c>
      <c r="BW30" s="22" t="s">
        <v>707</v>
      </c>
      <c r="BX30" s="26">
        <v>7</v>
      </c>
      <c r="BY30" s="25">
        <v>12</v>
      </c>
      <c r="BZ30" s="25">
        <v>11</v>
      </c>
      <c r="CA30" s="25">
        <v>23</v>
      </c>
      <c r="CB30" s="96" t="s">
        <v>530</v>
      </c>
      <c r="CC30" s="22" t="str">
        <f t="shared" si="60"/>
        <v>홀수</v>
      </c>
      <c r="CD30" s="23">
        <f t="shared" si="61"/>
        <v>25</v>
      </c>
      <c r="CF30" s="79">
        <v>26</v>
      </c>
      <c r="CG30" s="47">
        <v>39</v>
      </c>
      <c r="CH30" s="47">
        <f t="shared" si="17"/>
        <v>5</v>
      </c>
      <c r="CI30" s="65">
        <f t="shared" si="18"/>
        <v>6.9735006973500697E-3</v>
      </c>
      <c r="CJ30" s="47">
        <f t="shared" si="19"/>
        <v>27</v>
      </c>
      <c r="CL30" s="23">
        <v>84</v>
      </c>
      <c r="CM30" s="23">
        <v>80</v>
      </c>
      <c r="CO30"/>
    </row>
    <row r="31" spans="2:95" ht="17">
      <c r="B31" s="15">
        <v>27</v>
      </c>
      <c r="C31" s="23" t="s">
        <v>57</v>
      </c>
      <c r="D31" s="16">
        <v>2</v>
      </c>
      <c r="E31" s="17">
        <v>9543982500</v>
      </c>
      <c r="F31" s="16">
        <v>16</v>
      </c>
      <c r="G31" s="17">
        <v>198832900</v>
      </c>
      <c r="H31" s="16">
        <v>579</v>
      </c>
      <c r="I31" s="17">
        <v>5494500</v>
      </c>
      <c r="J31" s="17">
        <v>33509</v>
      </c>
      <c r="K31" s="17">
        <v>189800</v>
      </c>
      <c r="L31" s="17">
        <v>625925</v>
      </c>
      <c r="M31" s="17">
        <v>10000</v>
      </c>
      <c r="N31" s="23">
        <v>1</v>
      </c>
      <c r="O31" s="23">
        <v>20</v>
      </c>
      <c r="P31" s="23">
        <v>26</v>
      </c>
      <c r="Q31" s="23">
        <v>28</v>
      </c>
      <c r="R31" s="23">
        <v>37</v>
      </c>
      <c r="S31" s="23">
        <v>43</v>
      </c>
      <c r="T31" s="23">
        <v>27</v>
      </c>
      <c r="U31" s="23">
        <f t="shared" si="22"/>
        <v>155</v>
      </c>
      <c r="W31" s="22" t="str">
        <f t="shared" si="0"/>
        <v>홀수</v>
      </c>
      <c r="X31" s="22" t="str">
        <f t="shared" si="1"/>
        <v>짝수</v>
      </c>
      <c r="Y31" s="22" t="str">
        <f t="shared" si="2"/>
        <v>짝수</v>
      </c>
      <c r="Z31" s="22" t="str">
        <f t="shared" si="53"/>
        <v>짝수</v>
      </c>
      <c r="AA31" s="22" t="str">
        <f t="shared" si="54"/>
        <v>홀수</v>
      </c>
      <c r="AB31" s="22" t="str">
        <f t="shared" si="55"/>
        <v>홀수</v>
      </c>
      <c r="AC31" s="52" t="str">
        <f t="shared" si="56"/>
        <v>3 : 3</v>
      </c>
      <c r="AD31" s="22">
        <f t="shared" si="57"/>
        <v>3</v>
      </c>
      <c r="AE31" s="22">
        <f t="shared" si="58"/>
        <v>3</v>
      </c>
      <c r="AF31" s="22" t="str">
        <f t="shared" si="23"/>
        <v>저수</v>
      </c>
      <c r="AG31" s="22" t="str">
        <f t="shared" si="24"/>
        <v>저수</v>
      </c>
      <c r="AH31" s="22" t="str">
        <f t="shared" si="25"/>
        <v>고수</v>
      </c>
      <c r="AI31" s="22" t="str">
        <f t="shared" si="26"/>
        <v>고수</v>
      </c>
      <c r="AJ31" s="22" t="str">
        <f t="shared" si="27"/>
        <v>고수</v>
      </c>
      <c r="AK31" s="22" t="str">
        <f t="shared" si="28"/>
        <v>고수</v>
      </c>
      <c r="AL31" s="52" t="str">
        <f t="shared" si="29"/>
        <v>2 : 4</v>
      </c>
      <c r="AM31" s="22">
        <f t="shared" si="30"/>
        <v>2</v>
      </c>
      <c r="AN31" s="22">
        <f t="shared" si="31"/>
        <v>4</v>
      </c>
      <c r="AO31" s="22">
        <f t="shared" si="32"/>
        <v>25</v>
      </c>
      <c r="AP31" s="22" t="str">
        <f t="shared" si="33"/>
        <v>X</v>
      </c>
      <c r="AQ31" s="22" t="str">
        <f t="shared" si="34"/>
        <v>X</v>
      </c>
      <c r="AR31" s="22" t="str">
        <f t="shared" si="35"/>
        <v>X</v>
      </c>
      <c r="AS31" s="22" t="str">
        <f t="shared" si="36"/>
        <v>X</v>
      </c>
      <c r="AT31" s="22" t="str">
        <f t="shared" si="37"/>
        <v>X</v>
      </c>
      <c r="AU31" s="22" t="str">
        <f t="shared" si="38"/>
        <v>X</v>
      </c>
      <c r="AV31" s="22" t="str">
        <f t="shared" si="39"/>
        <v>X</v>
      </c>
      <c r="AW31" s="22" t="str">
        <f t="shared" si="40"/>
        <v>X</v>
      </c>
      <c r="AX31" s="22" t="str">
        <f t="shared" si="41"/>
        <v>X</v>
      </c>
      <c r="AY31" s="22" t="str">
        <f t="shared" si="42"/>
        <v>X</v>
      </c>
      <c r="AZ31" s="22" t="str">
        <f t="shared" si="43"/>
        <v>O</v>
      </c>
      <c r="BA31" s="22" t="str">
        <f t="shared" si="44"/>
        <v>O</v>
      </c>
      <c r="BB31" s="22">
        <f t="shared" si="45"/>
        <v>2</v>
      </c>
      <c r="BC31" s="22" t="str">
        <f t="shared" si="7"/>
        <v>1G</v>
      </c>
      <c r="BD31" s="22" t="str">
        <f t="shared" si="8"/>
        <v>2G</v>
      </c>
      <c r="BE31" s="22" t="str">
        <f t="shared" si="9"/>
        <v>2G</v>
      </c>
      <c r="BF31" s="22" t="str">
        <f t="shared" si="10"/>
        <v>2G</v>
      </c>
      <c r="BG31" s="22" t="str">
        <f t="shared" si="11"/>
        <v>3G</v>
      </c>
      <c r="BH31" s="22" t="str">
        <f t="shared" si="12"/>
        <v>3G</v>
      </c>
      <c r="BI31" s="22">
        <f t="shared" si="46"/>
        <v>1</v>
      </c>
      <c r="BJ31" s="22">
        <f t="shared" si="47"/>
        <v>3</v>
      </c>
      <c r="BK31" s="22">
        <f t="shared" si="48"/>
        <v>2</v>
      </c>
      <c r="BL31" s="22" t="str">
        <f t="shared" si="49"/>
        <v>132</v>
      </c>
      <c r="BO31" s="39">
        <v>35</v>
      </c>
      <c r="BP31" s="40">
        <f t="shared" si="13"/>
        <v>110</v>
      </c>
      <c r="BQ31" s="41">
        <f t="shared" si="14"/>
        <v>26</v>
      </c>
      <c r="BR31" s="61">
        <v>27</v>
      </c>
      <c r="BS31" s="24">
        <f t="shared" si="59"/>
        <v>41</v>
      </c>
      <c r="BT31" s="24">
        <f t="shared" si="50"/>
        <v>40</v>
      </c>
      <c r="BU31" s="51">
        <f t="shared" si="51"/>
        <v>81</v>
      </c>
      <c r="BV31" s="22" t="str">
        <f t="shared" si="52"/>
        <v>당첨</v>
      </c>
      <c r="BW31" s="22" t="s">
        <v>707</v>
      </c>
      <c r="BX31" s="109">
        <v>11</v>
      </c>
      <c r="BY31" s="25">
        <v>12</v>
      </c>
      <c r="BZ31" s="25">
        <v>11</v>
      </c>
      <c r="CA31" s="25">
        <v>23</v>
      </c>
      <c r="CB31" s="96" t="s">
        <v>530</v>
      </c>
      <c r="CC31" s="22" t="str">
        <f t="shared" si="60"/>
        <v>홀수</v>
      </c>
      <c r="CD31" s="23">
        <f t="shared" si="61"/>
        <v>25</v>
      </c>
      <c r="CF31" s="79">
        <v>27</v>
      </c>
      <c r="CG31" s="47">
        <v>13</v>
      </c>
      <c r="CH31" s="47">
        <f t="shared" si="17"/>
        <v>3</v>
      </c>
      <c r="CI31" s="65">
        <f t="shared" si="18"/>
        <v>4.1841004184100415E-3</v>
      </c>
      <c r="CJ31" s="47">
        <f t="shared" si="19"/>
        <v>29</v>
      </c>
      <c r="CL31" s="23">
        <v>85</v>
      </c>
      <c r="CM31" s="23">
        <v>80</v>
      </c>
      <c r="CO31"/>
    </row>
    <row r="32" spans="2:95" ht="17">
      <c r="B32" s="15">
        <v>28</v>
      </c>
      <c r="C32" s="23" t="s">
        <v>58</v>
      </c>
      <c r="D32" s="16">
        <v>10</v>
      </c>
      <c r="E32" s="17">
        <v>1700361100</v>
      </c>
      <c r="F32" s="16">
        <v>22</v>
      </c>
      <c r="G32" s="17">
        <v>128815200</v>
      </c>
      <c r="H32" s="17">
        <v>1164</v>
      </c>
      <c r="I32" s="17">
        <v>2434600</v>
      </c>
      <c r="J32" s="17">
        <v>57870</v>
      </c>
      <c r="K32" s="17">
        <v>97900</v>
      </c>
      <c r="L32" s="17">
        <v>938483</v>
      </c>
      <c r="M32" s="17">
        <v>10000</v>
      </c>
      <c r="N32" s="23">
        <v>9</v>
      </c>
      <c r="O32" s="23">
        <v>18</v>
      </c>
      <c r="P32" s="23">
        <v>23</v>
      </c>
      <c r="Q32" s="23">
        <v>25</v>
      </c>
      <c r="R32" s="23">
        <v>35</v>
      </c>
      <c r="S32" s="23">
        <v>37</v>
      </c>
      <c r="T32" s="23">
        <v>1</v>
      </c>
      <c r="U32" s="23">
        <f t="shared" si="22"/>
        <v>147</v>
      </c>
      <c r="W32" s="22" t="str">
        <f t="shared" si="0"/>
        <v>홀수</v>
      </c>
      <c r="X32" s="22" t="str">
        <f t="shared" si="1"/>
        <v>짝수</v>
      </c>
      <c r="Y32" s="22" t="str">
        <f t="shared" si="2"/>
        <v>홀수</v>
      </c>
      <c r="Z32" s="22" t="str">
        <f t="shared" si="53"/>
        <v>홀수</v>
      </c>
      <c r="AA32" s="22" t="str">
        <f t="shared" si="54"/>
        <v>홀수</v>
      </c>
      <c r="AB32" s="22" t="str">
        <f t="shared" si="55"/>
        <v>홀수</v>
      </c>
      <c r="AC32" s="52" t="str">
        <f t="shared" si="56"/>
        <v>5 : 1</v>
      </c>
      <c r="AD32" s="22">
        <f t="shared" si="57"/>
        <v>5</v>
      </c>
      <c r="AE32" s="22">
        <f t="shared" si="58"/>
        <v>1</v>
      </c>
      <c r="AF32" s="22" t="str">
        <f t="shared" si="23"/>
        <v>저수</v>
      </c>
      <c r="AG32" s="22" t="str">
        <f t="shared" si="24"/>
        <v>저수</v>
      </c>
      <c r="AH32" s="22" t="str">
        <f t="shared" si="25"/>
        <v>고수</v>
      </c>
      <c r="AI32" s="22" t="str">
        <f t="shared" si="26"/>
        <v>고수</v>
      </c>
      <c r="AJ32" s="22" t="str">
        <f t="shared" si="27"/>
        <v>고수</v>
      </c>
      <c r="AK32" s="22" t="str">
        <f t="shared" si="28"/>
        <v>고수</v>
      </c>
      <c r="AL32" s="52" t="str">
        <f t="shared" si="29"/>
        <v>2 : 4</v>
      </c>
      <c r="AM32" s="22">
        <f t="shared" si="30"/>
        <v>2</v>
      </c>
      <c r="AN32" s="22">
        <f t="shared" si="31"/>
        <v>4</v>
      </c>
      <c r="AO32" s="22">
        <f t="shared" si="32"/>
        <v>37</v>
      </c>
      <c r="AP32" s="22" t="str">
        <f t="shared" si="33"/>
        <v>X</v>
      </c>
      <c r="AQ32" s="22" t="str">
        <f t="shared" si="34"/>
        <v>X</v>
      </c>
      <c r="AR32" s="22" t="str">
        <f t="shared" si="35"/>
        <v>X</v>
      </c>
      <c r="AS32" s="22" t="str">
        <f t="shared" si="36"/>
        <v>X</v>
      </c>
      <c r="AT32" s="22" t="str">
        <f t="shared" si="37"/>
        <v>X</v>
      </c>
      <c r="AU32" s="22" t="str">
        <f t="shared" si="38"/>
        <v>X</v>
      </c>
      <c r="AV32" s="22" t="str">
        <f t="shared" si="39"/>
        <v>X</v>
      </c>
      <c r="AW32" s="22" t="str">
        <f t="shared" si="40"/>
        <v>X</v>
      </c>
      <c r="AX32" s="22" t="str">
        <f t="shared" si="41"/>
        <v>O</v>
      </c>
      <c r="AY32" s="22" t="str">
        <f t="shared" si="42"/>
        <v>X</v>
      </c>
      <c r="AZ32" s="22" t="str">
        <f t="shared" si="43"/>
        <v>X</v>
      </c>
      <c r="BA32" s="22" t="str">
        <f t="shared" si="44"/>
        <v>O</v>
      </c>
      <c r="BB32" s="22">
        <f t="shared" si="45"/>
        <v>2</v>
      </c>
      <c r="BC32" s="22" t="str">
        <f t="shared" si="7"/>
        <v>1G</v>
      </c>
      <c r="BD32" s="22" t="str">
        <f t="shared" si="8"/>
        <v>2G</v>
      </c>
      <c r="BE32" s="22" t="str">
        <f t="shared" si="9"/>
        <v>2G</v>
      </c>
      <c r="BF32" s="22" t="str">
        <f t="shared" si="10"/>
        <v>2G</v>
      </c>
      <c r="BG32" s="22" t="str">
        <f t="shared" si="11"/>
        <v>3G</v>
      </c>
      <c r="BH32" s="22" t="str">
        <f t="shared" si="12"/>
        <v>3G</v>
      </c>
      <c r="BI32" s="22">
        <f t="shared" si="46"/>
        <v>1</v>
      </c>
      <c r="BJ32" s="22">
        <f t="shared" si="47"/>
        <v>3</v>
      </c>
      <c r="BK32" s="22">
        <f t="shared" si="48"/>
        <v>2</v>
      </c>
      <c r="BL32" s="22" t="str">
        <f t="shared" si="49"/>
        <v>132</v>
      </c>
      <c r="BO32" s="39">
        <v>12</v>
      </c>
      <c r="BP32" s="40">
        <f t="shared" si="13"/>
        <v>110</v>
      </c>
      <c r="BQ32" s="41">
        <f t="shared" si="14"/>
        <v>26</v>
      </c>
      <c r="BR32" s="61">
        <v>28</v>
      </c>
      <c r="BS32" s="24">
        <f t="shared" si="59"/>
        <v>35</v>
      </c>
      <c r="BT32" s="24">
        <f t="shared" si="50"/>
        <v>35</v>
      </c>
      <c r="BU32" s="51">
        <f t="shared" si="51"/>
        <v>70</v>
      </c>
      <c r="BV32" s="22" t="str">
        <f t="shared" si="52"/>
        <v>당첨</v>
      </c>
      <c r="BW32" s="22" t="s">
        <v>707</v>
      </c>
      <c r="BX32" s="26">
        <v>8</v>
      </c>
      <c r="BY32" s="25">
        <v>12</v>
      </c>
      <c r="BZ32" s="25">
        <v>9</v>
      </c>
      <c r="CA32" s="25">
        <v>21</v>
      </c>
      <c r="CB32" s="96" t="s">
        <v>530</v>
      </c>
      <c r="CC32" s="22" t="str">
        <f t="shared" si="60"/>
        <v>짝수</v>
      </c>
      <c r="CD32" s="23">
        <f t="shared" si="61"/>
        <v>25</v>
      </c>
      <c r="CF32" s="79">
        <v>28</v>
      </c>
      <c r="CG32" s="47">
        <v>40</v>
      </c>
      <c r="CH32" s="47">
        <f t="shared" si="17"/>
        <v>4</v>
      </c>
      <c r="CI32" s="65">
        <f t="shared" si="18"/>
        <v>5.5788005578800556E-3</v>
      </c>
      <c r="CJ32" s="47">
        <f t="shared" si="19"/>
        <v>28</v>
      </c>
      <c r="CL32" s="23">
        <v>86</v>
      </c>
      <c r="CM32" s="23">
        <v>80</v>
      </c>
      <c r="CO32"/>
    </row>
    <row r="33" spans="2:93" ht="17">
      <c r="B33" s="15">
        <v>29</v>
      </c>
      <c r="C33" s="23" t="s">
        <v>59</v>
      </c>
      <c r="D33" s="16">
        <v>5</v>
      </c>
      <c r="E33" s="17">
        <v>3552594000</v>
      </c>
      <c r="F33" s="16">
        <v>17</v>
      </c>
      <c r="G33" s="17">
        <v>174146700</v>
      </c>
      <c r="H33" s="16">
        <v>752</v>
      </c>
      <c r="I33" s="17">
        <v>3936800</v>
      </c>
      <c r="J33" s="17">
        <v>42347</v>
      </c>
      <c r="K33" s="17">
        <v>139800</v>
      </c>
      <c r="L33" s="17">
        <v>765661</v>
      </c>
      <c r="M33" s="17">
        <v>10000</v>
      </c>
      <c r="N33" s="23">
        <v>1</v>
      </c>
      <c r="O33" s="23">
        <v>5</v>
      </c>
      <c r="P33" s="23">
        <v>13</v>
      </c>
      <c r="Q33" s="23">
        <v>34</v>
      </c>
      <c r="R33" s="23">
        <v>39</v>
      </c>
      <c r="S33" s="23">
        <v>40</v>
      </c>
      <c r="T33" s="23">
        <v>11</v>
      </c>
      <c r="U33" s="23">
        <f t="shared" si="22"/>
        <v>132</v>
      </c>
      <c r="W33" s="22" t="str">
        <f t="shared" si="0"/>
        <v>홀수</v>
      </c>
      <c r="X33" s="22" t="str">
        <f t="shared" si="1"/>
        <v>홀수</v>
      </c>
      <c r="Y33" s="22" t="str">
        <f t="shared" si="2"/>
        <v>홀수</v>
      </c>
      <c r="Z33" s="22" t="str">
        <f t="shared" si="53"/>
        <v>짝수</v>
      </c>
      <c r="AA33" s="22" t="str">
        <f t="shared" si="54"/>
        <v>홀수</v>
      </c>
      <c r="AB33" s="22" t="str">
        <f t="shared" si="55"/>
        <v>짝수</v>
      </c>
      <c r="AC33" s="52" t="str">
        <f t="shared" si="56"/>
        <v>4 : 2</v>
      </c>
      <c r="AD33" s="22">
        <f t="shared" si="57"/>
        <v>4</v>
      </c>
      <c r="AE33" s="22">
        <f t="shared" si="58"/>
        <v>2</v>
      </c>
      <c r="AF33" s="22" t="str">
        <f t="shared" si="23"/>
        <v>저수</v>
      </c>
      <c r="AG33" s="22" t="str">
        <f t="shared" si="24"/>
        <v>저수</v>
      </c>
      <c r="AH33" s="22" t="str">
        <f t="shared" si="25"/>
        <v>저수</v>
      </c>
      <c r="AI33" s="22" t="str">
        <f t="shared" si="26"/>
        <v>고수</v>
      </c>
      <c r="AJ33" s="22" t="str">
        <f t="shared" si="27"/>
        <v>고수</v>
      </c>
      <c r="AK33" s="22" t="str">
        <f t="shared" si="28"/>
        <v>고수</v>
      </c>
      <c r="AL33" s="52" t="str">
        <f t="shared" si="29"/>
        <v>3 : 3</v>
      </c>
      <c r="AM33" s="22">
        <f t="shared" si="30"/>
        <v>3</v>
      </c>
      <c r="AN33" s="22">
        <f t="shared" si="31"/>
        <v>3</v>
      </c>
      <c r="AO33" s="22">
        <f t="shared" si="32"/>
        <v>22</v>
      </c>
      <c r="AP33" s="22" t="str">
        <f t="shared" si="33"/>
        <v>X</v>
      </c>
      <c r="AQ33" s="22" t="str">
        <f t="shared" si="34"/>
        <v>O</v>
      </c>
      <c r="AR33" s="22" t="str">
        <f t="shared" si="35"/>
        <v>O</v>
      </c>
      <c r="AS33" s="22" t="str">
        <f t="shared" si="36"/>
        <v>X</v>
      </c>
      <c r="AT33" s="22" t="str">
        <f t="shared" si="37"/>
        <v>X</v>
      </c>
      <c r="AU33" s="22" t="str">
        <f t="shared" si="38"/>
        <v>X</v>
      </c>
      <c r="AV33" s="22" t="str">
        <f t="shared" si="39"/>
        <v>X</v>
      </c>
      <c r="AW33" s="22" t="str">
        <f t="shared" si="40"/>
        <v>X</v>
      </c>
      <c r="AX33" s="22" t="str">
        <f t="shared" si="41"/>
        <v>X</v>
      </c>
      <c r="AY33" s="22" t="str">
        <f t="shared" si="42"/>
        <v>X</v>
      </c>
      <c r="AZ33" s="22" t="str">
        <f t="shared" si="43"/>
        <v>X</v>
      </c>
      <c r="BA33" s="22" t="str">
        <f t="shared" si="44"/>
        <v>X</v>
      </c>
      <c r="BB33" s="22">
        <f t="shared" si="45"/>
        <v>2</v>
      </c>
      <c r="BC33" s="22" t="str">
        <f t="shared" si="7"/>
        <v>1G</v>
      </c>
      <c r="BD33" s="22" t="str">
        <f t="shared" si="8"/>
        <v>1G</v>
      </c>
      <c r="BE33" s="22" t="str">
        <f t="shared" si="9"/>
        <v>1G</v>
      </c>
      <c r="BF33" s="22" t="str">
        <f t="shared" si="10"/>
        <v>3G</v>
      </c>
      <c r="BG33" s="22" t="str">
        <f t="shared" si="11"/>
        <v>3G</v>
      </c>
      <c r="BH33" s="22" t="str">
        <f t="shared" si="12"/>
        <v>3G</v>
      </c>
      <c r="BI33" s="22">
        <f t="shared" si="46"/>
        <v>3</v>
      </c>
      <c r="BJ33" s="22">
        <f t="shared" si="47"/>
        <v>0</v>
      </c>
      <c r="BK33" s="22">
        <f t="shared" si="48"/>
        <v>3</v>
      </c>
      <c r="BL33" s="22" t="str">
        <f t="shared" si="49"/>
        <v>303</v>
      </c>
      <c r="BO33" s="33">
        <v>18</v>
      </c>
      <c r="BP33" s="34">
        <f t="shared" si="13"/>
        <v>109</v>
      </c>
      <c r="BQ33" s="35">
        <f t="shared" si="14"/>
        <v>30</v>
      </c>
      <c r="BR33" s="61">
        <v>29</v>
      </c>
      <c r="BS33" s="24">
        <f t="shared" si="59"/>
        <v>32</v>
      </c>
      <c r="BT33" s="24">
        <f t="shared" si="50"/>
        <v>31</v>
      </c>
      <c r="BU33" s="51">
        <f t="shared" si="51"/>
        <v>63</v>
      </c>
      <c r="BV33" s="22" t="str">
        <f t="shared" si="52"/>
        <v>당첨</v>
      </c>
      <c r="BW33" s="22" t="s">
        <v>707</v>
      </c>
      <c r="BX33" s="26">
        <v>10</v>
      </c>
      <c r="BY33" s="25">
        <v>11</v>
      </c>
      <c r="BZ33" s="25">
        <v>11</v>
      </c>
      <c r="CA33" s="25">
        <v>22</v>
      </c>
      <c r="CB33" s="96" t="s">
        <v>530</v>
      </c>
      <c r="CC33" s="22" t="str">
        <f t="shared" si="60"/>
        <v>짝수</v>
      </c>
      <c r="CD33" s="23">
        <f t="shared" si="61"/>
        <v>30</v>
      </c>
      <c r="CF33" s="79">
        <v>29</v>
      </c>
      <c r="CG33" s="47">
        <v>11</v>
      </c>
      <c r="CH33" s="47">
        <f t="shared" si="17"/>
        <v>3</v>
      </c>
      <c r="CI33" s="65">
        <f t="shared" si="18"/>
        <v>4.1841004184100415E-3</v>
      </c>
      <c r="CJ33" s="47">
        <f t="shared" si="19"/>
        <v>29</v>
      </c>
      <c r="CL33" s="23">
        <v>86</v>
      </c>
      <c r="CM33" s="23">
        <v>80</v>
      </c>
      <c r="CO33"/>
    </row>
    <row r="34" spans="2:93" ht="17">
      <c r="B34" s="15">
        <v>30</v>
      </c>
      <c r="C34" s="23" t="s">
        <v>60</v>
      </c>
      <c r="D34" s="16">
        <v>2</v>
      </c>
      <c r="E34" s="17">
        <v>8728555500</v>
      </c>
      <c r="F34" s="16">
        <v>22</v>
      </c>
      <c r="G34" s="17">
        <v>132250800</v>
      </c>
      <c r="H34" s="16">
        <v>872</v>
      </c>
      <c r="I34" s="17">
        <v>3336600</v>
      </c>
      <c r="J34" s="17">
        <v>42319</v>
      </c>
      <c r="K34" s="17">
        <v>137500</v>
      </c>
      <c r="L34" s="17">
        <v>710466</v>
      </c>
      <c r="M34" s="17">
        <v>10000</v>
      </c>
      <c r="N34" s="23">
        <v>8</v>
      </c>
      <c r="O34" s="23">
        <v>17</v>
      </c>
      <c r="P34" s="23">
        <v>20</v>
      </c>
      <c r="Q34" s="23">
        <v>35</v>
      </c>
      <c r="R34" s="23">
        <v>36</v>
      </c>
      <c r="S34" s="23">
        <v>44</v>
      </c>
      <c r="T34" s="23">
        <v>4</v>
      </c>
      <c r="U34" s="23">
        <f t="shared" si="22"/>
        <v>160</v>
      </c>
      <c r="W34" s="22" t="str">
        <f t="shared" si="0"/>
        <v>짝수</v>
      </c>
      <c r="X34" s="22" t="str">
        <f t="shared" si="1"/>
        <v>홀수</v>
      </c>
      <c r="Y34" s="22" t="str">
        <f t="shared" si="2"/>
        <v>짝수</v>
      </c>
      <c r="Z34" s="22" t="str">
        <f t="shared" si="53"/>
        <v>홀수</v>
      </c>
      <c r="AA34" s="22" t="str">
        <f t="shared" si="54"/>
        <v>짝수</v>
      </c>
      <c r="AB34" s="22" t="str">
        <f t="shared" si="55"/>
        <v>짝수</v>
      </c>
      <c r="AC34" s="52" t="str">
        <f t="shared" si="56"/>
        <v>2 : 4</v>
      </c>
      <c r="AD34" s="22">
        <f t="shared" si="57"/>
        <v>2</v>
      </c>
      <c r="AE34" s="22">
        <f t="shared" si="58"/>
        <v>4</v>
      </c>
      <c r="AF34" s="22" t="str">
        <f t="shared" si="23"/>
        <v>저수</v>
      </c>
      <c r="AG34" s="22" t="str">
        <f t="shared" si="24"/>
        <v>저수</v>
      </c>
      <c r="AH34" s="22" t="str">
        <f t="shared" si="25"/>
        <v>저수</v>
      </c>
      <c r="AI34" s="22" t="str">
        <f t="shared" si="26"/>
        <v>고수</v>
      </c>
      <c r="AJ34" s="22" t="str">
        <f t="shared" si="27"/>
        <v>고수</v>
      </c>
      <c r="AK34" s="22" t="str">
        <f t="shared" si="28"/>
        <v>고수</v>
      </c>
      <c r="AL34" s="52" t="str">
        <f t="shared" si="29"/>
        <v>3 : 3</v>
      </c>
      <c r="AM34" s="22">
        <f t="shared" si="30"/>
        <v>3</v>
      </c>
      <c r="AN34" s="22">
        <f t="shared" si="31"/>
        <v>3</v>
      </c>
      <c r="AO34" s="22">
        <f t="shared" si="32"/>
        <v>30</v>
      </c>
      <c r="AP34" s="22" t="str">
        <f t="shared" si="33"/>
        <v>X</v>
      </c>
      <c r="AQ34" s="22" t="str">
        <f t="shared" si="34"/>
        <v>O</v>
      </c>
      <c r="AR34" s="22" t="str">
        <f t="shared" si="35"/>
        <v>X</v>
      </c>
      <c r="AS34" s="22" t="str">
        <f t="shared" si="36"/>
        <v>X</v>
      </c>
      <c r="AT34" s="22" t="str">
        <f t="shared" si="37"/>
        <v>X</v>
      </c>
      <c r="AU34" s="22" t="str">
        <f t="shared" si="38"/>
        <v>X</v>
      </c>
      <c r="AV34" s="22" t="str">
        <f t="shared" si="39"/>
        <v>X</v>
      </c>
      <c r="AW34" s="22" t="str">
        <f t="shared" si="40"/>
        <v>X</v>
      </c>
      <c r="AX34" s="22" t="str">
        <f t="shared" si="41"/>
        <v>X</v>
      </c>
      <c r="AY34" s="22" t="str">
        <f t="shared" si="42"/>
        <v>X</v>
      </c>
      <c r="AZ34" s="22" t="str">
        <f t="shared" si="43"/>
        <v>X</v>
      </c>
      <c r="BA34" s="22" t="str">
        <f t="shared" si="44"/>
        <v>X</v>
      </c>
      <c r="BB34" s="22">
        <f t="shared" si="45"/>
        <v>1</v>
      </c>
      <c r="BC34" s="22" t="str">
        <f t="shared" si="7"/>
        <v>1G</v>
      </c>
      <c r="BD34" s="22" t="str">
        <f t="shared" si="8"/>
        <v>2G</v>
      </c>
      <c r="BE34" s="22" t="str">
        <f t="shared" si="9"/>
        <v>2G</v>
      </c>
      <c r="BF34" s="22" t="str">
        <f t="shared" si="10"/>
        <v>3G</v>
      </c>
      <c r="BG34" s="22" t="str">
        <f t="shared" si="11"/>
        <v>3G</v>
      </c>
      <c r="BH34" s="22" t="str">
        <f t="shared" si="12"/>
        <v>3G</v>
      </c>
      <c r="BI34" s="22">
        <f t="shared" si="46"/>
        <v>1</v>
      </c>
      <c r="BJ34" s="22">
        <f t="shared" si="47"/>
        <v>2</v>
      </c>
      <c r="BK34" s="22">
        <f t="shared" si="48"/>
        <v>3</v>
      </c>
      <c r="BL34" s="22" t="str">
        <f t="shared" si="49"/>
        <v>123</v>
      </c>
      <c r="BO34" s="39">
        <v>38</v>
      </c>
      <c r="BP34" s="40">
        <f t="shared" si="13"/>
        <v>108</v>
      </c>
      <c r="BQ34" s="41">
        <f t="shared" si="14"/>
        <v>33</v>
      </c>
      <c r="BR34" s="61">
        <v>30</v>
      </c>
      <c r="BS34" s="24">
        <f t="shared" si="59"/>
        <v>30</v>
      </c>
      <c r="BT34" s="24">
        <f t="shared" si="50"/>
        <v>29</v>
      </c>
      <c r="BU34" s="51">
        <f t="shared" si="51"/>
        <v>59</v>
      </c>
      <c r="BV34" s="22" t="str">
        <f t="shared" si="52"/>
        <v>당첨</v>
      </c>
      <c r="BW34" s="22" t="s">
        <v>707</v>
      </c>
      <c r="BX34" s="26">
        <v>39</v>
      </c>
      <c r="BY34" s="25">
        <v>11</v>
      </c>
      <c r="BZ34" s="25">
        <v>11</v>
      </c>
      <c r="CA34" s="25">
        <v>22</v>
      </c>
      <c r="CB34" s="96" t="s">
        <v>530</v>
      </c>
      <c r="CC34" s="22" t="str">
        <f t="shared" si="60"/>
        <v>홀수</v>
      </c>
      <c r="CD34" s="23">
        <f t="shared" si="61"/>
        <v>30</v>
      </c>
      <c r="CF34" s="79">
        <v>30</v>
      </c>
      <c r="CG34" s="47">
        <v>42</v>
      </c>
      <c r="CH34" s="47">
        <f t="shared" si="17"/>
        <v>6</v>
      </c>
      <c r="CI34" s="65">
        <f t="shared" si="18"/>
        <v>8.368200836820083E-3</v>
      </c>
      <c r="CJ34" s="47">
        <f t="shared" si="19"/>
        <v>26</v>
      </c>
      <c r="CL34" s="23">
        <v>87</v>
      </c>
      <c r="CM34" s="23">
        <v>80</v>
      </c>
      <c r="CO34"/>
    </row>
    <row r="35" spans="2:93" ht="17">
      <c r="B35" s="15">
        <v>31</v>
      </c>
      <c r="C35" s="23" t="s">
        <v>61</v>
      </c>
      <c r="D35" s="16">
        <v>2</v>
      </c>
      <c r="E35" s="17">
        <v>8106672900</v>
      </c>
      <c r="F35" s="16">
        <v>29</v>
      </c>
      <c r="G35" s="17">
        <v>93180100</v>
      </c>
      <c r="H35" s="17">
        <v>1130</v>
      </c>
      <c r="I35" s="17">
        <v>2391300</v>
      </c>
      <c r="J35" s="17">
        <v>58406</v>
      </c>
      <c r="K35" s="17">
        <v>92500</v>
      </c>
      <c r="L35" s="17">
        <v>863641</v>
      </c>
      <c r="M35" s="17">
        <v>10000</v>
      </c>
      <c r="N35" s="23">
        <v>7</v>
      </c>
      <c r="O35" s="23">
        <v>9</v>
      </c>
      <c r="P35" s="23">
        <v>18</v>
      </c>
      <c r="Q35" s="23">
        <v>23</v>
      </c>
      <c r="R35" s="23">
        <v>28</v>
      </c>
      <c r="S35" s="23">
        <v>35</v>
      </c>
      <c r="T35" s="23">
        <v>32</v>
      </c>
      <c r="U35" s="23">
        <f t="shared" si="22"/>
        <v>120</v>
      </c>
      <c r="W35" s="22" t="str">
        <f t="shared" si="0"/>
        <v>홀수</v>
      </c>
      <c r="X35" s="22" t="str">
        <f t="shared" si="1"/>
        <v>홀수</v>
      </c>
      <c r="Y35" s="22" t="str">
        <f t="shared" si="2"/>
        <v>짝수</v>
      </c>
      <c r="Z35" s="22" t="str">
        <f t="shared" si="53"/>
        <v>홀수</v>
      </c>
      <c r="AA35" s="22" t="str">
        <f t="shared" si="54"/>
        <v>짝수</v>
      </c>
      <c r="AB35" s="22" t="str">
        <f t="shared" si="55"/>
        <v>홀수</v>
      </c>
      <c r="AC35" s="52" t="str">
        <f t="shared" si="56"/>
        <v>4 : 2</v>
      </c>
      <c r="AD35" s="22">
        <f t="shared" si="57"/>
        <v>4</v>
      </c>
      <c r="AE35" s="22">
        <f t="shared" si="58"/>
        <v>2</v>
      </c>
      <c r="AF35" s="22" t="str">
        <f t="shared" si="23"/>
        <v>저수</v>
      </c>
      <c r="AG35" s="22" t="str">
        <f t="shared" si="24"/>
        <v>저수</v>
      </c>
      <c r="AH35" s="22" t="str">
        <f t="shared" si="25"/>
        <v>저수</v>
      </c>
      <c r="AI35" s="22" t="str">
        <f t="shared" si="26"/>
        <v>고수</v>
      </c>
      <c r="AJ35" s="22" t="str">
        <f t="shared" si="27"/>
        <v>고수</v>
      </c>
      <c r="AK35" s="22" t="str">
        <f t="shared" si="28"/>
        <v>고수</v>
      </c>
      <c r="AL35" s="52" t="str">
        <f t="shared" si="29"/>
        <v>3 : 3</v>
      </c>
      <c r="AM35" s="22">
        <f t="shared" si="30"/>
        <v>3</v>
      </c>
      <c r="AN35" s="22">
        <f t="shared" si="31"/>
        <v>3</v>
      </c>
      <c r="AO35" s="22">
        <f t="shared" si="32"/>
        <v>40</v>
      </c>
      <c r="AP35" s="22" t="str">
        <f t="shared" si="33"/>
        <v>O</v>
      </c>
      <c r="AQ35" s="22" t="str">
        <f t="shared" si="34"/>
        <v>X</v>
      </c>
      <c r="AR35" s="22" t="str">
        <f t="shared" si="35"/>
        <v>X</v>
      </c>
      <c r="AS35" s="22" t="str">
        <f t="shared" si="36"/>
        <v>X</v>
      </c>
      <c r="AT35" s="22" t="str">
        <f t="shared" si="37"/>
        <v>X</v>
      </c>
      <c r="AU35" s="22" t="str">
        <f t="shared" si="38"/>
        <v>X</v>
      </c>
      <c r="AV35" s="22" t="str">
        <f t="shared" si="39"/>
        <v>X</v>
      </c>
      <c r="AW35" s="22" t="str">
        <f t="shared" si="40"/>
        <v>X</v>
      </c>
      <c r="AX35" s="22" t="str">
        <f t="shared" si="41"/>
        <v>X</v>
      </c>
      <c r="AY35" s="22" t="str">
        <f t="shared" si="42"/>
        <v>O</v>
      </c>
      <c r="AZ35" s="22" t="str">
        <f t="shared" si="43"/>
        <v>X</v>
      </c>
      <c r="BA35" s="22" t="str">
        <f t="shared" si="44"/>
        <v>X</v>
      </c>
      <c r="BB35" s="22">
        <f t="shared" si="45"/>
        <v>2</v>
      </c>
      <c r="BC35" s="22" t="str">
        <f t="shared" si="7"/>
        <v>1G</v>
      </c>
      <c r="BD35" s="22" t="str">
        <f t="shared" si="8"/>
        <v>1G</v>
      </c>
      <c r="BE35" s="22" t="str">
        <f t="shared" si="9"/>
        <v>2G</v>
      </c>
      <c r="BF35" s="22" t="str">
        <f t="shared" si="10"/>
        <v>2G</v>
      </c>
      <c r="BG35" s="22" t="str">
        <f t="shared" si="11"/>
        <v>2G</v>
      </c>
      <c r="BH35" s="22" t="str">
        <f t="shared" si="12"/>
        <v>3G</v>
      </c>
      <c r="BI35" s="22">
        <f t="shared" si="46"/>
        <v>2</v>
      </c>
      <c r="BJ35" s="22">
        <f t="shared" si="47"/>
        <v>3</v>
      </c>
      <c r="BK35" s="22">
        <f t="shared" si="48"/>
        <v>1</v>
      </c>
      <c r="BL35" s="22" t="str">
        <f t="shared" si="49"/>
        <v>231</v>
      </c>
      <c r="BO35" s="36">
        <v>10</v>
      </c>
      <c r="BP35" s="37">
        <f t="shared" si="13"/>
        <v>111</v>
      </c>
      <c r="BQ35" s="38">
        <f t="shared" si="14"/>
        <v>24</v>
      </c>
      <c r="BR35" s="109">
        <v>31</v>
      </c>
      <c r="BS35" s="24">
        <f t="shared" si="59"/>
        <v>39</v>
      </c>
      <c r="BT35" s="24">
        <f t="shared" si="50"/>
        <v>38</v>
      </c>
      <c r="BU35" s="51">
        <f t="shared" si="51"/>
        <v>77</v>
      </c>
      <c r="BV35" s="22" t="str">
        <f t="shared" si="52"/>
        <v>당첨</v>
      </c>
      <c r="BW35" s="22" t="s">
        <v>708</v>
      </c>
      <c r="BX35" s="195">
        <v>38</v>
      </c>
      <c r="BY35" s="25">
        <v>11</v>
      </c>
      <c r="BZ35" s="25">
        <v>9</v>
      </c>
      <c r="CA35" s="25">
        <v>20</v>
      </c>
      <c r="CB35" s="96" t="s">
        <v>530</v>
      </c>
      <c r="CC35" s="22" t="str">
        <f t="shared" si="60"/>
        <v>짝수</v>
      </c>
      <c r="CD35" s="23">
        <f t="shared" si="61"/>
        <v>30</v>
      </c>
      <c r="CF35" s="79">
        <v>31</v>
      </c>
      <c r="CG35" s="47">
        <v>9</v>
      </c>
      <c r="CH35" s="47">
        <f t="shared" si="17"/>
        <v>1</v>
      </c>
      <c r="CI35" s="65">
        <f t="shared" si="18"/>
        <v>1.3947001394700139E-3</v>
      </c>
      <c r="CJ35" s="47">
        <f t="shared" si="19"/>
        <v>32</v>
      </c>
      <c r="CL35" s="23">
        <v>87</v>
      </c>
      <c r="CM35" s="23">
        <v>80</v>
      </c>
      <c r="CO35"/>
    </row>
    <row r="36" spans="2:93" ht="17">
      <c r="B36" s="15">
        <v>32</v>
      </c>
      <c r="C36" s="23" t="s">
        <v>62</v>
      </c>
      <c r="D36" s="16">
        <v>10</v>
      </c>
      <c r="E36" s="17">
        <v>1634528300</v>
      </c>
      <c r="F36" s="16">
        <v>49</v>
      </c>
      <c r="G36" s="17">
        <v>55596200</v>
      </c>
      <c r="H36" s="17">
        <v>1203</v>
      </c>
      <c r="I36" s="17">
        <v>2264500</v>
      </c>
      <c r="J36" s="17">
        <v>52704</v>
      </c>
      <c r="K36" s="17">
        <v>103300</v>
      </c>
      <c r="L36" s="17">
        <v>834746</v>
      </c>
      <c r="M36" s="17">
        <v>10000</v>
      </c>
      <c r="N36" s="23">
        <v>6</v>
      </c>
      <c r="O36" s="23">
        <v>14</v>
      </c>
      <c r="P36" s="23">
        <v>19</v>
      </c>
      <c r="Q36" s="23">
        <v>25</v>
      </c>
      <c r="R36" s="23">
        <v>34</v>
      </c>
      <c r="S36" s="23">
        <v>44</v>
      </c>
      <c r="T36" s="23">
        <v>11</v>
      </c>
      <c r="U36" s="23">
        <f t="shared" si="22"/>
        <v>142</v>
      </c>
      <c r="W36" s="22" t="str">
        <f t="shared" si="0"/>
        <v>짝수</v>
      </c>
      <c r="X36" s="22" t="str">
        <f t="shared" si="1"/>
        <v>짝수</v>
      </c>
      <c r="Y36" s="22" t="str">
        <f t="shared" si="2"/>
        <v>홀수</v>
      </c>
      <c r="Z36" s="22" t="str">
        <f t="shared" si="53"/>
        <v>홀수</v>
      </c>
      <c r="AA36" s="22" t="str">
        <f t="shared" si="54"/>
        <v>짝수</v>
      </c>
      <c r="AB36" s="22" t="str">
        <f t="shared" si="55"/>
        <v>짝수</v>
      </c>
      <c r="AC36" s="52" t="str">
        <f t="shared" si="56"/>
        <v>2 : 4</v>
      </c>
      <c r="AD36" s="22">
        <f t="shared" si="57"/>
        <v>2</v>
      </c>
      <c r="AE36" s="22">
        <f t="shared" si="58"/>
        <v>4</v>
      </c>
      <c r="AF36" s="22" t="str">
        <f t="shared" si="23"/>
        <v>저수</v>
      </c>
      <c r="AG36" s="22" t="str">
        <f t="shared" si="24"/>
        <v>저수</v>
      </c>
      <c r="AH36" s="22" t="str">
        <f t="shared" si="25"/>
        <v>저수</v>
      </c>
      <c r="AI36" s="22" t="str">
        <f t="shared" si="26"/>
        <v>고수</v>
      </c>
      <c r="AJ36" s="22" t="str">
        <f t="shared" si="27"/>
        <v>고수</v>
      </c>
      <c r="AK36" s="22" t="str">
        <f t="shared" si="28"/>
        <v>고수</v>
      </c>
      <c r="AL36" s="52" t="str">
        <f t="shared" si="29"/>
        <v>3 : 3</v>
      </c>
      <c r="AM36" s="22">
        <f t="shared" si="30"/>
        <v>3</v>
      </c>
      <c r="AN36" s="22">
        <f t="shared" si="31"/>
        <v>3</v>
      </c>
      <c r="AO36" s="22">
        <f t="shared" si="32"/>
        <v>32</v>
      </c>
      <c r="AP36" s="22" t="str">
        <f t="shared" si="33"/>
        <v>X</v>
      </c>
      <c r="AQ36" s="22" t="str">
        <f t="shared" si="34"/>
        <v>X</v>
      </c>
      <c r="AR36" s="22" t="str">
        <f t="shared" si="35"/>
        <v>O</v>
      </c>
      <c r="AS36" s="22" t="str">
        <f t="shared" si="36"/>
        <v>X</v>
      </c>
      <c r="AT36" s="22" t="str">
        <f t="shared" si="37"/>
        <v>X</v>
      </c>
      <c r="AU36" s="22" t="str">
        <f t="shared" si="38"/>
        <v>X</v>
      </c>
      <c r="AV36" s="22" t="str">
        <f t="shared" si="39"/>
        <v>X</v>
      </c>
      <c r="AW36" s="22" t="str">
        <f t="shared" si="40"/>
        <v>X</v>
      </c>
      <c r="AX36" s="22" t="str">
        <f t="shared" si="41"/>
        <v>X</v>
      </c>
      <c r="AY36" s="22" t="str">
        <f t="shared" si="42"/>
        <v>X</v>
      </c>
      <c r="AZ36" s="22" t="str">
        <f t="shared" si="43"/>
        <v>X</v>
      </c>
      <c r="BA36" s="22" t="str">
        <f t="shared" si="44"/>
        <v>X</v>
      </c>
      <c r="BB36" s="22">
        <f t="shared" si="45"/>
        <v>1</v>
      </c>
      <c r="BC36" s="22" t="str">
        <f t="shared" si="7"/>
        <v>1G</v>
      </c>
      <c r="BD36" s="22" t="str">
        <f t="shared" si="8"/>
        <v>1G</v>
      </c>
      <c r="BE36" s="22" t="str">
        <f t="shared" si="9"/>
        <v>2G</v>
      </c>
      <c r="BF36" s="22" t="str">
        <f t="shared" si="10"/>
        <v>2G</v>
      </c>
      <c r="BG36" s="22" t="str">
        <f t="shared" si="11"/>
        <v>3G</v>
      </c>
      <c r="BH36" s="22" t="str">
        <f t="shared" si="12"/>
        <v>3G</v>
      </c>
      <c r="BI36" s="22">
        <f t="shared" si="46"/>
        <v>2</v>
      </c>
      <c r="BJ36" s="22">
        <f t="shared" si="47"/>
        <v>2</v>
      </c>
      <c r="BK36" s="22">
        <f t="shared" si="48"/>
        <v>2</v>
      </c>
      <c r="BL36" s="22" t="str">
        <f t="shared" si="49"/>
        <v>222</v>
      </c>
      <c r="BO36" s="36">
        <v>16</v>
      </c>
      <c r="BP36" s="37">
        <f t="shared" si="13"/>
        <v>106</v>
      </c>
      <c r="BQ36" s="38">
        <f t="shared" si="14"/>
        <v>34</v>
      </c>
      <c r="BR36" s="109">
        <v>32</v>
      </c>
      <c r="BS36" s="24">
        <f t="shared" si="59"/>
        <v>33</v>
      </c>
      <c r="BT36" s="24">
        <f t="shared" si="50"/>
        <v>33</v>
      </c>
      <c r="BU36" s="51">
        <f t="shared" si="51"/>
        <v>66</v>
      </c>
      <c r="BV36" s="22" t="str">
        <f t="shared" si="52"/>
        <v>당첨</v>
      </c>
      <c r="BW36" s="22" t="s">
        <v>708</v>
      </c>
      <c r="BX36" s="110">
        <v>33</v>
      </c>
      <c r="BY36" s="25">
        <v>8</v>
      </c>
      <c r="BZ36" s="25">
        <v>8</v>
      </c>
      <c r="CA36" s="25">
        <v>16</v>
      </c>
      <c r="CB36" s="96" t="s">
        <v>530</v>
      </c>
      <c r="CC36" s="22" t="str">
        <f>IF(RIGHT(BX39,1)="1","홀수",IF(RIGHT(BX39,1)="3","홀수",IF(RIGHT(BX39,1)="5","홀수",IF(RIGHT(BX39,1)="7","홀수",IF(RIGHT(BX39,1)="9","홀수","짝수")))))</f>
        <v>짝수</v>
      </c>
      <c r="CD36" s="23">
        <f>IF(CB36="당첨",RANK(BY39,$BY$5:$BY$49),"")</f>
        <v>33</v>
      </c>
      <c r="CF36" s="79">
        <v>32</v>
      </c>
      <c r="CG36" s="47">
        <v>41</v>
      </c>
      <c r="CH36" s="47">
        <f t="shared" si="17"/>
        <v>3</v>
      </c>
      <c r="CI36" s="65">
        <f t="shared" si="18"/>
        <v>4.1841004184100415E-3</v>
      </c>
      <c r="CJ36" s="47">
        <f t="shared" si="19"/>
        <v>29</v>
      </c>
      <c r="CL36" s="23">
        <v>87</v>
      </c>
      <c r="CM36" s="23">
        <v>80</v>
      </c>
      <c r="CO36"/>
    </row>
    <row r="37" spans="2:93" ht="17">
      <c r="B37" s="15">
        <v>33</v>
      </c>
      <c r="C37" s="23" t="s">
        <v>63</v>
      </c>
      <c r="D37" s="16">
        <v>1</v>
      </c>
      <c r="E37" s="17">
        <v>14903517600</v>
      </c>
      <c r="F37" s="16">
        <v>41</v>
      </c>
      <c r="G37" s="17">
        <v>60583400</v>
      </c>
      <c r="H37" s="17">
        <v>1063</v>
      </c>
      <c r="I37" s="17">
        <v>2336700</v>
      </c>
      <c r="J37" s="17">
        <v>52142</v>
      </c>
      <c r="K37" s="17">
        <v>95200</v>
      </c>
      <c r="L37" s="17">
        <v>888943</v>
      </c>
      <c r="M37" s="17">
        <v>10000</v>
      </c>
      <c r="N37" s="23">
        <v>4</v>
      </c>
      <c r="O37" s="23">
        <v>7</v>
      </c>
      <c r="P37" s="23">
        <v>32</v>
      </c>
      <c r="Q37" s="23">
        <v>33</v>
      </c>
      <c r="R37" s="23">
        <v>40</v>
      </c>
      <c r="S37" s="23">
        <v>41</v>
      </c>
      <c r="T37" s="23">
        <v>9</v>
      </c>
      <c r="U37" s="23">
        <f t="shared" si="22"/>
        <v>157</v>
      </c>
      <c r="W37" s="22" t="str">
        <f t="shared" si="0"/>
        <v>짝수</v>
      </c>
      <c r="X37" s="22" t="str">
        <f t="shared" si="1"/>
        <v>홀수</v>
      </c>
      <c r="Y37" s="22" t="str">
        <f t="shared" si="2"/>
        <v>짝수</v>
      </c>
      <c r="Z37" s="22" t="str">
        <f t="shared" si="53"/>
        <v>홀수</v>
      </c>
      <c r="AA37" s="22" t="str">
        <f t="shared" si="54"/>
        <v>짝수</v>
      </c>
      <c r="AB37" s="22" t="str">
        <f t="shared" si="55"/>
        <v>홀수</v>
      </c>
      <c r="AC37" s="52" t="str">
        <f t="shared" si="56"/>
        <v>3 : 3</v>
      </c>
      <c r="AD37" s="22">
        <f t="shared" si="57"/>
        <v>3</v>
      </c>
      <c r="AE37" s="22">
        <f t="shared" si="58"/>
        <v>3</v>
      </c>
      <c r="AF37" s="22" t="str">
        <f t="shared" si="23"/>
        <v>저수</v>
      </c>
      <c r="AG37" s="22" t="str">
        <f t="shared" si="24"/>
        <v>저수</v>
      </c>
      <c r="AH37" s="22" t="str">
        <f t="shared" si="25"/>
        <v>고수</v>
      </c>
      <c r="AI37" s="22" t="str">
        <f t="shared" si="26"/>
        <v>고수</v>
      </c>
      <c r="AJ37" s="22" t="str">
        <f t="shared" si="27"/>
        <v>고수</v>
      </c>
      <c r="AK37" s="22" t="str">
        <f t="shared" si="28"/>
        <v>고수</v>
      </c>
      <c r="AL37" s="52" t="str">
        <f t="shared" si="29"/>
        <v>2 : 4</v>
      </c>
      <c r="AM37" s="22">
        <f t="shared" si="30"/>
        <v>2</v>
      </c>
      <c r="AN37" s="22">
        <f t="shared" si="31"/>
        <v>4</v>
      </c>
      <c r="AO37" s="22">
        <f t="shared" si="32"/>
        <v>17</v>
      </c>
      <c r="AP37" s="22" t="str">
        <f t="shared" si="33"/>
        <v>X</v>
      </c>
      <c r="AQ37" s="22" t="str">
        <f t="shared" si="34"/>
        <v>O</v>
      </c>
      <c r="AR37" s="22" t="str">
        <f t="shared" si="35"/>
        <v>X</v>
      </c>
      <c r="AS37" s="22" t="str">
        <f t="shared" si="36"/>
        <v>X</v>
      </c>
      <c r="AT37" s="22" t="str">
        <f t="shared" si="37"/>
        <v>X</v>
      </c>
      <c r="AU37" s="22" t="str">
        <f t="shared" si="38"/>
        <v>X</v>
      </c>
      <c r="AV37" s="22" t="str">
        <f t="shared" si="39"/>
        <v>X</v>
      </c>
      <c r="AW37" s="22" t="str">
        <f t="shared" si="40"/>
        <v>X</v>
      </c>
      <c r="AX37" s="22" t="str">
        <f t="shared" si="41"/>
        <v>X</v>
      </c>
      <c r="AY37" s="22" t="str">
        <f t="shared" si="42"/>
        <v>X</v>
      </c>
      <c r="AZ37" s="22" t="str">
        <f t="shared" si="43"/>
        <v>X</v>
      </c>
      <c r="BA37" s="22" t="str">
        <f t="shared" si="44"/>
        <v>O</v>
      </c>
      <c r="BB37" s="22">
        <f t="shared" si="45"/>
        <v>2</v>
      </c>
      <c r="BC37" s="22" t="str">
        <f t="shared" si="7"/>
        <v>1G</v>
      </c>
      <c r="BD37" s="22" t="str">
        <f t="shared" si="8"/>
        <v>1G</v>
      </c>
      <c r="BE37" s="22" t="str">
        <f t="shared" si="9"/>
        <v>3G</v>
      </c>
      <c r="BF37" s="22" t="str">
        <f t="shared" si="10"/>
        <v>3G</v>
      </c>
      <c r="BG37" s="22" t="str">
        <f t="shared" si="11"/>
        <v>3G</v>
      </c>
      <c r="BH37" s="22" t="str">
        <f t="shared" si="12"/>
        <v>3G</v>
      </c>
      <c r="BI37" s="22">
        <f t="shared" si="46"/>
        <v>2</v>
      </c>
      <c r="BJ37" s="22">
        <f t="shared" si="47"/>
        <v>0</v>
      </c>
      <c r="BK37" s="22">
        <f t="shared" si="48"/>
        <v>4</v>
      </c>
      <c r="BL37" s="22" t="str">
        <f t="shared" si="49"/>
        <v>204</v>
      </c>
      <c r="BO37" s="30">
        <v>45</v>
      </c>
      <c r="BP37" s="31">
        <f t="shared" si="13"/>
        <v>110</v>
      </c>
      <c r="BQ37" s="32">
        <f t="shared" si="14"/>
        <v>26</v>
      </c>
      <c r="BR37" s="109">
        <v>33</v>
      </c>
      <c r="BS37" s="24">
        <f t="shared" si="59"/>
        <v>43</v>
      </c>
      <c r="BT37" s="24">
        <f t="shared" si="50"/>
        <v>43</v>
      </c>
      <c r="BU37" s="51">
        <f t="shared" si="51"/>
        <v>86</v>
      </c>
      <c r="BV37" s="22" t="str">
        <f t="shared" si="52"/>
        <v>당첨</v>
      </c>
      <c r="BW37" s="22" t="s">
        <v>708</v>
      </c>
      <c r="BX37" s="110">
        <v>3</v>
      </c>
      <c r="BY37" s="25">
        <v>10</v>
      </c>
      <c r="BZ37" s="25">
        <v>10</v>
      </c>
      <c r="CA37" s="25">
        <v>20</v>
      </c>
      <c r="CB37" s="96" t="s">
        <v>530</v>
      </c>
      <c r="CC37" s="22" t="str">
        <f t="shared" ref="CC37:CC43" si="62">IF(RIGHT(BX37,1)="1","홀수",IF(RIGHT(BX37,1)="3","홀수",IF(RIGHT(BX37,1)="5","홀수",IF(RIGHT(BX37,1)="7","홀수",IF(RIGHT(BX37,1)="9","홀수","짝수")))))</f>
        <v>홀수</v>
      </c>
      <c r="CD37" s="23">
        <f t="shared" ref="CD37:CD43" si="63">IF(CB37="당첨",RANK(BY37,$BY$5:$BY$49),"")</f>
        <v>33</v>
      </c>
      <c r="CF37" s="79">
        <v>33</v>
      </c>
      <c r="CG37" s="47">
        <v>43</v>
      </c>
      <c r="CH37" s="47">
        <f t="shared" si="17"/>
        <v>1</v>
      </c>
      <c r="CI37" s="65">
        <f t="shared" si="18"/>
        <v>1.3947001394700139E-3</v>
      </c>
      <c r="CJ37" s="47">
        <f t="shared" si="19"/>
        <v>32</v>
      </c>
      <c r="CL37" s="23">
        <v>88</v>
      </c>
      <c r="CM37" s="23">
        <v>80</v>
      </c>
      <c r="CO37"/>
    </row>
    <row r="38" spans="2:93" ht="17">
      <c r="B38" s="15">
        <v>34</v>
      </c>
      <c r="C38" s="23" t="s">
        <v>64</v>
      </c>
      <c r="D38" s="16">
        <v>5</v>
      </c>
      <c r="E38" s="17">
        <v>3056918000</v>
      </c>
      <c r="F38" s="16">
        <v>45</v>
      </c>
      <c r="G38" s="17">
        <v>56609500</v>
      </c>
      <c r="H38" s="17">
        <v>1264</v>
      </c>
      <c r="I38" s="17">
        <v>2015300</v>
      </c>
      <c r="J38" s="17">
        <v>68519</v>
      </c>
      <c r="K38" s="17">
        <v>74300</v>
      </c>
      <c r="L38" s="17">
        <v>922063</v>
      </c>
      <c r="M38" s="17">
        <v>10000</v>
      </c>
      <c r="N38" s="23">
        <v>9</v>
      </c>
      <c r="O38" s="23">
        <v>26</v>
      </c>
      <c r="P38" s="23">
        <v>35</v>
      </c>
      <c r="Q38" s="23">
        <v>37</v>
      </c>
      <c r="R38" s="23">
        <v>40</v>
      </c>
      <c r="S38" s="23">
        <v>42</v>
      </c>
      <c r="T38" s="23">
        <v>2</v>
      </c>
      <c r="U38" s="23">
        <f t="shared" si="22"/>
        <v>189</v>
      </c>
      <c r="W38" s="22" t="str">
        <f t="shared" si="0"/>
        <v>홀수</v>
      </c>
      <c r="X38" s="22" t="str">
        <f t="shared" si="1"/>
        <v>짝수</v>
      </c>
      <c r="Y38" s="22" t="str">
        <f t="shared" si="2"/>
        <v>홀수</v>
      </c>
      <c r="Z38" s="22" t="str">
        <f t="shared" si="53"/>
        <v>홀수</v>
      </c>
      <c r="AA38" s="22" t="str">
        <f t="shared" si="54"/>
        <v>짝수</v>
      </c>
      <c r="AB38" s="22" t="str">
        <f t="shared" si="55"/>
        <v>짝수</v>
      </c>
      <c r="AC38" s="52" t="str">
        <f t="shared" si="56"/>
        <v>3 : 3</v>
      </c>
      <c r="AD38" s="22">
        <f t="shared" si="57"/>
        <v>3</v>
      </c>
      <c r="AE38" s="22">
        <f t="shared" si="58"/>
        <v>3</v>
      </c>
      <c r="AF38" s="22" t="str">
        <f t="shared" si="23"/>
        <v>저수</v>
      </c>
      <c r="AG38" s="22" t="str">
        <f t="shared" si="24"/>
        <v>고수</v>
      </c>
      <c r="AH38" s="22" t="str">
        <f t="shared" si="25"/>
        <v>고수</v>
      </c>
      <c r="AI38" s="22" t="str">
        <f t="shared" si="26"/>
        <v>고수</v>
      </c>
      <c r="AJ38" s="22" t="str">
        <f t="shared" si="27"/>
        <v>고수</v>
      </c>
      <c r="AK38" s="22" t="str">
        <f t="shared" si="28"/>
        <v>고수</v>
      </c>
      <c r="AL38" s="52" t="str">
        <f t="shared" si="29"/>
        <v>1 : 5</v>
      </c>
      <c r="AM38" s="22">
        <f t="shared" si="30"/>
        <v>1</v>
      </c>
      <c r="AN38" s="22">
        <f t="shared" si="31"/>
        <v>5</v>
      </c>
      <c r="AO38" s="22">
        <f t="shared" si="32"/>
        <v>29</v>
      </c>
      <c r="AP38" s="22" t="str">
        <f t="shared" si="33"/>
        <v>X</v>
      </c>
      <c r="AQ38" s="22" t="str">
        <f t="shared" si="34"/>
        <v>X</v>
      </c>
      <c r="AR38" s="22" t="str">
        <f t="shared" si="35"/>
        <v>X</v>
      </c>
      <c r="AS38" s="22" t="str">
        <f t="shared" si="36"/>
        <v>X</v>
      </c>
      <c r="AT38" s="22" t="str">
        <f t="shared" si="37"/>
        <v>X</v>
      </c>
      <c r="AU38" s="22" t="str">
        <f t="shared" si="38"/>
        <v>X</v>
      </c>
      <c r="AV38" s="22" t="str">
        <f t="shared" si="39"/>
        <v>X</v>
      </c>
      <c r="AW38" s="22" t="str">
        <f t="shared" si="40"/>
        <v>X</v>
      </c>
      <c r="AX38" s="22" t="str">
        <f t="shared" si="41"/>
        <v>X</v>
      </c>
      <c r="AY38" s="22" t="str">
        <f t="shared" si="42"/>
        <v>O</v>
      </c>
      <c r="AZ38" s="22" t="str">
        <f t="shared" si="43"/>
        <v>X</v>
      </c>
      <c r="BA38" s="22" t="str">
        <f t="shared" si="44"/>
        <v>X</v>
      </c>
      <c r="BB38" s="22">
        <f t="shared" si="45"/>
        <v>1</v>
      </c>
      <c r="BC38" s="22" t="str">
        <f t="shared" si="7"/>
        <v>1G</v>
      </c>
      <c r="BD38" s="22" t="str">
        <f t="shared" si="8"/>
        <v>2G</v>
      </c>
      <c r="BE38" s="22" t="str">
        <f t="shared" si="9"/>
        <v>3G</v>
      </c>
      <c r="BF38" s="22" t="str">
        <f t="shared" si="10"/>
        <v>3G</v>
      </c>
      <c r="BG38" s="22" t="str">
        <f t="shared" si="11"/>
        <v>3G</v>
      </c>
      <c r="BH38" s="22" t="str">
        <f t="shared" si="12"/>
        <v>3G</v>
      </c>
      <c r="BI38" s="22">
        <f t="shared" si="46"/>
        <v>1</v>
      </c>
      <c r="BJ38" s="22">
        <f t="shared" si="47"/>
        <v>1</v>
      </c>
      <c r="BK38" s="22">
        <f t="shared" si="48"/>
        <v>4</v>
      </c>
      <c r="BL38" s="22" t="str">
        <f t="shared" si="49"/>
        <v>114</v>
      </c>
      <c r="BO38" s="33">
        <v>36</v>
      </c>
      <c r="BP38" s="34">
        <f t="shared" si="13"/>
        <v>104</v>
      </c>
      <c r="BQ38" s="35">
        <f t="shared" si="14"/>
        <v>36</v>
      </c>
      <c r="BR38" s="109">
        <v>34</v>
      </c>
      <c r="BS38" s="24">
        <f t="shared" si="59"/>
        <v>38</v>
      </c>
      <c r="BT38" s="24">
        <f t="shared" si="50"/>
        <v>38</v>
      </c>
      <c r="BU38" s="51">
        <f t="shared" si="51"/>
        <v>76</v>
      </c>
      <c r="BV38" s="22" t="str">
        <f t="shared" si="52"/>
        <v>당첨</v>
      </c>
      <c r="BW38" s="22" t="s">
        <v>708</v>
      </c>
      <c r="BX38" s="110">
        <v>28</v>
      </c>
      <c r="BY38" s="25">
        <v>10</v>
      </c>
      <c r="BZ38" s="25">
        <v>10</v>
      </c>
      <c r="CA38" s="25">
        <v>20</v>
      </c>
      <c r="CB38" s="96" t="s">
        <v>530</v>
      </c>
      <c r="CC38" s="22" t="str">
        <f t="shared" si="62"/>
        <v>짝수</v>
      </c>
      <c r="CD38" s="23">
        <f t="shared" si="63"/>
        <v>33</v>
      </c>
      <c r="CG38" s="47" t="s">
        <v>652</v>
      </c>
      <c r="CH38" s="47">
        <f>SUM(CH5:CH37)</f>
        <v>717</v>
      </c>
      <c r="CI38" s="65">
        <f>SUM(CI5:CI37)</f>
        <v>0.99999999999999978</v>
      </c>
      <c r="CL38" s="23">
        <v>88</v>
      </c>
      <c r="CM38" s="23">
        <v>80</v>
      </c>
      <c r="CO38"/>
    </row>
    <row r="39" spans="2:93" ht="17">
      <c r="B39" s="15">
        <v>35</v>
      </c>
      <c r="C39" s="23" t="s">
        <v>65</v>
      </c>
      <c r="D39" s="16">
        <v>3</v>
      </c>
      <c r="E39" s="17">
        <v>5054598200</v>
      </c>
      <c r="F39" s="16">
        <v>24</v>
      </c>
      <c r="G39" s="17">
        <v>105304100</v>
      </c>
      <c r="H39" s="16">
        <v>933</v>
      </c>
      <c r="I39" s="17">
        <v>2708700</v>
      </c>
      <c r="J39" s="17">
        <v>46866</v>
      </c>
      <c r="K39" s="17">
        <v>107800</v>
      </c>
      <c r="L39" s="17">
        <v>779854</v>
      </c>
      <c r="M39" s="17">
        <v>10000</v>
      </c>
      <c r="N39" s="23">
        <v>2</v>
      </c>
      <c r="O39" s="23">
        <v>3</v>
      </c>
      <c r="P39" s="23">
        <v>11</v>
      </c>
      <c r="Q39" s="23">
        <v>26</v>
      </c>
      <c r="R39" s="23">
        <v>37</v>
      </c>
      <c r="S39" s="23">
        <v>43</v>
      </c>
      <c r="T39" s="23">
        <v>39</v>
      </c>
      <c r="U39" s="23">
        <f t="shared" si="22"/>
        <v>122</v>
      </c>
      <c r="W39" s="22" t="str">
        <f t="shared" si="0"/>
        <v>짝수</v>
      </c>
      <c r="X39" s="22" t="str">
        <f t="shared" si="1"/>
        <v>홀수</v>
      </c>
      <c r="Y39" s="22" t="str">
        <f t="shared" si="2"/>
        <v>홀수</v>
      </c>
      <c r="Z39" s="22" t="str">
        <f t="shared" si="53"/>
        <v>짝수</v>
      </c>
      <c r="AA39" s="22" t="str">
        <f t="shared" si="54"/>
        <v>홀수</v>
      </c>
      <c r="AB39" s="22" t="str">
        <f t="shared" si="55"/>
        <v>홀수</v>
      </c>
      <c r="AC39" s="52" t="str">
        <f t="shared" si="56"/>
        <v>4 : 2</v>
      </c>
      <c r="AD39" s="22">
        <f t="shared" si="57"/>
        <v>4</v>
      </c>
      <c r="AE39" s="22">
        <f t="shared" si="58"/>
        <v>2</v>
      </c>
      <c r="AF39" s="22" t="str">
        <f t="shared" si="23"/>
        <v>저수</v>
      </c>
      <c r="AG39" s="22" t="str">
        <f t="shared" si="24"/>
        <v>저수</v>
      </c>
      <c r="AH39" s="22" t="str">
        <f t="shared" si="25"/>
        <v>저수</v>
      </c>
      <c r="AI39" s="22" t="str">
        <f t="shared" si="26"/>
        <v>고수</v>
      </c>
      <c r="AJ39" s="22" t="str">
        <f t="shared" si="27"/>
        <v>고수</v>
      </c>
      <c r="AK39" s="22" t="str">
        <f t="shared" si="28"/>
        <v>고수</v>
      </c>
      <c r="AL39" s="52" t="str">
        <f t="shared" si="29"/>
        <v>3 : 3</v>
      </c>
      <c r="AM39" s="22">
        <f t="shared" si="30"/>
        <v>3</v>
      </c>
      <c r="AN39" s="22">
        <f t="shared" si="31"/>
        <v>3</v>
      </c>
      <c r="AO39" s="22">
        <f t="shared" si="32"/>
        <v>22</v>
      </c>
      <c r="AP39" s="22" t="str">
        <f t="shared" si="33"/>
        <v>O</v>
      </c>
      <c r="AQ39" s="22" t="str">
        <f t="shared" si="34"/>
        <v>O</v>
      </c>
      <c r="AR39" s="22" t="str">
        <f t="shared" si="35"/>
        <v>O</v>
      </c>
      <c r="AS39" s="22" t="str">
        <f t="shared" si="36"/>
        <v>X</v>
      </c>
      <c r="AT39" s="22" t="str">
        <f t="shared" si="37"/>
        <v>X</v>
      </c>
      <c r="AU39" s="22" t="str">
        <f t="shared" si="38"/>
        <v>X</v>
      </c>
      <c r="AV39" s="22" t="str">
        <f t="shared" si="39"/>
        <v>X</v>
      </c>
      <c r="AW39" s="22" t="str">
        <f t="shared" si="40"/>
        <v>X</v>
      </c>
      <c r="AX39" s="22" t="str">
        <f t="shared" si="41"/>
        <v>X</v>
      </c>
      <c r="AY39" s="22" t="str">
        <f t="shared" si="42"/>
        <v>X</v>
      </c>
      <c r="AZ39" s="22" t="str">
        <f t="shared" si="43"/>
        <v>O</v>
      </c>
      <c r="BA39" s="22" t="str">
        <f t="shared" si="44"/>
        <v>O</v>
      </c>
      <c r="BB39" s="22">
        <f t="shared" si="45"/>
        <v>5</v>
      </c>
      <c r="BC39" s="22" t="str">
        <f t="shared" si="7"/>
        <v>1G</v>
      </c>
      <c r="BD39" s="22" t="str">
        <f t="shared" si="8"/>
        <v>1G</v>
      </c>
      <c r="BE39" s="22" t="str">
        <f t="shared" si="9"/>
        <v>1G</v>
      </c>
      <c r="BF39" s="22" t="str">
        <f t="shared" si="10"/>
        <v>2G</v>
      </c>
      <c r="BG39" s="22" t="str">
        <f t="shared" si="11"/>
        <v>3G</v>
      </c>
      <c r="BH39" s="22" t="str">
        <f t="shared" si="12"/>
        <v>3G</v>
      </c>
      <c r="BI39" s="22">
        <f t="shared" si="46"/>
        <v>3</v>
      </c>
      <c r="BJ39" s="22">
        <f t="shared" si="47"/>
        <v>1</v>
      </c>
      <c r="BK39" s="22">
        <f t="shared" si="48"/>
        <v>2</v>
      </c>
      <c r="BL39" s="22" t="str">
        <f t="shared" si="49"/>
        <v>312</v>
      </c>
      <c r="BO39" s="36">
        <v>21</v>
      </c>
      <c r="BP39" s="37">
        <f t="shared" si="13"/>
        <v>105</v>
      </c>
      <c r="BQ39" s="38">
        <f t="shared" si="14"/>
        <v>35</v>
      </c>
      <c r="BR39" s="109">
        <v>35</v>
      </c>
      <c r="BS39" s="24">
        <f t="shared" si="59"/>
        <v>36</v>
      </c>
      <c r="BT39" s="24">
        <f t="shared" si="50"/>
        <v>36</v>
      </c>
      <c r="BU39" s="51">
        <f t="shared" si="51"/>
        <v>72</v>
      </c>
      <c r="BV39" s="22" t="str">
        <f t="shared" si="52"/>
        <v>당첨</v>
      </c>
      <c r="BW39" s="22" t="s">
        <v>708</v>
      </c>
      <c r="BX39" s="110">
        <v>36</v>
      </c>
      <c r="BY39" s="25">
        <v>10</v>
      </c>
      <c r="BZ39" s="25">
        <v>10</v>
      </c>
      <c r="CA39" s="25">
        <v>20</v>
      </c>
      <c r="CB39" s="96" t="s">
        <v>530</v>
      </c>
      <c r="CC39" s="22" t="str">
        <f t="shared" si="62"/>
        <v>짝수</v>
      </c>
      <c r="CD39" s="23">
        <f t="shared" si="63"/>
        <v>33</v>
      </c>
      <c r="CI39" s="159">
        <f>SUM(CI5:CI22)</f>
        <v>0.84100418410041844</v>
      </c>
      <c r="CL39" s="23">
        <v>89</v>
      </c>
      <c r="CM39" s="23">
        <v>80</v>
      </c>
      <c r="CO39"/>
    </row>
    <row r="40" spans="2:93" ht="17">
      <c r="B40" s="15">
        <v>36</v>
      </c>
      <c r="C40" s="23" t="s">
        <v>66</v>
      </c>
      <c r="D40" s="16">
        <v>1</v>
      </c>
      <c r="E40" s="17">
        <v>16014475800</v>
      </c>
      <c r="F40" s="16">
        <v>19</v>
      </c>
      <c r="G40" s="17">
        <v>140477800</v>
      </c>
      <c r="H40" s="16">
        <v>768</v>
      </c>
      <c r="I40" s="17">
        <v>3475300</v>
      </c>
      <c r="J40" s="17">
        <v>38321</v>
      </c>
      <c r="K40" s="17">
        <v>139300</v>
      </c>
      <c r="L40" s="17">
        <v>673755</v>
      </c>
      <c r="M40" s="17">
        <v>10000</v>
      </c>
      <c r="N40" s="23">
        <v>1</v>
      </c>
      <c r="O40" s="23">
        <v>10</v>
      </c>
      <c r="P40" s="23">
        <v>23</v>
      </c>
      <c r="Q40" s="23">
        <v>26</v>
      </c>
      <c r="R40" s="23">
        <v>28</v>
      </c>
      <c r="S40" s="23">
        <v>40</v>
      </c>
      <c r="T40" s="23">
        <v>31</v>
      </c>
      <c r="U40" s="23">
        <f t="shared" si="22"/>
        <v>128</v>
      </c>
      <c r="W40" s="22" t="str">
        <f t="shared" si="0"/>
        <v>홀수</v>
      </c>
      <c r="X40" s="22" t="str">
        <f t="shared" si="1"/>
        <v>짝수</v>
      </c>
      <c r="Y40" s="22" t="str">
        <f t="shared" si="2"/>
        <v>홀수</v>
      </c>
      <c r="Z40" s="22" t="str">
        <f t="shared" si="53"/>
        <v>짝수</v>
      </c>
      <c r="AA40" s="22" t="str">
        <f t="shared" si="54"/>
        <v>짝수</v>
      </c>
      <c r="AB40" s="22" t="str">
        <f t="shared" si="55"/>
        <v>짝수</v>
      </c>
      <c r="AC40" s="52" t="str">
        <f t="shared" si="56"/>
        <v>2 : 4</v>
      </c>
      <c r="AD40" s="22">
        <f t="shared" si="57"/>
        <v>2</v>
      </c>
      <c r="AE40" s="22">
        <f t="shared" si="58"/>
        <v>4</v>
      </c>
      <c r="AF40" s="22" t="str">
        <f t="shared" si="23"/>
        <v>저수</v>
      </c>
      <c r="AG40" s="22" t="str">
        <f t="shared" si="24"/>
        <v>저수</v>
      </c>
      <c r="AH40" s="22" t="str">
        <f t="shared" si="25"/>
        <v>고수</v>
      </c>
      <c r="AI40" s="22" t="str">
        <f t="shared" si="26"/>
        <v>고수</v>
      </c>
      <c r="AJ40" s="22" t="str">
        <f t="shared" si="27"/>
        <v>고수</v>
      </c>
      <c r="AK40" s="22" t="str">
        <f t="shared" si="28"/>
        <v>고수</v>
      </c>
      <c r="AL40" s="52" t="str">
        <f t="shared" si="29"/>
        <v>2 : 4</v>
      </c>
      <c r="AM40" s="22">
        <f t="shared" si="30"/>
        <v>2</v>
      </c>
      <c r="AN40" s="22">
        <f t="shared" si="31"/>
        <v>4</v>
      </c>
      <c r="AO40" s="22">
        <f t="shared" si="32"/>
        <v>18</v>
      </c>
      <c r="AP40" s="22" t="str">
        <f t="shared" si="33"/>
        <v>X</v>
      </c>
      <c r="AQ40" s="22" t="str">
        <f t="shared" si="34"/>
        <v>X</v>
      </c>
      <c r="AR40" s="22" t="str">
        <f t="shared" si="35"/>
        <v>X</v>
      </c>
      <c r="AS40" s="22" t="str">
        <f t="shared" si="36"/>
        <v>X</v>
      </c>
      <c r="AT40" s="22" t="str">
        <f t="shared" si="37"/>
        <v>X</v>
      </c>
      <c r="AU40" s="22" t="str">
        <f t="shared" si="38"/>
        <v>X</v>
      </c>
      <c r="AV40" s="22" t="str">
        <f t="shared" si="39"/>
        <v>X</v>
      </c>
      <c r="AW40" s="22" t="str">
        <f t="shared" si="40"/>
        <v>X</v>
      </c>
      <c r="AX40" s="22" t="str">
        <f t="shared" si="41"/>
        <v>O</v>
      </c>
      <c r="AY40" s="22" t="str">
        <f t="shared" si="42"/>
        <v>X</v>
      </c>
      <c r="AZ40" s="22" t="str">
        <f t="shared" si="43"/>
        <v>X</v>
      </c>
      <c r="BA40" s="22" t="str">
        <f t="shared" si="44"/>
        <v>X</v>
      </c>
      <c r="BB40" s="22">
        <f t="shared" si="45"/>
        <v>1</v>
      </c>
      <c r="BC40" s="22" t="str">
        <f>VLOOKUP(N40,삼그룹,6,FALSE)</f>
        <v>1G</v>
      </c>
      <c r="BD40" s="22" t="str">
        <f t="shared" si="8"/>
        <v>1G</v>
      </c>
      <c r="BE40" s="22" t="str">
        <f t="shared" si="9"/>
        <v>2G</v>
      </c>
      <c r="BF40" s="22" t="str">
        <f t="shared" si="10"/>
        <v>2G</v>
      </c>
      <c r="BG40" s="22" t="str">
        <f t="shared" si="11"/>
        <v>2G</v>
      </c>
      <c r="BH40" s="22" t="str">
        <f t="shared" si="12"/>
        <v>3G</v>
      </c>
      <c r="BI40" s="22">
        <f t="shared" si="46"/>
        <v>2</v>
      </c>
      <c r="BJ40" s="22">
        <f t="shared" si="47"/>
        <v>3</v>
      </c>
      <c r="BK40" s="22">
        <f t="shared" si="48"/>
        <v>1</v>
      </c>
      <c r="BL40" s="22" t="str">
        <f t="shared" si="49"/>
        <v>231</v>
      </c>
      <c r="BO40" s="36">
        <v>15</v>
      </c>
      <c r="BP40" s="37">
        <f t="shared" si="13"/>
        <v>110</v>
      </c>
      <c r="BQ40" s="38">
        <f t="shared" si="14"/>
        <v>26</v>
      </c>
      <c r="BR40" s="109">
        <v>36</v>
      </c>
      <c r="BS40" s="24">
        <f t="shared" si="59"/>
        <v>28</v>
      </c>
      <c r="BT40" s="24">
        <f t="shared" si="50"/>
        <v>28</v>
      </c>
      <c r="BU40" s="51">
        <f t="shared" si="51"/>
        <v>56</v>
      </c>
      <c r="BV40" s="22" t="str">
        <f t="shared" si="52"/>
        <v>당첨</v>
      </c>
      <c r="BW40" s="22" t="s">
        <v>708</v>
      </c>
      <c r="BX40" s="110">
        <v>15</v>
      </c>
      <c r="BY40" s="25">
        <v>10</v>
      </c>
      <c r="BZ40" s="25">
        <v>9</v>
      </c>
      <c r="CA40" s="25">
        <v>19</v>
      </c>
      <c r="CB40" s="96" t="s">
        <v>530</v>
      </c>
      <c r="CC40" s="22" t="str">
        <f t="shared" si="62"/>
        <v>홀수</v>
      </c>
      <c r="CD40" s="23">
        <f t="shared" si="63"/>
        <v>33</v>
      </c>
      <c r="CF40" s="243" t="s">
        <v>753</v>
      </c>
      <c r="CG40" s="243"/>
      <c r="CH40" s="243"/>
      <c r="CL40" s="23">
        <v>89</v>
      </c>
      <c r="CM40" s="23">
        <v>80</v>
      </c>
      <c r="CO40"/>
    </row>
    <row r="41" spans="2:93" ht="17">
      <c r="B41" s="15">
        <v>37</v>
      </c>
      <c r="C41" s="23" t="s">
        <v>67</v>
      </c>
      <c r="D41" s="16">
        <v>3</v>
      </c>
      <c r="E41" s="17">
        <v>4985999400</v>
      </c>
      <c r="F41" s="16">
        <v>20</v>
      </c>
      <c r="G41" s="17">
        <v>124649900</v>
      </c>
      <c r="H41" s="16">
        <v>857</v>
      </c>
      <c r="I41" s="17">
        <v>2908900</v>
      </c>
      <c r="J41" s="17">
        <v>46334</v>
      </c>
      <c r="K41" s="17">
        <v>107600</v>
      </c>
      <c r="L41" s="17">
        <v>782490</v>
      </c>
      <c r="M41" s="17">
        <v>10000</v>
      </c>
      <c r="N41" s="23">
        <v>7</v>
      </c>
      <c r="O41" s="23">
        <v>27</v>
      </c>
      <c r="P41" s="23">
        <v>30</v>
      </c>
      <c r="Q41" s="23">
        <v>33</v>
      </c>
      <c r="R41" s="23">
        <v>35</v>
      </c>
      <c r="S41" s="23">
        <v>37</v>
      </c>
      <c r="T41" s="23">
        <v>42</v>
      </c>
      <c r="U41" s="23">
        <f t="shared" si="22"/>
        <v>169</v>
      </c>
      <c r="W41" s="22" t="str">
        <f t="shared" si="0"/>
        <v>홀수</v>
      </c>
      <c r="X41" s="22" t="str">
        <f t="shared" si="1"/>
        <v>홀수</v>
      </c>
      <c r="Y41" s="22" t="str">
        <f t="shared" si="2"/>
        <v>짝수</v>
      </c>
      <c r="Z41" s="22" t="str">
        <f t="shared" si="53"/>
        <v>홀수</v>
      </c>
      <c r="AA41" s="22" t="str">
        <f t="shared" si="54"/>
        <v>홀수</v>
      </c>
      <c r="AB41" s="22" t="str">
        <f t="shared" si="55"/>
        <v>홀수</v>
      </c>
      <c r="AC41" s="52" t="str">
        <f t="shared" si="56"/>
        <v>5 : 1</v>
      </c>
      <c r="AD41" s="22">
        <f t="shared" si="57"/>
        <v>5</v>
      </c>
      <c r="AE41" s="22">
        <f t="shared" si="58"/>
        <v>1</v>
      </c>
      <c r="AF41" s="22" t="str">
        <f t="shared" si="23"/>
        <v>저수</v>
      </c>
      <c r="AG41" s="22" t="str">
        <f t="shared" si="24"/>
        <v>고수</v>
      </c>
      <c r="AH41" s="22" t="str">
        <f t="shared" si="25"/>
        <v>고수</v>
      </c>
      <c r="AI41" s="22" t="str">
        <f t="shared" si="26"/>
        <v>고수</v>
      </c>
      <c r="AJ41" s="22" t="str">
        <f t="shared" si="27"/>
        <v>고수</v>
      </c>
      <c r="AK41" s="22" t="str">
        <f t="shared" si="28"/>
        <v>고수</v>
      </c>
      <c r="AL41" s="52" t="str">
        <f t="shared" si="29"/>
        <v>1 : 5</v>
      </c>
      <c r="AM41" s="22">
        <f t="shared" si="30"/>
        <v>1</v>
      </c>
      <c r="AN41" s="22">
        <f t="shared" si="31"/>
        <v>5</v>
      </c>
      <c r="AO41" s="22">
        <f t="shared" si="32"/>
        <v>29</v>
      </c>
      <c r="AP41" s="22" t="str">
        <f t="shared" si="33"/>
        <v>O</v>
      </c>
      <c r="AQ41" s="22" t="str">
        <f t="shared" si="34"/>
        <v>X</v>
      </c>
      <c r="AR41" s="22" t="str">
        <f t="shared" si="35"/>
        <v>X</v>
      </c>
      <c r="AS41" s="22" t="str">
        <f t="shared" si="36"/>
        <v>X</v>
      </c>
      <c r="AT41" s="22" t="str">
        <f t="shared" si="37"/>
        <v>X</v>
      </c>
      <c r="AU41" s="22" t="str">
        <f t="shared" si="38"/>
        <v>X</v>
      </c>
      <c r="AV41" s="22" t="str">
        <f t="shared" si="39"/>
        <v>X</v>
      </c>
      <c r="AW41" s="22" t="str">
        <f t="shared" si="40"/>
        <v>X</v>
      </c>
      <c r="AX41" s="22" t="str">
        <f t="shared" si="41"/>
        <v>X</v>
      </c>
      <c r="AY41" s="22" t="str">
        <f t="shared" si="42"/>
        <v>X</v>
      </c>
      <c r="AZ41" s="22" t="str">
        <f t="shared" si="43"/>
        <v>X</v>
      </c>
      <c r="BA41" s="22" t="str">
        <f t="shared" si="44"/>
        <v>O</v>
      </c>
      <c r="BB41" s="22">
        <f t="shared" si="45"/>
        <v>2</v>
      </c>
      <c r="BC41" s="22" t="str">
        <f t="shared" si="7"/>
        <v>1G</v>
      </c>
      <c r="BD41" s="22" t="str">
        <f t="shared" si="8"/>
        <v>2G</v>
      </c>
      <c r="BE41" s="22" t="str">
        <f t="shared" si="9"/>
        <v>2G</v>
      </c>
      <c r="BF41" s="22" t="str">
        <f t="shared" si="10"/>
        <v>3G</v>
      </c>
      <c r="BG41" s="22" t="str">
        <f t="shared" si="11"/>
        <v>3G</v>
      </c>
      <c r="BH41" s="22" t="str">
        <f t="shared" si="12"/>
        <v>3G</v>
      </c>
      <c r="BI41" s="22">
        <f t="shared" si="46"/>
        <v>1</v>
      </c>
      <c r="BJ41" s="22">
        <f t="shared" si="47"/>
        <v>2</v>
      </c>
      <c r="BK41" s="22">
        <f t="shared" si="48"/>
        <v>3</v>
      </c>
      <c r="BL41" s="22" t="str">
        <f t="shared" si="49"/>
        <v>123</v>
      </c>
      <c r="BO41" s="33">
        <v>42</v>
      </c>
      <c r="BP41" s="34">
        <f t="shared" si="13"/>
        <v>103</v>
      </c>
      <c r="BQ41" s="35">
        <f t="shared" si="14"/>
        <v>37</v>
      </c>
      <c r="BR41" s="109">
        <v>37</v>
      </c>
      <c r="BS41" s="24">
        <f t="shared" si="59"/>
        <v>35</v>
      </c>
      <c r="BT41" s="24">
        <f t="shared" si="50"/>
        <v>34</v>
      </c>
      <c r="BU41" s="51">
        <f t="shared" si="51"/>
        <v>69</v>
      </c>
      <c r="BV41" s="22" t="str">
        <f t="shared" si="52"/>
        <v>당첨</v>
      </c>
      <c r="BW41" s="22" t="s">
        <v>708</v>
      </c>
      <c r="BX41" s="110">
        <v>2</v>
      </c>
      <c r="BY41" s="25">
        <v>10</v>
      </c>
      <c r="BZ41" s="25">
        <v>6</v>
      </c>
      <c r="CA41" s="25">
        <v>16</v>
      </c>
      <c r="CB41" s="96" t="s">
        <v>530</v>
      </c>
      <c r="CC41" s="22" t="str">
        <f t="shared" si="62"/>
        <v>짝수</v>
      </c>
      <c r="CD41" s="23">
        <f t="shared" si="63"/>
        <v>33</v>
      </c>
      <c r="CF41" s="79" t="s">
        <v>754</v>
      </c>
      <c r="CG41" s="79" t="s">
        <v>755</v>
      </c>
      <c r="CH41" s="79" t="s">
        <v>756</v>
      </c>
      <c r="CL41" s="23">
        <v>89</v>
      </c>
      <c r="CM41" s="23">
        <v>80</v>
      </c>
      <c r="CO41"/>
    </row>
    <row r="42" spans="2:93" ht="17">
      <c r="B42" s="15">
        <v>38</v>
      </c>
      <c r="C42" s="23" t="s">
        <v>68</v>
      </c>
      <c r="D42" s="16">
        <v>3</v>
      </c>
      <c r="E42" s="17">
        <v>5374866400</v>
      </c>
      <c r="F42" s="16">
        <v>18</v>
      </c>
      <c r="G42" s="17">
        <v>149301800</v>
      </c>
      <c r="H42" s="16">
        <v>679</v>
      </c>
      <c r="I42" s="17">
        <v>3957900</v>
      </c>
      <c r="J42" s="17">
        <v>36377</v>
      </c>
      <c r="K42" s="17">
        <v>147700</v>
      </c>
      <c r="L42" s="17">
        <v>681031</v>
      </c>
      <c r="M42" s="17">
        <v>10000</v>
      </c>
      <c r="N42" s="23">
        <v>16</v>
      </c>
      <c r="O42" s="23">
        <v>17</v>
      </c>
      <c r="P42" s="23">
        <v>22</v>
      </c>
      <c r="Q42" s="23">
        <v>30</v>
      </c>
      <c r="R42" s="23">
        <v>37</v>
      </c>
      <c r="S42" s="23">
        <v>43</v>
      </c>
      <c r="T42" s="23">
        <v>36</v>
      </c>
      <c r="U42" s="23">
        <f t="shared" si="22"/>
        <v>165</v>
      </c>
      <c r="W42" s="22" t="str">
        <f t="shared" si="0"/>
        <v>짝수</v>
      </c>
      <c r="X42" s="22" t="str">
        <f t="shared" si="1"/>
        <v>홀수</v>
      </c>
      <c r="Y42" s="22" t="str">
        <f t="shared" si="2"/>
        <v>짝수</v>
      </c>
      <c r="Z42" s="22" t="str">
        <f t="shared" si="53"/>
        <v>짝수</v>
      </c>
      <c r="AA42" s="22" t="str">
        <f t="shared" si="54"/>
        <v>홀수</v>
      </c>
      <c r="AB42" s="22" t="str">
        <f t="shared" si="55"/>
        <v>홀수</v>
      </c>
      <c r="AC42" s="52" t="str">
        <f t="shared" si="56"/>
        <v>3 : 3</v>
      </c>
      <c r="AD42" s="22">
        <f t="shared" si="57"/>
        <v>3</v>
      </c>
      <c r="AE42" s="22">
        <f t="shared" si="58"/>
        <v>3</v>
      </c>
      <c r="AF42" s="22" t="str">
        <f t="shared" si="23"/>
        <v>저수</v>
      </c>
      <c r="AG42" s="22" t="str">
        <f t="shared" si="24"/>
        <v>저수</v>
      </c>
      <c r="AH42" s="22" t="str">
        <f t="shared" si="25"/>
        <v>저수</v>
      </c>
      <c r="AI42" s="22" t="str">
        <f t="shared" si="26"/>
        <v>고수</v>
      </c>
      <c r="AJ42" s="22" t="str">
        <f t="shared" si="27"/>
        <v>고수</v>
      </c>
      <c r="AK42" s="22" t="str">
        <f t="shared" si="28"/>
        <v>고수</v>
      </c>
      <c r="AL42" s="52" t="str">
        <f t="shared" si="29"/>
        <v>3 : 3</v>
      </c>
      <c r="AM42" s="22">
        <f t="shared" si="30"/>
        <v>3</v>
      </c>
      <c r="AN42" s="22">
        <f t="shared" si="31"/>
        <v>3</v>
      </c>
      <c r="AO42" s="22">
        <f t="shared" si="32"/>
        <v>25</v>
      </c>
      <c r="AP42" s="22" t="str">
        <f t="shared" si="33"/>
        <v>X</v>
      </c>
      <c r="AQ42" s="22" t="str">
        <f t="shared" si="34"/>
        <v>O</v>
      </c>
      <c r="AR42" s="22" t="str">
        <f t="shared" si="35"/>
        <v>X</v>
      </c>
      <c r="AS42" s="22" t="str">
        <f t="shared" si="36"/>
        <v>X</v>
      </c>
      <c r="AT42" s="22" t="str">
        <f t="shared" si="37"/>
        <v>X</v>
      </c>
      <c r="AU42" s="22" t="str">
        <f t="shared" si="38"/>
        <v>X</v>
      </c>
      <c r="AV42" s="22" t="str">
        <f t="shared" si="39"/>
        <v>X</v>
      </c>
      <c r="AW42" s="22" t="str">
        <f t="shared" si="40"/>
        <v>X</v>
      </c>
      <c r="AX42" s="22" t="str">
        <f t="shared" si="41"/>
        <v>X</v>
      </c>
      <c r="AY42" s="22" t="str">
        <f t="shared" si="42"/>
        <v>X</v>
      </c>
      <c r="AZ42" s="22" t="str">
        <f t="shared" si="43"/>
        <v>O</v>
      </c>
      <c r="BA42" s="22" t="str">
        <f t="shared" si="44"/>
        <v>O</v>
      </c>
      <c r="BB42" s="22">
        <f t="shared" si="45"/>
        <v>3</v>
      </c>
      <c r="BC42" s="22" t="str">
        <f t="shared" si="7"/>
        <v>2G</v>
      </c>
      <c r="BD42" s="22" t="str">
        <f t="shared" si="8"/>
        <v>2G</v>
      </c>
      <c r="BE42" s="22" t="str">
        <f t="shared" si="9"/>
        <v>2G</v>
      </c>
      <c r="BF42" s="22" t="str">
        <f t="shared" si="10"/>
        <v>2G</v>
      </c>
      <c r="BG42" s="22" t="str">
        <f t="shared" si="11"/>
        <v>3G</v>
      </c>
      <c r="BH42" s="22" t="str">
        <f t="shared" si="12"/>
        <v>3G</v>
      </c>
      <c r="BI42" s="22">
        <f t="shared" si="46"/>
        <v>0</v>
      </c>
      <c r="BJ42" s="22">
        <f t="shared" si="47"/>
        <v>4</v>
      </c>
      <c r="BK42" s="22">
        <f t="shared" si="48"/>
        <v>2</v>
      </c>
      <c r="BL42" s="22" t="str">
        <f t="shared" si="49"/>
        <v>042</v>
      </c>
      <c r="BO42" s="39">
        <v>23</v>
      </c>
      <c r="BP42" s="40">
        <f t="shared" si="13"/>
        <v>102</v>
      </c>
      <c r="BQ42" s="41">
        <f t="shared" si="14"/>
        <v>39</v>
      </c>
      <c r="BR42" s="109">
        <v>38</v>
      </c>
      <c r="BS42" s="24">
        <f t="shared" si="59"/>
        <v>39</v>
      </c>
      <c r="BT42" s="24">
        <f t="shared" si="50"/>
        <v>37</v>
      </c>
      <c r="BU42" s="51">
        <f t="shared" si="51"/>
        <v>76</v>
      </c>
      <c r="BV42" s="22" t="str">
        <f t="shared" si="52"/>
        <v>당첨</v>
      </c>
      <c r="BW42" s="22" t="s">
        <v>708</v>
      </c>
      <c r="BX42" s="111">
        <v>45</v>
      </c>
      <c r="BY42" s="25">
        <v>9</v>
      </c>
      <c r="BZ42" s="25">
        <v>9</v>
      </c>
      <c r="CA42" s="25">
        <v>18</v>
      </c>
      <c r="CB42" s="96" t="s">
        <v>530</v>
      </c>
      <c r="CC42" s="22" t="str">
        <f t="shared" si="62"/>
        <v>홀수</v>
      </c>
      <c r="CD42" s="23">
        <f t="shared" si="63"/>
        <v>38</v>
      </c>
      <c r="CF42" s="47">
        <v>8</v>
      </c>
      <c r="CG42" s="47">
        <v>170</v>
      </c>
      <c r="CH42" s="100">
        <v>0.34343434343434343</v>
      </c>
      <c r="CL42" s="23">
        <v>90</v>
      </c>
      <c r="CM42" s="23">
        <v>90</v>
      </c>
      <c r="CO42"/>
    </row>
    <row r="43" spans="2:93" ht="17">
      <c r="B43" s="15">
        <v>39</v>
      </c>
      <c r="C43" s="23" t="s">
        <v>69</v>
      </c>
      <c r="D43" s="16">
        <v>6</v>
      </c>
      <c r="E43" s="17">
        <v>2623748800</v>
      </c>
      <c r="F43" s="16">
        <v>25</v>
      </c>
      <c r="G43" s="17">
        <v>104949900</v>
      </c>
      <c r="H43" s="16">
        <v>699</v>
      </c>
      <c r="I43" s="17">
        <v>3753500</v>
      </c>
      <c r="J43" s="17">
        <v>38752</v>
      </c>
      <c r="K43" s="17">
        <v>135400</v>
      </c>
      <c r="L43" s="17">
        <v>680975</v>
      </c>
      <c r="M43" s="17">
        <v>10000</v>
      </c>
      <c r="N43" s="23">
        <v>6</v>
      </c>
      <c r="O43" s="23">
        <v>7</v>
      </c>
      <c r="P43" s="23">
        <v>13</v>
      </c>
      <c r="Q43" s="23">
        <v>15</v>
      </c>
      <c r="R43" s="23">
        <v>21</v>
      </c>
      <c r="S43" s="23">
        <v>43</v>
      </c>
      <c r="T43" s="23">
        <v>8</v>
      </c>
      <c r="U43" s="23">
        <f t="shared" si="22"/>
        <v>105</v>
      </c>
      <c r="W43" s="22" t="str">
        <f t="shared" si="0"/>
        <v>짝수</v>
      </c>
      <c r="X43" s="22" t="str">
        <f t="shared" si="1"/>
        <v>홀수</v>
      </c>
      <c r="Y43" s="22" t="str">
        <f t="shared" si="2"/>
        <v>홀수</v>
      </c>
      <c r="Z43" s="22" t="str">
        <f t="shared" si="53"/>
        <v>홀수</v>
      </c>
      <c r="AA43" s="22" t="str">
        <f t="shared" si="54"/>
        <v>홀수</v>
      </c>
      <c r="AB43" s="22" t="str">
        <f t="shared" si="55"/>
        <v>홀수</v>
      </c>
      <c r="AC43" s="52" t="str">
        <f t="shared" si="56"/>
        <v>5 : 1</v>
      </c>
      <c r="AD43" s="22">
        <f t="shared" si="57"/>
        <v>5</v>
      </c>
      <c r="AE43" s="22">
        <f t="shared" si="58"/>
        <v>1</v>
      </c>
      <c r="AF43" s="22" t="str">
        <f t="shared" si="23"/>
        <v>저수</v>
      </c>
      <c r="AG43" s="22" t="str">
        <f t="shared" si="24"/>
        <v>저수</v>
      </c>
      <c r="AH43" s="22" t="str">
        <f t="shared" si="25"/>
        <v>저수</v>
      </c>
      <c r="AI43" s="22" t="str">
        <f t="shared" si="26"/>
        <v>저수</v>
      </c>
      <c r="AJ43" s="22" t="str">
        <f t="shared" si="27"/>
        <v>저수</v>
      </c>
      <c r="AK43" s="22" t="str">
        <f t="shared" si="28"/>
        <v>고수</v>
      </c>
      <c r="AL43" s="52" t="str">
        <f t="shared" si="29"/>
        <v>5 : 1</v>
      </c>
      <c r="AM43" s="22">
        <f t="shared" si="30"/>
        <v>5</v>
      </c>
      <c r="AN43" s="22">
        <f t="shared" si="31"/>
        <v>1</v>
      </c>
      <c r="AO43" s="22">
        <f t="shared" si="32"/>
        <v>25</v>
      </c>
      <c r="AP43" s="22" t="str">
        <f t="shared" si="33"/>
        <v>X</v>
      </c>
      <c r="AQ43" s="22" t="str">
        <f t="shared" si="34"/>
        <v>O</v>
      </c>
      <c r="AR43" s="22" t="str">
        <f t="shared" si="35"/>
        <v>O</v>
      </c>
      <c r="AS43" s="22" t="str">
        <f t="shared" si="36"/>
        <v>X</v>
      </c>
      <c r="AT43" s="22" t="str">
        <f t="shared" si="37"/>
        <v>X</v>
      </c>
      <c r="AU43" s="22" t="str">
        <f t="shared" si="38"/>
        <v>X</v>
      </c>
      <c r="AV43" s="22" t="str">
        <f t="shared" si="39"/>
        <v>X</v>
      </c>
      <c r="AW43" s="22" t="str">
        <f t="shared" si="40"/>
        <v>X</v>
      </c>
      <c r="AX43" s="22" t="str">
        <f t="shared" si="41"/>
        <v>X</v>
      </c>
      <c r="AY43" s="22" t="str">
        <f t="shared" si="42"/>
        <v>X</v>
      </c>
      <c r="AZ43" s="22" t="str">
        <f t="shared" si="43"/>
        <v>X</v>
      </c>
      <c r="BA43" s="22" t="str">
        <f t="shared" si="44"/>
        <v>O</v>
      </c>
      <c r="BB43" s="22">
        <f t="shared" si="45"/>
        <v>3</v>
      </c>
      <c r="BC43" s="22" t="str">
        <f t="shared" si="7"/>
        <v>1G</v>
      </c>
      <c r="BD43" s="22" t="str">
        <f t="shared" si="8"/>
        <v>1G</v>
      </c>
      <c r="BE43" s="22" t="str">
        <f t="shared" si="9"/>
        <v>1G</v>
      </c>
      <c r="BF43" s="22" t="str">
        <f t="shared" si="10"/>
        <v>1G</v>
      </c>
      <c r="BG43" s="22" t="str">
        <f t="shared" si="11"/>
        <v>2G</v>
      </c>
      <c r="BH43" s="22" t="str">
        <f t="shared" si="12"/>
        <v>3G</v>
      </c>
      <c r="BI43" s="22">
        <f t="shared" si="46"/>
        <v>4</v>
      </c>
      <c r="BJ43" s="22">
        <f t="shared" si="47"/>
        <v>1</v>
      </c>
      <c r="BK43" s="22">
        <f t="shared" si="48"/>
        <v>1</v>
      </c>
      <c r="BL43" s="22" t="str">
        <f t="shared" si="49"/>
        <v>411</v>
      </c>
      <c r="BO43" s="39">
        <v>30</v>
      </c>
      <c r="BP43" s="40">
        <f t="shared" si="13"/>
        <v>103</v>
      </c>
      <c r="BQ43" s="41">
        <f t="shared" si="14"/>
        <v>37</v>
      </c>
      <c r="BR43" s="109">
        <v>39</v>
      </c>
      <c r="BS43" s="24">
        <f t="shared" si="59"/>
        <v>38</v>
      </c>
      <c r="BT43" s="24">
        <f t="shared" si="50"/>
        <v>38</v>
      </c>
      <c r="BU43" s="51">
        <f t="shared" si="51"/>
        <v>76</v>
      </c>
      <c r="BV43" s="22" t="str">
        <f t="shared" si="52"/>
        <v>당첨</v>
      </c>
      <c r="BW43" s="22" t="s">
        <v>708</v>
      </c>
      <c r="BX43" s="110">
        <v>30</v>
      </c>
      <c r="BY43" s="25">
        <v>9</v>
      </c>
      <c r="BZ43" s="25">
        <v>8</v>
      </c>
      <c r="CA43" s="25">
        <v>17</v>
      </c>
      <c r="CB43" s="96" t="s">
        <v>530</v>
      </c>
      <c r="CC43" s="22" t="str">
        <f t="shared" si="62"/>
        <v>짝수</v>
      </c>
      <c r="CD43" s="23">
        <f t="shared" si="63"/>
        <v>38</v>
      </c>
      <c r="CF43" s="47">
        <v>10</v>
      </c>
      <c r="CG43" s="47">
        <v>98</v>
      </c>
      <c r="CH43" s="100">
        <v>0.19797979797979798</v>
      </c>
      <c r="CL43" s="23">
        <v>90</v>
      </c>
      <c r="CM43" s="23">
        <v>90</v>
      </c>
      <c r="CO43"/>
    </row>
    <row r="44" spans="2:93" ht="17">
      <c r="B44" s="15">
        <v>40</v>
      </c>
      <c r="C44" s="23" t="s">
        <v>70</v>
      </c>
      <c r="D44" s="16">
        <v>13</v>
      </c>
      <c r="E44" s="17">
        <v>1147652400</v>
      </c>
      <c r="F44" s="16">
        <v>44</v>
      </c>
      <c r="G44" s="17">
        <v>56513100</v>
      </c>
      <c r="H44" s="17">
        <v>1055</v>
      </c>
      <c r="I44" s="17">
        <v>2356900</v>
      </c>
      <c r="J44" s="17">
        <v>65081</v>
      </c>
      <c r="K44" s="17">
        <v>76400</v>
      </c>
      <c r="L44" s="17">
        <v>798374</v>
      </c>
      <c r="M44" s="17">
        <v>10000</v>
      </c>
      <c r="N44" s="23">
        <v>7</v>
      </c>
      <c r="O44" s="23">
        <v>13</v>
      </c>
      <c r="P44" s="23">
        <v>18</v>
      </c>
      <c r="Q44" s="23">
        <v>19</v>
      </c>
      <c r="R44" s="23">
        <v>25</v>
      </c>
      <c r="S44" s="23">
        <v>26</v>
      </c>
      <c r="T44" s="23">
        <v>6</v>
      </c>
      <c r="U44" s="23">
        <f t="shared" si="22"/>
        <v>108</v>
      </c>
      <c r="W44" s="22" t="str">
        <f t="shared" si="0"/>
        <v>홀수</v>
      </c>
      <c r="X44" s="22" t="str">
        <f t="shared" si="1"/>
        <v>홀수</v>
      </c>
      <c r="Y44" s="22" t="str">
        <f t="shared" si="2"/>
        <v>짝수</v>
      </c>
      <c r="Z44" s="22" t="str">
        <f t="shared" si="53"/>
        <v>홀수</v>
      </c>
      <c r="AA44" s="22" t="str">
        <f t="shared" si="54"/>
        <v>홀수</v>
      </c>
      <c r="AB44" s="22" t="str">
        <f t="shared" si="55"/>
        <v>짝수</v>
      </c>
      <c r="AC44" s="52" t="str">
        <f t="shared" si="56"/>
        <v>4 : 2</v>
      </c>
      <c r="AD44" s="22">
        <f t="shared" si="57"/>
        <v>4</v>
      </c>
      <c r="AE44" s="22">
        <f t="shared" si="58"/>
        <v>2</v>
      </c>
      <c r="AF44" s="22" t="str">
        <f t="shared" si="23"/>
        <v>저수</v>
      </c>
      <c r="AG44" s="22" t="str">
        <f t="shared" si="24"/>
        <v>저수</v>
      </c>
      <c r="AH44" s="22" t="str">
        <f t="shared" si="25"/>
        <v>저수</v>
      </c>
      <c r="AI44" s="22" t="str">
        <f t="shared" si="26"/>
        <v>저수</v>
      </c>
      <c r="AJ44" s="22" t="str">
        <f t="shared" si="27"/>
        <v>고수</v>
      </c>
      <c r="AK44" s="22" t="str">
        <f t="shared" si="28"/>
        <v>고수</v>
      </c>
      <c r="AL44" s="52" t="str">
        <f t="shared" si="29"/>
        <v>4 : 2</v>
      </c>
      <c r="AM44" s="22">
        <f t="shared" si="30"/>
        <v>4</v>
      </c>
      <c r="AN44" s="22">
        <f t="shared" si="31"/>
        <v>2</v>
      </c>
      <c r="AO44" s="22">
        <f t="shared" si="32"/>
        <v>38</v>
      </c>
      <c r="AP44" s="22" t="str">
        <f t="shared" si="33"/>
        <v>O</v>
      </c>
      <c r="AQ44" s="22" t="str">
        <f t="shared" si="34"/>
        <v>O</v>
      </c>
      <c r="AR44" s="22" t="str">
        <f t="shared" si="35"/>
        <v>X</v>
      </c>
      <c r="AS44" s="22" t="str">
        <f t="shared" si="36"/>
        <v>O</v>
      </c>
      <c r="AT44" s="22" t="str">
        <f t="shared" si="37"/>
        <v>X</v>
      </c>
      <c r="AU44" s="22" t="str">
        <f t="shared" si="38"/>
        <v>X</v>
      </c>
      <c r="AV44" s="22" t="str">
        <f t="shared" si="39"/>
        <v>X</v>
      </c>
      <c r="AW44" s="22" t="str">
        <f t="shared" si="40"/>
        <v>X</v>
      </c>
      <c r="AX44" s="22" t="str">
        <f t="shared" si="41"/>
        <v>X</v>
      </c>
      <c r="AY44" s="22" t="str">
        <f t="shared" si="42"/>
        <v>X</v>
      </c>
      <c r="AZ44" s="22" t="str">
        <f t="shared" si="43"/>
        <v>X</v>
      </c>
      <c r="BA44" s="22" t="str">
        <f t="shared" si="44"/>
        <v>X</v>
      </c>
      <c r="BB44" s="22">
        <f t="shared" si="45"/>
        <v>3</v>
      </c>
      <c r="BC44" s="22" t="str">
        <f t="shared" si="7"/>
        <v>1G</v>
      </c>
      <c r="BD44" s="22" t="str">
        <f t="shared" si="8"/>
        <v>1G</v>
      </c>
      <c r="BE44" s="22" t="str">
        <f t="shared" si="9"/>
        <v>2G</v>
      </c>
      <c r="BF44" s="22" t="str">
        <f t="shared" si="10"/>
        <v>2G</v>
      </c>
      <c r="BG44" s="22" t="str">
        <f t="shared" si="11"/>
        <v>2G</v>
      </c>
      <c r="BH44" s="22" t="str">
        <f t="shared" si="12"/>
        <v>2G</v>
      </c>
      <c r="BI44" s="22">
        <f t="shared" si="46"/>
        <v>2</v>
      </c>
      <c r="BJ44" s="22">
        <f t="shared" si="47"/>
        <v>4</v>
      </c>
      <c r="BK44" s="22">
        <f t="shared" si="48"/>
        <v>0</v>
      </c>
      <c r="BL44" s="22" t="str">
        <f t="shared" si="49"/>
        <v>240</v>
      </c>
      <c r="BO44" s="39">
        <v>32</v>
      </c>
      <c r="BP44" s="40">
        <f t="shared" si="13"/>
        <v>99</v>
      </c>
      <c r="BQ44" s="41">
        <f t="shared" si="14"/>
        <v>40</v>
      </c>
      <c r="BR44" s="109">
        <v>40</v>
      </c>
      <c r="BS44" s="24">
        <f t="shared" si="59"/>
        <v>43</v>
      </c>
      <c r="BT44" s="24">
        <f t="shared" si="50"/>
        <v>41</v>
      </c>
      <c r="BU44" s="51">
        <f t="shared" si="51"/>
        <v>84</v>
      </c>
      <c r="BV44" s="22" t="str">
        <f t="shared" si="52"/>
        <v>당첨</v>
      </c>
      <c r="BW44" s="22" t="s">
        <v>708</v>
      </c>
      <c r="BX44" s="111">
        <v>16</v>
      </c>
      <c r="BY44" s="25">
        <v>5</v>
      </c>
      <c r="BZ44" s="25">
        <v>5</v>
      </c>
      <c r="CA44" s="25">
        <v>10</v>
      </c>
      <c r="CB44" s="96" t="s">
        <v>530</v>
      </c>
      <c r="CC44" s="22" t="str">
        <f>IF(RIGHT(BX43,1)="1","홀수",IF(RIGHT(BX43,1)="3","홀수",IF(RIGHT(BX43,1)="5","홀수",IF(RIGHT(BX43,1)="7","홀수",IF(RIGHT(BX43,1)="9","홀수","짝수")))))</f>
        <v>짝수</v>
      </c>
      <c r="CD44" s="23">
        <f>IF(CB44="당첨",RANK(BY43,$BY$5:$BY$49),"")</f>
        <v>38</v>
      </c>
      <c r="CF44" s="47">
        <v>9</v>
      </c>
      <c r="CG44" s="47">
        <v>85</v>
      </c>
      <c r="CH44" s="100">
        <v>0.17171717171717171</v>
      </c>
      <c r="CL44" s="23">
        <v>90</v>
      </c>
      <c r="CM44" s="23">
        <v>90</v>
      </c>
      <c r="CO44"/>
    </row>
    <row r="45" spans="2:93" ht="17">
      <c r="B45" s="15">
        <v>41</v>
      </c>
      <c r="C45" s="23" t="s">
        <v>71</v>
      </c>
      <c r="D45" s="16">
        <v>0</v>
      </c>
      <c r="E45" s="16">
        <v>0</v>
      </c>
      <c r="F45" s="16">
        <v>21</v>
      </c>
      <c r="G45" s="17">
        <v>109404000</v>
      </c>
      <c r="H45" s="16">
        <v>700</v>
      </c>
      <c r="I45" s="17">
        <v>3282100</v>
      </c>
      <c r="J45" s="17">
        <v>33805</v>
      </c>
      <c r="K45" s="17">
        <v>135900</v>
      </c>
      <c r="L45" s="17">
        <v>583744</v>
      </c>
      <c r="M45" s="17">
        <v>10000</v>
      </c>
      <c r="N45" s="23">
        <v>13</v>
      </c>
      <c r="O45" s="23">
        <v>20</v>
      </c>
      <c r="P45" s="23">
        <v>23</v>
      </c>
      <c r="Q45" s="23">
        <v>35</v>
      </c>
      <c r="R45" s="23">
        <v>38</v>
      </c>
      <c r="S45" s="23">
        <v>43</v>
      </c>
      <c r="T45" s="23">
        <v>34</v>
      </c>
      <c r="U45" s="23">
        <f t="shared" si="22"/>
        <v>172</v>
      </c>
      <c r="W45" s="22" t="str">
        <f t="shared" si="0"/>
        <v>홀수</v>
      </c>
      <c r="X45" s="22" t="str">
        <f t="shared" si="1"/>
        <v>짝수</v>
      </c>
      <c r="Y45" s="22" t="str">
        <f t="shared" si="2"/>
        <v>홀수</v>
      </c>
      <c r="Z45" s="22" t="str">
        <f t="shared" si="53"/>
        <v>홀수</v>
      </c>
      <c r="AA45" s="22" t="str">
        <f t="shared" si="54"/>
        <v>짝수</v>
      </c>
      <c r="AB45" s="22" t="str">
        <f t="shared" si="55"/>
        <v>홀수</v>
      </c>
      <c r="AC45" s="52" t="str">
        <f t="shared" si="56"/>
        <v>4 : 2</v>
      </c>
      <c r="AD45" s="22">
        <f t="shared" si="57"/>
        <v>4</v>
      </c>
      <c r="AE45" s="22">
        <f t="shared" si="58"/>
        <v>2</v>
      </c>
      <c r="AF45" s="22" t="str">
        <f t="shared" si="23"/>
        <v>저수</v>
      </c>
      <c r="AG45" s="22" t="str">
        <f t="shared" si="24"/>
        <v>저수</v>
      </c>
      <c r="AH45" s="22" t="str">
        <f t="shared" si="25"/>
        <v>고수</v>
      </c>
      <c r="AI45" s="22" t="str">
        <f t="shared" si="26"/>
        <v>고수</v>
      </c>
      <c r="AJ45" s="22" t="str">
        <f t="shared" si="27"/>
        <v>고수</v>
      </c>
      <c r="AK45" s="22" t="str">
        <f t="shared" si="28"/>
        <v>고수</v>
      </c>
      <c r="AL45" s="52" t="str">
        <f t="shared" si="29"/>
        <v>2 : 4</v>
      </c>
      <c r="AM45" s="22">
        <f t="shared" si="30"/>
        <v>2</v>
      </c>
      <c r="AN45" s="22">
        <f t="shared" si="31"/>
        <v>4</v>
      </c>
      <c r="AO45" s="22">
        <f t="shared" si="32"/>
        <v>22</v>
      </c>
      <c r="AP45" s="22" t="str">
        <f t="shared" si="33"/>
        <v>O</v>
      </c>
      <c r="AQ45" s="22" t="str">
        <f t="shared" si="34"/>
        <v>X</v>
      </c>
      <c r="AR45" s="22" t="str">
        <f t="shared" si="35"/>
        <v>X</v>
      </c>
      <c r="AS45" s="22" t="str">
        <f t="shared" si="36"/>
        <v>X</v>
      </c>
      <c r="AT45" s="22" t="str">
        <f t="shared" si="37"/>
        <v>X</v>
      </c>
      <c r="AU45" s="22" t="str">
        <f t="shared" si="38"/>
        <v>X</v>
      </c>
      <c r="AV45" s="22" t="str">
        <f t="shared" si="39"/>
        <v>X</v>
      </c>
      <c r="AW45" s="22" t="str">
        <f t="shared" si="40"/>
        <v>X</v>
      </c>
      <c r="AX45" s="22" t="str">
        <f t="shared" si="41"/>
        <v>O</v>
      </c>
      <c r="AY45" s="22" t="str">
        <f t="shared" si="42"/>
        <v>X</v>
      </c>
      <c r="AZ45" s="22" t="str">
        <f t="shared" si="43"/>
        <v>X</v>
      </c>
      <c r="BA45" s="22" t="str">
        <f t="shared" si="44"/>
        <v>O</v>
      </c>
      <c r="BB45" s="22">
        <f t="shared" si="45"/>
        <v>3</v>
      </c>
      <c r="BC45" s="22" t="str">
        <f t="shared" si="7"/>
        <v>1G</v>
      </c>
      <c r="BD45" s="22" t="str">
        <f t="shared" si="8"/>
        <v>2G</v>
      </c>
      <c r="BE45" s="22" t="str">
        <f t="shared" si="9"/>
        <v>2G</v>
      </c>
      <c r="BF45" s="22" t="str">
        <f t="shared" si="10"/>
        <v>3G</v>
      </c>
      <c r="BG45" s="22" t="str">
        <f t="shared" si="11"/>
        <v>3G</v>
      </c>
      <c r="BH45" s="22" t="str">
        <f t="shared" si="12"/>
        <v>3G</v>
      </c>
      <c r="BI45" s="22">
        <f t="shared" si="46"/>
        <v>1</v>
      </c>
      <c r="BJ45" s="22">
        <f t="shared" si="47"/>
        <v>2</v>
      </c>
      <c r="BK45" s="22">
        <f t="shared" si="48"/>
        <v>3</v>
      </c>
      <c r="BL45" s="22" t="str">
        <f t="shared" si="49"/>
        <v>123</v>
      </c>
      <c r="BO45" s="39">
        <v>29</v>
      </c>
      <c r="BP45" s="40">
        <f t="shared" si="13"/>
        <v>98</v>
      </c>
      <c r="BQ45" s="41">
        <f t="shared" si="14"/>
        <v>42</v>
      </c>
      <c r="BR45" s="109">
        <v>41</v>
      </c>
      <c r="BS45" s="24">
        <f t="shared" si="59"/>
        <v>37</v>
      </c>
      <c r="BT45" s="24">
        <f t="shared" si="50"/>
        <v>36</v>
      </c>
      <c r="BU45" s="51">
        <f t="shared" si="51"/>
        <v>73</v>
      </c>
      <c r="BV45" s="22" t="str">
        <f t="shared" si="52"/>
        <v>당첨</v>
      </c>
      <c r="BW45" s="22" t="s">
        <v>708</v>
      </c>
      <c r="BX45" s="110">
        <v>18</v>
      </c>
      <c r="BY45" s="25">
        <v>8</v>
      </c>
      <c r="BZ45" s="25">
        <v>8</v>
      </c>
      <c r="CA45" s="25">
        <v>16</v>
      </c>
      <c r="CB45" s="96" t="s">
        <v>530</v>
      </c>
      <c r="CC45" s="22" t="str">
        <f>IF(RIGHT(BX45,1)="1","홀수",IF(RIGHT(BX45,1)="3","홀수",IF(RIGHT(BX45,1)="5","홀수",IF(RIGHT(BX45,1)="7","홀수",IF(RIGHT(BX45,1)="9","홀수","짝수")))))</f>
        <v>짝수</v>
      </c>
      <c r="CD45" s="23">
        <f>IF(CB45="당첨",RANK(BY45,$BY$5:$BY$49),"")</f>
        <v>40</v>
      </c>
      <c r="CF45" s="47">
        <v>7</v>
      </c>
      <c r="CG45" s="47">
        <v>71</v>
      </c>
      <c r="CH45" s="100">
        <v>0.14343434343434344</v>
      </c>
      <c r="CL45" s="23">
        <v>91</v>
      </c>
      <c r="CM45" s="23">
        <v>90</v>
      </c>
      <c r="CO45"/>
    </row>
    <row r="46" spans="2:93" ht="17">
      <c r="B46" s="15">
        <v>42</v>
      </c>
      <c r="C46" s="23" t="s">
        <v>72</v>
      </c>
      <c r="D46" s="16">
        <v>6</v>
      </c>
      <c r="E46" s="17">
        <v>6899280100</v>
      </c>
      <c r="F46" s="16">
        <v>35</v>
      </c>
      <c r="G46" s="17">
        <v>131479800</v>
      </c>
      <c r="H46" s="17">
        <v>1405</v>
      </c>
      <c r="I46" s="17">
        <v>3275200</v>
      </c>
      <c r="J46" s="17">
        <v>79543</v>
      </c>
      <c r="K46" s="17">
        <v>115700</v>
      </c>
      <c r="L46" s="17">
        <v>1393691</v>
      </c>
      <c r="M46" s="17">
        <v>10000</v>
      </c>
      <c r="N46" s="23">
        <v>17</v>
      </c>
      <c r="O46" s="23">
        <v>18</v>
      </c>
      <c r="P46" s="23">
        <v>19</v>
      </c>
      <c r="Q46" s="23">
        <v>21</v>
      </c>
      <c r="R46" s="23">
        <v>23</v>
      </c>
      <c r="S46" s="23">
        <v>32</v>
      </c>
      <c r="T46" s="23">
        <v>1</v>
      </c>
      <c r="U46" s="23">
        <f t="shared" si="22"/>
        <v>130</v>
      </c>
      <c r="W46" s="22" t="str">
        <f t="shared" si="0"/>
        <v>홀수</v>
      </c>
      <c r="X46" s="22" t="str">
        <f t="shared" si="1"/>
        <v>짝수</v>
      </c>
      <c r="Y46" s="22" t="str">
        <f t="shared" si="2"/>
        <v>홀수</v>
      </c>
      <c r="Z46" s="22" t="str">
        <f t="shared" si="53"/>
        <v>홀수</v>
      </c>
      <c r="AA46" s="22" t="str">
        <f t="shared" si="54"/>
        <v>홀수</v>
      </c>
      <c r="AB46" s="22" t="str">
        <f t="shared" si="55"/>
        <v>짝수</v>
      </c>
      <c r="AC46" s="52" t="str">
        <f t="shared" si="56"/>
        <v>4 : 2</v>
      </c>
      <c r="AD46" s="22">
        <f t="shared" si="57"/>
        <v>4</v>
      </c>
      <c r="AE46" s="22">
        <f t="shared" si="58"/>
        <v>2</v>
      </c>
      <c r="AF46" s="22" t="str">
        <f t="shared" si="23"/>
        <v>저수</v>
      </c>
      <c r="AG46" s="22" t="str">
        <f t="shared" si="24"/>
        <v>저수</v>
      </c>
      <c r="AH46" s="22" t="str">
        <f t="shared" si="25"/>
        <v>저수</v>
      </c>
      <c r="AI46" s="22" t="str">
        <f t="shared" si="26"/>
        <v>저수</v>
      </c>
      <c r="AJ46" s="22" t="str">
        <f t="shared" si="27"/>
        <v>고수</v>
      </c>
      <c r="AK46" s="22" t="str">
        <f t="shared" si="28"/>
        <v>고수</v>
      </c>
      <c r="AL46" s="52" t="str">
        <f t="shared" si="29"/>
        <v>4 : 2</v>
      </c>
      <c r="AM46" s="22">
        <f t="shared" si="30"/>
        <v>4</v>
      </c>
      <c r="AN46" s="22">
        <f t="shared" si="31"/>
        <v>2</v>
      </c>
      <c r="AO46" s="22">
        <f t="shared" si="32"/>
        <v>30</v>
      </c>
      <c r="AP46" s="22" t="str">
        <f t="shared" si="33"/>
        <v>O</v>
      </c>
      <c r="AQ46" s="22" t="str">
        <f t="shared" si="34"/>
        <v>X</v>
      </c>
      <c r="AR46" s="22" t="str">
        <f t="shared" si="35"/>
        <v>O</v>
      </c>
      <c r="AS46" s="22" t="str">
        <f t="shared" si="36"/>
        <v>X</v>
      </c>
      <c r="AT46" s="22" t="str">
        <f t="shared" si="37"/>
        <v>X</v>
      </c>
      <c r="AU46" s="22" t="str">
        <f t="shared" si="38"/>
        <v>X</v>
      </c>
      <c r="AV46" s="22" t="str">
        <f t="shared" si="39"/>
        <v>X</v>
      </c>
      <c r="AW46" s="22" t="str">
        <f t="shared" si="40"/>
        <v>X</v>
      </c>
      <c r="AX46" s="22" t="str">
        <f t="shared" si="41"/>
        <v>X</v>
      </c>
      <c r="AY46" s="22" t="str">
        <f t="shared" si="42"/>
        <v>X</v>
      </c>
      <c r="AZ46" s="22" t="str">
        <f t="shared" si="43"/>
        <v>O</v>
      </c>
      <c r="BA46" s="22" t="str">
        <f t="shared" si="44"/>
        <v>X</v>
      </c>
      <c r="BB46" s="22">
        <f t="shared" si="45"/>
        <v>3</v>
      </c>
      <c r="BC46" s="22" t="str">
        <f t="shared" si="7"/>
        <v>2G</v>
      </c>
      <c r="BD46" s="22" t="str">
        <f t="shared" si="8"/>
        <v>2G</v>
      </c>
      <c r="BE46" s="22" t="str">
        <f t="shared" si="9"/>
        <v>2G</v>
      </c>
      <c r="BF46" s="22" t="str">
        <f t="shared" si="10"/>
        <v>2G</v>
      </c>
      <c r="BG46" s="22" t="str">
        <f t="shared" si="11"/>
        <v>2G</v>
      </c>
      <c r="BH46" s="22" t="str">
        <f t="shared" si="12"/>
        <v>3G</v>
      </c>
      <c r="BI46" s="22">
        <f t="shared" si="46"/>
        <v>0</v>
      </c>
      <c r="BJ46" s="22">
        <f t="shared" si="47"/>
        <v>5</v>
      </c>
      <c r="BK46" s="22">
        <f t="shared" si="48"/>
        <v>1</v>
      </c>
      <c r="BL46" s="22" t="str">
        <f t="shared" si="49"/>
        <v>051</v>
      </c>
      <c r="BO46" s="39">
        <v>41</v>
      </c>
      <c r="BP46" s="40">
        <f t="shared" si="13"/>
        <v>95</v>
      </c>
      <c r="BQ46" s="41">
        <f t="shared" si="14"/>
        <v>43</v>
      </c>
      <c r="BR46" s="109">
        <v>42</v>
      </c>
      <c r="BS46" s="24">
        <f t="shared" si="59"/>
        <v>31</v>
      </c>
      <c r="BT46" s="24">
        <f t="shared" si="50"/>
        <v>30</v>
      </c>
      <c r="BU46" s="51">
        <f t="shared" si="51"/>
        <v>61</v>
      </c>
      <c r="BV46" s="22" t="str">
        <f t="shared" si="52"/>
        <v>당첨</v>
      </c>
      <c r="BW46" s="22" t="s">
        <v>826</v>
      </c>
      <c r="BX46" s="110">
        <v>21</v>
      </c>
      <c r="BY46" s="25">
        <v>8</v>
      </c>
      <c r="BZ46" s="25">
        <v>7</v>
      </c>
      <c r="CA46" s="25">
        <v>15</v>
      </c>
      <c r="CB46" s="96" t="s">
        <v>530</v>
      </c>
      <c r="CC46" s="22" t="str">
        <f>IF(RIGHT(BX46,1)="1","홀수",IF(RIGHT(BX46,1)="3","홀수",IF(RIGHT(BX46,1)="5","홀수",IF(RIGHT(BX46,1)="7","홀수",IF(RIGHT(BX46,1)="9","홀수","짝수")))))</f>
        <v>홀수</v>
      </c>
      <c r="CD46" s="23">
        <f>IF(CB46="당첨",RANK(BY46,$BY$5:$BY$49),"")</f>
        <v>40</v>
      </c>
      <c r="CF46" s="47">
        <v>6</v>
      </c>
      <c r="CG46" s="47">
        <v>45</v>
      </c>
      <c r="CH46" s="100">
        <v>9.0909090909090912E-2</v>
      </c>
      <c r="CL46" s="23">
        <v>91</v>
      </c>
      <c r="CM46" s="23">
        <v>90</v>
      </c>
      <c r="CO46"/>
    </row>
    <row r="47" spans="2:93" ht="17">
      <c r="B47" s="15">
        <v>43</v>
      </c>
      <c r="C47" s="23" t="s">
        <v>73</v>
      </c>
      <c r="D47" s="16">
        <v>1</v>
      </c>
      <c r="E47" s="17">
        <v>17749630800</v>
      </c>
      <c r="F47" s="16">
        <v>21</v>
      </c>
      <c r="G47" s="17">
        <v>140870000</v>
      </c>
      <c r="H47" s="16">
        <v>926</v>
      </c>
      <c r="I47" s="17">
        <v>3194600</v>
      </c>
      <c r="J47" s="17">
        <v>45078</v>
      </c>
      <c r="K47" s="17">
        <v>131200</v>
      </c>
      <c r="L47" s="17">
        <v>776043</v>
      </c>
      <c r="M47" s="17">
        <v>10000</v>
      </c>
      <c r="N47" s="23">
        <v>6</v>
      </c>
      <c r="O47" s="23">
        <v>31</v>
      </c>
      <c r="P47" s="23">
        <v>35</v>
      </c>
      <c r="Q47" s="23">
        <v>38</v>
      </c>
      <c r="R47" s="23">
        <v>39</v>
      </c>
      <c r="S47" s="23">
        <v>44</v>
      </c>
      <c r="T47" s="23">
        <v>1</v>
      </c>
      <c r="U47" s="23">
        <f t="shared" si="22"/>
        <v>193</v>
      </c>
      <c r="W47" s="22" t="str">
        <f t="shared" si="0"/>
        <v>짝수</v>
      </c>
      <c r="X47" s="22" t="str">
        <f t="shared" si="1"/>
        <v>홀수</v>
      </c>
      <c r="Y47" s="22" t="str">
        <f t="shared" si="2"/>
        <v>홀수</v>
      </c>
      <c r="Z47" s="22" t="str">
        <f t="shared" si="53"/>
        <v>짝수</v>
      </c>
      <c r="AA47" s="22" t="str">
        <f t="shared" si="54"/>
        <v>홀수</v>
      </c>
      <c r="AB47" s="22" t="str">
        <f t="shared" si="55"/>
        <v>짝수</v>
      </c>
      <c r="AC47" s="52" t="str">
        <f t="shared" si="56"/>
        <v>3 : 3</v>
      </c>
      <c r="AD47" s="22">
        <f t="shared" si="57"/>
        <v>3</v>
      </c>
      <c r="AE47" s="22">
        <f t="shared" si="58"/>
        <v>3</v>
      </c>
      <c r="AF47" s="22" t="str">
        <f t="shared" si="23"/>
        <v>저수</v>
      </c>
      <c r="AG47" s="22" t="str">
        <f t="shared" si="24"/>
        <v>고수</v>
      </c>
      <c r="AH47" s="22" t="str">
        <f t="shared" si="25"/>
        <v>고수</v>
      </c>
      <c r="AI47" s="22" t="str">
        <f t="shared" si="26"/>
        <v>고수</v>
      </c>
      <c r="AJ47" s="22" t="str">
        <f t="shared" si="27"/>
        <v>고수</v>
      </c>
      <c r="AK47" s="22" t="str">
        <f t="shared" si="28"/>
        <v>고수</v>
      </c>
      <c r="AL47" s="52" t="str">
        <f t="shared" si="29"/>
        <v>1 : 5</v>
      </c>
      <c r="AM47" s="22">
        <f t="shared" si="30"/>
        <v>1</v>
      </c>
      <c r="AN47" s="22">
        <f t="shared" si="31"/>
        <v>5</v>
      </c>
      <c r="AO47" s="22">
        <f t="shared" si="32"/>
        <v>33</v>
      </c>
      <c r="AP47" s="22" t="str">
        <f t="shared" si="33"/>
        <v>X</v>
      </c>
      <c r="AQ47" s="22" t="str">
        <f t="shared" si="34"/>
        <v>X</v>
      </c>
      <c r="AR47" s="22" t="str">
        <f t="shared" si="35"/>
        <v>X</v>
      </c>
      <c r="AS47" s="22" t="str">
        <f t="shared" si="36"/>
        <v>X</v>
      </c>
      <c r="AT47" s="22" t="str">
        <f t="shared" si="37"/>
        <v>X</v>
      </c>
      <c r="AU47" s="22" t="str">
        <f t="shared" si="38"/>
        <v>X</v>
      </c>
      <c r="AV47" s="22" t="str">
        <f t="shared" si="39"/>
        <v>X</v>
      </c>
      <c r="AW47" s="22" t="str">
        <f t="shared" si="40"/>
        <v>O</v>
      </c>
      <c r="AX47" s="22" t="str">
        <f t="shared" si="41"/>
        <v>X</v>
      </c>
      <c r="AY47" s="22" t="str">
        <f t="shared" si="42"/>
        <v>X</v>
      </c>
      <c r="AZ47" s="22" t="str">
        <f t="shared" si="43"/>
        <v>X</v>
      </c>
      <c r="BA47" s="22" t="str">
        <f t="shared" si="44"/>
        <v>X</v>
      </c>
      <c r="BB47" s="22">
        <f t="shared" si="45"/>
        <v>1</v>
      </c>
      <c r="BC47" s="22" t="str">
        <f t="shared" si="7"/>
        <v>1G</v>
      </c>
      <c r="BD47" s="22" t="str">
        <f t="shared" si="8"/>
        <v>3G</v>
      </c>
      <c r="BE47" s="22" t="str">
        <f t="shared" si="9"/>
        <v>3G</v>
      </c>
      <c r="BF47" s="22" t="str">
        <f t="shared" si="10"/>
        <v>3G</v>
      </c>
      <c r="BG47" s="22" t="str">
        <f t="shared" si="11"/>
        <v>3G</v>
      </c>
      <c r="BH47" s="22" t="str">
        <f t="shared" si="12"/>
        <v>3G</v>
      </c>
      <c r="BI47" s="22">
        <f t="shared" si="46"/>
        <v>1</v>
      </c>
      <c r="BJ47" s="22">
        <f t="shared" si="47"/>
        <v>0</v>
      </c>
      <c r="BK47" s="22">
        <f t="shared" si="48"/>
        <v>5</v>
      </c>
      <c r="BL47" s="22" t="str">
        <f t="shared" si="49"/>
        <v>105</v>
      </c>
      <c r="BO47" s="39">
        <v>28</v>
      </c>
      <c r="BP47" s="40">
        <f t="shared" si="13"/>
        <v>99</v>
      </c>
      <c r="BQ47" s="41">
        <f t="shared" si="14"/>
        <v>40</v>
      </c>
      <c r="BR47" s="109">
        <v>43</v>
      </c>
      <c r="BS47" s="24">
        <f t="shared" si="59"/>
        <v>44</v>
      </c>
      <c r="BT47" s="24">
        <f t="shared" si="50"/>
        <v>42</v>
      </c>
      <c r="BU47" s="51">
        <f t="shared" si="51"/>
        <v>86</v>
      </c>
      <c r="BV47" s="22" t="str">
        <f t="shared" si="52"/>
        <v>당첨</v>
      </c>
      <c r="BW47" s="22" t="s">
        <v>708</v>
      </c>
      <c r="BX47" s="110">
        <v>22</v>
      </c>
      <c r="BY47" s="25">
        <v>14</v>
      </c>
      <c r="BZ47" s="25">
        <v>14</v>
      </c>
      <c r="CA47" s="25">
        <v>28</v>
      </c>
      <c r="CB47" s="96" t="s">
        <v>530</v>
      </c>
      <c r="CC47" s="22" t="str">
        <f>IF(RIGHT(BX46,1)="1","홀수",IF(RIGHT(BX46,1)="3","홀수",IF(RIGHT(BX46,1)="5","홀수",IF(RIGHT(BX46,1)="7","홀수",IF(RIGHT(BX46,1)="9","홀수","짝수")))))</f>
        <v>홀수</v>
      </c>
      <c r="CD47" s="23">
        <f>IF(CB47="당첨",RANK(BY46,$BY$5:$BY$49),"")</f>
        <v>40</v>
      </c>
      <c r="CF47" s="47">
        <v>5</v>
      </c>
      <c r="CG47" s="47">
        <v>12</v>
      </c>
      <c r="CH47" s="100">
        <v>2.4242424242424242E-2</v>
      </c>
      <c r="CL47" s="23">
        <v>91</v>
      </c>
      <c r="CM47" s="23">
        <v>90</v>
      </c>
      <c r="CO47"/>
    </row>
    <row r="48" spans="2:93" ht="17">
      <c r="B48" s="15">
        <v>44</v>
      </c>
      <c r="C48" s="23" t="s">
        <v>74</v>
      </c>
      <c r="D48" s="16">
        <v>5</v>
      </c>
      <c r="E48" s="17">
        <v>3362155800</v>
      </c>
      <c r="F48" s="16">
        <v>23</v>
      </c>
      <c r="G48" s="17">
        <v>121817200</v>
      </c>
      <c r="H48" s="16">
        <v>785</v>
      </c>
      <c r="I48" s="17">
        <v>3569100</v>
      </c>
      <c r="J48" s="17">
        <v>40092</v>
      </c>
      <c r="K48" s="17">
        <v>139700</v>
      </c>
      <c r="L48" s="17">
        <v>696051</v>
      </c>
      <c r="M48" s="17">
        <v>10000</v>
      </c>
      <c r="N48" s="23">
        <v>3</v>
      </c>
      <c r="O48" s="23">
        <v>11</v>
      </c>
      <c r="P48" s="23">
        <v>21</v>
      </c>
      <c r="Q48" s="23">
        <v>30</v>
      </c>
      <c r="R48" s="23">
        <v>38</v>
      </c>
      <c r="S48" s="23">
        <v>45</v>
      </c>
      <c r="T48" s="23">
        <v>39</v>
      </c>
      <c r="U48" s="23">
        <f t="shared" si="22"/>
        <v>148</v>
      </c>
      <c r="W48" s="22" t="str">
        <f t="shared" si="0"/>
        <v>홀수</v>
      </c>
      <c r="X48" s="22" t="str">
        <f t="shared" si="1"/>
        <v>홀수</v>
      </c>
      <c r="Y48" s="22" t="str">
        <f t="shared" si="2"/>
        <v>홀수</v>
      </c>
      <c r="Z48" s="22" t="str">
        <f t="shared" si="53"/>
        <v>짝수</v>
      </c>
      <c r="AA48" s="22" t="str">
        <f t="shared" si="54"/>
        <v>짝수</v>
      </c>
      <c r="AB48" s="22" t="str">
        <f t="shared" si="55"/>
        <v>홀수</v>
      </c>
      <c r="AC48" s="52" t="str">
        <f t="shared" si="56"/>
        <v>4 : 2</v>
      </c>
      <c r="AD48" s="22">
        <f t="shared" si="57"/>
        <v>4</v>
      </c>
      <c r="AE48" s="22">
        <f t="shared" si="58"/>
        <v>2</v>
      </c>
      <c r="AF48" s="22" t="str">
        <f t="shared" si="23"/>
        <v>저수</v>
      </c>
      <c r="AG48" s="22" t="str">
        <f t="shared" si="24"/>
        <v>저수</v>
      </c>
      <c r="AH48" s="22" t="str">
        <f t="shared" si="25"/>
        <v>저수</v>
      </c>
      <c r="AI48" s="22" t="str">
        <f t="shared" si="26"/>
        <v>고수</v>
      </c>
      <c r="AJ48" s="22" t="str">
        <f t="shared" si="27"/>
        <v>고수</v>
      </c>
      <c r="AK48" s="22" t="str">
        <f t="shared" si="28"/>
        <v>고수</v>
      </c>
      <c r="AL48" s="52" t="str">
        <f t="shared" si="29"/>
        <v>3 : 3</v>
      </c>
      <c r="AM48" s="22">
        <f t="shared" si="30"/>
        <v>3</v>
      </c>
      <c r="AN48" s="22">
        <f t="shared" si="31"/>
        <v>3</v>
      </c>
      <c r="AO48" s="22">
        <f t="shared" si="32"/>
        <v>18</v>
      </c>
      <c r="AP48" s="22" t="str">
        <f t="shared" si="33"/>
        <v>O</v>
      </c>
      <c r="AQ48" s="22" t="str">
        <f t="shared" si="34"/>
        <v>O</v>
      </c>
      <c r="AR48" s="22" t="str">
        <f t="shared" si="35"/>
        <v>X</v>
      </c>
      <c r="AS48" s="22" t="str">
        <f t="shared" si="36"/>
        <v>X</v>
      </c>
      <c r="AT48" s="22" t="str">
        <f t="shared" si="37"/>
        <v>X</v>
      </c>
      <c r="AU48" s="22" t="str">
        <f t="shared" si="38"/>
        <v>X</v>
      </c>
      <c r="AV48" s="22" t="str">
        <f t="shared" si="39"/>
        <v>X</v>
      </c>
      <c r="AW48" s="22" t="str">
        <f t="shared" si="40"/>
        <v>X</v>
      </c>
      <c r="AX48" s="22" t="str">
        <f t="shared" si="41"/>
        <v>X</v>
      </c>
      <c r="AY48" s="22" t="str">
        <f t="shared" si="42"/>
        <v>X</v>
      </c>
      <c r="AZ48" s="22" t="str">
        <f t="shared" si="43"/>
        <v>X</v>
      </c>
      <c r="BA48" s="22" t="str">
        <f t="shared" si="44"/>
        <v>X</v>
      </c>
      <c r="BB48" s="22">
        <f t="shared" si="45"/>
        <v>2</v>
      </c>
      <c r="BC48" s="22" t="str">
        <f t="shared" si="7"/>
        <v>1G</v>
      </c>
      <c r="BD48" s="22" t="str">
        <f t="shared" si="8"/>
        <v>1G</v>
      </c>
      <c r="BE48" s="22" t="str">
        <f t="shared" si="9"/>
        <v>2G</v>
      </c>
      <c r="BF48" s="22" t="str">
        <f t="shared" si="10"/>
        <v>2G</v>
      </c>
      <c r="BG48" s="22" t="str">
        <f t="shared" si="11"/>
        <v>3G</v>
      </c>
      <c r="BH48" s="22" t="str">
        <f t="shared" si="12"/>
        <v>3G</v>
      </c>
      <c r="BI48" s="22">
        <f t="shared" si="46"/>
        <v>2</v>
      </c>
      <c r="BJ48" s="22">
        <f t="shared" si="47"/>
        <v>2</v>
      </c>
      <c r="BK48" s="22">
        <f t="shared" si="48"/>
        <v>2</v>
      </c>
      <c r="BL48" s="22" t="str">
        <f t="shared" si="49"/>
        <v>222</v>
      </c>
      <c r="BO48" s="39">
        <v>22</v>
      </c>
      <c r="BP48" s="40">
        <f t="shared" si="13"/>
        <v>90</v>
      </c>
      <c r="BQ48" s="41">
        <f t="shared" si="14"/>
        <v>44</v>
      </c>
      <c r="BR48" s="109">
        <v>44</v>
      </c>
      <c r="BS48" s="24">
        <f t="shared" si="59"/>
        <v>43</v>
      </c>
      <c r="BT48" s="24">
        <f t="shared" si="50"/>
        <v>42</v>
      </c>
      <c r="BU48" s="51">
        <f t="shared" si="51"/>
        <v>85</v>
      </c>
      <c r="BV48" s="22" t="str">
        <f t="shared" si="52"/>
        <v>당첨</v>
      </c>
      <c r="BW48" s="22" t="s">
        <v>708</v>
      </c>
      <c r="BX48" s="110">
        <v>9</v>
      </c>
      <c r="BY48" s="25">
        <v>6</v>
      </c>
      <c r="BZ48" s="25">
        <v>6</v>
      </c>
      <c r="CA48" s="25">
        <v>12</v>
      </c>
      <c r="CB48" s="96" t="s">
        <v>530</v>
      </c>
      <c r="CC48" s="22" t="str">
        <f>IF(RIGHT(BX48,1)="1","홀수",IF(RIGHT(BX48,1)="3","홀수",IF(RIGHT(BX48,1)="5","홀수",IF(RIGHT(BX48,1)="7","홀수",IF(RIGHT(BX48,1)="9","홀수","짝수")))))</f>
        <v>홀수</v>
      </c>
      <c r="CD48" s="23">
        <f>IF(CB48="당첨",RANK(BY48,$BY$5:$BY$49),"")</f>
        <v>43</v>
      </c>
      <c r="CF48" s="47">
        <v>4</v>
      </c>
      <c r="CG48" s="47">
        <v>9</v>
      </c>
      <c r="CH48" s="100">
        <v>1.8181818181818181E-2</v>
      </c>
      <c r="CL48" s="23">
        <v>93</v>
      </c>
      <c r="CM48" s="23">
        <v>90</v>
      </c>
      <c r="CO48"/>
    </row>
    <row r="49" spans="1:93" ht="17.5" thickBot="1">
      <c r="B49" s="15">
        <v>45</v>
      </c>
      <c r="C49" s="23" t="s">
        <v>75</v>
      </c>
      <c r="D49" s="16">
        <v>2</v>
      </c>
      <c r="E49" s="17">
        <v>8356417800</v>
      </c>
      <c r="F49" s="16">
        <v>27</v>
      </c>
      <c r="G49" s="17">
        <v>103165600</v>
      </c>
      <c r="H49" s="16">
        <v>890</v>
      </c>
      <c r="I49" s="17">
        <v>3129700</v>
      </c>
      <c r="J49" s="17">
        <v>45470</v>
      </c>
      <c r="K49" s="17">
        <v>122500</v>
      </c>
      <c r="L49" s="17">
        <v>775339</v>
      </c>
      <c r="M49" s="17">
        <v>10000</v>
      </c>
      <c r="N49" s="23">
        <v>1</v>
      </c>
      <c r="O49" s="23">
        <v>10</v>
      </c>
      <c r="P49" s="23">
        <v>20</v>
      </c>
      <c r="Q49" s="23">
        <v>27</v>
      </c>
      <c r="R49" s="23">
        <v>33</v>
      </c>
      <c r="S49" s="23">
        <v>35</v>
      </c>
      <c r="T49" s="23">
        <v>17</v>
      </c>
      <c r="U49" s="23">
        <f t="shared" si="22"/>
        <v>126</v>
      </c>
      <c r="W49" s="22" t="str">
        <f t="shared" si="0"/>
        <v>홀수</v>
      </c>
      <c r="X49" s="22" t="str">
        <f t="shared" si="1"/>
        <v>짝수</v>
      </c>
      <c r="Y49" s="22" t="str">
        <f t="shared" si="2"/>
        <v>짝수</v>
      </c>
      <c r="Z49" s="22" t="str">
        <f t="shared" si="53"/>
        <v>홀수</v>
      </c>
      <c r="AA49" s="22" t="str">
        <f t="shared" si="54"/>
        <v>홀수</v>
      </c>
      <c r="AB49" s="22" t="str">
        <f t="shared" si="55"/>
        <v>홀수</v>
      </c>
      <c r="AC49" s="52" t="str">
        <f t="shared" si="56"/>
        <v>4 : 2</v>
      </c>
      <c r="AD49" s="22">
        <f t="shared" si="57"/>
        <v>4</v>
      </c>
      <c r="AE49" s="22">
        <f t="shared" si="58"/>
        <v>2</v>
      </c>
      <c r="AF49" s="22" t="str">
        <f t="shared" si="23"/>
        <v>저수</v>
      </c>
      <c r="AG49" s="22" t="str">
        <f t="shared" si="24"/>
        <v>저수</v>
      </c>
      <c r="AH49" s="22" t="str">
        <f t="shared" si="25"/>
        <v>저수</v>
      </c>
      <c r="AI49" s="22" t="str">
        <f t="shared" si="26"/>
        <v>고수</v>
      </c>
      <c r="AJ49" s="22" t="str">
        <f t="shared" si="27"/>
        <v>고수</v>
      </c>
      <c r="AK49" s="22" t="str">
        <f t="shared" si="28"/>
        <v>고수</v>
      </c>
      <c r="AL49" s="52" t="str">
        <f t="shared" si="29"/>
        <v>3 : 3</v>
      </c>
      <c r="AM49" s="22">
        <f t="shared" si="30"/>
        <v>3</v>
      </c>
      <c r="AN49" s="22">
        <f t="shared" si="31"/>
        <v>3</v>
      </c>
      <c r="AO49" s="22">
        <f t="shared" si="32"/>
        <v>16</v>
      </c>
      <c r="AP49" s="22" t="str">
        <f t="shared" si="33"/>
        <v>X</v>
      </c>
      <c r="AQ49" s="22" t="str">
        <f t="shared" si="34"/>
        <v>X</v>
      </c>
      <c r="AR49" s="22" t="str">
        <f t="shared" si="35"/>
        <v>X</v>
      </c>
      <c r="AS49" s="22" t="str">
        <f t="shared" si="36"/>
        <v>X</v>
      </c>
      <c r="AT49" s="22" t="str">
        <f t="shared" si="37"/>
        <v>X</v>
      </c>
      <c r="AU49" s="22" t="str">
        <f t="shared" si="38"/>
        <v>X</v>
      </c>
      <c r="AV49" s="22" t="str">
        <f t="shared" si="39"/>
        <v>X</v>
      </c>
      <c r="AW49" s="22" t="str">
        <f t="shared" si="40"/>
        <v>X</v>
      </c>
      <c r="AX49" s="22" t="str">
        <f t="shared" si="41"/>
        <v>X</v>
      </c>
      <c r="AY49" s="22" t="str">
        <f t="shared" si="42"/>
        <v>X</v>
      </c>
      <c r="AZ49" s="22" t="str">
        <f t="shared" si="43"/>
        <v>X</v>
      </c>
      <c r="BA49" s="22" t="str">
        <f t="shared" si="44"/>
        <v>X</v>
      </c>
      <c r="BB49" s="22">
        <f t="shared" si="45"/>
        <v>0</v>
      </c>
      <c r="BC49" s="22" t="str">
        <f t="shared" si="7"/>
        <v>1G</v>
      </c>
      <c r="BD49" s="22" t="str">
        <f t="shared" si="8"/>
        <v>1G</v>
      </c>
      <c r="BE49" s="22" t="str">
        <f t="shared" si="9"/>
        <v>2G</v>
      </c>
      <c r="BF49" s="22" t="str">
        <f t="shared" si="10"/>
        <v>2G</v>
      </c>
      <c r="BG49" s="22" t="str">
        <f t="shared" si="11"/>
        <v>3G</v>
      </c>
      <c r="BH49" s="22" t="str">
        <f t="shared" si="12"/>
        <v>3G</v>
      </c>
      <c r="BI49" s="22">
        <f t="shared" si="46"/>
        <v>2</v>
      </c>
      <c r="BJ49" s="22">
        <f t="shared" si="47"/>
        <v>2</v>
      </c>
      <c r="BK49" s="22">
        <f t="shared" si="48"/>
        <v>2</v>
      </c>
      <c r="BL49" s="22" t="str">
        <f t="shared" si="49"/>
        <v>222</v>
      </c>
      <c r="BO49" s="42">
        <v>9</v>
      </c>
      <c r="BP49" s="43">
        <f t="shared" si="13"/>
        <v>87</v>
      </c>
      <c r="BQ49" s="44">
        <f t="shared" si="14"/>
        <v>45</v>
      </c>
      <c r="BR49" s="109">
        <v>45</v>
      </c>
      <c r="BS49" s="24">
        <f t="shared" si="59"/>
        <v>31</v>
      </c>
      <c r="BT49" s="24">
        <f t="shared" si="50"/>
        <v>31</v>
      </c>
      <c r="BU49" s="51">
        <f t="shared" si="51"/>
        <v>62</v>
      </c>
      <c r="BV49" s="22" t="str">
        <f t="shared" si="52"/>
        <v>당첨</v>
      </c>
      <c r="BW49" s="22" t="s">
        <v>708</v>
      </c>
      <c r="BX49" s="194">
        <v>19</v>
      </c>
      <c r="BY49" s="25">
        <v>6</v>
      </c>
      <c r="BZ49" s="25">
        <v>6</v>
      </c>
      <c r="CA49" s="25">
        <v>12</v>
      </c>
      <c r="CB49" s="96" t="s">
        <v>530</v>
      </c>
      <c r="CC49" s="22" t="str">
        <f>IF(RIGHT(BX49,1)="1","홀수",IF(RIGHT(BX49,1)="3","홀수",IF(RIGHT(BX49,1)="5","홀수",IF(RIGHT(BX49,1)="7","홀수",IF(RIGHT(BX49,1)="9","홀수","짝수")))))</f>
        <v>홀수</v>
      </c>
      <c r="CD49" s="23">
        <f>IF(CB49="당첨",RANK(BY49,$BY$5:$BY$49),"")</f>
        <v>43</v>
      </c>
      <c r="CF49" s="47">
        <v>3</v>
      </c>
      <c r="CG49" s="47">
        <v>3</v>
      </c>
      <c r="CH49" s="100">
        <v>6.0606060606060606E-3</v>
      </c>
      <c r="CL49" s="23">
        <v>93</v>
      </c>
      <c r="CM49" s="23">
        <v>90</v>
      </c>
      <c r="CO49"/>
    </row>
    <row r="50" spans="1:93" ht="17">
      <c r="B50" s="15">
        <v>46</v>
      </c>
      <c r="C50" s="23" t="s">
        <v>76</v>
      </c>
      <c r="D50" s="16">
        <v>3</v>
      </c>
      <c r="E50" s="17">
        <v>5327758800</v>
      </c>
      <c r="F50" s="16">
        <v>39</v>
      </c>
      <c r="G50" s="17">
        <v>68304600</v>
      </c>
      <c r="H50" s="17">
        <v>1043</v>
      </c>
      <c r="I50" s="17">
        <v>2554000</v>
      </c>
      <c r="J50" s="17">
        <v>45243</v>
      </c>
      <c r="K50" s="17">
        <v>117700</v>
      </c>
      <c r="L50" s="17">
        <v>745199</v>
      </c>
      <c r="M50" s="17">
        <v>10000</v>
      </c>
      <c r="N50" s="23">
        <v>8</v>
      </c>
      <c r="O50" s="23">
        <v>13</v>
      </c>
      <c r="P50" s="23">
        <v>15</v>
      </c>
      <c r="Q50" s="23">
        <v>23</v>
      </c>
      <c r="R50" s="23">
        <v>31</v>
      </c>
      <c r="S50" s="23">
        <v>38</v>
      </c>
      <c r="T50" s="23">
        <v>39</v>
      </c>
      <c r="U50" s="23">
        <f t="shared" si="22"/>
        <v>128</v>
      </c>
      <c r="W50" s="22" t="str">
        <f t="shared" ref="W50:Y53" si="64">IF(RIGHT(N50,1)="1","홀수",IF(RIGHT(N50,1)="3","홀수",IF(RIGHT(N50,1)="5","홀수",IF(RIGHT(N50,1)="7","홀수",IF(RIGHT(N50,1)="9","홀수","짝수")))))</f>
        <v>짝수</v>
      </c>
      <c r="X50" s="22" t="str">
        <f t="shared" si="64"/>
        <v>홀수</v>
      </c>
      <c r="Y50" s="22" t="str">
        <f t="shared" si="64"/>
        <v>홀수</v>
      </c>
      <c r="Z50" s="22" t="str">
        <f t="shared" si="53"/>
        <v>홀수</v>
      </c>
      <c r="AA50" s="22" t="str">
        <f t="shared" si="54"/>
        <v>홀수</v>
      </c>
      <c r="AB50" s="22" t="str">
        <f t="shared" si="55"/>
        <v>짝수</v>
      </c>
      <c r="AC50" s="52" t="str">
        <f t="shared" si="56"/>
        <v>4 : 2</v>
      </c>
      <c r="AD50" s="22">
        <f t="shared" si="57"/>
        <v>4</v>
      </c>
      <c r="AE50" s="22">
        <f t="shared" si="58"/>
        <v>2</v>
      </c>
      <c r="AF50" s="22" t="str">
        <f t="shared" si="23"/>
        <v>저수</v>
      </c>
      <c r="AG50" s="22" t="str">
        <f t="shared" si="24"/>
        <v>저수</v>
      </c>
      <c r="AH50" s="22" t="str">
        <f t="shared" si="25"/>
        <v>저수</v>
      </c>
      <c r="AI50" s="22" t="str">
        <f t="shared" si="26"/>
        <v>고수</v>
      </c>
      <c r="AJ50" s="22" t="str">
        <f t="shared" si="27"/>
        <v>고수</v>
      </c>
      <c r="AK50" s="22" t="str">
        <f t="shared" si="28"/>
        <v>고수</v>
      </c>
      <c r="AL50" s="52" t="str">
        <f t="shared" si="29"/>
        <v>3 : 3</v>
      </c>
      <c r="AM50" s="22">
        <f t="shared" si="30"/>
        <v>3</v>
      </c>
      <c r="AN50" s="22">
        <f t="shared" si="31"/>
        <v>3</v>
      </c>
      <c r="AO50" s="22">
        <f t="shared" si="32"/>
        <v>28</v>
      </c>
      <c r="AP50" s="22" t="str">
        <f t="shared" si="33"/>
        <v>X</v>
      </c>
      <c r="AQ50" s="22" t="str">
        <f t="shared" si="34"/>
        <v>O</v>
      </c>
      <c r="AR50" s="22" t="str">
        <f t="shared" si="35"/>
        <v>X</v>
      </c>
      <c r="AS50" s="22" t="str">
        <f t="shared" si="36"/>
        <v>X</v>
      </c>
      <c r="AT50" s="22" t="str">
        <f t="shared" si="37"/>
        <v>X</v>
      </c>
      <c r="AU50" s="22" t="str">
        <f t="shared" si="38"/>
        <v>X</v>
      </c>
      <c r="AV50" s="22" t="str">
        <f t="shared" si="39"/>
        <v>X</v>
      </c>
      <c r="AW50" s="22" t="str">
        <f t="shared" si="40"/>
        <v>X</v>
      </c>
      <c r="AX50" s="22" t="str">
        <f t="shared" si="41"/>
        <v>X</v>
      </c>
      <c r="AY50" s="22" t="str">
        <f t="shared" si="42"/>
        <v>O</v>
      </c>
      <c r="AZ50" s="22" t="str">
        <f t="shared" si="43"/>
        <v>O</v>
      </c>
      <c r="BA50" s="22" t="str">
        <f t="shared" si="44"/>
        <v>X</v>
      </c>
      <c r="BB50" s="22">
        <f t="shared" si="45"/>
        <v>3</v>
      </c>
      <c r="BC50" s="22" t="str">
        <f t="shared" si="7"/>
        <v>1G</v>
      </c>
      <c r="BD50" s="22" t="str">
        <f t="shared" si="8"/>
        <v>1G</v>
      </c>
      <c r="BE50" s="22" t="str">
        <f t="shared" si="9"/>
        <v>1G</v>
      </c>
      <c r="BF50" s="22" t="str">
        <f t="shared" si="10"/>
        <v>2G</v>
      </c>
      <c r="BG50" s="22" t="str">
        <f t="shared" si="11"/>
        <v>3G</v>
      </c>
      <c r="BH50" s="22" t="str">
        <f t="shared" si="12"/>
        <v>3G</v>
      </c>
      <c r="BI50" s="22">
        <f t="shared" si="46"/>
        <v>3</v>
      </c>
      <c r="BJ50" s="22">
        <f t="shared" si="47"/>
        <v>1</v>
      </c>
      <c r="BK50" s="22">
        <f t="shared" si="48"/>
        <v>2</v>
      </c>
      <c r="BL50" s="22" t="str">
        <f t="shared" si="49"/>
        <v>312</v>
      </c>
      <c r="BS50" s="241" t="s">
        <v>746</v>
      </c>
      <c r="BT50" s="241"/>
      <c r="BU50" s="241"/>
      <c r="CF50" s="47">
        <v>2</v>
      </c>
      <c r="CG50" s="47">
        <v>2</v>
      </c>
      <c r="CH50" s="100">
        <v>4.0404040404040404E-3</v>
      </c>
      <c r="CL50" s="23">
        <v>93</v>
      </c>
      <c r="CM50" s="23">
        <v>90</v>
      </c>
      <c r="CO50"/>
    </row>
    <row r="51" spans="1:93" ht="17">
      <c r="B51" s="15">
        <v>47</v>
      </c>
      <c r="C51" s="23" t="s">
        <v>77</v>
      </c>
      <c r="D51" s="16">
        <v>5</v>
      </c>
      <c r="E51" s="17">
        <v>3250042400</v>
      </c>
      <c r="F51" s="16">
        <v>11</v>
      </c>
      <c r="G51" s="17">
        <v>246215300</v>
      </c>
      <c r="H51" s="16">
        <v>902</v>
      </c>
      <c r="I51" s="17">
        <v>3002600</v>
      </c>
      <c r="J51" s="17">
        <v>40580</v>
      </c>
      <c r="K51" s="17">
        <v>133400</v>
      </c>
      <c r="L51" s="17">
        <v>679466</v>
      </c>
      <c r="M51" s="17">
        <v>10000</v>
      </c>
      <c r="N51" s="23">
        <v>14</v>
      </c>
      <c r="O51" s="23">
        <v>17</v>
      </c>
      <c r="P51" s="23">
        <v>26</v>
      </c>
      <c r="Q51" s="23">
        <v>31</v>
      </c>
      <c r="R51" s="23">
        <v>36</v>
      </c>
      <c r="S51" s="23">
        <v>45</v>
      </c>
      <c r="T51" s="23">
        <v>27</v>
      </c>
      <c r="U51" s="23">
        <f t="shared" si="22"/>
        <v>169</v>
      </c>
      <c r="W51" s="22" t="str">
        <f t="shared" si="64"/>
        <v>짝수</v>
      </c>
      <c r="X51" s="22" t="str">
        <f t="shared" si="64"/>
        <v>홀수</v>
      </c>
      <c r="Y51" s="22" t="str">
        <f t="shared" si="64"/>
        <v>짝수</v>
      </c>
      <c r="Z51" s="22" t="str">
        <f t="shared" si="53"/>
        <v>홀수</v>
      </c>
      <c r="AA51" s="22" t="str">
        <f t="shared" si="54"/>
        <v>짝수</v>
      </c>
      <c r="AB51" s="22" t="str">
        <f t="shared" si="55"/>
        <v>홀수</v>
      </c>
      <c r="AC51" s="52" t="str">
        <f t="shared" si="56"/>
        <v>3 : 3</v>
      </c>
      <c r="AD51" s="22">
        <f t="shared" si="57"/>
        <v>3</v>
      </c>
      <c r="AE51" s="22">
        <f t="shared" si="58"/>
        <v>3</v>
      </c>
      <c r="AF51" s="22" t="str">
        <f t="shared" si="23"/>
        <v>저수</v>
      </c>
      <c r="AG51" s="22" t="str">
        <f t="shared" si="24"/>
        <v>저수</v>
      </c>
      <c r="AH51" s="22" t="str">
        <f t="shared" si="25"/>
        <v>고수</v>
      </c>
      <c r="AI51" s="22" t="str">
        <f t="shared" si="26"/>
        <v>고수</v>
      </c>
      <c r="AJ51" s="22" t="str">
        <f t="shared" si="27"/>
        <v>고수</v>
      </c>
      <c r="AK51" s="22" t="str">
        <f t="shared" si="28"/>
        <v>고수</v>
      </c>
      <c r="AL51" s="52" t="str">
        <f t="shared" si="29"/>
        <v>2 : 4</v>
      </c>
      <c r="AM51" s="22">
        <f t="shared" si="30"/>
        <v>2</v>
      </c>
      <c r="AN51" s="22">
        <f t="shared" si="31"/>
        <v>4</v>
      </c>
      <c r="AO51" s="22">
        <f t="shared" si="32"/>
        <v>29</v>
      </c>
      <c r="AP51" s="22" t="str">
        <f t="shared" si="33"/>
        <v>X</v>
      </c>
      <c r="AQ51" s="22" t="str">
        <f t="shared" si="34"/>
        <v>O</v>
      </c>
      <c r="AR51" s="22" t="str">
        <f t="shared" si="35"/>
        <v>X</v>
      </c>
      <c r="AS51" s="22" t="str">
        <f t="shared" si="36"/>
        <v>X</v>
      </c>
      <c r="AT51" s="22" t="str">
        <f t="shared" si="37"/>
        <v>X</v>
      </c>
      <c r="AU51" s="22" t="str">
        <f t="shared" si="38"/>
        <v>X</v>
      </c>
      <c r="AV51" s="22" t="str">
        <f t="shared" si="39"/>
        <v>X</v>
      </c>
      <c r="AW51" s="22" t="str">
        <f t="shared" si="40"/>
        <v>X</v>
      </c>
      <c r="AX51" s="22" t="str">
        <f t="shared" si="41"/>
        <v>X</v>
      </c>
      <c r="AY51" s="22" t="str">
        <f t="shared" si="42"/>
        <v>O</v>
      </c>
      <c r="AZ51" s="22" t="str">
        <f t="shared" si="43"/>
        <v>X</v>
      </c>
      <c r="BA51" s="22" t="str">
        <f t="shared" si="44"/>
        <v>X</v>
      </c>
      <c r="BB51" s="22">
        <f t="shared" si="45"/>
        <v>2</v>
      </c>
      <c r="BC51" s="22" t="str">
        <f t="shared" si="7"/>
        <v>1G</v>
      </c>
      <c r="BD51" s="22" t="str">
        <f t="shared" si="8"/>
        <v>2G</v>
      </c>
      <c r="BE51" s="22" t="str">
        <f t="shared" si="9"/>
        <v>2G</v>
      </c>
      <c r="BF51" s="22" t="str">
        <f t="shared" si="10"/>
        <v>3G</v>
      </c>
      <c r="BG51" s="22" t="str">
        <f t="shared" si="11"/>
        <v>3G</v>
      </c>
      <c r="BH51" s="22" t="str">
        <f t="shared" si="12"/>
        <v>3G</v>
      </c>
      <c r="BI51" s="22">
        <f t="shared" si="46"/>
        <v>1</v>
      </c>
      <c r="BJ51" s="22">
        <f t="shared" si="47"/>
        <v>2</v>
      </c>
      <c r="BK51" s="22">
        <f t="shared" si="48"/>
        <v>3</v>
      </c>
      <c r="BL51" s="22" t="str">
        <f t="shared" si="49"/>
        <v>123</v>
      </c>
      <c r="BO51" s="233" t="s">
        <v>619</v>
      </c>
      <c r="BP51" s="233"/>
      <c r="BQ51" s="233"/>
      <c r="BR51" s="22" t="s">
        <v>741</v>
      </c>
      <c r="BS51" s="98" t="s">
        <v>743</v>
      </c>
      <c r="BT51" s="98" t="s">
        <v>744</v>
      </c>
      <c r="BU51" s="98" t="s">
        <v>745</v>
      </c>
      <c r="BZ51" s="23"/>
      <c r="CA51" s="23"/>
      <c r="CB51" s="23"/>
      <c r="CC51" s="23"/>
      <c r="CF51" s="47">
        <v>0</v>
      </c>
      <c r="CG51" s="47">
        <v>0</v>
      </c>
      <c r="CH51" s="100">
        <v>0</v>
      </c>
      <c r="CL51" s="23">
        <v>93</v>
      </c>
      <c r="CM51" s="23">
        <v>90</v>
      </c>
      <c r="CO51"/>
    </row>
    <row r="52" spans="1:93" ht="17">
      <c r="B52" s="15">
        <v>48</v>
      </c>
      <c r="C52" s="23" t="s">
        <v>78</v>
      </c>
      <c r="D52" s="16">
        <v>6</v>
      </c>
      <c r="E52" s="17">
        <v>2415673600</v>
      </c>
      <c r="F52" s="16">
        <v>25</v>
      </c>
      <c r="G52" s="17">
        <v>96626900</v>
      </c>
      <c r="H52" s="17">
        <v>1279</v>
      </c>
      <c r="I52" s="17">
        <v>1888700</v>
      </c>
      <c r="J52" s="17">
        <v>58047</v>
      </c>
      <c r="K52" s="17">
        <v>83200</v>
      </c>
      <c r="L52" s="17">
        <v>874668</v>
      </c>
      <c r="M52" s="17">
        <v>10000</v>
      </c>
      <c r="N52" s="23">
        <v>6</v>
      </c>
      <c r="O52" s="23">
        <v>10</v>
      </c>
      <c r="P52" s="23">
        <v>18</v>
      </c>
      <c r="Q52" s="23">
        <v>26</v>
      </c>
      <c r="R52" s="23">
        <v>37</v>
      </c>
      <c r="S52" s="23">
        <v>38</v>
      </c>
      <c r="T52" s="23">
        <v>3</v>
      </c>
      <c r="U52" s="23">
        <f t="shared" si="22"/>
        <v>135</v>
      </c>
      <c r="W52" s="22" t="str">
        <f t="shared" si="64"/>
        <v>짝수</v>
      </c>
      <c r="X52" s="22" t="str">
        <f t="shared" si="64"/>
        <v>짝수</v>
      </c>
      <c r="Y52" s="22" t="str">
        <f t="shared" si="64"/>
        <v>짝수</v>
      </c>
      <c r="Z52" s="22" t="str">
        <f t="shared" si="53"/>
        <v>짝수</v>
      </c>
      <c r="AA52" s="22" t="str">
        <f t="shared" si="54"/>
        <v>홀수</v>
      </c>
      <c r="AB52" s="22" t="str">
        <f t="shared" si="55"/>
        <v>짝수</v>
      </c>
      <c r="AC52" s="52" t="str">
        <f t="shared" si="56"/>
        <v>1 : 5</v>
      </c>
      <c r="AD52" s="22">
        <f t="shared" si="57"/>
        <v>1</v>
      </c>
      <c r="AE52" s="22">
        <f t="shared" si="58"/>
        <v>5</v>
      </c>
      <c r="AF52" s="22" t="str">
        <f t="shared" si="23"/>
        <v>저수</v>
      </c>
      <c r="AG52" s="22" t="str">
        <f t="shared" si="24"/>
        <v>저수</v>
      </c>
      <c r="AH52" s="22" t="str">
        <f t="shared" si="25"/>
        <v>저수</v>
      </c>
      <c r="AI52" s="22" t="str">
        <f t="shared" si="26"/>
        <v>고수</v>
      </c>
      <c r="AJ52" s="22" t="str">
        <f t="shared" si="27"/>
        <v>고수</v>
      </c>
      <c r="AK52" s="22" t="str">
        <f t="shared" si="28"/>
        <v>고수</v>
      </c>
      <c r="AL52" s="52" t="str">
        <f t="shared" si="29"/>
        <v>3 : 3</v>
      </c>
      <c r="AM52" s="22">
        <f t="shared" si="30"/>
        <v>3</v>
      </c>
      <c r="AN52" s="22">
        <f t="shared" si="31"/>
        <v>3</v>
      </c>
      <c r="AO52" s="22">
        <f t="shared" si="32"/>
        <v>35</v>
      </c>
      <c r="AP52" s="22" t="str">
        <f t="shared" si="33"/>
        <v>X</v>
      </c>
      <c r="AQ52" s="22" t="str">
        <f t="shared" si="34"/>
        <v>X</v>
      </c>
      <c r="AR52" s="22" t="str">
        <f t="shared" si="35"/>
        <v>X</v>
      </c>
      <c r="AS52" s="22" t="str">
        <f t="shared" si="36"/>
        <v>X</v>
      </c>
      <c r="AT52" s="22" t="str">
        <f t="shared" si="37"/>
        <v>X</v>
      </c>
      <c r="AU52" s="22" t="str">
        <f t="shared" si="38"/>
        <v>X</v>
      </c>
      <c r="AV52" s="22" t="str">
        <f t="shared" si="39"/>
        <v>X</v>
      </c>
      <c r="AW52" s="22" t="str">
        <f t="shared" si="40"/>
        <v>X</v>
      </c>
      <c r="AX52" s="22" t="str">
        <f t="shared" si="41"/>
        <v>X</v>
      </c>
      <c r="AY52" s="22" t="str">
        <f t="shared" si="42"/>
        <v>X</v>
      </c>
      <c r="AZ52" s="22" t="str">
        <f t="shared" si="43"/>
        <v>O</v>
      </c>
      <c r="BA52" s="22" t="str">
        <f t="shared" si="44"/>
        <v>X</v>
      </c>
      <c r="BB52" s="22">
        <f t="shared" si="45"/>
        <v>1</v>
      </c>
      <c r="BC52" s="22" t="str">
        <f t="shared" si="7"/>
        <v>1G</v>
      </c>
      <c r="BD52" s="22" t="str">
        <f t="shared" si="8"/>
        <v>1G</v>
      </c>
      <c r="BE52" s="22" t="str">
        <f t="shared" si="9"/>
        <v>2G</v>
      </c>
      <c r="BF52" s="22" t="str">
        <f t="shared" si="10"/>
        <v>2G</v>
      </c>
      <c r="BG52" s="22" t="str">
        <f t="shared" si="11"/>
        <v>3G</v>
      </c>
      <c r="BH52" s="22" t="str">
        <f t="shared" si="12"/>
        <v>3G</v>
      </c>
      <c r="BI52" s="22">
        <f t="shared" si="46"/>
        <v>2</v>
      </c>
      <c r="BJ52" s="22">
        <f t="shared" si="47"/>
        <v>2</v>
      </c>
      <c r="BK52" s="22">
        <f t="shared" si="48"/>
        <v>2</v>
      </c>
      <c r="BL52" s="22" t="str">
        <f t="shared" si="49"/>
        <v>222</v>
      </c>
      <c r="BO52" s="47" t="s">
        <v>616</v>
      </c>
      <c r="BP52" s="47" t="s">
        <v>617</v>
      </c>
      <c r="BQ52" s="47" t="s">
        <v>616</v>
      </c>
      <c r="BR52" s="22">
        <v>1</v>
      </c>
      <c r="BS52" s="70" t="s">
        <v>714</v>
      </c>
      <c r="BT52" s="70">
        <f t="shared" ref="BT52:BT78" si="65">COUNTIF($BL$5:$BL$1659,BS52)</f>
        <v>109</v>
      </c>
      <c r="BU52" s="75">
        <f t="shared" ref="BU52:BU79" si="66">BT52/$BT$79</f>
        <v>0.15117891816920942</v>
      </c>
      <c r="CF52" s="47">
        <v>1</v>
      </c>
      <c r="CG52" s="47">
        <v>0</v>
      </c>
      <c r="CH52" s="100">
        <v>0</v>
      </c>
      <c r="CL52" s="23">
        <v>95</v>
      </c>
      <c r="CM52" s="23">
        <v>90</v>
      </c>
      <c r="CO52"/>
    </row>
    <row r="53" spans="1:93" ht="17">
      <c r="B53" s="15">
        <v>49</v>
      </c>
      <c r="C53" s="23" t="s">
        <v>79</v>
      </c>
      <c r="D53" s="16">
        <v>7</v>
      </c>
      <c r="E53" s="17">
        <v>1967504600</v>
      </c>
      <c r="F53" s="16">
        <v>49</v>
      </c>
      <c r="G53" s="17">
        <v>46845300</v>
      </c>
      <c r="H53" s="17">
        <v>1487</v>
      </c>
      <c r="I53" s="17">
        <v>1543600</v>
      </c>
      <c r="J53" s="17">
        <v>66451</v>
      </c>
      <c r="K53" s="17">
        <v>69000</v>
      </c>
      <c r="L53" s="17">
        <v>929635</v>
      </c>
      <c r="M53" s="17">
        <v>10000</v>
      </c>
      <c r="N53" s="23">
        <v>4</v>
      </c>
      <c r="O53" s="23">
        <v>7</v>
      </c>
      <c r="P53" s="23">
        <v>16</v>
      </c>
      <c r="Q53" s="23">
        <v>19</v>
      </c>
      <c r="R53" s="23">
        <v>33</v>
      </c>
      <c r="S53" s="23">
        <v>40</v>
      </c>
      <c r="T53" s="23">
        <v>30</v>
      </c>
      <c r="U53" s="23">
        <f t="shared" si="22"/>
        <v>119</v>
      </c>
      <c r="W53" s="22" t="str">
        <f t="shared" si="64"/>
        <v>짝수</v>
      </c>
      <c r="X53" s="22" t="str">
        <f t="shared" si="64"/>
        <v>홀수</v>
      </c>
      <c r="Y53" s="22" t="str">
        <f t="shared" si="64"/>
        <v>짝수</v>
      </c>
      <c r="Z53" s="22" t="str">
        <f>IF(RIGHT(Q53,1)="1","홀수",IF(RIGHT(Q53,1)="3","홀수",IF(RIGHT(Q53,1)="5","홀수",IF(RIGHT(Q53,1)="7","홀수",IF(RIGHT(Q53,1)="9","홀수","짝수")))))</f>
        <v>홀수</v>
      </c>
      <c r="AA53" s="22" t="str">
        <f>IF(RIGHT(R53,1)="1","홀수",IF(RIGHT(R53,1)="3","홀수",IF(RIGHT(R53,1)="5","홀수",IF(RIGHT(R53,1)="7","홀수",IF(RIGHT(R53,1)="9","홀수","짝수")))))</f>
        <v>홀수</v>
      </c>
      <c r="AB53" s="22" t="str">
        <f>IF(RIGHT(S53,1)="1","홀수",IF(RIGHT(S53,1)="3","홀수",IF(RIGHT(S53,1)="5","홀수",IF(RIGHT(S53,1)="7","홀수",IF(RIGHT(S53,1)="9","홀수","짝수")))))</f>
        <v>짝수</v>
      </c>
      <c r="AC53" s="52" t="str">
        <f>AD53&amp;" : "&amp;AE53</f>
        <v>3 : 3</v>
      </c>
      <c r="AD53" s="22">
        <f>COUNTIF(W53:AB53,"홀수")</f>
        <v>3</v>
      </c>
      <c r="AE53" s="22">
        <f>COUNTIF(W53:AB53,"짝수")</f>
        <v>3</v>
      </c>
      <c r="AF53" s="22" t="str">
        <f t="shared" si="23"/>
        <v>저수</v>
      </c>
      <c r="AG53" s="22" t="str">
        <f t="shared" si="24"/>
        <v>저수</v>
      </c>
      <c r="AH53" s="22" t="str">
        <f t="shared" si="25"/>
        <v>저수</v>
      </c>
      <c r="AI53" s="22" t="str">
        <f t="shared" si="26"/>
        <v>저수</v>
      </c>
      <c r="AJ53" s="22" t="str">
        <f t="shared" si="27"/>
        <v>고수</v>
      </c>
      <c r="AK53" s="22" t="str">
        <f t="shared" si="28"/>
        <v>고수</v>
      </c>
      <c r="AL53" s="52" t="str">
        <f t="shared" si="29"/>
        <v>4 : 2</v>
      </c>
      <c r="AM53" s="22">
        <f t="shared" si="30"/>
        <v>4</v>
      </c>
      <c r="AN53" s="22">
        <f t="shared" si="31"/>
        <v>2</v>
      </c>
      <c r="AO53" s="22">
        <f t="shared" si="32"/>
        <v>29</v>
      </c>
      <c r="AP53" s="22" t="str">
        <f t="shared" si="33"/>
        <v>X</v>
      </c>
      <c r="AQ53" s="22" t="str">
        <f t="shared" si="34"/>
        <v>O</v>
      </c>
      <c r="AR53" s="22" t="str">
        <f t="shared" si="35"/>
        <v>X</v>
      </c>
      <c r="AS53" s="22" t="str">
        <f t="shared" si="36"/>
        <v>O</v>
      </c>
      <c r="AT53" s="22" t="str">
        <f t="shared" si="37"/>
        <v>X</v>
      </c>
      <c r="AU53" s="22" t="str">
        <f t="shared" si="38"/>
        <v>X</v>
      </c>
      <c r="AV53" s="22" t="str">
        <f t="shared" si="39"/>
        <v>X</v>
      </c>
      <c r="AW53" s="22" t="str">
        <f t="shared" si="40"/>
        <v>X</v>
      </c>
      <c r="AX53" s="22" t="str">
        <f t="shared" si="41"/>
        <v>X</v>
      </c>
      <c r="AY53" s="22" t="str">
        <f t="shared" si="42"/>
        <v>X</v>
      </c>
      <c r="AZ53" s="22" t="str">
        <f t="shared" si="43"/>
        <v>X</v>
      </c>
      <c r="BA53" s="22" t="str">
        <f t="shared" si="44"/>
        <v>X</v>
      </c>
      <c r="BB53" s="22">
        <f t="shared" si="45"/>
        <v>2</v>
      </c>
      <c r="BC53" s="22" t="str">
        <f t="shared" si="7"/>
        <v>1G</v>
      </c>
      <c r="BD53" s="22" t="str">
        <f t="shared" si="8"/>
        <v>1G</v>
      </c>
      <c r="BE53" s="22" t="str">
        <f t="shared" si="9"/>
        <v>2G</v>
      </c>
      <c r="BF53" s="22" t="str">
        <f t="shared" si="10"/>
        <v>2G</v>
      </c>
      <c r="BG53" s="22" t="str">
        <f t="shared" si="11"/>
        <v>3G</v>
      </c>
      <c r="BH53" s="22" t="str">
        <f t="shared" si="12"/>
        <v>3G</v>
      </c>
      <c r="BI53" s="22">
        <f t="shared" si="46"/>
        <v>2</v>
      </c>
      <c r="BJ53" s="22">
        <f t="shared" si="47"/>
        <v>2</v>
      </c>
      <c r="BK53" s="22">
        <f t="shared" si="48"/>
        <v>2</v>
      </c>
      <c r="BL53" s="22" t="str">
        <f t="shared" si="49"/>
        <v>222</v>
      </c>
      <c r="BO53" s="73" t="s">
        <v>612</v>
      </c>
      <c r="BP53" s="70">
        <f t="shared" ref="BP53:BP59" si="67">COUNTIF($AC$5:$AC$1000,BO53)</f>
        <v>254</v>
      </c>
      <c r="BQ53" s="74">
        <f t="shared" ref="BQ53:BQ59" si="68">BP53/$BP$60</f>
        <v>0.35228848821081832</v>
      </c>
      <c r="BR53" s="22">
        <v>2</v>
      </c>
      <c r="BS53" s="70" t="s">
        <v>713</v>
      </c>
      <c r="BT53" s="70">
        <f t="shared" si="65"/>
        <v>74</v>
      </c>
      <c r="BU53" s="75">
        <f t="shared" si="66"/>
        <v>0.10263522884882108</v>
      </c>
      <c r="CF53" s="47" t="s">
        <v>757</v>
      </c>
      <c r="CG53" s="47">
        <v>495</v>
      </c>
      <c r="CH53" s="47"/>
      <c r="CL53" s="23">
        <v>96</v>
      </c>
      <c r="CM53" s="23">
        <v>90</v>
      </c>
      <c r="CO53"/>
    </row>
    <row r="54" spans="1:93" ht="17">
      <c r="B54" s="15">
        <v>50</v>
      </c>
      <c r="C54" s="23" t="s">
        <v>80</v>
      </c>
      <c r="D54" s="16">
        <v>3</v>
      </c>
      <c r="E54" s="17">
        <v>5227061400</v>
      </c>
      <c r="F54" s="16">
        <v>14</v>
      </c>
      <c r="G54" s="17">
        <v>186680700</v>
      </c>
      <c r="H54" s="16">
        <v>826</v>
      </c>
      <c r="I54" s="17">
        <v>3164000</v>
      </c>
      <c r="J54" s="17">
        <v>40296</v>
      </c>
      <c r="K54" s="17">
        <v>129700</v>
      </c>
      <c r="L54" s="17">
        <v>664631</v>
      </c>
      <c r="M54" s="17">
        <v>10000</v>
      </c>
      <c r="N54" s="23">
        <v>2</v>
      </c>
      <c r="O54" s="23">
        <v>10</v>
      </c>
      <c r="P54" s="23">
        <v>12</v>
      </c>
      <c r="Q54" s="23">
        <v>15</v>
      </c>
      <c r="R54" s="23">
        <v>22</v>
      </c>
      <c r="S54" s="23">
        <v>44</v>
      </c>
      <c r="T54" s="23">
        <v>1</v>
      </c>
      <c r="U54" s="23">
        <f t="shared" si="22"/>
        <v>105</v>
      </c>
      <c r="W54" s="22" t="str">
        <f t="shared" ref="W54:W117" si="69">IF(RIGHT(N54,1)="1","홀수",IF(RIGHT(N54,1)="3","홀수",IF(RIGHT(N54,1)="5","홀수",IF(RIGHT(N54,1)="7","홀수",IF(RIGHT(N54,1)="9","홀수","짝수")))))</f>
        <v>짝수</v>
      </c>
      <c r="X54" s="22" t="str">
        <f t="shared" ref="X54:X117" si="70">IF(RIGHT(O54,1)="1","홀수",IF(RIGHT(O54,1)="3","홀수",IF(RIGHT(O54,1)="5","홀수",IF(RIGHT(O54,1)="7","홀수",IF(RIGHT(O54,1)="9","홀수","짝수")))))</f>
        <v>짝수</v>
      </c>
      <c r="Y54" s="22" t="str">
        <f t="shared" ref="Y54:Y117" si="71">IF(RIGHT(P54,1)="1","홀수",IF(RIGHT(P54,1)="3","홀수",IF(RIGHT(P54,1)="5","홀수",IF(RIGHT(P54,1)="7","홀수",IF(RIGHT(P54,1)="9","홀수","짝수")))))</f>
        <v>짝수</v>
      </c>
      <c r="Z54" s="22" t="str">
        <f t="shared" ref="Z54:Z117" si="72">IF(RIGHT(Q54,1)="1","홀수",IF(RIGHT(Q54,1)="3","홀수",IF(RIGHT(Q54,1)="5","홀수",IF(RIGHT(Q54,1)="7","홀수",IF(RIGHT(Q54,1)="9","홀수","짝수")))))</f>
        <v>홀수</v>
      </c>
      <c r="AA54" s="22" t="str">
        <f t="shared" ref="AA54:AA117" si="73">IF(RIGHT(R54,1)="1","홀수",IF(RIGHT(R54,1)="3","홀수",IF(RIGHT(R54,1)="5","홀수",IF(RIGHT(R54,1)="7","홀수",IF(RIGHT(R54,1)="9","홀수","짝수")))))</f>
        <v>짝수</v>
      </c>
      <c r="AB54" s="22" t="str">
        <f t="shared" ref="AB54:AB117" si="74">IF(RIGHT(S54,1)="1","홀수",IF(RIGHT(S54,1)="3","홀수",IF(RIGHT(S54,1)="5","홀수",IF(RIGHT(S54,1)="7","홀수",IF(RIGHT(S54,1)="9","홀수","짝수")))))</f>
        <v>짝수</v>
      </c>
      <c r="AC54" s="52" t="str">
        <f t="shared" ref="AC54:AC117" si="75">AD54&amp;" : "&amp;AE54</f>
        <v>1 : 5</v>
      </c>
      <c r="AD54" s="22">
        <f t="shared" ref="AD54:AD117" si="76">COUNTIF(W54:AB54,"홀수")</f>
        <v>1</v>
      </c>
      <c r="AE54" s="22">
        <f t="shared" ref="AE54:AE117" si="77">COUNTIF(W54:AB54,"짝수")</f>
        <v>5</v>
      </c>
      <c r="AF54" s="22" t="str">
        <f t="shared" si="23"/>
        <v>저수</v>
      </c>
      <c r="AG54" s="22" t="str">
        <f t="shared" si="24"/>
        <v>저수</v>
      </c>
      <c r="AH54" s="22" t="str">
        <f t="shared" si="25"/>
        <v>저수</v>
      </c>
      <c r="AI54" s="22" t="str">
        <f t="shared" si="26"/>
        <v>저수</v>
      </c>
      <c r="AJ54" s="22" t="str">
        <f t="shared" si="27"/>
        <v>저수</v>
      </c>
      <c r="AK54" s="22" t="str">
        <f t="shared" si="28"/>
        <v>고수</v>
      </c>
      <c r="AL54" s="52" t="str">
        <f t="shared" si="29"/>
        <v>5 : 1</v>
      </c>
      <c r="AM54" s="22">
        <f t="shared" si="30"/>
        <v>5</v>
      </c>
      <c r="AN54" s="22">
        <f t="shared" si="31"/>
        <v>1</v>
      </c>
      <c r="AO54" s="22">
        <f t="shared" si="32"/>
        <v>15</v>
      </c>
      <c r="AP54" s="22" t="str">
        <f t="shared" si="33"/>
        <v>O</v>
      </c>
      <c r="AQ54" s="22" t="str">
        <f t="shared" si="34"/>
        <v>X</v>
      </c>
      <c r="AR54" s="22" t="str">
        <f t="shared" si="35"/>
        <v>X</v>
      </c>
      <c r="AS54" s="22" t="str">
        <f t="shared" si="36"/>
        <v>X</v>
      </c>
      <c r="AT54" s="22" t="str">
        <f t="shared" si="37"/>
        <v>X</v>
      </c>
      <c r="AU54" s="22" t="str">
        <f t="shared" si="38"/>
        <v>X</v>
      </c>
      <c r="AV54" s="22" t="str">
        <f t="shared" si="39"/>
        <v>X</v>
      </c>
      <c r="AW54" s="22" t="str">
        <f t="shared" si="40"/>
        <v>X</v>
      </c>
      <c r="AX54" s="22" t="str">
        <f t="shared" si="41"/>
        <v>X</v>
      </c>
      <c r="AY54" s="22" t="str">
        <f t="shared" si="42"/>
        <v>X</v>
      </c>
      <c r="AZ54" s="22" t="str">
        <f t="shared" si="43"/>
        <v>X</v>
      </c>
      <c r="BA54" s="22" t="str">
        <f t="shared" si="44"/>
        <v>X</v>
      </c>
      <c r="BB54" s="22">
        <f t="shared" si="45"/>
        <v>1</v>
      </c>
      <c r="BC54" s="22" t="str">
        <f t="shared" si="7"/>
        <v>1G</v>
      </c>
      <c r="BD54" s="22" t="str">
        <f t="shared" si="8"/>
        <v>1G</v>
      </c>
      <c r="BE54" s="22" t="str">
        <f t="shared" si="9"/>
        <v>1G</v>
      </c>
      <c r="BF54" s="22" t="str">
        <f t="shared" si="10"/>
        <v>1G</v>
      </c>
      <c r="BG54" s="22" t="str">
        <f t="shared" si="11"/>
        <v>2G</v>
      </c>
      <c r="BH54" s="22" t="str">
        <f t="shared" si="12"/>
        <v>3G</v>
      </c>
      <c r="BI54" s="22">
        <f t="shared" si="46"/>
        <v>4</v>
      </c>
      <c r="BJ54" s="22">
        <f t="shared" si="47"/>
        <v>1</v>
      </c>
      <c r="BK54" s="22">
        <f t="shared" si="48"/>
        <v>1</v>
      </c>
      <c r="BL54" s="22" t="str">
        <f t="shared" si="49"/>
        <v>411</v>
      </c>
      <c r="BO54" s="73" t="s">
        <v>613</v>
      </c>
      <c r="BP54" s="70">
        <f t="shared" si="67"/>
        <v>183</v>
      </c>
      <c r="BQ54" s="74">
        <f t="shared" si="68"/>
        <v>0.25381414701803051</v>
      </c>
      <c r="BR54" s="22">
        <v>3</v>
      </c>
      <c r="BS54" s="70" t="s">
        <v>720</v>
      </c>
      <c r="BT54" s="70">
        <f t="shared" si="65"/>
        <v>69</v>
      </c>
      <c r="BU54" s="75">
        <f t="shared" si="66"/>
        <v>9.5700416088765602E-2</v>
      </c>
      <c r="CL54" s="23">
        <v>96</v>
      </c>
      <c r="CM54" s="23">
        <v>90</v>
      </c>
      <c r="CO54"/>
    </row>
    <row r="55" spans="1:93" ht="17">
      <c r="B55" s="15">
        <v>51</v>
      </c>
      <c r="C55" s="23" t="s">
        <v>81</v>
      </c>
      <c r="D55" s="16">
        <v>6</v>
      </c>
      <c r="E55" s="17">
        <v>2421117000</v>
      </c>
      <c r="F55" s="16">
        <v>26</v>
      </c>
      <c r="G55" s="17">
        <v>93119800</v>
      </c>
      <c r="H55" s="16">
        <v>961</v>
      </c>
      <c r="I55" s="17">
        <v>2519300</v>
      </c>
      <c r="J55" s="17">
        <v>45707</v>
      </c>
      <c r="K55" s="17">
        <v>105900</v>
      </c>
      <c r="L55" s="17">
        <v>706567</v>
      </c>
      <c r="M55" s="17">
        <v>10000</v>
      </c>
      <c r="N55" s="23">
        <v>2</v>
      </c>
      <c r="O55" s="23">
        <v>3</v>
      </c>
      <c r="P55" s="23">
        <v>11</v>
      </c>
      <c r="Q55" s="23">
        <v>16</v>
      </c>
      <c r="R55" s="23">
        <v>26</v>
      </c>
      <c r="S55" s="23">
        <v>44</v>
      </c>
      <c r="T55" s="23">
        <v>35</v>
      </c>
      <c r="U55" s="23">
        <f t="shared" si="22"/>
        <v>102</v>
      </c>
      <c r="W55" s="22" t="str">
        <f t="shared" si="69"/>
        <v>짝수</v>
      </c>
      <c r="X55" s="22" t="str">
        <f t="shared" si="70"/>
        <v>홀수</v>
      </c>
      <c r="Y55" s="22" t="str">
        <f t="shared" si="71"/>
        <v>홀수</v>
      </c>
      <c r="Z55" s="22" t="str">
        <f t="shared" si="72"/>
        <v>짝수</v>
      </c>
      <c r="AA55" s="22" t="str">
        <f t="shared" si="73"/>
        <v>짝수</v>
      </c>
      <c r="AB55" s="22" t="str">
        <f t="shared" si="74"/>
        <v>짝수</v>
      </c>
      <c r="AC55" s="52" t="str">
        <f t="shared" si="75"/>
        <v>2 : 4</v>
      </c>
      <c r="AD55" s="22">
        <f t="shared" si="76"/>
        <v>2</v>
      </c>
      <c r="AE55" s="22">
        <f t="shared" si="77"/>
        <v>4</v>
      </c>
      <c r="AF55" s="22" t="str">
        <f t="shared" si="23"/>
        <v>저수</v>
      </c>
      <c r="AG55" s="22" t="str">
        <f t="shared" si="24"/>
        <v>저수</v>
      </c>
      <c r="AH55" s="22" t="str">
        <f t="shared" si="25"/>
        <v>저수</v>
      </c>
      <c r="AI55" s="22" t="str">
        <f t="shared" si="26"/>
        <v>저수</v>
      </c>
      <c r="AJ55" s="22" t="str">
        <f t="shared" si="27"/>
        <v>고수</v>
      </c>
      <c r="AK55" s="22" t="str">
        <f t="shared" si="28"/>
        <v>고수</v>
      </c>
      <c r="AL55" s="52" t="str">
        <f t="shared" si="29"/>
        <v>4 : 2</v>
      </c>
      <c r="AM55" s="22">
        <f t="shared" si="30"/>
        <v>4</v>
      </c>
      <c r="AN55" s="22">
        <f t="shared" si="31"/>
        <v>2</v>
      </c>
      <c r="AO55" s="22">
        <f t="shared" si="32"/>
        <v>22</v>
      </c>
      <c r="AP55" s="22" t="str">
        <f t="shared" si="33"/>
        <v>O</v>
      </c>
      <c r="AQ55" s="22" t="str">
        <f t="shared" si="34"/>
        <v>O</v>
      </c>
      <c r="AR55" s="22" t="str">
        <f t="shared" si="35"/>
        <v>O</v>
      </c>
      <c r="AS55" s="22" t="str">
        <f t="shared" si="36"/>
        <v>X</v>
      </c>
      <c r="AT55" s="22" t="str">
        <f t="shared" si="37"/>
        <v>X</v>
      </c>
      <c r="AU55" s="22" t="str">
        <f t="shared" si="38"/>
        <v>X</v>
      </c>
      <c r="AV55" s="22" t="str">
        <f t="shared" si="39"/>
        <v>X</v>
      </c>
      <c r="AW55" s="22" t="str">
        <f t="shared" si="40"/>
        <v>X</v>
      </c>
      <c r="AX55" s="22" t="str">
        <f t="shared" si="41"/>
        <v>X</v>
      </c>
      <c r="AY55" s="22" t="str">
        <f t="shared" si="42"/>
        <v>X</v>
      </c>
      <c r="AZ55" s="22" t="str">
        <f t="shared" si="43"/>
        <v>X</v>
      </c>
      <c r="BA55" s="22" t="str">
        <f t="shared" si="44"/>
        <v>X</v>
      </c>
      <c r="BB55" s="22">
        <f t="shared" si="45"/>
        <v>3</v>
      </c>
      <c r="BC55" s="22" t="str">
        <f t="shared" si="7"/>
        <v>1G</v>
      </c>
      <c r="BD55" s="22" t="str">
        <f t="shared" si="8"/>
        <v>1G</v>
      </c>
      <c r="BE55" s="22" t="str">
        <f t="shared" si="9"/>
        <v>1G</v>
      </c>
      <c r="BF55" s="22" t="str">
        <f t="shared" si="10"/>
        <v>2G</v>
      </c>
      <c r="BG55" s="22" t="str">
        <f t="shared" si="11"/>
        <v>2G</v>
      </c>
      <c r="BH55" s="22" t="str">
        <f t="shared" si="12"/>
        <v>3G</v>
      </c>
      <c r="BI55" s="22">
        <f t="shared" si="46"/>
        <v>3</v>
      </c>
      <c r="BJ55" s="22">
        <f t="shared" si="47"/>
        <v>2</v>
      </c>
      <c r="BK55" s="22">
        <f t="shared" si="48"/>
        <v>1</v>
      </c>
      <c r="BL55" s="22" t="str">
        <f t="shared" si="49"/>
        <v>321</v>
      </c>
      <c r="BO55" s="73" t="s">
        <v>611</v>
      </c>
      <c r="BP55" s="70">
        <f t="shared" si="67"/>
        <v>166</v>
      </c>
      <c r="BQ55" s="74">
        <f t="shared" si="68"/>
        <v>0.2302357836338419</v>
      </c>
      <c r="BR55" s="22">
        <v>4</v>
      </c>
      <c r="BS55" s="70" t="s">
        <v>730</v>
      </c>
      <c r="BT55" s="70">
        <f t="shared" si="65"/>
        <v>64</v>
      </c>
      <c r="BU55" s="75">
        <f t="shared" si="66"/>
        <v>8.8765603328710127E-2</v>
      </c>
      <c r="CL55" s="23">
        <v>96</v>
      </c>
      <c r="CM55" s="23">
        <v>90</v>
      </c>
      <c r="CO55"/>
    </row>
    <row r="56" spans="1:93" ht="17">
      <c r="B56" s="15">
        <v>52</v>
      </c>
      <c r="C56" s="23" t="s">
        <v>82</v>
      </c>
      <c r="D56" s="16">
        <v>4</v>
      </c>
      <c r="E56" s="17">
        <v>3900844900</v>
      </c>
      <c r="F56" s="16">
        <v>13</v>
      </c>
      <c r="G56" s="17">
        <v>200043300</v>
      </c>
      <c r="H56" s="16">
        <v>669</v>
      </c>
      <c r="I56" s="17">
        <v>3887200</v>
      </c>
      <c r="J56" s="17">
        <v>34665</v>
      </c>
      <c r="K56" s="17">
        <v>150000</v>
      </c>
      <c r="L56" s="17">
        <v>619109</v>
      </c>
      <c r="M56" s="17">
        <v>10000</v>
      </c>
      <c r="N56" s="23">
        <v>2</v>
      </c>
      <c r="O56" s="23">
        <v>4</v>
      </c>
      <c r="P56" s="23">
        <v>15</v>
      </c>
      <c r="Q56" s="23">
        <v>16</v>
      </c>
      <c r="R56" s="23">
        <v>20</v>
      </c>
      <c r="S56" s="23">
        <v>29</v>
      </c>
      <c r="T56" s="23">
        <v>1</v>
      </c>
      <c r="U56" s="23">
        <f t="shared" si="22"/>
        <v>86</v>
      </c>
      <c r="W56" s="22" t="str">
        <f t="shared" si="69"/>
        <v>짝수</v>
      </c>
      <c r="X56" s="22" t="str">
        <f t="shared" si="70"/>
        <v>짝수</v>
      </c>
      <c r="Y56" s="22" t="str">
        <f t="shared" si="71"/>
        <v>홀수</v>
      </c>
      <c r="Z56" s="22" t="str">
        <f t="shared" si="72"/>
        <v>짝수</v>
      </c>
      <c r="AA56" s="22" t="str">
        <f t="shared" si="73"/>
        <v>짝수</v>
      </c>
      <c r="AB56" s="22" t="str">
        <f t="shared" si="74"/>
        <v>홀수</v>
      </c>
      <c r="AC56" s="52" t="str">
        <f t="shared" si="75"/>
        <v>2 : 4</v>
      </c>
      <c r="AD56" s="22">
        <f t="shared" si="76"/>
        <v>2</v>
      </c>
      <c r="AE56" s="22">
        <f t="shared" si="77"/>
        <v>4</v>
      </c>
      <c r="AF56" s="22" t="str">
        <f t="shared" si="23"/>
        <v>저수</v>
      </c>
      <c r="AG56" s="22" t="str">
        <f t="shared" si="24"/>
        <v>저수</v>
      </c>
      <c r="AH56" s="22" t="str">
        <f t="shared" si="25"/>
        <v>저수</v>
      </c>
      <c r="AI56" s="22" t="str">
        <f t="shared" si="26"/>
        <v>저수</v>
      </c>
      <c r="AJ56" s="22" t="str">
        <f t="shared" si="27"/>
        <v>저수</v>
      </c>
      <c r="AK56" s="22" t="str">
        <f t="shared" si="28"/>
        <v>고수</v>
      </c>
      <c r="AL56" s="52" t="str">
        <f t="shared" si="29"/>
        <v>5 : 1</v>
      </c>
      <c r="AM56" s="22">
        <f t="shared" si="30"/>
        <v>5</v>
      </c>
      <c r="AN56" s="22">
        <f t="shared" si="31"/>
        <v>1</v>
      </c>
      <c r="AO56" s="22">
        <f t="shared" si="32"/>
        <v>26</v>
      </c>
      <c r="AP56" s="22" t="str">
        <f t="shared" si="33"/>
        <v>O</v>
      </c>
      <c r="AQ56" s="22" t="str">
        <f t="shared" si="34"/>
        <v>X</v>
      </c>
      <c r="AR56" s="22" t="str">
        <f t="shared" si="35"/>
        <v>X</v>
      </c>
      <c r="AS56" s="22" t="str">
        <f t="shared" si="36"/>
        <v>X</v>
      </c>
      <c r="AT56" s="22" t="str">
        <f t="shared" si="37"/>
        <v>X</v>
      </c>
      <c r="AU56" s="22" t="str">
        <f t="shared" si="38"/>
        <v>X</v>
      </c>
      <c r="AV56" s="22" t="str">
        <f t="shared" si="39"/>
        <v>X</v>
      </c>
      <c r="AW56" s="22" t="str">
        <f t="shared" si="40"/>
        <v>X</v>
      </c>
      <c r="AX56" s="22" t="str">
        <f t="shared" si="41"/>
        <v>X</v>
      </c>
      <c r="AY56" s="22" t="str">
        <f t="shared" si="42"/>
        <v>X</v>
      </c>
      <c r="AZ56" s="22" t="str">
        <f t="shared" si="43"/>
        <v>X</v>
      </c>
      <c r="BA56" s="22" t="str">
        <f t="shared" si="44"/>
        <v>O</v>
      </c>
      <c r="BB56" s="22">
        <f t="shared" si="45"/>
        <v>2</v>
      </c>
      <c r="BC56" s="22" t="str">
        <f t="shared" si="7"/>
        <v>1G</v>
      </c>
      <c r="BD56" s="22" t="str">
        <f t="shared" si="8"/>
        <v>1G</v>
      </c>
      <c r="BE56" s="22" t="str">
        <f t="shared" si="9"/>
        <v>1G</v>
      </c>
      <c r="BF56" s="22" t="str">
        <f t="shared" si="10"/>
        <v>2G</v>
      </c>
      <c r="BG56" s="22" t="str">
        <f t="shared" si="11"/>
        <v>2G</v>
      </c>
      <c r="BH56" s="22" t="str">
        <f t="shared" si="12"/>
        <v>2G</v>
      </c>
      <c r="BI56" s="22">
        <f t="shared" si="46"/>
        <v>3</v>
      </c>
      <c r="BJ56" s="22">
        <f t="shared" si="47"/>
        <v>3</v>
      </c>
      <c r="BK56" s="22">
        <f t="shared" si="48"/>
        <v>0</v>
      </c>
      <c r="BL56" s="22" t="str">
        <f t="shared" si="49"/>
        <v>330</v>
      </c>
      <c r="BO56" s="62" t="s">
        <v>614</v>
      </c>
      <c r="BP56" s="47">
        <f t="shared" si="67"/>
        <v>52</v>
      </c>
      <c r="BQ56" s="63">
        <f t="shared" si="68"/>
        <v>7.2122052704576972E-2</v>
      </c>
      <c r="BR56" s="22">
        <v>5</v>
      </c>
      <c r="BS56" s="70" t="s">
        <v>717</v>
      </c>
      <c r="BT56" s="70">
        <f t="shared" si="65"/>
        <v>62</v>
      </c>
      <c r="BU56" s="75">
        <f t="shared" si="66"/>
        <v>8.5991678224687937E-2</v>
      </c>
      <c r="BW56" s="186">
        <f>SUM(BU52:BU67)</f>
        <v>0.92094313453536736</v>
      </c>
      <c r="CL56" s="23">
        <v>98</v>
      </c>
      <c r="CM56" s="23">
        <v>90</v>
      </c>
      <c r="CO56"/>
    </row>
    <row r="57" spans="1:93" ht="17">
      <c r="B57" s="15">
        <v>53</v>
      </c>
      <c r="C57" s="23" t="s">
        <v>83</v>
      </c>
      <c r="D57" s="16">
        <v>3</v>
      </c>
      <c r="E57" s="17">
        <v>5014371000</v>
      </c>
      <c r="F57" s="16">
        <v>25</v>
      </c>
      <c r="G57" s="17">
        <v>100287400</v>
      </c>
      <c r="H57" s="16">
        <v>802</v>
      </c>
      <c r="I57" s="17">
        <v>3126100</v>
      </c>
      <c r="J57" s="17">
        <v>45372</v>
      </c>
      <c r="K57" s="17">
        <v>110500</v>
      </c>
      <c r="L57" s="17">
        <v>742615</v>
      </c>
      <c r="M57" s="17">
        <v>10000</v>
      </c>
      <c r="N57" s="23">
        <v>7</v>
      </c>
      <c r="O57" s="23">
        <v>8</v>
      </c>
      <c r="P57" s="23">
        <v>14</v>
      </c>
      <c r="Q57" s="23">
        <v>32</v>
      </c>
      <c r="R57" s="23">
        <v>33</v>
      </c>
      <c r="S57" s="23">
        <v>39</v>
      </c>
      <c r="T57" s="23">
        <v>42</v>
      </c>
      <c r="U57" s="23">
        <f t="shared" si="22"/>
        <v>133</v>
      </c>
      <c r="W57" s="22" t="str">
        <f t="shared" si="69"/>
        <v>홀수</v>
      </c>
      <c r="X57" s="22" t="str">
        <f t="shared" si="70"/>
        <v>짝수</v>
      </c>
      <c r="Y57" s="22" t="str">
        <f t="shared" si="71"/>
        <v>짝수</v>
      </c>
      <c r="Z57" s="22" t="str">
        <f t="shared" si="72"/>
        <v>짝수</v>
      </c>
      <c r="AA57" s="22" t="str">
        <f t="shared" si="73"/>
        <v>홀수</v>
      </c>
      <c r="AB57" s="22" t="str">
        <f t="shared" si="74"/>
        <v>홀수</v>
      </c>
      <c r="AC57" s="52" t="str">
        <f t="shared" si="75"/>
        <v>3 : 3</v>
      </c>
      <c r="AD57" s="22">
        <f t="shared" si="76"/>
        <v>3</v>
      </c>
      <c r="AE57" s="22">
        <f t="shared" si="77"/>
        <v>3</v>
      </c>
      <c r="AF57" s="22" t="str">
        <f t="shared" si="23"/>
        <v>저수</v>
      </c>
      <c r="AG57" s="22" t="str">
        <f t="shared" si="24"/>
        <v>저수</v>
      </c>
      <c r="AH57" s="22" t="str">
        <f t="shared" si="25"/>
        <v>저수</v>
      </c>
      <c r="AI57" s="22" t="str">
        <f t="shared" si="26"/>
        <v>고수</v>
      </c>
      <c r="AJ57" s="22" t="str">
        <f t="shared" si="27"/>
        <v>고수</v>
      </c>
      <c r="AK57" s="22" t="str">
        <f t="shared" si="28"/>
        <v>고수</v>
      </c>
      <c r="AL57" s="52" t="str">
        <f t="shared" si="29"/>
        <v>3 : 3</v>
      </c>
      <c r="AM57" s="22">
        <f t="shared" si="30"/>
        <v>3</v>
      </c>
      <c r="AN57" s="22">
        <f t="shared" si="31"/>
        <v>3</v>
      </c>
      <c r="AO57" s="22">
        <f t="shared" si="32"/>
        <v>33</v>
      </c>
      <c r="AP57" s="22" t="str">
        <f t="shared" si="33"/>
        <v>O</v>
      </c>
      <c r="AQ57" s="22" t="str">
        <f t="shared" si="34"/>
        <v>X</v>
      </c>
      <c r="AR57" s="22" t="str">
        <f t="shared" si="35"/>
        <v>X</v>
      </c>
      <c r="AS57" s="22" t="str">
        <f t="shared" si="36"/>
        <v>X</v>
      </c>
      <c r="AT57" s="22" t="str">
        <f t="shared" si="37"/>
        <v>X</v>
      </c>
      <c r="AU57" s="22" t="str">
        <f t="shared" si="38"/>
        <v>X</v>
      </c>
      <c r="AV57" s="22" t="str">
        <f t="shared" si="39"/>
        <v>X</v>
      </c>
      <c r="AW57" s="22" t="str">
        <f t="shared" si="40"/>
        <v>X</v>
      </c>
      <c r="AX57" s="22" t="str">
        <f t="shared" si="41"/>
        <v>X</v>
      </c>
      <c r="AY57" s="22" t="str">
        <f t="shared" si="42"/>
        <v>X</v>
      </c>
      <c r="AZ57" s="22" t="str">
        <f t="shared" si="43"/>
        <v>X</v>
      </c>
      <c r="BA57" s="22" t="str">
        <f t="shared" si="44"/>
        <v>X</v>
      </c>
      <c r="BB57" s="22">
        <f t="shared" si="45"/>
        <v>1</v>
      </c>
      <c r="BC57" s="22" t="str">
        <f t="shared" si="7"/>
        <v>1G</v>
      </c>
      <c r="BD57" s="22" t="str">
        <f t="shared" si="8"/>
        <v>1G</v>
      </c>
      <c r="BE57" s="22" t="str">
        <f t="shared" si="9"/>
        <v>1G</v>
      </c>
      <c r="BF57" s="22" t="str">
        <f t="shared" si="10"/>
        <v>3G</v>
      </c>
      <c r="BG57" s="22" t="str">
        <f t="shared" si="11"/>
        <v>3G</v>
      </c>
      <c r="BH57" s="22" t="str">
        <f t="shared" si="12"/>
        <v>3G</v>
      </c>
      <c r="BI57" s="22">
        <f t="shared" si="46"/>
        <v>3</v>
      </c>
      <c r="BJ57" s="22">
        <f t="shared" si="47"/>
        <v>0</v>
      </c>
      <c r="BK57" s="22">
        <f t="shared" si="48"/>
        <v>3</v>
      </c>
      <c r="BL57" s="22" t="str">
        <f t="shared" si="49"/>
        <v>303</v>
      </c>
      <c r="BO57" s="62" t="s">
        <v>610</v>
      </c>
      <c r="BP57" s="47">
        <f t="shared" si="67"/>
        <v>46</v>
      </c>
      <c r="BQ57" s="63">
        <f t="shared" si="68"/>
        <v>6.3800277392510402E-2</v>
      </c>
      <c r="BR57" s="22">
        <v>6</v>
      </c>
      <c r="BS57" s="70" t="s">
        <v>721</v>
      </c>
      <c r="BT57" s="70">
        <f t="shared" si="65"/>
        <v>55</v>
      </c>
      <c r="BU57" s="75">
        <f t="shared" si="66"/>
        <v>7.6282940360610257E-2</v>
      </c>
      <c r="CL57" s="23">
        <v>98</v>
      </c>
      <c r="CM57" s="23">
        <v>90</v>
      </c>
      <c r="CO57"/>
    </row>
    <row r="58" spans="1:93" ht="17">
      <c r="B58" s="15">
        <v>54</v>
      </c>
      <c r="C58" s="23" t="s">
        <v>84</v>
      </c>
      <c r="D58" s="16">
        <v>3</v>
      </c>
      <c r="E58" s="17">
        <v>5148626600</v>
      </c>
      <c r="F58" s="16">
        <v>15</v>
      </c>
      <c r="G58" s="17">
        <v>171620800</v>
      </c>
      <c r="H58" s="16">
        <v>719</v>
      </c>
      <c r="I58" s="17">
        <v>3580400</v>
      </c>
      <c r="J58" s="17">
        <v>34854</v>
      </c>
      <c r="K58" s="17">
        <v>147700</v>
      </c>
      <c r="L58" s="17">
        <v>617337</v>
      </c>
      <c r="M58" s="17">
        <v>10000</v>
      </c>
      <c r="N58" s="23">
        <v>1</v>
      </c>
      <c r="O58" s="23">
        <v>8</v>
      </c>
      <c r="P58" s="23">
        <v>21</v>
      </c>
      <c r="Q58" s="23">
        <v>27</v>
      </c>
      <c r="R58" s="23">
        <v>36</v>
      </c>
      <c r="S58" s="23">
        <v>39</v>
      </c>
      <c r="T58" s="23">
        <v>37</v>
      </c>
      <c r="U58" s="23">
        <f t="shared" si="22"/>
        <v>132</v>
      </c>
      <c r="W58" s="22" t="str">
        <f t="shared" si="69"/>
        <v>홀수</v>
      </c>
      <c r="X58" s="22" t="str">
        <f t="shared" si="70"/>
        <v>짝수</v>
      </c>
      <c r="Y58" s="22" t="str">
        <f t="shared" si="71"/>
        <v>홀수</v>
      </c>
      <c r="Z58" s="22" t="str">
        <f t="shared" si="72"/>
        <v>홀수</v>
      </c>
      <c r="AA58" s="22" t="str">
        <f t="shared" si="73"/>
        <v>짝수</v>
      </c>
      <c r="AB58" s="22" t="str">
        <f t="shared" si="74"/>
        <v>홀수</v>
      </c>
      <c r="AC58" s="52" t="str">
        <f t="shared" si="75"/>
        <v>4 : 2</v>
      </c>
      <c r="AD58" s="22">
        <f t="shared" si="76"/>
        <v>4</v>
      </c>
      <c r="AE58" s="22">
        <f t="shared" si="77"/>
        <v>2</v>
      </c>
      <c r="AF58" s="22" t="str">
        <f t="shared" si="23"/>
        <v>저수</v>
      </c>
      <c r="AG58" s="22" t="str">
        <f t="shared" si="24"/>
        <v>저수</v>
      </c>
      <c r="AH58" s="22" t="str">
        <f t="shared" si="25"/>
        <v>저수</v>
      </c>
      <c r="AI58" s="22" t="str">
        <f t="shared" si="26"/>
        <v>고수</v>
      </c>
      <c r="AJ58" s="22" t="str">
        <f t="shared" si="27"/>
        <v>고수</v>
      </c>
      <c r="AK58" s="22" t="str">
        <f t="shared" si="28"/>
        <v>고수</v>
      </c>
      <c r="AL58" s="52" t="str">
        <f t="shared" si="29"/>
        <v>3 : 3</v>
      </c>
      <c r="AM58" s="22">
        <f t="shared" si="30"/>
        <v>3</v>
      </c>
      <c r="AN58" s="22">
        <f t="shared" si="31"/>
        <v>3</v>
      </c>
      <c r="AO58" s="22">
        <f t="shared" si="32"/>
        <v>32</v>
      </c>
      <c r="AP58" s="22" t="str">
        <f t="shared" si="33"/>
        <v>X</v>
      </c>
      <c r="AQ58" s="22" t="str">
        <f t="shared" si="34"/>
        <v>X</v>
      </c>
      <c r="AR58" s="22" t="str">
        <f t="shared" si="35"/>
        <v>X</v>
      </c>
      <c r="AS58" s="22" t="str">
        <f t="shared" si="36"/>
        <v>X</v>
      </c>
      <c r="AT58" s="22" t="str">
        <f t="shared" si="37"/>
        <v>X</v>
      </c>
      <c r="AU58" s="22" t="str">
        <f t="shared" si="38"/>
        <v>X</v>
      </c>
      <c r="AV58" s="22" t="str">
        <f t="shared" si="39"/>
        <v>X</v>
      </c>
      <c r="AW58" s="22" t="str">
        <f t="shared" si="40"/>
        <v>X</v>
      </c>
      <c r="AX58" s="22" t="str">
        <f t="shared" si="41"/>
        <v>X</v>
      </c>
      <c r="AY58" s="22" t="str">
        <f t="shared" si="42"/>
        <v>X</v>
      </c>
      <c r="AZ58" s="22" t="str">
        <f t="shared" si="43"/>
        <v>X</v>
      </c>
      <c r="BA58" s="22" t="str">
        <f t="shared" si="44"/>
        <v>X</v>
      </c>
      <c r="BB58" s="22">
        <f t="shared" si="45"/>
        <v>0</v>
      </c>
      <c r="BC58" s="22" t="str">
        <f t="shared" si="7"/>
        <v>1G</v>
      </c>
      <c r="BD58" s="22" t="str">
        <f t="shared" si="8"/>
        <v>1G</v>
      </c>
      <c r="BE58" s="22" t="str">
        <f t="shared" si="9"/>
        <v>2G</v>
      </c>
      <c r="BF58" s="22" t="str">
        <f t="shared" si="10"/>
        <v>2G</v>
      </c>
      <c r="BG58" s="22" t="str">
        <f t="shared" si="11"/>
        <v>3G</v>
      </c>
      <c r="BH58" s="22" t="str">
        <f t="shared" si="12"/>
        <v>3G</v>
      </c>
      <c r="BI58" s="22">
        <f t="shared" si="46"/>
        <v>2</v>
      </c>
      <c r="BJ58" s="22">
        <f t="shared" si="47"/>
        <v>2</v>
      </c>
      <c r="BK58" s="22">
        <f t="shared" si="48"/>
        <v>2</v>
      </c>
      <c r="BL58" s="22" t="str">
        <f t="shared" si="49"/>
        <v>222</v>
      </c>
      <c r="BO58" s="62" t="s">
        <v>615</v>
      </c>
      <c r="BP58" s="47">
        <f t="shared" si="67"/>
        <v>14</v>
      </c>
      <c r="BQ58" s="63">
        <f t="shared" si="68"/>
        <v>1.9417475728155338E-2</v>
      </c>
      <c r="BR58" s="22">
        <v>7</v>
      </c>
      <c r="BS58" s="70" t="s">
        <v>726</v>
      </c>
      <c r="BT58" s="70">
        <f t="shared" si="65"/>
        <v>42</v>
      </c>
      <c r="BU58" s="75">
        <f t="shared" si="66"/>
        <v>5.8252427184466021E-2</v>
      </c>
      <c r="CL58" s="23">
        <v>98</v>
      </c>
      <c r="CM58" s="23">
        <v>90</v>
      </c>
      <c r="CO58"/>
    </row>
    <row r="59" spans="1:93" ht="17">
      <c r="B59" s="15">
        <v>55</v>
      </c>
      <c r="C59" s="23" t="s">
        <v>85</v>
      </c>
      <c r="D59" s="16">
        <v>2</v>
      </c>
      <c r="E59" s="17">
        <v>7088799600</v>
      </c>
      <c r="F59" s="16">
        <v>24</v>
      </c>
      <c r="G59" s="17">
        <v>98455500</v>
      </c>
      <c r="H59" s="16">
        <v>728</v>
      </c>
      <c r="I59" s="17">
        <v>3245700</v>
      </c>
      <c r="J59" s="17">
        <v>42550</v>
      </c>
      <c r="K59" s="17">
        <v>111000</v>
      </c>
      <c r="L59" s="17">
        <v>746855</v>
      </c>
      <c r="M59" s="17">
        <v>10000</v>
      </c>
      <c r="N59" s="23">
        <v>17</v>
      </c>
      <c r="O59" s="23">
        <v>21</v>
      </c>
      <c r="P59" s="23">
        <v>31</v>
      </c>
      <c r="Q59" s="23">
        <v>37</v>
      </c>
      <c r="R59" s="23">
        <v>40</v>
      </c>
      <c r="S59" s="23">
        <v>44</v>
      </c>
      <c r="T59" s="23">
        <v>7</v>
      </c>
      <c r="U59" s="23">
        <f t="shared" si="22"/>
        <v>190</v>
      </c>
      <c r="W59" s="22" t="str">
        <f t="shared" si="69"/>
        <v>홀수</v>
      </c>
      <c r="X59" s="22" t="str">
        <f t="shared" si="70"/>
        <v>홀수</v>
      </c>
      <c r="Y59" s="22" t="str">
        <f t="shared" si="71"/>
        <v>홀수</v>
      </c>
      <c r="Z59" s="22" t="str">
        <f t="shared" si="72"/>
        <v>홀수</v>
      </c>
      <c r="AA59" s="22" t="str">
        <f t="shared" si="73"/>
        <v>짝수</v>
      </c>
      <c r="AB59" s="22" t="str">
        <f t="shared" si="74"/>
        <v>짝수</v>
      </c>
      <c r="AC59" s="52" t="str">
        <f t="shared" si="75"/>
        <v>4 : 2</v>
      </c>
      <c r="AD59" s="22">
        <f t="shared" si="76"/>
        <v>4</v>
      </c>
      <c r="AE59" s="22">
        <f t="shared" si="77"/>
        <v>2</v>
      </c>
      <c r="AF59" s="22" t="str">
        <f t="shared" si="23"/>
        <v>저수</v>
      </c>
      <c r="AG59" s="22" t="str">
        <f t="shared" si="24"/>
        <v>저수</v>
      </c>
      <c r="AH59" s="22" t="str">
        <f t="shared" si="25"/>
        <v>고수</v>
      </c>
      <c r="AI59" s="22" t="str">
        <f t="shared" si="26"/>
        <v>고수</v>
      </c>
      <c r="AJ59" s="22" t="str">
        <f t="shared" si="27"/>
        <v>고수</v>
      </c>
      <c r="AK59" s="22" t="str">
        <f t="shared" si="28"/>
        <v>고수</v>
      </c>
      <c r="AL59" s="52" t="str">
        <f t="shared" si="29"/>
        <v>2 : 4</v>
      </c>
      <c r="AM59" s="22">
        <f t="shared" si="30"/>
        <v>2</v>
      </c>
      <c r="AN59" s="22">
        <f t="shared" si="31"/>
        <v>4</v>
      </c>
      <c r="AO59" s="22">
        <f t="shared" si="32"/>
        <v>20</v>
      </c>
      <c r="AP59" s="22" t="str">
        <f t="shared" si="33"/>
        <v>O</v>
      </c>
      <c r="AQ59" s="22" t="str">
        <f t="shared" si="34"/>
        <v>X</v>
      </c>
      <c r="AR59" s="22" t="str">
        <f t="shared" si="35"/>
        <v>X</v>
      </c>
      <c r="AS59" s="22" t="str">
        <f t="shared" si="36"/>
        <v>X</v>
      </c>
      <c r="AT59" s="22" t="str">
        <f t="shared" si="37"/>
        <v>X</v>
      </c>
      <c r="AU59" s="22" t="str">
        <f t="shared" si="38"/>
        <v>X</v>
      </c>
      <c r="AV59" s="22" t="str">
        <f t="shared" si="39"/>
        <v>X</v>
      </c>
      <c r="AW59" s="22" t="str">
        <f t="shared" si="40"/>
        <v>X</v>
      </c>
      <c r="AX59" s="22" t="str">
        <f t="shared" si="41"/>
        <v>O</v>
      </c>
      <c r="AY59" s="22" t="str">
        <f t="shared" si="42"/>
        <v>O</v>
      </c>
      <c r="AZ59" s="22" t="str">
        <f t="shared" si="43"/>
        <v>X</v>
      </c>
      <c r="BA59" s="22" t="str">
        <f t="shared" si="44"/>
        <v>X</v>
      </c>
      <c r="BB59" s="22">
        <f t="shared" si="45"/>
        <v>3</v>
      </c>
      <c r="BC59" s="22" t="str">
        <f t="shared" si="7"/>
        <v>2G</v>
      </c>
      <c r="BD59" s="22" t="str">
        <f t="shared" si="8"/>
        <v>2G</v>
      </c>
      <c r="BE59" s="22" t="str">
        <f t="shared" si="9"/>
        <v>3G</v>
      </c>
      <c r="BF59" s="22" t="str">
        <f t="shared" si="10"/>
        <v>3G</v>
      </c>
      <c r="BG59" s="22" t="str">
        <f t="shared" si="11"/>
        <v>3G</v>
      </c>
      <c r="BH59" s="22" t="str">
        <f t="shared" si="12"/>
        <v>3G</v>
      </c>
      <c r="BI59" s="22">
        <f t="shared" si="46"/>
        <v>0</v>
      </c>
      <c r="BJ59" s="22">
        <f t="shared" si="47"/>
        <v>2</v>
      </c>
      <c r="BK59" s="22">
        <f t="shared" si="48"/>
        <v>4</v>
      </c>
      <c r="BL59" s="22" t="str">
        <f t="shared" si="49"/>
        <v>024</v>
      </c>
      <c r="BO59" s="62" t="s">
        <v>778</v>
      </c>
      <c r="BP59" s="47">
        <f t="shared" si="67"/>
        <v>6</v>
      </c>
      <c r="BQ59" s="63">
        <f t="shared" si="68"/>
        <v>8.321775312066574E-3</v>
      </c>
      <c r="BR59" s="22">
        <v>8</v>
      </c>
      <c r="BS59" s="47" t="s">
        <v>724</v>
      </c>
      <c r="BT59" s="47">
        <f t="shared" si="65"/>
        <v>33</v>
      </c>
      <c r="BU59" s="65">
        <f t="shared" si="66"/>
        <v>4.5769764216366159E-2</v>
      </c>
      <c r="CL59" s="23">
        <v>98</v>
      </c>
      <c r="CM59" s="23">
        <v>90</v>
      </c>
      <c r="CO59"/>
    </row>
    <row r="60" spans="1:93" ht="17">
      <c r="B60" s="15">
        <v>56</v>
      </c>
      <c r="C60" s="23" t="s">
        <v>86</v>
      </c>
      <c r="D60" s="16">
        <v>4</v>
      </c>
      <c r="E60" s="17">
        <v>3777570900</v>
      </c>
      <c r="F60" s="16">
        <v>29</v>
      </c>
      <c r="G60" s="17">
        <v>86840700</v>
      </c>
      <c r="H60" s="17">
        <v>1359</v>
      </c>
      <c r="I60" s="17">
        <v>1853100</v>
      </c>
      <c r="J60" s="17">
        <v>41156</v>
      </c>
      <c r="K60" s="17">
        <v>122300</v>
      </c>
      <c r="L60" s="17">
        <v>744566</v>
      </c>
      <c r="M60" s="17">
        <v>10000</v>
      </c>
      <c r="N60" s="23">
        <v>10</v>
      </c>
      <c r="O60" s="23">
        <v>14</v>
      </c>
      <c r="P60" s="23">
        <v>30</v>
      </c>
      <c r="Q60" s="23">
        <v>31</v>
      </c>
      <c r="R60" s="23">
        <v>33</v>
      </c>
      <c r="S60" s="23">
        <v>37</v>
      </c>
      <c r="T60" s="23">
        <v>19</v>
      </c>
      <c r="U60" s="23">
        <f t="shared" si="22"/>
        <v>155</v>
      </c>
      <c r="W60" s="22" t="str">
        <f t="shared" si="69"/>
        <v>짝수</v>
      </c>
      <c r="X60" s="22" t="str">
        <f t="shared" si="70"/>
        <v>짝수</v>
      </c>
      <c r="Y60" s="22" t="str">
        <f t="shared" si="71"/>
        <v>짝수</v>
      </c>
      <c r="Z60" s="22" t="str">
        <f t="shared" si="72"/>
        <v>홀수</v>
      </c>
      <c r="AA60" s="22" t="str">
        <f t="shared" si="73"/>
        <v>홀수</v>
      </c>
      <c r="AB60" s="22" t="str">
        <f t="shared" si="74"/>
        <v>홀수</v>
      </c>
      <c r="AC60" s="52" t="str">
        <f t="shared" si="75"/>
        <v>3 : 3</v>
      </c>
      <c r="AD60" s="22">
        <f t="shared" si="76"/>
        <v>3</v>
      </c>
      <c r="AE60" s="22">
        <f t="shared" si="77"/>
        <v>3</v>
      </c>
      <c r="AF60" s="22" t="str">
        <f t="shared" si="23"/>
        <v>저수</v>
      </c>
      <c r="AG60" s="22" t="str">
        <f t="shared" si="24"/>
        <v>저수</v>
      </c>
      <c r="AH60" s="22" t="str">
        <f t="shared" si="25"/>
        <v>고수</v>
      </c>
      <c r="AI60" s="22" t="str">
        <f t="shared" si="26"/>
        <v>고수</v>
      </c>
      <c r="AJ60" s="22" t="str">
        <f t="shared" si="27"/>
        <v>고수</v>
      </c>
      <c r="AK60" s="22" t="str">
        <f t="shared" si="28"/>
        <v>고수</v>
      </c>
      <c r="AL60" s="52" t="str">
        <f t="shared" si="29"/>
        <v>2 : 4</v>
      </c>
      <c r="AM60" s="22">
        <f t="shared" si="30"/>
        <v>2</v>
      </c>
      <c r="AN60" s="22">
        <f t="shared" si="31"/>
        <v>4</v>
      </c>
      <c r="AO60" s="22">
        <f t="shared" si="32"/>
        <v>15</v>
      </c>
      <c r="AP60" s="22" t="str">
        <f t="shared" si="33"/>
        <v>X</v>
      </c>
      <c r="AQ60" s="22" t="str">
        <f t="shared" si="34"/>
        <v>X</v>
      </c>
      <c r="AR60" s="22" t="str">
        <f t="shared" si="35"/>
        <v>X</v>
      </c>
      <c r="AS60" s="22" t="str">
        <f t="shared" si="36"/>
        <v>X</v>
      </c>
      <c r="AT60" s="22" t="str">
        <f t="shared" si="37"/>
        <v>X</v>
      </c>
      <c r="AU60" s="22" t="str">
        <f t="shared" si="38"/>
        <v>X</v>
      </c>
      <c r="AV60" s="22" t="str">
        <f t="shared" si="39"/>
        <v>X</v>
      </c>
      <c r="AW60" s="22" t="str">
        <f t="shared" si="40"/>
        <v>X</v>
      </c>
      <c r="AX60" s="22" t="str">
        <f t="shared" si="41"/>
        <v>X</v>
      </c>
      <c r="AY60" s="22" t="str">
        <f t="shared" si="42"/>
        <v>O</v>
      </c>
      <c r="AZ60" s="22" t="str">
        <f t="shared" si="43"/>
        <v>X</v>
      </c>
      <c r="BA60" s="22" t="str">
        <f t="shared" si="44"/>
        <v>O</v>
      </c>
      <c r="BB60" s="22">
        <f t="shared" si="45"/>
        <v>2</v>
      </c>
      <c r="BC60" s="22" t="str">
        <f t="shared" si="7"/>
        <v>1G</v>
      </c>
      <c r="BD60" s="22" t="str">
        <f t="shared" si="8"/>
        <v>1G</v>
      </c>
      <c r="BE60" s="22" t="str">
        <f t="shared" si="9"/>
        <v>2G</v>
      </c>
      <c r="BF60" s="22" t="str">
        <f t="shared" si="10"/>
        <v>3G</v>
      </c>
      <c r="BG60" s="22" t="str">
        <f t="shared" si="11"/>
        <v>3G</v>
      </c>
      <c r="BH60" s="22" t="str">
        <f t="shared" si="12"/>
        <v>3G</v>
      </c>
      <c r="BI60" s="22">
        <f t="shared" si="46"/>
        <v>2</v>
      </c>
      <c r="BJ60" s="22">
        <f t="shared" si="47"/>
        <v>1</v>
      </c>
      <c r="BK60" s="22">
        <f t="shared" si="48"/>
        <v>3</v>
      </c>
      <c r="BL60" s="22" t="str">
        <f t="shared" si="49"/>
        <v>213</v>
      </c>
      <c r="BO60" s="47" t="s">
        <v>618</v>
      </c>
      <c r="BP60" s="47">
        <f>SUM(BP53:BP59)</f>
        <v>721</v>
      </c>
      <c r="BQ60" s="64">
        <f>SUM(BQ53:BQ59)</f>
        <v>0.99999999999999989</v>
      </c>
      <c r="BR60" s="22">
        <v>9</v>
      </c>
      <c r="BS60" s="47" t="s">
        <v>715</v>
      </c>
      <c r="BT60" s="47">
        <f t="shared" si="65"/>
        <v>30</v>
      </c>
      <c r="BU60" s="65">
        <f t="shared" si="66"/>
        <v>4.1608876560332873E-2</v>
      </c>
      <c r="CL60" s="23">
        <v>98</v>
      </c>
      <c r="CM60" s="23">
        <v>90</v>
      </c>
      <c r="CO60"/>
    </row>
    <row r="61" spans="1:93" ht="17">
      <c r="A61" s="16">
        <v>2004</v>
      </c>
      <c r="B61" s="15">
        <v>57</v>
      </c>
      <c r="C61" s="23" t="s">
        <v>87</v>
      </c>
      <c r="D61" s="16">
        <v>4</v>
      </c>
      <c r="E61" s="17">
        <v>4114411900</v>
      </c>
      <c r="F61" s="16">
        <v>25</v>
      </c>
      <c r="G61" s="17">
        <v>109717600</v>
      </c>
      <c r="H61" s="16">
        <v>960</v>
      </c>
      <c r="I61" s="17">
        <v>2857200</v>
      </c>
      <c r="J61" s="17">
        <v>44050</v>
      </c>
      <c r="K61" s="17">
        <v>124500</v>
      </c>
      <c r="L61" s="17">
        <v>763692</v>
      </c>
      <c r="M61" s="17">
        <v>10000</v>
      </c>
      <c r="N61" s="23">
        <v>7</v>
      </c>
      <c r="O61" s="23">
        <v>10</v>
      </c>
      <c r="P61" s="23">
        <v>16</v>
      </c>
      <c r="Q61" s="23">
        <v>25</v>
      </c>
      <c r="R61" s="23">
        <v>29</v>
      </c>
      <c r="S61" s="23">
        <v>44</v>
      </c>
      <c r="T61" s="23">
        <v>6</v>
      </c>
      <c r="U61" s="23">
        <f t="shared" si="22"/>
        <v>131</v>
      </c>
      <c r="W61" s="22" t="str">
        <f t="shared" si="69"/>
        <v>홀수</v>
      </c>
      <c r="X61" s="22" t="str">
        <f t="shared" si="70"/>
        <v>짝수</v>
      </c>
      <c r="Y61" s="22" t="str">
        <f t="shared" si="71"/>
        <v>짝수</v>
      </c>
      <c r="Z61" s="22" t="str">
        <f t="shared" si="72"/>
        <v>홀수</v>
      </c>
      <c r="AA61" s="22" t="str">
        <f t="shared" si="73"/>
        <v>홀수</v>
      </c>
      <c r="AB61" s="22" t="str">
        <f t="shared" si="74"/>
        <v>짝수</v>
      </c>
      <c r="AC61" s="52" t="str">
        <f t="shared" si="75"/>
        <v>3 : 3</v>
      </c>
      <c r="AD61" s="22">
        <f t="shared" si="76"/>
        <v>3</v>
      </c>
      <c r="AE61" s="22">
        <f t="shared" si="77"/>
        <v>3</v>
      </c>
      <c r="AF61" s="22" t="str">
        <f t="shared" si="23"/>
        <v>저수</v>
      </c>
      <c r="AG61" s="22" t="str">
        <f t="shared" si="24"/>
        <v>저수</v>
      </c>
      <c r="AH61" s="22" t="str">
        <f t="shared" si="25"/>
        <v>저수</v>
      </c>
      <c r="AI61" s="22" t="str">
        <f t="shared" si="26"/>
        <v>고수</v>
      </c>
      <c r="AJ61" s="22" t="str">
        <f t="shared" si="27"/>
        <v>고수</v>
      </c>
      <c r="AK61" s="22" t="str">
        <f t="shared" si="28"/>
        <v>고수</v>
      </c>
      <c r="AL61" s="52" t="str">
        <f t="shared" si="29"/>
        <v>3 : 3</v>
      </c>
      <c r="AM61" s="22">
        <f t="shared" si="30"/>
        <v>3</v>
      </c>
      <c r="AN61" s="22">
        <f t="shared" si="31"/>
        <v>3</v>
      </c>
      <c r="AO61" s="22">
        <f t="shared" si="32"/>
        <v>31</v>
      </c>
      <c r="AP61" s="22" t="str">
        <f t="shared" si="33"/>
        <v>O</v>
      </c>
      <c r="AQ61" s="22" t="str">
        <f t="shared" si="34"/>
        <v>X</v>
      </c>
      <c r="AR61" s="22" t="str">
        <f t="shared" si="35"/>
        <v>X</v>
      </c>
      <c r="AS61" s="22" t="str">
        <f t="shared" si="36"/>
        <v>X</v>
      </c>
      <c r="AT61" s="22" t="str">
        <f t="shared" si="37"/>
        <v>X</v>
      </c>
      <c r="AU61" s="22" t="str">
        <f t="shared" si="38"/>
        <v>X</v>
      </c>
      <c r="AV61" s="22" t="str">
        <f t="shared" si="39"/>
        <v>X</v>
      </c>
      <c r="AW61" s="22" t="str">
        <f t="shared" si="40"/>
        <v>X</v>
      </c>
      <c r="AX61" s="22" t="str">
        <f t="shared" si="41"/>
        <v>X</v>
      </c>
      <c r="AY61" s="22" t="str">
        <f t="shared" si="42"/>
        <v>X</v>
      </c>
      <c r="AZ61" s="22" t="str">
        <f t="shared" si="43"/>
        <v>O</v>
      </c>
      <c r="BA61" s="22" t="str">
        <f t="shared" si="44"/>
        <v>X</v>
      </c>
      <c r="BB61" s="22">
        <f t="shared" si="45"/>
        <v>2</v>
      </c>
      <c r="BC61" s="22" t="str">
        <f t="shared" si="7"/>
        <v>1G</v>
      </c>
      <c r="BD61" s="22" t="str">
        <f t="shared" si="8"/>
        <v>1G</v>
      </c>
      <c r="BE61" s="22" t="str">
        <f t="shared" si="9"/>
        <v>2G</v>
      </c>
      <c r="BF61" s="22" t="str">
        <f t="shared" si="10"/>
        <v>2G</v>
      </c>
      <c r="BG61" s="22" t="str">
        <f t="shared" si="11"/>
        <v>2G</v>
      </c>
      <c r="BH61" s="22" t="str">
        <f t="shared" si="12"/>
        <v>3G</v>
      </c>
      <c r="BI61" s="22">
        <f t="shared" si="46"/>
        <v>2</v>
      </c>
      <c r="BJ61" s="22">
        <f t="shared" si="47"/>
        <v>3</v>
      </c>
      <c r="BK61" s="22">
        <f t="shared" si="48"/>
        <v>1</v>
      </c>
      <c r="BL61" s="22" t="str">
        <f t="shared" si="49"/>
        <v>231</v>
      </c>
      <c r="BR61" s="22">
        <v>10</v>
      </c>
      <c r="BS61" s="47" t="s">
        <v>716</v>
      </c>
      <c r="BT61" s="47">
        <f t="shared" si="65"/>
        <v>25</v>
      </c>
      <c r="BU61" s="65">
        <f t="shared" si="66"/>
        <v>3.4674063800277391E-2</v>
      </c>
      <c r="CL61" s="23">
        <v>99</v>
      </c>
      <c r="CM61" s="23">
        <v>90</v>
      </c>
      <c r="CO61"/>
    </row>
    <row r="62" spans="1:93" ht="17">
      <c r="B62" s="15">
        <v>58</v>
      </c>
      <c r="C62" s="23" t="s">
        <v>88</v>
      </c>
      <c r="D62" s="16">
        <v>4</v>
      </c>
      <c r="E62" s="17">
        <v>3676429200</v>
      </c>
      <c r="F62" s="16">
        <v>39</v>
      </c>
      <c r="G62" s="17">
        <v>62844900</v>
      </c>
      <c r="H62" s="17">
        <v>1318</v>
      </c>
      <c r="I62" s="17">
        <v>1859600</v>
      </c>
      <c r="J62" s="17">
        <v>58215</v>
      </c>
      <c r="K62" s="17">
        <v>84200</v>
      </c>
      <c r="L62" s="17">
        <v>880954</v>
      </c>
      <c r="M62" s="17">
        <v>10000</v>
      </c>
      <c r="N62" s="23">
        <v>10</v>
      </c>
      <c r="O62" s="23">
        <v>24</v>
      </c>
      <c r="P62" s="23">
        <v>25</v>
      </c>
      <c r="Q62" s="23">
        <v>33</v>
      </c>
      <c r="R62" s="23">
        <v>40</v>
      </c>
      <c r="S62" s="23">
        <v>44</v>
      </c>
      <c r="T62" s="23">
        <v>1</v>
      </c>
      <c r="U62" s="23">
        <f t="shared" si="22"/>
        <v>176</v>
      </c>
      <c r="W62" s="22" t="str">
        <f t="shared" si="69"/>
        <v>짝수</v>
      </c>
      <c r="X62" s="22" t="str">
        <f t="shared" si="70"/>
        <v>짝수</v>
      </c>
      <c r="Y62" s="22" t="str">
        <f t="shared" si="71"/>
        <v>홀수</v>
      </c>
      <c r="Z62" s="22" t="str">
        <f t="shared" si="72"/>
        <v>홀수</v>
      </c>
      <c r="AA62" s="22" t="str">
        <f t="shared" si="73"/>
        <v>짝수</v>
      </c>
      <c r="AB62" s="22" t="str">
        <f t="shared" si="74"/>
        <v>짝수</v>
      </c>
      <c r="AC62" s="52" t="str">
        <f t="shared" si="75"/>
        <v>2 : 4</v>
      </c>
      <c r="AD62" s="22">
        <f t="shared" si="76"/>
        <v>2</v>
      </c>
      <c r="AE62" s="22">
        <f t="shared" si="77"/>
        <v>4</v>
      </c>
      <c r="AF62" s="22" t="str">
        <f t="shared" si="23"/>
        <v>저수</v>
      </c>
      <c r="AG62" s="22" t="str">
        <f t="shared" si="24"/>
        <v>고수</v>
      </c>
      <c r="AH62" s="22" t="str">
        <f t="shared" si="25"/>
        <v>고수</v>
      </c>
      <c r="AI62" s="22" t="str">
        <f t="shared" si="26"/>
        <v>고수</v>
      </c>
      <c r="AJ62" s="22" t="str">
        <f t="shared" si="27"/>
        <v>고수</v>
      </c>
      <c r="AK62" s="22" t="str">
        <f t="shared" si="28"/>
        <v>고수</v>
      </c>
      <c r="AL62" s="52" t="str">
        <f t="shared" si="29"/>
        <v>1 : 5</v>
      </c>
      <c r="AM62" s="22">
        <f t="shared" si="30"/>
        <v>1</v>
      </c>
      <c r="AN62" s="22">
        <f t="shared" si="31"/>
        <v>5</v>
      </c>
      <c r="AO62" s="22">
        <f t="shared" si="32"/>
        <v>16</v>
      </c>
      <c r="AP62" s="22" t="str">
        <f t="shared" si="33"/>
        <v>X</v>
      </c>
      <c r="AQ62" s="22" t="str">
        <f t="shared" si="34"/>
        <v>X</v>
      </c>
      <c r="AR62" s="22" t="str">
        <f t="shared" si="35"/>
        <v>X</v>
      </c>
      <c r="AS62" s="22" t="str">
        <f t="shared" si="36"/>
        <v>X</v>
      </c>
      <c r="AT62" s="22" t="str">
        <f t="shared" si="37"/>
        <v>X</v>
      </c>
      <c r="AU62" s="22" t="str">
        <f t="shared" si="38"/>
        <v>X</v>
      </c>
      <c r="AV62" s="22" t="str">
        <f t="shared" si="39"/>
        <v>X</v>
      </c>
      <c r="AW62" s="22" t="str">
        <f t="shared" si="40"/>
        <v>X</v>
      </c>
      <c r="AX62" s="22" t="str">
        <f t="shared" si="41"/>
        <v>X</v>
      </c>
      <c r="AY62" s="22" t="str">
        <f t="shared" si="42"/>
        <v>X</v>
      </c>
      <c r="AZ62" s="22" t="str">
        <f t="shared" si="43"/>
        <v>X</v>
      </c>
      <c r="BA62" s="22" t="str">
        <f t="shared" si="44"/>
        <v>X</v>
      </c>
      <c r="BB62" s="22">
        <f t="shared" si="45"/>
        <v>0</v>
      </c>
      <c r="BC62" s="22" t="str">
        <f t="shared" si="7"/>
        <v>1G</v>
      </c>
      <c r="BD62" s="22" t="str">
        <f t="shared" si="8"/>
        <v>2G</v>
      </c>
      <c r="BE62" s="22" t="str">
        <f t="shared" si="9"/>
        <v>2G</v>
      </c>
      <c r="BF62" s="22" t="str">
        <f t="shared" si="10"/>
        <v>3G</v>
      </c>
      <c r="BG62" s="22" t="str">
        <f t="shared" si="11"/>
        <v>3G</v>
      </c>
      <c r="BH62" s="22" t="str">
        <f t="shared" si="12"/>
        <v>3G</v>
      </c>
      <c r="BI62" s="22">
        <f t="shared" si="46"/>
        <v>1</v>
      </c>
      <c r="BJ62" s="22">
        <f t="shared" si="47"/>
        <v>2</v>
      </c>
      <c r="BK62" s="22">
        <f t="shared" si="48"/>
        <v>3</v>
      </c>
      <c r="BL62" s="22" t="str">
        <f t="shared" si="49"/>
        <v>123</v>
      </c>
      <c r="BO62" s="239" t="s">
        <v>620</v>
      </c>
      <c r="BP62" s="239"/>
      <c r="BQ62" s="239"/>
      <c r="BR62" s="22">
        <v>11</v>
      </c>
      <c r="BS62" s="47" t="s">
        <v>722</v>
      </c>
      <c r="BT62" s="47">
        <f t="shared" si="65"/>
        <v>22</v>
      </c>
      <c r="BU62" s="65">
        <f t="shared" si="66"/>
        <v>3.0513176144244106E-2</v>
      </c>
      <c r="CL62" s="23">
        <v>99</v>
      </c>
      <c r="CM62" s="23">
        <v>90</v>
      </c>
      <c r="CO62"/>
    </row>
    <row r="63" spans="1:93" ht="17">
      <c r="B63" s="15">
        <v>59</v>
      </c>
      <c r="C63" s="23" t="s">
        <v>89</v>
      </c>
      <c r="D63" s="16">
        <v>4</v>
      </c>
      <c r="E63" s="17">
        <v>4127587300</v>
      </c>
      <c r="F63" s="16">
        <v>23</v>
      </c>
      <c r="G63" s="17">
        <v>119640200</v>
      </c>
      <c r="H63" s="16">
        <v>651</v>
      </c>
      <c r="I63" s="17">
        <v>4226900</v>
      </c>
      <c r="J63" s="17">
        <v>35026</v>
      </c>
      <c r="K63" s="17">
        <v>157100</v>
      </c>
      <c r="L63" s="17">
        <v>626460</v>
      </c>
      <c r="M63" s="17">
        <v>10000</v>
      </c>
      <c r="N63" s="23">
        <v>6</v>
      </c>
      <c r="O63" s="23">
        <v>29</v>
      </c>
      <c r="P63" s="23">
        <v>36</v>
      </c>
      <c r="Q63" s="23">
        <v>39</v>
      </c>
      <c r="R63" s="23">
        <v>41</v>
      </c>
      <c r="S63" s="23">
        <v>45</v>
      </c>
      <c r="T63" s="23">
        <v>13</v>
      </c>
      <c r="U63" s="23">
        <f t="shared" si="22"/>
        <v>196</v>
      </c>
      <c r="W63" s="22" t="str">
        <f t="shared" si="69"/>
        <v>짝수</v>
      </c>
      <c r="X63" s="22" t="str">
        <f t="shared" si="70"/>
        <v>홀수</v>
      </c>
      <c r="Y63" s="22" t="str">
        <f t="shared" si="71"/>
        <v>짝수</v>
      </c>
      <c r="Z63" s="22" t="str">
        <f t="shared" si="72"/>
        <v>홀수</v>
      </c>
      <c r="AA63" s="22" t="str">
        <f t="shared" si="73"/>
        <v>홀수</v>
      </c>
      <c r="AB63" s="22" t="str">
        <f t="shared" si="74"/>
        <v>홀수</v>
      </c>
      <c r="AC63" s="52" t="str">
        <f t="shared" si="75"/>
        <v>4 : 2</v>
      </c>
      <c r="AD63" s="22">
        <f t="shared" si="76"/>
        <v>4</v>
      </c>
      <c r="AE63" s="22">
        <f t="shared" si="77"/>
        <v>2</v>
      </c>
      <c r="AF63" s="22" t="str">
        <f t="shared" si="23"/>
        <v>저수</v>
      </c>
      <c r="AG63" s="22" t="str">
        <f t="shared" si="24"/>
        <v>고수</v>
      </c>
      <c r="AH63" s="22" t="str">
        <f t="shared" si="25"/>
        <v>고수</v>
      </c>
      <c r="AI63" s="22" t="str">
        <f t="shared" si="26"/>
        <v>고수</v>
      </c>
      <c r="AJ63" s="22" t="str">
        <f t="shared" si="27"/>
        <v>고수</v>
      </c>
      <c r="AK63" s="22" t="str">
        <f t="shared" si="28"/>
        <v>고수</v>
      </c>
      <c r="AL63" s="52" t="str">
        <f t="shared" si="29"/>
        <v>1 : 5</v>
      </c>
      <c r="AM63" s="22">
        <f t="shared" si="30"/>
        <v>1</v>
      </c>
      <c r="AN63" s="22">
        <f t="shared" si="31"/>
        <v>5</v>
      </c>
      <c r="AO63" s="22">
        <f t="shared" si="32"/>
        <v>36</v>
      </c>
      <c r="AP63" s="22" t="str">
        <f t="shared" si="33"/>
        <v>X</v>
      </c>
      <c r="AQ63" s="22" t="str">
        <f t="shared" si="34"/>
        <v>X</v>
      </c>
      <c r="AR63" s="22" t="str">
        <f t="shared" si="35"/>
        <v>X</v>
      </c>
      <c r="AS63" s="22" t="str">
        <f t="shared" si="36"/>
        <v>X</v>
      </c>
      <c r="AT63" s="22" t="str">
        <f t="shared" si="37"/>
        <v>X</v>
      </c>
      <c r="AU63" s="22" t="str">
        <f t="shared" si="38"/>
        <v>X</v>
      </c>
      <c r="AV63" s="22" t="str">
        <f t="shared" si="39"/>
        <v>X</v>
      </c>
      <c r="AW63" s="22" t="str">
        <f t="shared" si="40"/>
        <v>O</v>
      </c>
      <c r="AX63" s="22" t="str">
        <f t="shared" si="41"/>
        <v>X</v>
      </c>
      <c r="AY63" s="22" t="str">
        <f t="shared" si="42"/>
        <v>X</v>
      </c>
      <c r="AZ63" s="22" t="str">
        <f t="shared" si="43"/>
        <v>O</v>
      </c>
      <c r="BA63" s="22" t="str">
        <f t="shared" si="44"/>
        <v>X</v>
      </c>
      <c r="BB63" s="22">
        <f t="shared" si="45"/>
        <v>2</v>
      </c>
      <c r="BC63" s="22" t="str">
        <f t="shared" si="7"/>
        <v>1G</v>
      </c>
      <c r="BD63" s="22" t="str">
        <f t="shared" si="8"/>
        <v>2G</v>
      </c>
      <c r="BE63" s="22" t="str">
        <f t="shared" si="9"/>
        <v>3G</v>
      </c>
      <c r="BF63" s="22" t="str">
        <f t="shared" si="10"/>
        <v>3G</v>
      </c>
      <c r="BG63" s="22" t="str">
        <f t="shared" si="11"/>
        <v>3G</v>
      </c>
      <c r="BH63" s="22" t="str">
        <f t="shared" si="12"/>
        <v>3G</v>
      </c>
      <c r="BI63" s="22">
        <f t="shared" si="46"/>
        <v>1</v>
      </c>
      <c r="BJ63" s="22">
        <f t="shared" si="47"/>
        <v>1</v>
      </c>
      <c r="BK63" s="22">
        <f t="shared" si="48"/>
        <v>4</v>
      </c>
      <c r="BL63" s="22" t="str">
        <f t="shared" si="49"/>
        <v>114</v>
      </c>
      <c r="BO63" s="47" t="s">
        <v>616</v>
      </c>
      <c r="BP63" s="47" t="s">
        <v>617</v>
      </c>
      <c r="BQ63" s="47" t="s">
        <v>616</v>
      </c>
      <c r="BR63" s="22">
        <v>12</v>
      </c>
      <c r="BS63" s="47" t="s">
        <v>725</v>
      </c>
      <c r="BT63" s="47">
        <f t="shared" si="65"/>
        <v>18</v>
      </c>
      <c r="BU63" s="65">
        <f t="shared" si="66"/>
        <v>2.4965325936199722E-2</v>
      </c>
      <c r="CL63" s="23">
        <v>99</v>
      </c>
      <c r="CM63" s="23">
        <v>90</v>
      </c>
      <c r="CO63"/>
    </row>
    <row r="64" spans="1:93" ht="17">
      <c r="B64" s="15">
        <v>60</v>
      </c>
      <c r="C64" s="23" t="s">
        <v>90</v>
      </c>
      <c r="D64" s="16">
        <v>7</v>
      </c>
      <c r="E64" s="17">
        <v>2172504600</v>
      </c>
      <c r="F64" s="16">
        <v>27</v>
      </c>
      <c r="G64" s="17">
        <v>93873600</v>
      </c>
      <c r="H64" s="17">
        <v>1088</v>
      </c>
      <c r="I64" s="17">
        <v>2329500</v>
      </c>
      <c r="J64" s="17">
        <v>45712</v>
      </c>
      <c r="K64" s="17">
        <v>110800</v>
      </c>
      <c r="L64" s="17">
        <v>735708</v>
      </c>
      <c r="M64" s="17">
        <v>10000</v>
      </c>
      <c r="N64" s="23">
        <v>2</v>
      </c>
      <c r="O64" s="23">
        <v>8</v>
      </c>
      <c r="P64" s="23">
        <v>25</v>
      </c>
      <c r="Q64" s="23">
        <v>36</v>
      </c>
      <c r="R64" s="23">
        <v>39</v>
      </c>
      <c r="S64" s="23">
        <v>42</v>
      </c>
      <c r="T64" s="23">
        <v>11</v>
      </c>
      <c r="U64" s="23">
        <f t="shared" si="22"/>
        <v>152</v>
      </c>
      <c r="W64" s="22" t="str">
        <f t="shared" si="69"/>
        <v>짝수</v>
      </c>
      <c r="X64" s="22" t="str">
        <f t="shared" si="70"/>
        <v>짝수</v>
      </c>
      <c r="Y64" s="22" t="str">
        <f t="shared" si="71"/>
        <v>홀수</v>
      </c>
      <c r="Z64" s="22" t="str">
        <f t="shared" si="72"/>
        <v>짝수</v>
      </c>
      <c r="AA64" s="22" t="str">
        <f t="shared" si="73"/>
        <v>홀수</v>
      </c>
      <c r="AB64" s="22" t="str">
        <f t="shared" si="74"/>
        <v>짝수</v>
      </c>
      <c r="AC64" s="52" t="str">
        <f t="shared" si="75"/>
        <v>2 : 4</v>
      </c>
      <c r="AD64" s="22">
        <f t="shared" si="76"/>
        <v>2</v>
      </c>
      <c r="AE64" s="22">
        <f t="shared" si="77"/>
        <v>4</v>
      </c>
      <c r="AF64" s="22" t="str">
        <f t="shared" si="23"/>
        <v>저수</v>
      </c>
      <c r="AG64" s="22" t="str">
        <f t="shared" si="24"/>
        <v>저수</v>
      </c>
      <c r="AH64" s="22" t="str">
        <f t="shared" si="25"/>
        <v>고수</v>
      </c>
      <c r="AI64" s="22" t="str">
        <f t="shared" si="26"/>
        <v>고수</v>
      </c>
      <c r="AJ64" s="22" t="str">
        <f t="shared" si="27"/>
        <v>고수</v>
      </c>
      <c r="AK64" s="22" t="str">
        <f t="shared" si="28"/>
        <v>고수</v>
      </c>
      <c r="AL64" s="52" t="str">
        <f t="shared" si="29"/>
        <v>2 : 4</v>
      </c>
      <c r="AM64" s="22">
        <f t="shared" si="30"/>
        <v>2</v>
      </c>
      <c r="AN64" s="22">
        <f t="shared" si="31"/>
        <v>4</v>
      </c>
      <c r="AO64" s="22">
        <f t="shared" si="32"/>
        <v>32</v>
      </c>
      <c r="AP64" s="22" t="str">
        <f t="shared" si="33"/>
        <v>O</v>
      </c>
      <c r="AQ64" s="22" t="str">
        <f t="shared" si="34"/>
        <v>X</v>
      </c>
      <c r="AR64" s="22" t="str">
        <f t="shared" si="35"/>
        <v>X</v>
      </c>
      <c r="AS64" s="22" t="str">
        <f t="shared" si="36"/>
        <v>X</v>
      </c>
      <c r="AT64" s="22" t="str">
        <f t="shared" si="37"/>
        <v>X</v>
      </c>
      <c r="AU64" s="22" t="str">
        <f t="shared" si="38"/>
        <v>X</v>
      </c>
      <c r="AV64" s="22" t="str">
        <f t="shared" si="39"/>
        <v>X</v>
      </c>
      <c r="AW64" s="22" t="str">
        <f t="shared" si="40"/>
        <v>X</v>
      </c>
      <c r="AX64" s="22" t="str">
        <f t="shared" si="41"/>
        <v>X</v>
      </c>
      <c r="AY64" s="22" t="str">
        <f t="shared" si="42"/>
        <v>X</v>
      </c>
      <c r="AZ64" s="22" t="str">
        <f t="shared" si="43"/>
        <v>X</v>
      </c>
      <c r="BA64" s="22" t="str">
        <f t="shared" si="44"/>
        <v>X</v>
      </c>
      <c r="BB64" s="22">
        <f t="shared" si="45"/>
        <v>1</v>
      </c>
      <c r="BC64" s="22" t="str">
        <f t="shared" si="7"/>
        <v>1G</v>
      </c>
      <c r="BD64" s="22" t="str">
        <f t="shared" si="8"/>
        <v>1G</v>
      </c>
      <c r="BE64" s="22" t="str">
        <f t="shared" si="9"/>
        <v>2G</v>
      </c>
      <c r="BF64" s="22" t="str">
        <f t="shared" si="10"/>
        <v>3G</v>
      </c>
      <c r="BG64" s="22" t="str">
        <f t="shared" si="11"/>
        <v>3G</v>
      </c>
      <c r="BH64" s="22" t="str">
        <f t="shared" si="12"/>
        <v>3G</v>
      </c>
      <c r="BI64" s="22">
        <f t="shared" si="46"/>
        <v>2</v>
      </c>
      <c r="BJ64" s="22">
        <f t="shared" si="47"/>
        <v>1</v>
      </c>
      <c r="BK64" s="22">
        <f t="shared" si="48"/>
        <v>3</v>
      </c>
      <c r="BL64" s="22" t="str">
        <f t="shared" si="49"/>
        <v>213</v>
      </c>
      <c r="BO64" s="62" t="s">
        <v>609</v>
      </c>
      <c r="BP64" s="47">
        <f>COUNTIF($AL$5:$AL$1000,BO64)</f>
        <v>8</v>
      </c>
      <c r="BQ64" s="63">
        <f>BP64/$BP$71</f>
        <v>1.1095700416088766E-2</v>
      </c>
      <c r="BR64" s="22">
        <v>12</v>
      </c>
      <c r="BS64" s="47" t="s">
        <v>718</v>
      </c>
      <c r="BT64" s="47">
        <f t="shared" si="65"/>
        <v>15</v>
      </c>
      <c r="BU64" s="65">
        <f t="shared" si="66"/>
        <v>2.0804438280166437E-2</v>
      </c>
      <c r="CL64" s="23">
        <v>99</v>
      </c>
      <c r="CM64" s="23">
        <v>90</v>
      </c>
      <c r="CO64"/>
    </row>
    <row r="65" spans="2:93" ht="17">
      <c r="B65" s="15">
        <v>61</v>
      </c>
      <c r="C65" s="23" t="s">
        <v>91</v>
      </c>
      <c r="D65" s="16">
        <v>5</v>
      </c>
      <c r="E65" s="17">
        <v>3541038800</v>
      </c>
      <c r="F65" s="16">
        <v>11</v>
      </c>
      <c r="G65" s="17">
        <v>268260500</v>
      </c>
      <c r="H65" s="16">
        <v>789</v>
      </c>
      <c r="I65" s="17">
        <v>3740000</v>
      </c>
      <c r="J65" s="17">
        <v>41227</v>
      </c>
      <c r="K65" s="17">
        <v>143100</v>
      </c>
      <c r="L65" s="17">
        <v>714784</v>
      </c>
      <c r="M65" s="17">
        <v>10000</v>
      </c>
      <c r="N65" s="23">
        <v>14</v>
      </c>
      <c r="O65" s="23">
        <v>15</v>
      </c>
      <c r="P65" s="23">
        <v>19</v>
      </c>
      <c r="Q65" s="23">
        <v>30</v>
      </c>
      <c r="R65" s="23">
        <v>38</v>
      </c>
      <c r="S65" s="23">
        <v>43</v>
      </c>
      <c r="T65" s="23">
        <v>8</v>
      </c>
      <c r="U65" s="23">
        <f t="shared" si="22"/>
        <v>159</v>
      </c>
      <c r="W65" s="22" t="str">
        <f t="shared" si="69"/>
        <v>짝수</v>
      </c>
      <c r="X65" s="22" t="str">
        <f t="shared" si="70"/>
        <v>홀수</v>
      </c>
      <c r="Y65" s="22" t="str">
        <f t="shared" si="71"/>
        <v>홀수</v>
      </c>
      <c r="Z65" s="22" t="str">
        <f t="shared" si="72"/>
        <v>짝수</v>
      </c>
      <c r="AA65" s="22" t="str">
        <f t="shared" si="73"/>
        <v>짝수</v>
      </c>
      <c r="AB65" s="22" t="str">
        <f t="shared" si="74"/>
        <v>홀수</v>
      </c>
      <c r="AC65" s="52" t="str">
        <f t="shared" si="75"/>
        <v>3 : 3</v>
      </c>
      <c r="AD65" s="22">
        <f t="shared" si="76"/>
        <v>3</v>
      </c>
      <c r="AE65" s="22">
        <f t="shared" si="77"/>
        <v>3</v>
      </c>
      <c r="AF65" s="22" t="str">
        <f t="shared" si="23"/>
        <v>저수</v>
      </c>
      <c r="AG65" s="22" t="str">
        <f t="shared" si="24"/>
        <v>저수</v>
      </c>
      <c r="AH65" s="22" t="str">
        <f t="shared" si="25"/>
        <v>저수</v>
      </c>
      <c r="AI65" s="22" t="str">
        <f t="shared" si="26"/>
        <v>고수</v>
      </c>
      <c r="AJ65" s="22" t="str">
        <f t="shared" si="27"/>
        <v>고수</v>
      </c>
      <c r="AK65" s="22" t="str">
        <f t="shared" si="28"/>
        <v>고수</v>
      </c>
      <c r="AL65" s="52" t="str">
        <f t="shared" si="29"/>
        <v>3 : 3</v>
      </c>
      <c r="AM65" s="22">
        <f t="shared" si="30"/>
        <v>3</v>
      </c>
      <c r="AN65" s="22">
        <f t="shared" si="31"/>
        <v>3</v>
      </c>
      <c r="AO65" s="22">
        <f t="shared" si="32"/>
        <v>29</v>
      </c>
      <c r="AP65" s="22" t="str">
        <f t="shared" si="33"/>
        <v>X</v>
      </c>
      <c r="AQ65" s="22" t="str">
        <f t="shared" si="34"/>
        <v>X</v>
      </c>
      <c r="AR65" s="22" t="str">
        <f t="shared" si="35"/>
        <v>O</v>
      </c>
      <c r="AS65" s="22" t="str">
        <f t="shared" si="36"/>
        <v>X</v>
      </c>
      <c r="AT65" s="22" t="str">
        <f t="shared" si="37"/>
        <v>X</v>
      </c>
      <c r="AU65" s="22" t="str">
        <f t="shared" si="38"/>
        <v>X</v>
      </c>
      <c r="AV65" s="22" t="str">
        <f t="shared" si="39"/>
        <v>X</v>
      </c>
      <c r="AW65" s="22" t="str">
        <f t="shared" si="40"/>
        <v>X</v>
      </c>
      <c r="AX65" s="22" t="str">
        <f t="shared" si="41"/>
        <v>X</v>
      </c>
      <c r="AY65" s="22" t="str">
        <f t="shared" si="42"/>
        <v>X</v>
      </c>
      <c r="AZ65" s="22" t="str">
        <f t="shared" si="43"/>
        <v>X</v>
      </c>
      <c r="BA65" s="22" t="str">
        <f t="shared" si="44"/>
        <v>O</v>
      </c>
      <c r="BB65" s="22">
        <f t="shared" si="45"/>
        <v>2</v>
      </c>
      <c r="BC65" s="22" t="str">
        <f t="shared" si="7"/>
        <v>1G</v>
      </c>
      <c r="BD65" s="22" t="str">
        <f t="shared" si="8"/>
        <v>1G</v>
      </c>
      <c r="BE65" s="22" t="str">
        <f t="shared" si="9"/>
        <v>2G</v>
      </c>
      <c r="BF65" s="22" t="str">
        <f t="shared" si="10"/>
        <v>2G</v>
      </c>
      <c r="BG65" s="22" t="str">
        <f t="shared" si="11"/>
        <v>3G</v>
      </c>
      <c r="BH65" s="22" t="str">
        <f t="shared" si="12"/>
        <v>3G</v>
      </c>
      <c r="BI65" s="22">
        <f t="shared" si="46"/>
        <v>2</v>
      </c>
      <c r="BJ65" s="22">
        <f t="shared" si="47"/>
        <v>2</v>
      </c>
      <c r="BK65" s="22">
        <f t="shared" si="48"/>
        <v>2</v>
      </c>
      <c r="BL65" s="22" t="str">
        <f t="shared" si="49"/>
        <v>222</v>
      </c>
      <c r="BO65" s="62" t="s">
        <v>610</v>
      </c>
      <c r="BP65" s="47">
        <f t="shared" ref="BP65:BP70" si="78">COUNTIF($AL$5:$AL$1000,BO65)</f>
        <v>67</v>
      </c>
      <c r="BQ65" s="63">
        <f t="shared" ref="BQ65:BQ70" si="79">BP65/$BP$71</f>
        <v>9.2926490984743412E-2</v>
      </c>
      <c r="BR65" s="22">
        <v>13</v>
      </c>
      <c r="BS65" s="47" t="s">
        <v>736</v>
      </c>
      <c r="BT65" s="47">
        <f t="shared" si="65"/>
        <v>18</v>
      </c>
      <c r="BU65" s="65">
        <f t="shared" si="66"/>
        <v>2.4965325936199722E-2</v>
      </c>
      <c r="CL65" s="23">
        <v>100</v>
      </c>
      <c r="CM65" s="23">
        <v>100</v>
      </c>
      <c r="CO65"/>
    </row>
    <row r="66" spans="2:93" ht="17">
      <c r="B66" s="15">
        <v>62</v>
      </c>
      <c r="C66" s="23" t="s">
        <v>92</v>
      </c>
      <c r="D66" s="16">
        <v>1</v>
      </c>
      <c r="E66" s="17">
        <v>15817286400</v>
      </c>
      <c r="F66" s="16">
        <v>22</v>
      </c>
      <c r="G66" s="17">
        <v>119827900</v>
      </c>
      <c r="H66" s="16">
        <v>829</v>
      </c>
      <c r="I66" s="17">
        <v>3179900</v>
      </c>
      <c r="J66" s="17">
        <v>41686</v>
      </c>
      <c r="K66" s="17">
        <v>126400</v>
      </c>
      <c r="L66" s="17">
        <v>700804</v>
      </c>
      <c r="M66" s="17">
        <v>10000</v>
      </c>
      <c r="N66" s="23">
        <v>3</v>
      </c>
      <c r="O66" s="23">
        <v>8</v>
      </c>
      <c r="P66" s="23">
        <v>15</v>
      </c>
      <c r="Q66" s="23">
        <v>27</v>
      </c>
      <c r="R66" s="23">
        <v>29</v>
      </c>
      <c r="S66" s="23">
        <v>35</v>
      </c>
      <c r="T66" s="23">
        <v>21</v>
      </c>
      <c r="U66" s="23">
        <f t="shared" si="22"/>
        <v>117</v>
      </c>
      <c r="W66" s="22" t="str">
        <f t="shared" si="69"/>
        <v>홀수</v>
      </c>
      <c r="X66" s="22" t="str">
        <f t="shared" si="70"/>
        <v>짝수</v>
      </c>
      <c r="Y66" s="22" t="str">
        <f t="shared" si="71"/>
        <v>홀수</v>
      </c>
      <c r="Z66" s="22" t="str">
        <f t="shared" si="72"/>
        <v>홀수</v>
      </c>
      <c r="AA66" s="22" t="str">
        <f t="shared" si="73"/>
        <v>홀수</v>
      </c>
      <c r="AB66" s="22" t="str">
        <f t="shared" si="74"/>
        <v>홀수</v>
      </c>
      <c r="AC66" s="52" t="str">
        <f t="shared" si="75"/>
        <v>5 : 1</v>
      </c>
      <c r="AD66" s="22">
        <f t="shared" si="76"/>
        <v>5</v>
      </c>
      <c r="AE66" s="22">
        <f t="shared" si="77"/>
        <v>1</v>
      </c>
      <c r="AF66" s="22" t="str">
        <f t="shared" si="23"/>
        <v>저수</v>
      </c>
      <c r="AG66" s="22" t="str">
        <f t="shared" si="24"/>
        <v>저수</v>
      </c>
      <c r="AH66" s="22" t="str">
        <f t="shared" si="25"/>
        <v>저수</v>
      </c>
      <c r="AI66" s="22" t="str">
        <f t="shared" si="26"/>
        <v>고수</v>
      </c>
      <c r="AJ66" s="22" t="str">
        <f t="shared" si="27"/>
        <v>고수</v>
      </c>
      <c r="AK66" s="22" t="str">
        <f t="shared" si="28"/>
        <v>고수</v>
      </c>
      <c r="AL66" s="52" t="str">
        <f t="shared" si="29"/>
        <v>3 : 3</v>
      </c>
      <c r="AM66" s="22">
        <f t="shared" si="30"/>
        <v>3</v>
      </c>
      <c r="AN66" s="22">
        <f t="shared" si="31"/>
        <v>3</v>
      </c>
      <c r="AO66" s="22">
        <f t="shared" si="32"/>
        <v>37</v>
      </c>
      <c r="AP66" s="22" t="str">
        <f t="shared" si="33"/>
        <v>O</v>
      </c>
      <c r="AQ66" s="22" t="str">
        <f t="shared" si="34"/>
        <v>X</v>
      </c>
      <c r="AR66" s="22" t="str">
        <f t="shared" si="35"/>
        <v>X</v>
      </c>
      <c r="AS66" s="22" t="str">
        <f t="shared" si="36"/>
        <v>X</v>
      </c>
      <c r="AT66" s="22" t="str">
        <f t="shared" si="37"/>
        <v>X</v>
      </c>
      <c r="AU66" s="22" t="str">
        <f t="shared" si="38"/>
        <v>X</v>
      </c>
      <c r="AV66" s="22" t="str">
        <f t="shared" si="39"/>
        <v>X</v>
      </c>
      <c r="AW66" s="22" t="str">
        <f t="shared" si="40"/>
        <v>X</v>
      </c>
      <c r="AX66" s="22" t="str">
        <f t="shared" si="41"/>
        <v>X</v>
      </c>
      <c r="AY66" s="22" t="str">
        <f t="shared" si="42"/>
        <v>X</v>
      </c>
      <c r="AZ66" s="22" t="str">
        <f t="shared" si="43"/>
        <v>O</v>
      </c>
      <c r="BA66" s="22" t="str">
        <f t="shared" si="44"/>
        <v>X</v>
      </c>
      <c r="BB66" s="22">
        <f t="shared" si="45"/>
        <v>2</v>
      </c>
      <c r="BC66" s="22" t="str">
        <f t="shared" si="7"/>
        <v>1G</v>
      </c>
      <c r="BD66" s="22" t="str">
        <f t="shared" si="8"/>
        <v>1G</v>
      </c>
      <c r="BE66" s="22" t="str">
        <f t="shared" si="9"/>
        <v>1G</v>
      </c>
      <c r="BF66" s="22" t="str">
        <f t="shared" si="10"/>
        <v>2G</v>
      </c>
      <c r="BG66" s="22" t="str">
        <f t="shared" si="11"/>
        <v>2G</v>
      </c>
      <c r="BH66" s="22" t="str">
        <f t="shared" si="12"/>
        <v>3G</v>
      </c>
      <c r="BI66" s="22">
        <f t="shared" si="46"/>
        <v>3</v>
      </c>
      <c r="BJ66" s="22">
        <f t="shared" si="47"/>
        <v>2</v>
      </c>
      <c r="BK66" s="22">
        <f t="shared" si="48"/>
        <v>1</v>
      </c>
      <c r="BL66" s="22" t="str">
        <f t="shared" si="49"/>
        <v>321</v>
      </c>
      <c r="BO66" s="73" t="s">
        <v>611</v>
      </c>
      <c r="BP66" s="70">
        <f t="shared" si="78"/>
        <v>180</v>
      </c>
      <c r="BQ66" s="74">
        <f t="shared" si="79"/>
        <v>0.24965325936199723</v>
      </c>
      <c r="BR66" s="22">
        <v>14</v>
      </c>
      <c r="BS66" s="47" t="s">
        <v>719</v>
      </c>
      <c r="BT66" s="47">
        <f t="shared" si="65"/>
        <v>15</v>
      </c>
      <c r="BU66" s="65">
        <f t="shared" si="66"/>
        <v>2.0804438280166437E-2</v>
      </c>
      <c r="CL66" s="23">
        <v>100</v>
      </c>
      <c r="CM66" s="23">
        <v>100</v>
      </c>
      <c r="CO66"/>
    </row>
    <row r="67" spans="2:93" ht="17">
      <c r="B67" s="15">
        <v>63</v>
      </c>
      <c r="C67" s="23" t="s">
        <v>93</v>
      </c>
      <c r="D67" s="16">
        <v>2</v>
      </c>
      <c r="E67" s="17">
        <v>7922245500</v>
      </c>
      <c r="F67" s="16">
        <v>26</v>
      </c>
      <c r="G67" s="17">
        <v>101567200</v>
      </c>
      <c r="H67" s="16">
        <v>824</v>
      </c>
      <c r="I67" s="17">
        <v>3204700</v>
      </c>
      <c r="J67" s="17">
        <v>41505</v>
      </c>
      <c r="K67" s="17">
        <v>127200</v>
      </c>
      <c r="L67" s="17">
        <v>712954</v>
      </c>
      <c r="M67" s="17">
        <v>10000</v>
      </c>
      <c r="N67" s="23">
        <v>3</v>
      </c>
      <c r="O67" s="23">
        <v>20</v>
      </c>
      <c r="P67" s="23">
        <v>23</v>
      </c>
      <c r="Q67" s="23">
        <v>36</v>
      </c>
      <c r="R67" s="23">
        <v>38</v>
      </c>
      <c r="S67" s="23">
        <v>40</v>
      </c>
      <c r="T67" s="23">
        <v>5</v>
      </c>
      <c r="U67" s="23">
        <f t="shared" si="22"/>
        <v>160</v>
      </c>
      <c r="W67" s="22" t="str">
        <f t="shared" si="69"/>
        <v>홀수</v>
      </c>
      <c r="X67" s="22" t="str">
        <f t="shared" si="70"/>
        <v>짝수</v>
      </c>
      <c r="Y67" s="22" t="str">
        <f t="shared" si="71"/>
        <v>홀수</v>
      </c>
      <c r="Z67" s="22" t="str">
        <f t="shared" si="72"/>
        <v>짝수</v>
      </c>
      <c r="AA67" s="22" t="str">
        <f t="shared" si="73"/>
        <v>짝수</v>
      </c>
      <c r="AB67" s="22" t="str">
        <f t="shared" si="74"/>
        <v>짝수</v>
      </c>
      <c r="AC67" s="52" t="str">
        <f t="shared" si="75"/>
        <v>2 : 4</v>
      </c>
      <c r="AD67" s="22">
        <f t="shared" si="76"/>
        <v>2</v>
      </c>
      <c r="AE67" s="22">
        <f t="shared" si="77"/>
        <v>4</v>
      </c>
      <c r="AF67" s="22" t="str">
        <f t="shared" si="23"/>
        <v>저수</v>
      </c>
      <c r="AG67" s="22" t="str">
        <f t="shared" si="24"/>
        <v>저수</v>
      </c>
      <c r="AH67" s="22" t="str">
        <f t="shared" si="25"/>
        <v>고수</v>
      </c>
      <c r="AI67" s="22" t="str">
        <f t="shared" si="26"/>
        <v>고수</v>
      </c>
      <c r="AJ67" s="22" t="str">
        <f t="shared" si="27"/>
        <v>고수</v>
      </c>
      <c r="AK67" s="22" t="str">
        <f t="shared" si="28"/>
        <v>고수</v>
      </c>
      <c r="AL67" s="52" t="str">
        <f t="shared" si="29"/>
        <v>2 : 4</v>
      </c>
      <c r="AM67" s="22">
        <f t="shared" si="30"/>
        <v>2</v>
      </c>
      <c r="AN67" s="22">
        <f t="shared" si="31"/>
        <v>4</v>
      </c>
      <c r="AO67" s="22">
        <f t="shared" si="32"/>
        <v>20</v>
      </c>
      <c r="AP67" s="22" t="str">
        <f t="shared" si="33"/>
        <v>O</v>
      </c>
      <c r="AQ67" s="22" t="str">
        <f t="shared" si="34"/>
        <v>X</v>
      </c>
      <c r="AR67" s="22" t="str">
        <f t="shared" si="35"/>
        <v>X</v>
      </c>
      <c r="AS67" s="22" t="str">
        <f t="shared" si="36"/>
        <v>X</v>
      </c>
      <c r="AT67" s="22" t="str">
        <f t="shared" si="37"/>
        <v>X</v>
      </c>
      <c r="AU67" s="22" t="str">
        <f t="shared" si="38"/>
        <v>X</v>
      </c>
      <c r="AV67" s="22" t="str">
        <f t="shared" si="39"/>
        <v>X</v>
      </c>
      <c r="AW67" s="22" t="str">
        <f t="shared" si="40"/>
        <v>X</v>
      </c>
      <c r="AX67" s="22" t="str">
        <f t="shared" si="41"/>
        <v>O</v>
      </c>
      <c r="AY67" s="22" t="str">
        <f t="shared" si="42"/>
        <v>X</v>
      </c>
      <c r="AZ67" s="22" t="str">
        <f t="shared" si="43"/>
        <v>X</v>
      </c>
      <c r="BA67" s="22" t="str">
        <f t="shared" si="44"/>
        <v>X</v>
      </c>
      <c r="BB67" s="22">
        <f t="shared" si="45"/>
        <v>2</v>
      </c>
      <c r="BC67" s="22" t="str">
        <f t="shared" si="7"/>
        <v>1G</v>
      </c>
      <c r="BD67" s="22" t="str">
        <f t="shared" si="8"/>
        <v>2G</v>
      </c>
      <c r="BE67" s="22" t="str">
        <f t="shared" si="9"/>
        <v>2G</v>
      </c>
      <c r="BF67" s="22" t="str">
        <f t="shared" si="10"/>
        <v>3G</v>
      </c>
      <c r="BG67" s="22" t="str">
        <f t="shared" si="11"/>
        <v>3G</v>
      </c>
      <c r="BH67" s="22" t="str">
        <f t="shared" si="12"/>
        <v>3G</v>
      </c>
      <c r="BI67" s="22">
        <f t="shared" si="46"/>
        <v>1</v>
      </c>
      <c r="BJ67" s="22">
        <f t="shared" si="47"/>
        <v>2</v>
      </c>
      <c r="BK67" s="22">
        <f t="shared" si="48"/>
        <v>3</v>
      </c>
      <c r="BL67" s="22" t="str">
        <f t="shared" si="49"/>
        <v>123</v>
      </c>
      <c r="BO67" s="73" t="s">
        <v>612</v>
      </c>
      <c r="BP67" s="70">
        <f t="shared" si="78"/>
        <v>244</v>
      </c>
      <c r="BQ67" s="74">
        <f t="shared" si="79"/>
        <v>0.33841886269070737</v>
      </c>
      <c r="BR67" s="22">
        <v>15</v>
      </c>
      <c r="BS67" s="47" t="s">
        <v>727</v>
      </c>
      <c r="BT67" s="47">
        <f t="shared" si="65"/>
        <v>13</v>
      </c>
      <c r="BU67" s="65">
        <f t="shared" si="66"/>
        <v>1.8030513176144243E-2</v>
      </c>
      <c r="CL67" s="23">
        <v>101</v>
      </c>
      <c r="CM67" s="23">
        <v>100</v>
      </c>
      <c r="CO67"/>
    </row>
    <row r="68" spans="2:93" ht="17">
      <c r="B68" s="15">
        <v>64</v>
      </c>
      <c r="C68" s="23" t="s">
        <v>94</v>
      </c>
      <c r="D68" s="16">
        <v>4</v>
      </c>
      <c r="E68" s="17">
        <v>3899818000</v>
      </c>
      <c r="F68" s="16">
        <v>11</v>
      </c>
      <c r="G68" s="17">
        <v>236352600</v>
      </c>
      <c r="H68" s="16">
        <v>651</v>
      </c>
      <c r="I68" s="17">
        <v>3993600</v>
      </c>
      <c r="J68" s="17">
        <v>37117</v>
      </c>
      <c r="K68" s="17">
        <v>140000</v>
      </c>
      <c r="L68" s="17">
        <v>654379</v>
      </c>
      <c r="M68" s="17">
        <v>10000</v>
      </c>
      <c r="N68" s="23">
        <v>14</v>
      </c>
      <c r="O68" s="23">
        <v>15</v>
      </c>
      <c r="P68" s="23">
        <v>18</v>
      </c>
      <c r="Q68" s="23">
        <v>21</v>
      </c>
      <c r="R68" s="23">
        <v>26</v>
      </c>
      <c r="S68" s="23">
        <v>36</v>
      </c>
      <c r="T68" s="23">
        <v>39</v>
      </c>
      <c r="U68" s="23">
        <f t="shared" si="22"/>
        <v>130</v>
      </c>
      <c r="W68" s="22" t="str">
        <f t="shared" si="69"/>
        <v>짝수</v>
      </c>
      <c r="X68" s="22" t="str">
        <f t="shared" si="70"/>
        <v>홀수</v>
      </c>
      <c r="Y68" s="22" t="str">
        <f t="shared" si="71"/>
        <v>짝수</v>
      </c>
      <c r="Z68" s="22" t="str">
        <f t="shared" si="72"/>
        <v>홀수</v>
      </c>
      <c r="AA68" s="22" t="str">
        <f t="shared" si="73"/>
        <v>짝수</v>
      </c>
      <c r="AB68" s="22" t="str">
        <f t="shared" si="74"/>
        <v>짝수</v>
      </c>
      <c r="AC68" s="52" t="str">
        <f t="shared" si="75"/>
        <v>2 : 4</v>
      </c>
      <c r="AD68" s="22">
        <f t="shared" si="76"/>
        <v>2</v>
      </c>
      <c r="AE68" s="22">
        <f t="shared" si="77"/>
        <v>4</v>
      </c>
      <c r="AF68" s="22" t="str">
        <f t="shared" si="23"/>
        <v>저수</v>
      </c>
      <c r="AG68" s="22" t="str">
        <f t="shared" si="24"/>
        <v>저수</v>
      </c>
      <c r="AH68" s="22" t="str">
        <f t="shared" si="25"/>
        <v>저수</v>
      </c>
      <c r="AI68" s="22" t="str">
        <f t="shared" si="26"/>
        <v>저수</v>
      </c>
      <c r="AJ68" s="22" t="str">
        <f t="shared" si="27"/>
        <v>고수</v>
      </c>
      <c r="AK68" s="22" t="str">
        <f t="shared" si="28"/>
        <v>고수</v>
      </c>
      <c r="AL68" s="52" t="str">
        <f t="shared" si="29"/>
        <v>4 : 2</v>
      </c>
      <c r="AM68" s="22">
        <f t="shared" si="30"/>
        <v>4</v>
      </c>
      <c r="AN68" s="22">
        <f t="shared" si="31"/>
        <v>2</v>
      </c>
      <c r="AO68" s="22">
        <f t="shared" si="32"/>
        <v>30</v>
      </c>
      <c r="AP68" s="22" t="str">
        <f t="shared" si="33"/>
        <v>X</v>
      </c>
      <c r="AQ68" s="22" t="str">
        <f t="shared" si="34"/>
        <v>X</v>
      </c>
      <c r="AR68" s="22" t="str">
        <f t="shared" si="35"/>
        <v>X</v>
      </c>
      <c r="AS68" s="22" t="str">
        <f t="shared" si="36"/>
        <v>X</v>
      </c>
      <c r="AT68" s="22" t="str">
        <f t="shared" si="37"/>
        <v>X</v>
      </c>
      <c r="AU68" s="22" t="str">
        <f t="shared" si="38"/>
        <v>X</v>
      </c>
      <c r="AV68" s="22" t="str">
        <f t="shared" si="39"/>
        <v>X</v>
      </c>
      <c r="AW68" s="22" t="str">
        <f t="shared" si="40"/>
        <v>X</v>
      </c>
      <c r="AX68" s="22" t="str">
        <f t="shared" si="41"/>
        <v>X</v>
      </c>
      <c r="AY68" s="22" t="str">
        <f t="shared" si="42"/>
        <v>X</v>
      </c>
      <c r="AZ68" s="22" t="str">
        <f t="shared" si="43"/>
        <v>X</v>
      </c>
      <c r="BA68" s="22" t="str">
        <f t="shared" si="44"/>
        <v>X</v>
      </c>
      <c r="BB68" s="22">
        <f t="shared" si="45"/>
        <v>0</v>
      </c>
      <c r="BC68" s="22" t="str">
        <f t="shared" si="7"/>
        <v>1G</v>
      </c>
      <c r="BD68" s="22" t="str">
        <f t="shared" si="8"/>
        <v>1G</v>
      </c>
      <c r="BE68" s="22" t="str">
        <f t="shared" si="9"/>
        <v>2G</v>
      </c>
      <c r="BF68" s="22" t="str">
        <f t="shared" si="10"/>
        <v>2G</v>
      </c>
      <c r="BG68" s="22" t="str">
        <f t="shared" si="11"/>
        <v>2G</v>
      </c>
      <c r="BH68" s="22" t="str">
        <f t="shared" si="12"/>
        <v>3G</v>
      </c>
      <c r="BI68" s="22">
        <f t="shared" si="46"/>
        <v>2</v>
      </c>
      <c r="BJ68" s="22">
        <f t="shared" si="47"/>
        <v>3</v>
      </c>
      <c r="BK68" s="22">
        <f t="shared" si="48"/>
        <v>1</v>
      </c>
      <c r="BL68" s="22" t="str">
        <f t="shared" si="49"/>
        <v>231</v>
      </c>
      <c r="BO68" s="62" t="s">
        <v>613</v>
      </c>
      <c r="BP68" s="47">
        <f t="shared" si="78"/>
        <v>156</v>
      </c>
      <c r="BQ68" s="63">
        <f t="shared" si="79"/>
        <v>0.21636615811373092</v>
      </c>
      <c r="BR68" s="22">
        <v>15</v>
      </c>
      <c r="BS68" s="47" t="s">
        <v>731</v>
      </c>
      <c r="BT68" s="47">
        <f t="shared" si="65"/>
        <v>13</v>
      </c>
      <c r="BU68" s="65">
        <f t="shared" si="66"/>
        <v>1.8030513176144243E-2</v>
      </c>
      <c r="CL68" s="23">
        <v>101</v>
      </c>
      <c r="CM68" s="23">
        <v>100</v>
      </c>
      <c r="CO68"/>
    </row>
    <row r="69" spans="2:93" ht="17">
      <c r="B69" s="15">
        <v>65</v>
      </c>
      <c r="C69" s="23" t="s">
        <v>95</v>
      </c>
      <c r="D69" s="16">
        <v>4</v>
      </c>
      <c r="E69" s="17">
        <v>3727945800</v>
      </c>
      <c r="F69" s="16">
        <v>27</v>
      </c>
      <c r="G69" s="17">
        <v>92048000</v>
      </c>
      <c r="H69" s="17">
        <v>1003</v>
      </c>
      <c r="I69" s="17">
        <v>2477800</v>
      </c>
      <c r="J69" s="17">
        <v>52556</v>
      </c>
      <c r="K69" s="17">
        <v>94500</v>
      </c>
      <c r="L69" s="17">
        <v>848960</v>
      </c>
      <c r="M69" s="17">
        <v>10000</v>
      </c>
      <c r="N69" s="23">
        <v>4</v>
      </c>
      <c r="O69" s="23">
        <v>25</v>
      </c>
      <c r="P69" s="23">
        <v>33</v>
      </c>
      <c r="Q69" s="23">
        <v>36</v>
      </c>
      <c r="R69" s="23">
        <v>40</v>
      </c>
      <c r="S69" s="23">
        <v>43</v>
      </c>
      <c r="T69" s="23">
        <v>39</v>
      </c>
      <c r="U69" s="23">
        <f t="shared" si="22"/>
        <v>181</v>
      </c>
      <c r="W69" s="22" t="str">
        <f t="shared" si="69"/>
        <v>짝수</v>
      </c>
      <c r="X69" s="22" t="str">
        <f t="shared" si="70"/>
        <v>홀수</v>
      </c>
      <c r="Y69" s="22" t="str">
        <f t="shared" si="71"/>
        <v>홀수</v>
      </c>
      <c r="Z69" s="22" t="str">
        <f t="shared" si="72"/>
        <v>짝수</v>
      </c>
      <c r="AA69" s="22" t="str">
        <f t="shared" si="73"/>
        <v>짝수</v>
      </c>
      <c r="AB69" s="22" t="str">
        <f t="shared" si="74"/>
        <v>홀수</v>
      </c>
      <c r="AC69" s="52" t="str">
        <f t="shared" si="75"/>
        <v>3 : 3</v>
      </c>
      <c r="AD69" s="22">
        <f t="shared" si="76"/>
        <v>3</v>
      </c>
      <c r="AE69" s="22">
        <f t="shared" si="77"/>
        <v>3</v>
      </c>
      <c r="AF69" s="22" t="str">
        <f t="shared" si="23"/>
        <v>저수</v>
      </c>
      <c r="AG69" s="22" t="str">
        <f t="shared" si="24"/>
        <v>고수</v>
      </c>
      <c r="AH69" s="22" t="str">
        <f t="shared" si="25"/>
        <v>고수</v>
      </c>
      <c r="AI69" s="22" t="str">
        <f t="shared" si="26"/>
        <v>고수</v>
      </c>
      <c r="AJ69" s="22" t="str">
        <f t="shared" si="27"/>
        <v>고수</v>
      </c>
      <c r="AK69" s="22" t="str">
        <f t="shared" si="28"/>
        <v>고수</v>
      </c>
      <c r="AL69" s="52" t="str">
        <f t="shared" si="29"/>
        <v>1 : 5</v>
      </c>
      <c r="AM69" s="22">
        <f t="shared" si="30"/>
        <v>1</v>
      </c>
      <c r="AN69" s="22">
        <f t="shared" si="31"/>
        <v>5</v>
      </c>
      <c r="AO69" s="22">
        <f t="shared" si="32"/>
        <v>21</v>
      </c>
      <c r="AP69" s="22" t="str">
        <f t="shared" si="33"/>
        <v>X</v>
      </c>
      <c r="AQ69" s="22" t="str">
        <f t="shared" si="34"/>
        <v>X</v>
      </c>
      <c r="AR69" s="22" t="str">
        <f t="shared" si="35"/>
        <v>X</v>
      </c>
      <c r="AS69" s="22" t="str">
        <f t="shared" si="36"/>
        <v>X</v>
      </c>
      <c r="AT69" s="22" t="str">
        <f t="shared" si="37"/>
        <v>X</v>
      </c>
      <c r="AU69" s="22" t="str">
        <f t="shared" si="38"/>
        <v>X</v>
      </c>
      <c r="AV69" s="22" t="str">
        <f t="shared" si="39"/>
        <v>X</v>
      </c>
      <c r="AW69" s="22" t="str">
        <f t="shared" si="40"/>
        <v>X</v>
      </c>
      <c r="AX69" s="22" t="str">
        <f t="shared" si="41"/>
        <v>X</v>
      </c>
      <c r="AY69" s="22" t="str">
        <f t="shared" si="42"/>
        <v>X</v>
      </c>
      <c r="AZ69" s="22" t="str">
        <f t="shared" si="43"/>
        <v>X</v>
      </c>
      <c r="BA69" s="22" t="str">
        <f t="shared" si="44"/>
        <v>O</v>
      </c>
      <c r="BB69" s="22">
        <f t="shared" si="45"/>
        <v>1</v>
      </c>
      <c r="BC69" s="22" t="str">
        <f t="shared" ref="BC69:BC132" si="80">VLOOKUP(N69,삼그룹,6,FALSE)</f>
        <v>1G</v>
      </c>
      <c r="BD69" s="22" t="str">
        <f t="shared" ref="BD69:BD132" si="81">VLOOKUP(O69,삼그룹,6,FALSE)</f>
        <v>2G</v>
      </c>
      <c r="BE69" s="22" t="str">
        <f t="shared" ref="BE69:BE132" si="82">VLOOKUP(P69,삼그룹,6,FALSE)</f>
        <v>3G</v>
      </c>
      <c r="BF69" s="22" t="str">
        <f t="shared" ref="BF69:BF132" si="83">VLOOKUP(Q69,삼그룹,6,FALSE)</f>
        <v>3G</v>
      </c>
      <c r="BG69" s="22" t="str">
        <f t="shared" ref="BG69:BG132" si="84">VLOOKUP(R69,삼그룹,6,FALSE)</f>
        <v>3G</v>
      </c>
      <c r="BH69" s="22" t="str">
        <f t="shared" ref="BH69:BH132" si="85">VLOOKUP(S69,삼그룹,6,FALSE)</f>
        <v>3G</v>
      </c>
      <c r="BI69" s="22">
        <f t="shared" si="46"/>
        <v>1</v>
      </c>
      <c r="BJ69" s="22">
        <f t="shared" si="47"/>
        <v>1</v>
      </c>
      <c r="BK69" s="22">
        <f t="shared" si="48"/>
        <v>4</v>
      </c>
      <c r="BL69" s="22" t="str">
        <f t="shared" si="49"/>
        <v>114</v>
      </c>
      <c r="BO69" s="62" t="s">
        <v>614</v>
      </c>
      <c r="BP69" s="47">
        <f t="shared" si="78"/>
        <v>56</v>
      </c>
      <c r="BQ69" s="63">
        <f t="shared" si="79"/>
        <v>7.7669902912621352E-2</v>
      </c>
      <c r="BR69" s="22">
        <v>16</v>
      </c>
      <c r="BS69" s="47" t="s">
        <v>732</v>
      </c>
      <c r="BT69" s="47">
        <f t="shared" si="65"/>
        <v>14</v>
      </c>
      <c r="BU69" s="65">
        <f t="shared" si="66"/>
        <v>1.9417475728155338E-2</v>
      </c>
      <c r="CL69" s="23">
        <v>101</v>
      </c>
      <c r="CM69" s="23">
        <v>100</v>
      </c>
      <c r="CO69"/>
    </row>
    <row r="70" spans="2:93" ht="17">
      <c r="B70" s="15">
        <v>66</v>
      </c>
      <c r="C70" s="23" t="s">
        <v>96</v>
      </c>
      <c r="D70" s="16">
        <v>4</v>
      </c>
      <c r="E70" s="17">
        <v>3685138200</v>
      </c>
      <c r="F70" s="16">
        <v>19</v>
      </c>
      <c r="G70" s="17">
        <v>129303000</v>
      </c>
      <c r="H70" s="16">
        <v>786</v>
      </c>
      <c r="I70" s="17">
        <v>3125600</v>
      </c>
      <c r="J70" s="17">
        <v>40188</v>
      </c>
      <c r="K70" s="17">
        <v>122200</v>
      </c>
      <c r="L70" s="17">
        <v>712181</v>
      </c>
      <c r="M70" s="17">
        <v>10000</v>
      </c>
      <c r="N70" s="23">
        <v>2</v>
      </c>
      <c r="O70" s="23">
        <v>3</v>
      </c>
      <c r="P70" s="23">
        <v>7</v>
      </c>
      <c r="Q70" s="23">
        <v>17</v>
      </c>
      <c r="R70" s="23">
        <v>22</v>
      </c>
      <c r="S70" s="23">
        <v>24</v>
      </c>
      <c r="T70" s="23">
        <v>45</v>
      </c>
      <c r="U70" s="23">
        <f t="shared" ref="U70:U133" si="86">SUM(N70:S70)</f>
        <v>75</v>
      </c>
      <c r="W70" s="22" t="str">
        <f t="shared" si="69"/>
        <v>짝수</v>
      </c>
      <c r="X70" s="22" t="str">
        <f t="shared" si="70"/>
        <v>홀수</v>
      </c>
      <c r="Y70" s="22" t="str">
        <f t="shared" si="71"/>
        <v>홀수</v>
      </c>
      <c r="Z70" s="22" t="str">
        <f t="shared" si="72"/>
        <v>홀수</v>
      </c>
      <c r="AA70" s="22" t="str">
        <f t="shared" si="73"/>
        <v>짝수</v>
      </c>
      <c r="AB70" s="22" t="str">
        <f t="shared" si="74"/>
        <v>짝수</v>
      </c>
      <c r="AC70" s="52" t="str">
        <f t="shared" si="75"/>
        <v>3 : 3</v>
      </c>
      <c r="AD70" s="22">
        <f t="shared" si="76"/>
        <v>3</v>
      </c>
      <c r="AE70" s="22">
        <f t="shared" si="77"/>
        <v>3</v>
      </c>
      <c r="AF70" s="22" t="str">
        <f t="shared" ref="AF70:AF133" si="87">IF(N70&lt;23,"저수","고수")</f>
        <v>저수</v>
      </c>
      <c r="AG70" s="22" t="str">
        <f t="shared" ref="AG70:AG133" si="88">IF(O70&lt;23,"저수","고수")</f>
        <v>저수</v>
      </c>
      <c r="AH70" s="22" t="str">
        <f t="shared" ref="AH70:AH133" si="89">IF(P70&lt;23,"저수","고수")</f>
        <v>저수</v>
      </c>
      <c r="AI70" s="22" t="str">
        <f t="shared" ref="AI70:AI133" si="90">IF(Q70&lt;23,"저수","고수")</f>
        <v>저수</v>
      </c>
      <c r="AJ70" s="22" t="str">
        <f t="shared" ref="AJ70:AJ133" si="91">IF(R70&lt;23,"저수","고수")</f>
        <v>저수</v>
      </c>
      <c r="AK70" s="22" t="str">
        <f t="shared" ref="AK70:AK133" si="92">IF(S70&lt;23,"저수","고수")</f>
        <v>고수</v>
      </c>
      <c r="AL70" s="52" t="str">
        <f t="shared" ref="AL70:AL133" si="93">AM70&amp;" : "&amp;AN70</f>
        <v>5 : 1</v>
      </c>
      <c r="AM70" s="22">
        <f t="shared" ref="AM70:AM133" si="94">COUNTIF(AF70:AK70,"저수")</f>
        <v>5</v>
      </c>
      <c r="AN70" s="22">
        <f t="shared" ref="AN70:AN133" si="95">COUNTIF(AF70:AK70,"고수")</f>
        <v>1</v>
      </c>
      <c r="AO70" s="22">
        <f t="shared" ref="AO70:AO133" si="96">RIGHT(N70,1)+RIGHT(O70,1)+RIGHT(P70,1)+RIGHT(Q70,1)+RIGHT(R70,1)+RIGHT(S70,1)</f>
        <v>25</v>
      </c>
      <c r="AP70" s="22" t="str">
        <f t="shared" ref="AP70:AP133" si="97">IF(N70=2,"O",IF(N70=3,"O",IF(N70=5,"O",IF(N70=7,"O",IF(N70=11,"O",IF(N70=13,"O",IF(N70=17,"O",IF(N70=19,"O","X"))))))))</f>
        <v>O</v>
      </c>
      <c r="AQ70" s="22" t="str">
        <f t="shared" ref="AQ70:AQ133" si="98">IF(O70=2,"O",IF(O70=3,"O",IF(O70=5,"O",IF(O70=7,"O",IF(O70=11,"O",IF(O70=13,"O",IF(O70=17,"O",IF(O70=19,"O","X"))))))))</f>
        <v>O</v>
      </c>
      <c r="AR70" s="22" t="str">
        <f t="shared" ref="AR70:AR133" si="99">IF(P70=2,"O",IF(P70=3,"O",IF(P70=5,"O",IF(P70=7,"O",IF(P70=11,"O",IF(P70=13,"O",IF(P70=17,"O",IF(P70=19,"O","X"))))))))</f>
        <v>O</v>
      </c>
      <c r="AS70" s="22" t="str">
        <f t="shared" ref="AS70:AS133" si="100">IF(Q70=2,"O",IF(Q70=3,"O",IF(Q70=5,"O",IF(Q70=7,"O",IF(Q70=11,"O",IF(Q70=13,"O",IF(Q70=17,"O",IF(Q70=19,"O","X"))))))))</f>
        <v>O</v>
      </c>
      <c r="AT70" s="22" t="str">
        <f t="shared" ref="AT70:AT133" si="101">IF(R70=2,"O",IF(R70=3,"O",IF(R70=5,"O",IF(R70=7,"O",IF(R70=11,"O",IF(R70=13,"O",IF(R70=17,"O",IF(R70=19,"O","X"))))))))</f>
        <v>X</v>
      </c>
      <c r="AU70" s="22" t="str">
        <f t="shared" ref="AU70:AU133" si="102">IF(S70=2,"O",IF(S70=3,"O",IF(S70=5,"O",IF(S70=7,"O",IF(S70=11,"O",IF(S70=13,"O",IF(S70=17,"O",IF(S70=19,"O","X"))))))))</f>
        <v>X</v>
      </c>
      <c r="AV70" s="22" t="str">
        <f t="shared" ref="AV70:AV133" si="103">IF(N70=23,"O",IF(N70=29,"O",IF(N70=31,"O",IF(N70=37,"O",IF(N70=41,"O",IF(N70=43,"O","X"))))))</f>
        <v>X</v>
      </c>
      <c r="AW70" s="22" t="str">
        <f t="shared" ref="AW70:AW133" si="104">IF(O70=23,"O",IF(O70=29,"O",IF(O70=31,"O",IF(O70=37,"O",IF(O70=41,"O",IF(O70=43,"O","X"))))))</f>
        <v>X</v>
      </c>
      <c r="AX70" s="22" t="str">
        <f t="shared" ref="AX70:AX133" si="105">IF(P70=23,"O",IF(P70=29,"O",IF(P70=31,"O",IF(P70=37,"O",IF(P70=41,"O",IF(P70=43,"O","X"))))))</f>
        <v>X</v>
      </c>
      <c r="AY70" s="22" t="str">
        <f t="shared" ref="AY70:AY133" si="106">IF(Q70=23,"O",IF(Q70=29,"O",IF(Q70=31,"O",IF(Q70=37,"O",IF(Q70=41,"O",IF(Q70=43,"O","X"))))))</f>
        <v>X</v>
      </c>
      <c r="AZ70" s="22" t="str">
        <f t="shared" ref="AZ70:AZ133" si="107">IF(R70=23,"O",IF(R70=29,"O",IF(R70=31,"O",IF(R70=37,"O",IF(R70=41,"O",IF(R70=43,"O","X"))))))</f>
        <v>X</v>
      </c>
      <c r="BA70" s="22" t="str">
        <f t="shared" ref="BA70:BA133" si="108">IF(S70=23,"O",IF(S70=29,"O",IF(S70=31,"O",IF(S70=37,"O",IF(S70=41,"O",IF(S70=43,"O","X"))))))</f>
        <v>X</v>
      </c>
      <c r="BB70" s="22">
        <f t="shared" ref="BB70:BB133" si="109">COUNTIF(AP70:BA70,"O")</f>
        <v>4</v>
      </c>
      <c r="BC70" s="22" t="str">
        <f t="shared" si="80"/>
        <v>1G</v>
      </c>
      <c r="BD70" s="22" t="str">
        <f t="shared" si="81"/>
        <v>1G</v>
      </c>
      <c r="BE70" s="22" t="str">
        <f t="shared" si="82"/>
        <v>1G</v>
      </c>
      <c r="BF70" s="22" t="str">
        <f t="shared" si="83"/>
        <v>2G</v>
      </c>
      <c r="BG70" s="22" t="str">
        <f t="shared" si="84"/>
        <v>2G</v>
      </c>
      <c r="BH70" s="22" t="str">
        <f t="shared" si="85"/>
        <v>2G</v>
      </c>
      <c r="BI70" s="22">
        <f t="shared" ref="BI70:BI133" si="110">COUNTIF($BC70:$BH70,"1G")</f>
        <v>3</v>
      </c>
      <c r="BJ70" s="22">
        <f t="shared" ref="BJ70:BJ133" si="111">COUNTIF($BC70:$BH70,"2G")</f>
        <v>3</v>
      </c>
      <c r="BK70" s="22">
        <f t="shared" ref="BK70:BK133" si="112">COUNTIF($BC70:$BH70,"3G")</f>
        <v>0</v>
      </c>
      <c r="BL70" s="22" t="str">
        <f t="shared" ref="BL70:BL133" si="113">BI70&amp;BJ70&amp;BK70</f>
        <v>330</v>
      </c>
      <c r="BO70" s="62" t="s">
        <v>615</v>
      </c>
      <c r="BP70" s="47">
        <f t="shared" si="78"/>
        <v>10</v>
      </c>
      <c r="BQ70" s="63">
        <f t="shared" si="79"/>
        <v>1.3869625520110958E-2</v>
      </c>
      <c r="BR70" s="22">
        <v>16</v>
      </c>
      <c r="BS70" s="47" t="s">
        <v>723</v>
      </c>
      <c r="BT70" s="47">
        <f t="shared" si="65"/>
        <v>9</v>
      </c>
      <c r="BU70" s="65">
        <f t="shared" si="66"/>
        <v>1.2482662968099861E-2</v>
      </c>
      <c r="CL70" s="23">
        <v>102</v>
      </c>
      <c r="CM70" s="23">
        <v>100</v>
      </c>
      <c r="CO70"/>
    </row>
    <row r="71" spans="2:93" ht="17">
      <c r="B71" s="15">
        <v>67</v>
      </c>
      <c r="C71" s="23" t="s">
        <v>97</v>
      </c>
      <c r="D71" s="16">
        <v>7</v>
      </c>
      <c r="E71" s="17">
        <v>2114436500</v>
      </c>
      <c r="F71" s="16">
        <v>62</v>
      </c>
      <c r="G71" s="17">
        <v>39787700</v>
      </c>
      <c r="H71" s="16">
        <v>972</v>
      </c>
      <c r="I71" s="17">
        <v>2537900</v>
      </c>
      <c r="J71" s="17">
        <v>46740</v>
      </c>
      <c r="K71" s="17">
        <v>105500</v>
      </c>
      <c r="L71" s="17">
        <v>748901</v>
      </c>
      <c r="M71" s="17">
        <v>10000</v>
      </c>
      <c r="N71" s="23">
        <v>3</v>
      </c>
      <c r="O71" s="23">
        <v>7</v>
      </c>
      <c r="P71" s="23">
        <v>10</v>
      </c>
      <c r="Q71" s="23">
        <v>15</v>
      </c>
      <c r="R71" s="23">
        <v>36</v>
      </c>
      <c r="S71" s="23">
        <v>38</v>
      </c>
      <c r="T71" s="23">
        <v>33</v>
      </c>
      <c r="U71" s="23">
        <f t="shared" si="86"/>
        <v>109</v>
      </c>
      <c r="W71" s="22" t="str">
        <f t="shared" si="69"/>
        <v>홀수</v>
      </c>
      <c r="X71" s="22" t="str">
        <f t="shared" si="70"/>
        <v>홀수</v>
      </c>
      <c r="Y71" s="22" t="str">
        <f t="shared" si="71"/>
        <v>짝수</v>
      </c>
      <c r="Z71" s="22" t="str">
        <f t="shared" si="72"/>
        <v>홀수</v>
      </c>
      <c r="AA71" s="22" t="str">
        <f t="shared" si="73"/>
        <v>짝수</v>
      </c>
      <c r="AB71" s="22" t="str">
        <f t="shared" si="74"/>
        <v>짝수</v>
      </c>
      <c r="AC71" s="52" t="str">
        <f t="shared" si="75"/>
        <v>3 : 3</v>
      </c>
      <c r="AD71" s="22">
        <f t="shared" si="76"/>
        <v>3</v>
      </c>
      <c r="AE71" s="22">
        <f t="shared" si="77"/>
        <v>3</v>
      </c>
      <c r="AF71" s="22" t="str">
        <f t="shared" si="87"/>
        <v>저수</v>
      </c>
      <c r="AG71" s="22" t="str">
        <f t="shared" si="88"/>
        <v>저수</v>
      </c>
      <c r="AH71" s="22" t="str">
        <f t="shared" si="89"/>
        <v>저수</v>
      </c>
      <c r="AI71" s="22" t="str">
        <f t="shared" si="90"/>
        <v>저수</v>
      </c>
      <c r="AJ71" s="22" t="str">
        <f t="shared" si="91"/>
        <v>고수</v>
      </c>
      <c r="AK71" s="22" t="str">
        <f t="shared" si="92"/>
        <v>고수</v>
      </c>
      <c r="AL71" s="52" t="str">
        <f t="shared" si="93"/>
        <v>4 : 2</v>
      </c>
      <c r="AM71" s="22">
        <f t="shared" si="94"/>
        <v>4</v>
      </c>
      <c r="AN71" s="22">
        <f t="shared" si="95"/>
        <v>2</v>
      </c>
      <c r="AO71" s="22">
        <f t="shared" si="96"/>
        <v>29</v>
      </c>
      <c r="AP71" s="22" t="str">
        <f t="shared" si="97"/>
        <v>O</v>
      </c>
      <c r="AQ71" s="22" t="str">
        <f t="shared" si="98"/>
        <v>O</v>
      </c>
      <c r="AR71" s="22" t="str">
        <f t="shared" si="99"/>
        <v>X</v>
      </c>
      <c r="AS71" s="22" t="str">
        <f t="shared" si="100"/>
        <v>X</v>
      </c>
      <c r="AT71" s="22" t="str">
        <f t="shared" si="101"/>
        <v>X</v>
      </c>
      <c r="AU71" s="22" t="str">
        <f t="shared" si="102"/>
        <v>X</v>
      </c>
      <c r="AV71" s="22" t="str">
        <f t="shared" si="103"/>
        <v>X</v>
      </c>
      <c r="AW71" s="22" t="str">
        <f t="shared" si="104"/>
        <v>X</v>
      </c>
      <c r="AX71" s="22" t="str">
        <f t="shared" si="105"/>
        <v>X</v>
      </c>
      <c r="AY71" s="22" t="str">
        <f t="shared" si="106"/>
        <v>X</v>
      </c>
      <c r="AZ71" s="22" t="str">
        <f t="shared" si="107"/>
        <v>X</v>
      </c>
      <c r="BA71" s="22" t="str">
        <f t="shared" si="108"/>
        <v>X</v>
      </c>
      <c r="BB71" s="22">
        <f t="shared" si="109"/>
        <v>2</v>
      </c>
      <c r="BC71" s="22" t="str">
        <f t="shared" si="80"/>
        <v>1G</v>
      </c>
      <c r="BD71" s="22" t="str">
        <f t="shared" si="81"/>
        <v>1G</v>
      </c>
      <c r="BE71" s="22" t="str">
        <f t="shared" si="82"/>
        <v>1G</v>
      </c>
      <c r="BF71" s="22" t="str">
        <f t="shared" si="83"/>
        <v>1G</v>
      </c>
      <c r="BG71" s="22" t="str">
        <f t="shared" si="84"/>
        <v>3G</v>
      </c>
      <c r="BH71" s="22" t="str">
        <f t="shared" si="85"/>
        <v>3G</v>
      </c>
      <c r="BI71" s="22">
        <f t="shared" si="110"/>
        <v>4</v>
      </c>
      <c r="BJ71" s="22">
        <f t="shared" si="111"/>
        <v>0</v>
      </c>
      <c r="BK71" s="22">
        <f t="shared" si="112"/>
        <v>2</v>
      </c>
      <c r="BL71" s="22" t="str">
        <f t="shared" si="113"/>
        <v>402</v>
      </c>
      <c r="BO71" s="47" t="s">
        <v>618</v>
      </c>
      <c r="BP71" s="47">
        <f>SUM(BP64:BP70)</f>
        <v>721</v>
      </c>
      <c r="BQ71" s="63">
        <f>SUM(BQ64:BQ70)</f>
        <v>1</v>
      </c>
      <c r="BR71" s="22">
        <v>17</v>
      </c>
      <c r="BS71" s="47" t="s">
        <v>729</v>
      </c>
      <c r="BT71" s="47">
        <f t="shared" si="65"/>
        <v>4</v>
      </c>
      <c r="BU71" s="65">
        <f t="shared" si="66"/>
        <v>5.5478502080443829E-3</v>
      </c>
      <c r="CL71" s="23">
        <v>102</v>
      </c>
      <c r="CM71" s="23">
        <v>100</v>
      </c>
      <c r="CO71"/>
    </row>
    <row r="72" spans="2:93" ht="17">
      <c r="B72" s="15">
        <v>68</v>
      </c>
      <c r="C72" s="23" t="s">
        <v>98</v>
      </c>
      <c r="D72" s="16">
        <v>5</v>
      </c>
      <c r="E72" s="17">
        <v>2945882100</v>
      </c>
      <c r="F72" s="16">
        <v>20</v>
      </c>
      <c r="G72" s="17">
        <v>122745000</v>
      </c>
      <c r="H72" s="16">
        <v>754</v>
      </c>
      <c r="I72" s="17">
        <v>3255800</v>
      </c>
      <c r="J72" s="17">
        <v>43265</v>
      </c>
      <c r="K72" s="17">
        <v>113400</v>
      </c>
      <c r="L72" s="17">
        <v>735760</v>
      </c>
      <c r="M72" s="17">
        <v>10000</v>
      </c>
      <c r="N72" s="23">
        <v>10</v>
      </c>
      <c r="O72" s="23">
        <v>12</v>
      </c>
      <c r="P72" s="23">
        <v>15</v>
      </c>
      <c r="Q72" s="23">
        <v>16</v>
      </c>
      <c r="R72" s="23">
        <v>26</v>
      </c>
      <c r="S72" s="23">
        <v>39</v>
      </c>
      <c r="T72" s="23">
        <v>38</v>
      </c>
      <c r="U72" s="23">
        <f t="shared" si="86"/>
        <v>118</v>
      </c>
      <c r="W72" s="22" t="str">
        <f t="shared" si="69"/>
        <v>짝수</v>
      </c>
      <c r="X72" s="22" t="str">
        <f t="shared" si="70"/>
        <v>짝수</v>
      </c>
      <c r="Y72" s="22" t="str">
        <f t="shared" si="71"/>
        <v>홀수</v>
      </c>
      <c r="Z72" s="22" t="str">
        <f t="shared" si="72"/>
        <v>짝수</v>
      </c>
      <c r="AA72" s="22" t="str">
        <f t="shared" si="73"/>
        <v>짝수</v>
      </c>
      <c r="AB72" s="22" t="str">
        <f t="shared" si="74"/>
        <v>홀수</v>
      </c>
      <c r="AC72" s="52" t="str">
        <f t="shared" si="75"/>
        <v>2 : 4</v>
      </c>
      <c r="AD72" s="22">
        <f t="shared" si="76"/>
        <v>2</v>
      </c>
      <c r="AE72" s="22">
        <f t="shared" si="77"/>
        <v>4</v>
      </c>
      <c r="AF72" s="22" t="str">
        <f t="shared" si="87"/>
        <v>저수</v>
      </c>
      <c r="AG72" s="22" t="str">
        <f t="shared" si="88"/>
        <v>저수</v>
      </c>
      <c r="AH72" s="22" t="str">
        <f t="shared" si="89"/>
        <v>저수</v>
      </c>
      <c r="AI72" s="22" t="str">
        <f t="shared" si="90"/>
        <v>저수</v>
      </c>
      <c r="AJ72" s="22" t="str">
        <f t="shared" si="91"/>
        <v>고수</v>
      </c>
      <c r="AK72" s="22" t="str">
        <f t="shared" si="92"/>
        <v>고수</v>
      </c>
      <c r="AL72" s="52" t="str">
        <f t="shared" si="93"/>
        <v>4 : 2</v>
      </c>
      <c r="AM72" s="22">
        <f t="shared" si="94"/>
        <v>4</v>
      </c>
      <c r="AN72" s="22">
        <f t="shared" si="95"/>
        <v>2</v>
      </c>
      <c r="AO72" s="22">
        <f t="shared" si="96"/>
        <v>28</v>
      </c>
      <c r="AP72" s="22" t="str">
        <f t="shared" si="97"/>
        <v>X</v>
      </c>
      <c r="AQ72" s="22" t="str">
        <f t="shared" si="98"/>
        <v>X</v>
      </c>
      <c r="AR72" s="22" t="str">
        <f t="shared" si="99"/>
        <v>X</v>
      </c>
      <c r="AS72" s="22" t="str">
        <f t="shared" si="100"/>
        <v>X</v>
      </c>
      <c r="AT72" s="22" t="str">
        <f t="shared" si="101"/>
        <v>X</v>
      </c>
      <c r="AU72" s="22" t="str">
        <f t="shared" si="102"/>
        <v>X</v>
      </c>
      <c r="AV72" s="22" t="str">
        <f t="shared" si="103"/>
        <v>X</v>
      </c>
      <c r="AW72" s="22" t="str">
        <f t="shared" si="104"/>
        <v>X</v>
      </c>
      <c r="AX72" s="22" t="str">
        <f t="shared" si="105"/>
        <v>X</v>
      </c>
      <c r="AY72" s="22" t="str">
        <f t="shared" si="106"/>
        <v>X</v>
      </c>
      <c r="AZ72" s="22" t="str">
        <f t="shared" si="107"/>
        <v>X</v>
      </c>
      <c r="BA72" s="22" t="str">
        <f t="shared" si="108"/>
        <v>X</v>
      </c>
      <c r="BB72" s="22">
        <f t="shared" si="109"/>
        <v>0</v>
      </c>
      <c r="BC72" s="22" t="str">
        <f t="shared" si="80"/>
        <v>1G</v>
      </c>
      <c r="BD72" s="22" t="str">
        <f t="shared" si="81"/>
        <v>1G</v>
      </c>
      <c r="BE72" s="22" t="str">
        <f t="shared" si="82"/>
        <v>1G</v>
      </c>
      <c r="BF72" s="22" t="str">
        <f t="shared" si="83"/>
        <v>2G</v>
      </c>
      <c r="BG72" s="22" t="str">
        <f t="shared" si="84"/>
        <v>2G</v>
      </c>
      <c r="BH72" s="22" t="str">
        <f t="shared" si="85"/>
        <v>3G</v>
      </c>
      <c r="BI72" s="22">
        <f t="shared" si="110"/>
        <v>3</v>
      </c>
      <c r="BJ72" s="22">
        <f t="shared" si="111"/>
        <v>2</v>
      </c>
      <c r="BK72" s="22">
        <f t="shared" si="112"/>
        <v>1</v>
      </c>
      <c r="BL72" s="22" t="str">
        <f t="shared" si="113"/>
        <v>321</v>
      </c>
      <c r="BR72" s="22">
        <v>17</v>
      </c>
      <c r="BS72" s="47" t="s">
        <v>735</v>
      </c>
      <c r="BT72" s="47">
        <f t="shared" si="65"/>
        <v>5</v>
      </c>
      <c r="BU72" s="65">
        <f t="shared" si="66"/>
        <v>6.9348127600554789E-3</v>
      </c>
      <c r="CL72" s="23">
        <v>102</v>
      </c>
      <c r="CM72" s="23">
        <v>100</v>
      </c>
      <c r="CO72"/>
    </row>
    <row r="73" spans="2:93" ht="17">
      <c r="B73" s="15">
        <v>69</v>
      </c>
      <c r="C73" s="23" t="s">
        <v>99</v>
      </c>
      <c r="D73" s="16">
        <v>3</v>
      </c>
      <c r="E73" s="17">
        <v>4962712200</v>
      </c>
      <c r="F73" s="16">
        <v>20</v>
      </c>
      <c r="G73" s="17">
        <v>124067800</v>
      </c>
      <c r="H73" s="16">
        <v>766</v>
      </c>
      <c r="I73" s="17">
        <v>3239300</v>
      </c>
      <c r="J73" s="17">
        <v>41220</v>
      </c>
      <c r="K73" s="17">
        <v>120300</v>
      </c>
      <c r="L73" s="17">
        <v>704209</v>
      </c>
      <c r="M73" s="17">
        <v>10000</v>
      </c>
      <c r="N73" s="23">
        <v>5</v>
      </c>
      <c r="O73" s="23">
        <v>8</v>
      </c>
      <c r="P73" s="23">
        <v>14</v>
      </c>
      <c r="Q73" s="23">
        <v>15</v>
      </c>
      <c r="R73" s="23">
        <v>19</v>
      </c>
      <c r="S73" s="23">
        <v>39</v>
      </c>
      <c r="T73" s="23">
        <v>35</v>
      </c>
      <c r="U73" s="23">
        <f t="shared" si="86"/>
        <v>100</v>
      </c>
      <c r="W73" s="22" t="str">
        <f t="shared" si="69"/>
        <v>홀수</v>
      </c>
      <c r="X73" s="22" t="str">
        <f t="shared" si="70"/>
        <v>짝수</v>
      </c>
      <c r="Y73" s="22" t="str">
        <f t="shared" si="71"/>
        <v>짝수</v>
      </c>
      <c r="Z73" s="22" t="str">
        <f t="shared" si="72"/>
        <v>홀수</v>
      </c>
      <c r="AA73" s="22" t="str">
        <f t="shared" si="73"/>
        <v>홀수</v>
      </c>
      <c r="AB73" s="22" t="str">
        <f t="shared" si="74"/>
        <v>홀수</v>
      </c>
      <c r="AC73" s="52" t="str">
        <f t="shared" si="75"/>
        <v>4 : 2</v>
      </c>
      <c r="AD73" s="22">
        <f t="shared" si="76"/>
        <v>4</v>
      </c>
      <c r="AE73" s="22">
        <f t="shared" si="77"/>
        <v>2</v>
      </c>
      <c r="AF73" s="22" t="str">
        <f t="shared" si="87"/>
        <v>저수</v>
      </c>
      <c r="AG73" s="22" t="str">
        <f t="shared" si="88"/>
        <v>저수</v>
      </c>
      <c r="AH73" s="22" t="str">
        <f t="shared" si="89"/>
        <v>저수</v>
      </c>
      <c r="AI73" s="22" t="str">
        <f t="shared" si="90"/>
        <v>저수</v>
      </c>
      <c r="AJ73" s="22" t="str">
        <f t="shared" si="91"/>
        <v>저수</v>
      </c>
      <c r="AK73" s="22" t="str">
        <f t="shared" si="92"/>
        <v>고수</v>
      </c>
      <c r="AL73" s="52" t="str">
        <f t="shared" si="93"/>
        <v>5 : 1</v>
      </c>
      <c r="AM73" s="22">
        <f t="shared" si="94"/>
        <v>5</v>
      </c>
      <c r="AN73" s="22">
        <f t="shared" si="95"/>
        <v>1</v>
      </c>
      <c r="AO73" s="22">
        <f t="shared" si="96"/>
        <v>40</v>
      </c>
      <c r="AP73" s="22" t="str">
        <f t="shared" si="97"/>
        <v>O</v>
      </c>
      <c r="AQ73" s="22" t="str">
        <f t="shared" si="98"/>
        <v>X</v>
      </c>
      <c r="AR73" s="22" t="str">
        <f t="shared" si="99"/>
        <v>X</v>
      </c>
      <c r="AS73" s="22" t="str">
        <f t="shared" si="100"/>
        <v>X</v>
      </c>
      <c r="AT73" s="22" t="str">
        <f t="shared" si="101"/>
        <v>O</v>
      </c>
      <c r="AU73" s="22" t="str">
        <f t="shared" si="102"/>
        <v>X</v>
      </c>
      <c r="AV73" s="22" t="str">
        <f t="shared" si="103"/>
        <v>X</v>
      </c>
      <c r="AW73" s="22" t="str">
        <f t="shared" si="104"/>
        <v>X</v>
      </c>
      <c r="AX73" s="22" t="str">
        <f t="shared" si="105"/>
        <v>X</v>
      </c>
      <c r="AY73" s="22" t="str">
        <f t="shared" si="106"/>
        <v>X</v>
      </c>
      <c r="AZ73" s="22" t="str">
        <f t="shared" si="107"/>
        <v>X</v>
      </c>
      <c r="BA73" s="22" t="str">
        <f t="shared" si="108"/>
        <v>X</v>
      </c>
      <c r="BB73" s="22">
        <f t="shared" si="109"/>
        <v>2</v>
      </c>
      <c r="BC73" s="22" t="str">
        <f t="shared" si="80"/>
        <v>1G</v>
      </c>
      <c r="BD73" s="22" t="str">
        <f t="shared" si="81"/>
        <v>1G</v>
      </c>
      <c r="BE73" s="22" t="str">
        <f t="shared" si="82"/>
        <v>1G</v>
      </c>
      <c r="BF73" s="22" t="str">
        <f t="shared" si="83"/>
        <v>1G</v>
      </c>
      <c r="BG73" s="22" t="str">
        <f t="shared" si="84"/>
        <v>2G</v>
      </c>
      <c r="BH73" s="22" t="str">
        <f t="shared" si="85"/>
        <v>3G</v>
      </c>
      <c r="BI73" s="22">
        <f t="shared" si="110"/>
        <v>4</v>
      </c>
      <c r="BJ73" s="22">
        <f t="shared" si="111"/>
        <v>1</v>
      </c>
      <c r="BK73" s="22">
        <f t="shared" si="112"/>
        <v>1</v>
      </c>
      <c r="BL73" s="22" t="str">
        <f t="shared" si="113"/>
        <v>411</v>
      </c>
      <c r="BO73" s="236" t="s">
        <v>649</v>
      </c>
      <c r="BP73" s="236"/>
      <c r="BQ73" s="236"/>
      <c r="BR73" s="22">
        <v>18</v>
      </c>
      <c r="BS73" s="47" t="s">
        <v>734</v>
      </c>
      <c r="BT73" s="47">
        <f t="shared" si="65"/>
        <v>3</v>
      </c>
      <c r="BU73" s="65">
        <f t="shared" si="66"/>
        <v>4.160887656033287E-3</v>
      </c>
      <c r="CL73" s="23">
        <v>102</v>
      </c>
      <c r="CM73" s="23">
        <v>100</v>
      </c>
      <c r="CO73"/>
    </row>
    <row r="74" spans="2:93" ht="17">
      <c r="B74" s="15">
        <v>70</v>
      </c>
      <c r="C74" s="23" t="s">
        <v>100</v>
      </c>
      <c r="D74" s="16">
        <v>3</v>
      </c>
      <c r="E74" s="17">
        <v>5031277800</v>
      </c>
      <c r="F74" s="16">
        <v>14</v>
      </c>
      <c r="G74" s="17">
        <v>179688400</v>
      </c>
      <c r="H74" s="16">
        <v>717</v>
      </c>
      <c r="I74" s="17">
        <v>3508500</v>
      </c>
      <c r="J74" s="17">
        <v>36781</v>
      </c>
      <c r="K74" s="17">
        <v>136700</v>
      </c>
      <c r="L74" s="17">
        <v>645990</v>
      </c>
      <c r="M74" s="17">
        <v>10000</v>
      </c>
      <c r="N74" s="23">
        <v>5</v>
      </c>
      <c r="O74" s="23">
        <v>19</v>
      </c>
      <c r="P74" s="23">
        <v>22</v>
      </c>
      <c r="Q74" s="23">
        <v>25</v>
      </c>
      <c r="R74" s="23">
        <v>28</v>
      </c>
      <c r="S74" s="23">
        <v>43</v>
      </c>
      <c r="T74" s="23">
        <v>26</v>
      </c>
      <c r="U74" s="23">
        <f t="shared" si="86"/>
        <v>142</v>
      </c>
      <c r="W74" s="22" t="str">
        <f t="shared" si="69"/>
        <v>홀수</v>
      </c>
      <c r="X74" s="22" t="str">
        <f t="shared" si="70"/>
        <v>홀수</v>
      </c>
      <c r="Y74" s="22" t="str">
        <f t="shared" si="71"/>
        <v>짝수</v>
      </c>
      <c r="Z74" s="22" t="str">
        <f t="shared" si="72"/>
        <v>홀수</v>
      </c>
      <c r="AA74" s="22" t="str">
        <f t="shared" si="73"/>
        <v>짝수</v>
      </c>
      <c r="AB74" s="22" t="str">
        <f t="shared" si="74"/>
        <v>홀수</v>
      </c>
      <c r="AC74" s="52" t="str">
        <f t="shared" si="75"/>
        <v>4 : 2</v>
      </c>
      <c r="AD74" s="22">
        <f t="shared" si="76"/>
        <v>4</v>
      </c>
      <c r="AE74" s="22">
        <f t="shared" si="77"/>
        <v>2</v>
      </c>
      <c r="AF74" s="22" t="str">
        <f t="shared" si="87"/>
        <v>저수</v>
      </c>
      <c r="AG74" s="22" t="str">
        <f t="shared" si="88"/>
        <v>저수</v>
      </c>
      <c r="AH74" s="22" t="str">
        <f t="shared" si="89"/>
        <v>저수</v>
      </c>
      <c r="AI74" s="22" t="str">
        <f t="shared" si="90"/>
        <v>고수</v>
      </c>
      <c r="AJ74" s="22" t="str">
        <f t="shared" si="91"/>
        <v>고수</v>
      </c>
      <c r="AK74" s="22" t="str">
        <f t="shared" si="92"/>
        <v>고수</v>
      </c>
      <c r="AL74" s="52" t="str">
        <f t="shared" si="93"/>
        <v>3 : 3</v>
      </c>
      <c r="AM74" s="22">
        <f t="shared" si="94"/>
        <v>3</v>
      </c>
      <c r="AN74" s="22">
        <f t="shared" si="95"/>
        <v>3</v>
      </c>
      <c r="AO74" s="22">
        <f t="shared" si="96"/>
        <v>32</v>
      </c>
      <c r="AP74" s="22" t="str">
        <f t="shared" si="97"/>
        <v>O</v>
      </c>
      <c r="AQ74" s="22" t="str">
        <f t="shared" si="98"/>
        <v>O</v>
      </c>
      <c r="AR74" s="22" t="str">
        <f t="shared" si="99"/>
        <v>X</v>
      </c>
      <c r="AS74" s="22" t="str">
        <f t="shared" si="100"/>
        <v>X</v>
      </c>
      <c r="AT74" s="22" t="str">
        <f t="shared" si="101"/>
        <v>X</v>
      </c>
      <c r="AU74" s="22" t="str">
        <f t="shared" si="102"/>
        <v>X</v>
      </c>
      <c r="AV74" s="22" t="str">
        <f t="shared" si="103"/>
        <v>X</v>
      </c>
      <c r="AW74" s="22" t="str">
        <f t="shared" si="104"/>
        <v>X</v>
      </c>
      <c r="AX74" s="22" t="str">
        <f t="shared" si="105"/>
        <v>X</v>
      </c>
      <c r="AY74" s="22" t="str">
        <f t="shared" si="106"/>
        <v>X</v>
      </c>
      <c r="AZ74" s="22" t="str">
        <f t="shared" si="107"/>
        <v>X</v>
      </c>
      <c r="BA74" s="22" t="str">
        <f t="shared" si="108"/>
        <v>O</v>
      </c>
      <c r="BB74" s="22">
        <f t="shared" si="109"/>
        <v>3</v>
      </c>
      <c r="BC74" s="22" t="str">
        <f t="shared" si="80"/>
        <v>1G</v>
      </c>
      <c r="BD74" s="22" t="str">
        <f t="shared" si="81"/>
        <v>2G</v>
      </c>
      <c r="BE74" s="22" t="str">
        <f t="shared" si="82"/>
        <v>2G</v>
      </c>
      <c r="BF74" s="22" t="str">
        <f t="shared" si="83"/>
        <v>2G</v>
      </c>
      <c r="BG74" s="22" t="str">
        <f t="shared" si="84"/>
        <v>2G</v>
      </c>
      <c r="BH74" s="22" t="str">
        <f t="shared" si="85"/>
        <v>3G</v>
      </c>
      <c r="BI74" s="22">
        <f t="shared" si="110"/>
        <v>1</v>
      </c>
      <c r="BJ74" s="22">
        <f t="shared" si="111"/>
        <v>4</v>
      </c>
      <c r="BK74" s="22">
        <f t="shared" si="112"/>
        <v>1</v>
      </c>
      <c r="BL74" s="22" t="str">
        <f t="shared" si="113"/>
        <v>141</v>
      </c>
      <c r="BO74" s="47" t="s">
        <v>650</v>
      </c>
      <c r="BP74" s="47" t="s">
        <v>617</v>
      </c>
      <c r="BQ74" s="47" t="s">
        <v>616</v>
      </c>
      <c r="BR74" s="22">
        <v>18</v>
      </c>
      <c r="BS74" s="47" t="s">
        <v>737</v>
      </c>
      <c r="BT74" s="47">
        <f t="shared" si="65"/>
        <v>2</v>
      </c>
      <c r="BU74" s="65">
        <f t="shared" si="66"/>
        <v>2.7739251040221915E-3</v>
      </c>
      <c r="CL74" s="23">
        <v>102</v>
      </c>
      <c r="CM74" s="23">
        <v>100</v>
      </c>
      <c r="CO74"/>
    </row>
    <row r="75" spans="2:93" ht="17">
      <c r="B75" s="15">
        <v>71</v>
      </c>
      <c r="C75" s="23" t="s">
        <v>101</v>
      </c>
      <c r="D75" s="16">
        <v>0</v>
      </c>
      <c r="E75" s="16">
        <v>0</v>
      </c>
      <c r="F75" s="16">
        <v>28</v>
      </c>
      <c r="G75" s="17">
        <v>88745200</v>
      </c>
      <c r="H75" s="16">
        <v>782</v>
      </c>
      <c r="I75" s="17">
        <v>3177500</v>
      </c>
      <c r="J75" s="17">
        <v>39516</v>
      </c>
      <c r="K75" s="17">
        <v>125700</v>
      </c>
      <c r="L75" s="17">
        <v>659631</v>
      </c>
      <c r="M75" s="17">
        <v>10000</v>
      </c>
      <c r="N75" s="23">
        <v>5</v>
      </c>
      <c r="O75" s="23">
        <v>9</v>
      </c>
      <c r="P75" s="23">
        <v>12</v>
      </c>
      <c r="Q75" s="23">
        <v>16</v>
      </c>
      <c r="R75" s="23">
        <v>29</v>
      </c>
      <c r="S75" s="23">
        <v>41</v>
      </c>
      <c r="T75" s="23">
        <v>21</v>
      </c>
      <c r="U75" s="23">
        <f t="shared" si="86"/>
        <v>112</v>
      </c>
      <c r="W75" s="22" t="str">
        <f t="shared" si="69"/>
        <v>홀수</v>
      </c>
      <c r="X75" s="22" t="str">
        <f t="shared" si="70"/>
        <v>홀수</v>
      </c>
      <c r="Y75" s="22" t="str">
        <f t="shared" si="71"/>
        <v>짝수</v>
      </c>
      <c r="Z75" s="22" t="str">
        <f t="shared" si="72"/>
        <v>짝수</v>
      </c>
      <c r="AA75" s="22" t="str">
        <f t="shared" si="73"/>
        <v>홀수</v>
      </c>
      <c r="AB75" s="22" t="str">
        <f t="shared" si="74"/>
        <v>홀수</v>
      </c>
      <c r="AC75" s="52" t="str">
        <f t="shared" si="75"/>
        <v>4 : 2</v>
      </c>
      <c r="AD75" s="22">
        <f t="shared" si="76"/>
        <v>4</v>
      </c>
      <c r="AE75" s="22">
        <f t="shared" si="77"/>
        <v>2</v>
      </c>
      <c r="AF75" s="22" t="str">
        <f t="shared" si="87"/>
        <v>저수</v>
      </c>
      <c r="AG75" s="22" t="str">
        <f t="shared" si="88"/>
        <v>저수</v>
      </c>
      <c r="AH75" s="22" t="str">
        <f t="shared" si="89"/>
        <v>저수</v>
      </c>
      <c r="AI75" s="22" t="str">
        <f t="shared" si="90"/>
        <v>저수</v>
      </c>
      <c r="AJ75" s="22" t="str">
        <f t="shared" si="91"/>
        <v>고수</v>
      </c>
      <c r="AK75" s="22" t="str">
        <f t="shared" si="92"/>
        <v>고수</v>
      </c>
      <c r="AL75" s="52" t="str">
        <f t="shared" si="93"/>
        <v>4 : 2</v>
      </c>
      <c r="AM75" s="22">
        <f t="shared" si="94"/>
        <v>4</v>
      </c>
      <c r="AN75" s="22">
        <f t="shared" si="95"/>
        <v>2</v>
      </c>
      <c r="AO75" s="22">
        <f t="shared" si="96"/>
        <v>32</v>
      </c>
      <c r="AP75" s="22" t="str">
        <f t="shared" si="97"/>
        <v>O</v>
      </c>
      <c r="AQ75" s="22" t="str">
        <f t="shared" si="98"/>
        <v>X</v>
      </c>
      <c r="AR75" s="22" t="str">
        <f t="shared" si="99"/>
        <v>X</v>
      </c>
      <c r="AS75" s="22" t="str">
        <f t="shared" si="100"/>
        <v>X</v>
      </c>
      <c r="AT75" s="22" t="str">
        <f t="shared" si="101"/>
        <v>X</v>
      </c>
      <c r="AU75" s="22" t="str">
        <f t="shared" si="102"/>
        <v>X</v>
      </c>
      <c r="AV75" s="22" t="str">
        <f t="shared" si="103"/>
        <v>X</v>
      </c>
      <c r="AW75" s="22" t="str">
        <f t="shared" si="104"/>
        <v>X</v>
      </c>
      <c r="AX75" s="22" t="str">
        <f t="shared" si="105"/>
        <v>X</v>
      </c>
      <c r="AY75" s="22" t="str">
        <f t="shared" si="106"/>
        <v>X</v>
      </c>
      <c r="AZ75" s="22" t="str">
        <f t="shared" si="107"/>
        <v>O</v>
      </c>
      <c r="BA75" s="22" t="str">
        <f t="shared" si="108"/>
        <v>O</v>
      </c>
      <c r="BB75" s="22">
        <f t="shared" si="109"/>
        <v>3</v>
      </c>
      <c r="BC75" s="22" t="str">
        <f t="shared" si="80"/>
        <v>1G</v>
      </c>
      <c r="BD75" s="22" t="str">
        <f t="shared" si="81"/>
        <v>1G</v>
      </c>
      <c r="BE75" s="22" t="str">
        <f t="shared" si="82"/>
        <v>1G</v>
      </c>
      <c r="BF75" s="22" t="str">
        <f t="shared" si="83"/>
        <v>2G</v>
      </c>
      <c r="BG75" s="22" t="str">
        <f t="shared" si="84"/>
        <v>2G</v>
      </c>
      <c r="BH75" s="22" t="str">
        <f t="shared" si="85"/>
        <v>3G</v>
      </c>
      <c r="BI75" s="22">
        <f t="shared" si="110"/>
        <v>3</v>
      </c>
      <c r="BJ75" s="22">
        <f t="shared" si="111"/>
        <v>2</v>
      </c>
      <c r="BK75" s="22">
        <f t="shared" si="112"/>
        <v>1</v>
      </c>
      <c r="BL75" s="22" t="str">
        <f t="shared" si="113"/>
        <v>321</v>
      </c>
      <c r="BO75" s="47">
        <v>0</v>
      </c>
      <c r="BP75" s="68">
        <f t="shared" ref="BP75:BP80" si="114">COUNTIF($BB$5:$BB$1000,BO75)</f>
        <v>59</v>
      </c>
      <c r="BQ75" s="69">
        <f t="shared" ref="BQ75:BQ80" si="115">BP75/$BP$81</f>
        <v>8.1830790568654652E-2</v>
      </c>
      <c r="BR75" s="22">
        <v>19</v>
      </c>
      <c r="BS75" s="47" t="s">
        <v>728</v>
      </c>
      <c r="BT75" s="47">
        <f t="shared" si="65"/>
        <v>2</v>
      </c>
      <c r="BU75" s="65">
        <f t="shared" si="66"/>
        <v>2.7739251040221915E-3</v>
      </c>
      <c r="CL75" s="23">
        <v>103</v>
      </c>
      <c r="CM75" s="23">
        <v>100</v>
      </c>
      <c r="CO75"/>
    </row>
    <row r="76" spans="2:93" ht="17">
      <c r="B76" s="15">
        <v>72</v>
      </c>
      <c r="C76" s="23" t="s">
        <v>102</v>
      </c>
      <c r="D76" s="16">
        <v>13</v>
      </c>
      <c r="E76" s="17">
        <v>3260524600</v>
      </c>
      <c r="F76" s="16">
        <v>44</v>
      </c>
      <c r="G76" s="17">
        <v>104081800</v>
      </c>
      <c r="H76" s="17">
        <v>2510</v>
      </c>
      <c r="I76" s="17">
        <v>1824500</v>
      </c>
      <c r="J76" s="17">
        <v>113994</v>
      </c>
      <c r="K76" s="17">
        <v>80300</v>
      </c>
      <c r="L76" s="17">
        <v>1702959</v>
      </c>
      <c r="M76" s="17">
        <v>10000</v>
      </c>
      <c r="N76" s="23">
        <v>2</v>
      </c>
      <c r="O76" s="23">
        <v>4</v>
      </c>
      <c r="P76" s="23">
        <v>11</v>
      </c>
      <c r="Q76" s="23">
        <v>17</v>
      </c>
      <c r="R76" s="23">
        <v>26</v>
      </c>
      <c r="S76" s="23">
        <v>27</v>
      </c>
      <c r="T76" s="23">
        <v>1</v>
      </c>
      <c r="U76" s="23">
        <f t="shared" si="86"/>
        <v>87</v>
      </c>
      <c r="W76" s="22" t="str">
        <f t="shared" si="69"/>
        <v>짝수</v>
      </c>
      <c r="X76" s="22" t="str">
        <f t="shared" si="70"/>
        <v>짝수</v>
      </c>
      <c r="Y76" s="22" t="str">
        <f t="shared" si="71"/>
        <v>홀수</v>
      </c>
      <c r="Z76" s="22" t="str">
        <f t="shared" si="72"/>
        <v>홀수</v>
      </c>
      <c r="AA76" s="22" t="str">
        <f t="shared" si="73"/>
        <v>짝수</v>
      </c>
      <c r="AB76" s="22" t="str">
        <f t="shared" si="74"/>
        <v>홀수</v>
      </c>
      <c r="AC76" s="52" t="str">
        <f t="shared" si="75"/>
        <v>3 : 3</v>
      </c>
      <c r="AD76" s="22">
        <f t="shared" si="76"/>
        <v>3</v>
      </c>
      <c r="AE76" s="22">
        <f t="shared" si="77"/>
        <v>3</v>
      </c>
      <c r="AF76" s="22" t="str">
        <f t="shared" si="87"/>
        <v>저수</v>
      </c>
      <c r="AG76" s="22" t="str">
        <f t="shared" si="88"/>
        <v>저수</v>
      </c>
      <c r="AH76" s="22" t="str">
        <f t="shared" si="89"/>
        <v>저수</v>
      </c>
      <c r="AI76" s="22" t="str">
        <f t="shared" si="90"/>
        <v>저수</v>
      </c>
      <c r="AJ76" s="22" t="str">
        <f t="shared" si="91"/>
        <v>고수</v>
      </c>
      <c r="AK76" s="22" t="str">
        <f t="shared" si="92"/>
        <v>고수</v>
      </c>
      <c r="AL76" s="52" t="str">
        <f t="shared" si="93"/>
        <v>4 : 2</v>
      </c>
      <c r="AM76" s="22">
        <f t="shared" si="94"/>
        <v>4</v>
      </c>
      <c r="AN76" s="22">
        <f t="shared" si="95"/>
        <v>2</v>
      </c>
      <c r="AO76" s="22">
        <f t="shared" si="96"/>
        <v>27</v>
      </c>
      <c r="AP76" s="22" t="str">
        <f t="shared" si="97"/>
        <v>O</v>
      </c>
      <c r="AQ76" s="22" t="str">
        <f t="shared" si="98"/>
        <v>X</v>
      </c>
      <c r="AR76" s="22" t="str">
        <f t="shared" si="99"/>
        <v>O</v>
      </c>
      <c r="AS76" s="22" t="str">
        <f t="shared" si="100"/>
        <v>O</v>
      </c>
      <c r="AT76" s="22" t="str">
        <f t="shared" si="101"/>
        <v>X</v>
      </c>
      <c r="AU76" s="22" t="str">
        <f t="shared" si="102"/>
        <v>X</v>
      </c>
      <c r="AV76" s="22" t="str">
        <f t="shared" si="103"/>
        <v>X</v>
      </c>
      <c r="AW76" s="22" t="str">
        <f t="shared" si="104"/>
        <v>X</v>
      </c>
      <c r="AX76" s="22" t="str">
        <f t="shared" si="105"/>
        <v>X</v>
      </c>
      <c r="AY76" s="22" t="str">
        <f t="shared" si="106"/>
        <v>X</v>
      </c>
      <c r="AZ76" s="22" t="str">
        <f t="shared" si="107"/>
        <v>X</v>
      </c>
      <c r="BA76" s="22" t="str">
        <f t="shared" si="108"/>
        <v>X</v>
      </c>
      <c r="BB76" s="22">
        <f t="shared" si="109"/>
        <v>3</v>
      </c>
      <c r="BC76" s="22" t="str">
        <f t="shared" si="80"/>
        <v>1G</v>
      </c>
      <c r="BD76" s="22" t="str">
        <f t="shared" si="81"/>
        <v>1G</v>
      </c>
      <c r="BE76" s="22" t="str">
        <f t="shared" si="82"/>
        <v>1G</v>
      </c>
      <c r="BF76" s="22" t="str">
        <f t="shared" si="83"/>
        <v>2G</v>
      </c>
      <c r="BG76" s="22" t="str">
        <f t="shared" si="84"/>
        <v>2G</v>
      </c>
      <c r="BH76" s="22" t="str">
        <f t="shared" si="85"/>
        <v>2G</v>
      </c>
      <c r="BI76" s="22">
        <f t="shared" si="110"/>
        <v>3</v>
      </c>
      <c r="BJ76" s="22">
        <f t="shared" si="111"/>
        <v>3</v>
      </c>
      <c r="BK76" s="22">
        <f t="shared" si="112"/>
        <v>0</v>
      </c>
      <c r="BL76" s="22" t="str">
        <f t="shared" si="113"/>
        <v>330</v>
      </c>
      <c r="BO76" s="70">
        <v>1</v>
      </c>
      <c r="BP76" s="71">
        <f t="shared" si="114"/>
        <v>206</v>
      </c>
      <c r="BQ76" s="72">
        <f t="shared" si="115"/>
        <v>0.2857142857142857</v>
      </c>
      <c r="BR76" s="22">
        <v>19</v>
      </c>
      <c r="BS76" s="47" t="s">
        <v>738</v>
      </c>
      <c r="BT76" s="47">
        <f t="shared" si="65"/>
        <v>1</v>
      </c>
      <c r="BU76" s="65">
        <f t="shared" si="66"/>
        <v>1.3869625520110957E-3</v>
      </c>
      <c r="CL76" s="23">
        <v>103</v>
      </c>
      <c r="CM76" s="23">
        <v>100</v>
      </c>
      <c r="CO76"/>
    </row>
    <row r="77" spans="2:93" ht="17">
      <c r="B77" s="15">
        <v>73</v>
      </c>
      <c r="C77" s="23" t="s">
        <v>103</v>
      </c>
      <c r="D77" s="16">
        <v>6</v>
      </c>
      <c r="E77" s="17">
        <v>2766662100</v>
      </c>
      <c r="F77" s="16">
        <v>26</v>
      </c>
      <c r="G77" s="17">
        <v>106410000</v>
      </c>
      <c r="H77" s="17">
        <v>1363</v>
      </c>
      <c r="I77" s="17">
        <v>2029800</v>
      </c>
      <c r="J77" s="17">
        <v>55608</v>
      </c>
      <c r="K77" s="17">
        <v>99500</v>
      </c>
      <c r="L77" s="17">
        <v>865131</v>
      </c>
      <c r="M77" s="17">
        <v>10000</v>
      </c>
      <c r="N77" s="23">
        <v>3</v>
      </c>
      <c r="O77" s="23">
        <v>12</v>
      </c>
      <c r="P77" s="23">
        <v>18</v>
      </c>
      <c r="Q77" s="23">
        <v>32</v>
      </c>
      <c r="R77" s="23">
        <v>40</v>
      </c>
      <c r="S77" s="23">
        <v>43</v>
      </c>
      <c r="T77" s="23">
        <v>38</v>
      </c>
      <c r="U77" s="23">
        <f t="shared" si="86"/>
        <v>148</v>
      </c>
      <c r="W77" s="22" t="str">
        <f t="shared" si="69"/>
        <v>홀수</v>
      </c>
      <c r="X77" s="22" t="str">
        <f t="shared" si="70"/>
        <v>짝수</v>
      </c>
      <c r="Y77" s="22" t="str">
        <f t="shared" si="71"/>
        <v>짝수</v>
      </c>
      <c r="Z77" s="22" t="str">
        <f t="shared" si="72"/>
        <v>짝수</v>
      </c>
      <c r="AA77" s="22" t="str">
        <f t="shared" si="73"/>
        <v>짝수</v>
      </c>
      <c r="AB77" s="22" t="str">
        <f t="shared" si="74"/>
        <v>홀수</v>
      </c>
      <c r="AC77" s="52" t="str">
        <f t="shared" si="75"/>
        <v>2 : 4</v>
      </c>
      <c r="AD77" s="22">
        <f t="shared" si="76"/>
        <v>2</v>
      </c>
      <c r="AE77" s="22">
        <f t="shared" si="77"/>
        <v>4</v>
      </c>
      <c r="AF77" s="22" t="str">
        <f t="shared" si="87"/>
        <v>저수</v>
      </c>
      <c r="AG77" s="22" t="str">
        <f t="shared" si="88"/>
        <v>저수</v>
      </c>
      <c r="AH77" s="22" t="str">
        <f t="shared" si="89"/>
        <v>저수</v>
      </c>
      <c r="AI77" s="22" t="str">
        <f t="shared" si="90"/>
        <v>고수</v>
      </c>
      <c r="AJ77" s="22" t="str">
        <f t="shared" si="91"/>
        <v>고수</v>
      </c>
      <c r="AK77" s="22" t="str">
        <f t="shared" si="92"/>
        <v>고수</v>
      </c>
      <c r="AL77" s="52" t="str">
        <f t="shared" si="93"/>
        <v>3 : 3</v>
      </c>
      <c r="AM77" s="22">
        <f t="shared" si="94"/>
        <v>3</v>
      </c>
      <c r="AN77" s="22">
        <f t="shared" si="95"/>
        <v>3</v>
      </c>
      <c r="AO77" s="22">
        <f t="shared" si="96"/>
        <v>18</v>
      </c>
      <c r="AP77" s="22" t="str">
        <f t="shared" si="97"/>
        <v>O</v>
      </c>
      <c r="AQ77" s="22" t="str">
        <f t="shared" si="98"/>
        <v>X</v>
      </c>
      <c r="AR77" s="22" t="str">
        <f t="shared" si="99"/>
        <v>X</v>
      </c>
      <c r="AS77" s="22" t="str">
        <f t="shared" si="100"/>
        <v>X</v>
      </c>
      <c r="AT77" s="22" t="str">
        <f t="shared" si="101"/>
        <v>X</v>
      </c>
      <c r="AU77" s="22" t="str">
        <f t="shared" si="102"/>
        <v>X</v>
      </c>
      <c r="AV77" s="22" t="str">
        <f t="shared" si="103"/>
        <v>X</v>
      </c>
      <c r="AW77" s="22" t="str">
        <f t="shared" si="104"/>
        <v>X</v>
      </c>
      <c r="AX77" s="22" t="str">
        <f t="shared" si="105"/>
        <v>X</v>
      </c>
      <c r="AY77" s="22" t="str">
        <f t="shared" si="106"/>
        <v>X</v>
      </c>
      <c r="AZ77" s="22" t="str">
        <f t="shared" si="107"/>
        <v>X</v>
      </c>
      <c r="BA77" s="22" t="str">
        <f t="shared" si="108"/>
        <v>O</v>
      </c>
      <c r="BB77" s="22">
        <f t="shared" si="109"/>
        <v>2</v>
      </c>
      <c r="BC77" s="22" t="str">
        <f t="shared" si="80"/>
        <v>1G</v>
      </c>
      <c r="BD77" s="22" t="str">
        <f t="shared" si="81"/>
        <v>1G</v>
      </c>
      <c r="BE77" s="22" t="str">
        <f t="shared" si="82"/>
        <v>2G</v>
      </c>
      <c r="BF77" s="22" t="str">
        <f t="shared" si="83"/>
        <v>3G</v>
      </c>
      <c r="BG77" s="22" t="str">
        <f t="shared" si="84"/>
        <v>3G</v>
      </c>
      <c r="BH77" s="22" t="str">
        <f t="shared" si="85"/>
        <v>3G</v>
      </c>
      <c r="BI77" s="22">
        <f t="shared" si="110"/>
        <v>2</v>
      </c>
      <c r="BJ77" s="22">
        <f t="shared" si="111"/>
        <v>1</v>
      </c>
      <c r="BK77" s="22">
        <f t="shared" si="112"/>
        <v>3</v>
      </c>
      <c r="BL77" s="22" t="str">
        <f t="shared" si="113"/>
        <v>213</v>
      </c>
      <c r="BO77" s="70">
        <v>2</v>
      </c>
      <c r="BP77" s="71">
        <f t="shared" si="114"/>
        <v>263</v>
      </c>
      <c r="BQ77" s="72">
        <f t="shared" si="115"/>
        <v>0.36477115117891817</v>
      </c>
      <c r="BR77" s="22">
        <v>19</v>
      </c>
      <c r="BS77" s="47" t="s">
        <v>733</v>
      </c>
      <c r="BT77" s="47">
        <f t="shared" si="65"/>
        <v>1</v>
      </c>
      <c r="BU77" s="65">
        <f t="shared" si="66"/>
        <v>1.3869625520110957E-3</v>
      </c>
      <c r="CL77" s="23">
        <v>104</v>
      </c>
      <c r="CM77" s="23">
        <v>100</v>
      </c>
      <c r="CO77"/>
    </row>
    <row r="78" spans="2:93" ht="17">
      <c r="B78" s="15">
        <v>74</v>
      </c>
      <c r="C78" s="23" t="s">
        <v>104</v>
      </c>
      <c r="D78" s="16">
        <v>3</v>
      </c>
      <c r="E78" s="17">
        <v>5284949800</v>
      </c>
      <c r="F78" s="16">
        <v>40</v>
      </c>
      <c r="G78" s="17">
        <v>66061800</v>
      </c>
      <c r="H78" s="17">
        <v>1021</v>
      </c>
      <c r="I78" s="17">
        <v>2588100</v>
      </c>
      <c r="J78" s="17">
        <v>48438</v>
      </c>
      <c r="K78" s="17">
        <v>109100</v>
      </c>
      <c r="L78" s="17">
        <v>802633</v>
      </c>
      <c r="M78" s="17">
        <v>10000</v>
      </c>
      <c r="N78" s="23">
        <v>6</v>
      </c>
      <c r="O78" s="23">
        <v>15</v>
      </c>
      <c r="P78" s="23">
        <v>17</v>
      </c>
      <c r="Q78" s="23">
        <v>18</v>
      </c>
      <c r="R78" s="23">
        <v>35</v>
      </c>
      <c r="S78" s="23">
        <v>40</v>
      </c>
      <c r="T78" s="23">
        <v>23</v>
      </c>
      <c r="U78" s="23">
        <f t="shared" si="86"/>
        <v>131</v>
      </c>
      <c r="W78" s="22" t="str">
        <f t="shared" si="69"/>
        <v>짝수</v>
      </c>
      <c r="X78" s="22" t="str">
        <f t="shared" si="70"/>
        <v>홀수</v>
      </c>
      <c r="Y78" s="22" t="str">
        <f t="shared" si="71"/>
        <v>홀수</v>
      </c>
      <c r="Z78" s="22" t="str">
        <f t="shared" si="72"/>
        <v>짝수</v>
      </c>
      <c r="AA78" s="22" t="str">
        <f t="shared" si="73"/>
        <v>홀수</v>
      </c>
      <c r="AB78" s="22" t="str">
        <f t="shared" si="74"/>
        <v>짝수</v>
      </c>
      <c r="AC78" s="52" t="str">
        <f t="shared" si="75"/>
        <v>3 : 3</v>
      </c>
      <c r="AD78" s="22">
        <f t="shared" si="76"/>
        <v>3</v>
      </c>
      <c r="AE78" s="22">
        <f t="shared" si="77"/>
        <v>3</v>
      </c>
      <c r="AF78" s="22" t="str">
        <f t="shared" si="87"/>
        <v>저수</v>
      </c>
      <c r="AG78" s="22" t="str">
        <f t="shared" si="88"/>
        <v>저수</v>
      </c>
      <c r="AH78" s="22" t="str">
        <f t="shared" si="89"/>
        <v>저수</v>
      </c>
      <c r="AI78" s="22" t="str">
        <f t="shared" si="90"/>
        <v>저수</v>
      </c>
      <c r="AJ78" s="22" t="str">
        <f t="shared" si="91"/>
        <v>고수</v>
      </c>
      <c r="AK78" s="22" t="str">
        <f t="shared" si="92"/>
        <v>고수</v>
      </c>
      <c r="AL78" s="52" t="str">
        <f t="shared" si="93"/>
        <v>4 : 2</v>
      </c>
      <c r="AM78" s="22">
        <f t="shared" si="94"/>
        <v>4</v>
      </c>
      <c r="AN78" s="22">
        <f t="shared" si="95"/>
        <v>2</v>
      </c>
      <c r="AO78" s="22">
        <f t="shared" si="96"/>
        <v>31</v>
      </c>
      <c r="AP78" s="22" t="str">
        <f t="shared" si="97"/>
        <v>X</v>
      </c>
      <c r="AQ78" s="22" t="str">
        <f t="shared" si="98"/>
        <v>X</v>
      </c>
      <c r="AR78" s="22" t="str">
        <f t="shared" si="99"/>
        <v>O</v>
      </c>
      <c r="AS78" s="22" t="str">
        <f t="shared" si="100"/>
        <v>X</v>
      </c>
      <c r="AT78" s="22" t="str">
        <f t="shared" si="101"/>
        <v>X</v>
      </c>
      <c r="AU78" s="22" t="str">
        <f t="shared" si="102"/>
        <v>X</v>
      </c>
      <c r="AV78" s="22" t="str">
        <f t="shared" si="103"/>
        <v>X</v>
      </c>
      <c r="AW78" s="22" t="str">
        <f t="shared" si="104"/>
        <v>X</v>
      </c>
      <c r="AX78" s="22" t="str">
        <f t="shared" si="105"/>
        <v>X</v>
      </c>
      <c r="AY78" s="22" t="str">
        <f t="shared" si="106"/>
        <v>X</v>
      </c>
      <c r="AZ78" s="22" t="str">
        <f t="shared" si="107"/>
        <v>X</v>
      </c>
      <c r="BA78" s="22" t="str">
        <f t="shared" si="108"/>
        <v>X</v>
      </c>
      <c r="BB78" s="22">
        <f t="shared" si="109"/>
        <v>1</v>
      </c>
      <c r="BC78" s="22" t="str">
        <f t="shared" si="80"/>
        <v>1G</v>
      </c>
      <c r="BD78" s="22" t="str">
        <f t="shared" si="81"/>
        <v>1G</v>
      </c>
      <c r="BE78" s="22" t="str">
        <f t="shared" si="82"/>
        <v>2G</v>
      </c>
      <c r="BF78" s="22" t="str">
        <f t="shared" si="83"/>
        <v>2G</v>
      </c>
      <c r="BG78" s="22" t="str">
        <f t="shared" si="84"/>
        <v>3G</v>
      </c>
      <c r="BH78" s="22" t="str">
        <f t="shared" si="85"/>
        <v>3G</v>
      </c>
      <c r="BI78" s="22">
        <f t="shared" si="110"/>
        <v>2</v>
      </c>
      <c r="BJ78" s="22">
        <f t="shared" si="111"/>
        <v>2</v>
      </c>
      <c r="BK78" s="22">
        <f t="shared" si="112"/>
        <v>2</v>
      </c>
      <c r="BL78" s="22" t="str">
        <f t="shared" si="113"/>
        <v>222</v>
      </c>
      <c r="BO78" s="47">
        <v>3</v>
      </c>
      <c r="BP78" s="68">
        <f t="shared" si="114"/>
        <v>155</v>
      </c>
      <c r="BQ78" s="69">
        <f t="shared" si="115"/>
        <v>0.21497919556171982</v>
      </c>
      <c r="BR78" s="22">
        <v>19</v>
      </c>
      <c r="BS78" s="47" t="s">
        <v>739</v>
      </c>
      <c r="BT78" s="47">
        <f t="shared" si="65"/>
        <v>3</v>
      </c>
      <c r="BU78" s="65">
        <f t="shared" si="66"/>
        <v>4.160887656033287E-3</v>
      </c>
      <c r="CL78" s="23">
        <v>104</v>
      </c>
      <c r="CM78" s="23">
        <v>100</v>
      </c>
      <c r="CO78"/>
    </row>
    <row r="79" spans="2:93" ht="17">
      <c r="B79" s="15">
        <v>75</v>
      </c>
      <c r="C79" s="23" t="s">
        <v>105</v>
      </c>
      <c r="D79" s="16">
        <v>4</v>
      </c>
      <c r="E79" s="17">
        <v>3914616900</v>
      </c>
      <c r="F79" s="16">
        <v>19</v>
      </c>
      <c r="G79" s="17">
        <v>137354900</v>
      </c>
      <c r="H79" s="16">
        <v>817</v>
      </c>
      <c r="I79" s="17">
        <v>3194300</v>
      </c>
      <c r="J79" s="17">
        <v>40782</v>
      </c>
      <c r="K79" s="17">
        <v>127900</v>
      </c>
      <c r="L79" s="17">
        <v>697174</v>
      </c>
      <c r="M79" s="17">
        <v>10000</v>
      </c>
      <c r="N79" s="23">
        <v>2</v>
      </c>
      <c r="O79" s="23">
        <v>5</v>
      </c>
      <c r="P79" s="23">
        <v>24</v>
      </c>
      <c r="Q79" s="23">
        <v>32</v>
      </c>
      <c r="R79" s="23">
        <v>34</v>
      </c>
      <c r="S79" s="23">
        <v>44</v>
      </c>
      <c r="T79" s="23">
        <v>28</v>
      </c>
      <c r="U79" s="23">
        <f t="shared" si="86"/>
        <v>141</v>
      </c>
      <c r="W79" s="22" t="str">
        <f t="shared" si="69"/>
        <v>짝수</v>
      </c>
      <c r="X79" s="22" t="str">
        <f t="shared" si="70"/>
        <v>홀수</v>
      </c>
      <c r="Y79" s="22" t="str">
        <f t="shared" si="71"/>
        <v>짝수</v>
      </c>
      <c r="Z79" s="22" t="str">
        <f t="shared" si="72"/>
        <v>짝수</v>
      </c>
      <c r="AA79" s="22" t="str">
        <f t="shared" si="73"/>
        <v>짝수</v>
      </c>
      <c r="AB79" s="22" t="str">
        <f t="shared" si="74"/>
        <v>짝수</v>
      </c>
      <c r="AC79" s="52" t="str">
        <f t="shared" si="75"/>
        <v>1 : 5</v>
      </c>
      <c r="AD79" s="22">
        <f t="shared" si="76"/>
        <v>1</v>
      </c>
      <c r="AE79" s="22">
        <f t="shared" si="77"/>
        <v>5</v>
      </c>
      <c r="AF79" s="22" t="str">
        <f t="shared" si="87"/>
        <v>저수</v>
      </c>
      <c r="AG79" s="22" t="str">
        <f t="shared" si="88"/>
        <v>저수</v>
      </c>
      <c r="AH79" s="22" t="str">
        <f t="shared" si="89"/>
        <v>고수</v>
      </c>
      <c r="AI79" s="22" t="str">
        <f t="shared" si="90"/>
        <v>고수</v>
      </c>
      <c r="AJ79" s="22" t="str">
        <f t="shared" si="91"/>
        <v>고수</v>
      </c>
      <c r="AK79" s="22" t="str">
        <f t="shared" si="92"/>
        <v>고수</v>
      </c>
      <c r="AL79" s="52" t="str">
        <f t="shared" si="93"/>
        <v>2 : 4</v>
      </c>
      <c r="AM79" s="22">
        <f t="shared" si="94"/>
        <v>2</v>
      </c>
      <c r="AN79" s="22">
        <f t="shared" si="95"/>
        <v>4</v>
      </c>
      <c r="AO79" s="22">
        <f t="shared" si="96"/>
        <v>21</v>
      </c>
      <c r="AP79" s="22" t="str">
        <f t="shared" si="97"/>
        <v>O</v>
      </c>
      <c r="AQ79" s="22" t="str">
        <f t="shared" si="98"/>
        <v>O</v>
      </c>
      <c r="AR79" s="22" t="str">
        <f t="shared" si="99"/>
        <v>X</v>
      </c>
      <c r="AS79" s="22" t="str">
        <f t="shared" si="100"/>
        <v>X</v>
      </c>
      <c r="AT79" s="22" t="str">
        <f t="shared" si="101"/>
        <v>X</v>
      </c>
      <c r="AU79" s="22" t="str">
        <f t="shared" si="102"/>
        <v>X</v>
      </c>
      <c r="AV79" s="22" t="str">
        <f t="shared" si="103"/>
        <v>X</v>
      </c>
      <c r="AW79" s="22" t="str">
        <f t="shared" si="104"/>
        <v>X</v>
      </c>
      <c r="AX79" s="22" t="str">
        <f t="shared" si="105"/>
        <v>X</v>
      </c>
      <c r="AY79" s="22" t="str">
        <f t="shared" si="106"/>
        <v>X</v>
      </c>
      <c r="AZ79" s="22" t="str">
        <f t="shared" si="107"/>
        <v>X</v>
      </c>
      <c r="BA79" s="22" t="str">
        <f t="shared" si="108"/>
        <v>X</v>
      </c>
      <c r="BB79" s="22">
        <f t="shared" si="109"/>
        <v>2</v>
      </c>
      <c r="BC79" s="22" t="str">
        <f t="shared" si="80"/>
        <v>1G</v>
      </c>
      <c r="BD79" s="22" t="str">
        <f t="shared" si="81"/>
        <v>1G</v>
      </c>
      <c r="BE79" s="22" t="str">
        <f t="shared" si="82"/>
        <v>2G</v>
      </c>
      <c r="BF79" s="22" t="str">
        <f t="shared" si="83"/>
        <v>3G</v>
      </c>
      <c r="BG79" s="22" t="str">
        <f t="shared" si="84"/>
        <v>3G</v>
      </c>
      <c r="BH79" s="22" t="str">
        <f t="shared" si="85"/>
        <v>3G</v>
      </c>
      <c r="BI79" s="22">
        <f t="shared" si="110"/>
        <v>2</v>
      </c>
      <c r="BJ79" s="22">
        <f t="shared" si="111"/>
        <v>1</v>
      </c>
      <c r="BK79" s="22">
        <f t="shared" si="112"/>
        <v>3</v>
      </c>
      <c r="BL79" s="22" t="str">
        <f t="shared" si="113"/>
        <v>213</v>
      </c>
      <c r="BO79" s="47">
        <v>4</v>
      </c>
      <c r="BP79" s="68">
        <f t="shared" si="114"/>
        <v>33</v>
      </c>
      <c r="BQ79" s="69">
        <f t="shared" si="115"/>
        <v>4.5769764216366159E-2</v>
      </c>
      <c r="BS79" s="47" t="s">
        <v>740</v>
      </c>
      <c r="BT79" s="47">
        <f>SUM(BT52:BT78)</f>
        <v>721</v>
      </c>
      <c r="BU79" s="65">
        <f t="shared" si="66"/>
        <v>1</v>
      </c>
      <c r="CL79" s="23">
        <v>104</v>
      </c>
      <c r="CM79" s="23">
        <v>100</v>
      </c>
      <c r="CO79"/>
    </row>
    <row r="80" spans="2:93" ht="17">
      <c r="B80" s="15">
        <v>76</v>
      </c>
      <c r="C80" s="23" t="s">
        <v>106</v>
      </c>
      <c r="D80" s="16">
        <v>2</v>
      </c>
      <c r="E80" s="17">
        <v>7451022600</v>
      </c>
      <c r="F80" s="16">
        <v>17</v>
      </c>
      <c r="G80" s="17">
        <v>146098400</v>
      </c>
      <c r="H80" s="16">
        <v>840</v>
      </c>
      <c r="I80" s="17">
        <v>2956700</v>
      </c>
      <c r="J80" s="17">
        <v>44504</v>
      </c>
      <c r="K80" s="17">
        <v>111600</v>
      </c>
      <c r="L80" s="17">
        <v>770522</v>
      </c>
      <c r="M80" s="17">
        <v>10000</v>
      </c>
      <c r="N80" s="23">
        <v>1</v>
      </c>
      <c r="O80" s="23">
        <v>3</v>
      </c>
      <c r="P80" s="23">
        <v>15</v>
      </c>
      <c r="Q80" s="23">
        <v>22</v>
      </c>
      <c r="R80" s="23">
        <v>25</v>
      </c>
      <c r="S80" s="23">
        <v>37</v>
      </c>
      <c r="T80" s="23">
        <v>43</v>
      </c>
      <c r="U80" s="23">
        <f t="shared" si="86"/>
        <v>103</v>
      </c>
      <c r="W80" s="22" t="str">
        <f t="shared" si="69"/>
        <v>홀수</v>
      </c>
      <c r="X80" s="22" t="str">
        <f t="shared" si="70"/>
        <v>홀수</v>
      </c>
      <c r="Y80" s="22" t="str">
        <f t="shared" si="71"/>
        <v>홀수</v>
      </c>
      <c r="Z80" s="22" t="str">
        <f t="shared" si="72"/>
        <v>짝수</v>
      </c>
      <c r="AA80" s="22" t="str">
        <f t="shared" si="73"/>
        <v>홀수</v>
      </c>
      <c r="AB80" s="22" t="str">
        <f t="shared" si="74"/>
        <v>홀수</v>
      </c>
      <c r="AC80" s="52" t="str">
        <f t="shared" si="75"/>
        <v>5 : 1</v>
      </c>
      <c r="AD80" s="22">
        <f t="shared" si="76"/>
        <v>5</v>
      </c>
      <c r="AE80" s="22">
        <f t="shared" si="77"/>
        <v>1</v>
      </c>
      <c r="AF80" s="22" t="str">
        <f t="shared" si="87"/>
        <v>저수</v>
      </c>
      <c r="AG80" s="22" t="str">
        <f t="shared" si="88"/>
        <v>저수</v>
      </c>
      <c r="AH80" s="22" t="str">
        <f t="shared" si="89"/>
        <v>저수</v>
      </c>
      <c r="AI80" s="22" t="str">
        <f t="shared" si="90"/>
        <v>저수</v>
      </c>
      <c r="AJ80" s="22" t="str">
        <f t="shared" si="91"/>
        <v>고수</v>
      </c>
      <c r="AK80" s="22" t="str">
        <f t="shared" si="92"/>
        <v>고수</v>
      </c>
      <c r="AL80" s="52" t="str">
        <f t="shared" si="93"/>
        <v>4 : 2</v>
      </c>
      <c r="AM80" s="22">
        <f t="shared" si="94"/>
        <v>4</v>
      </c>
      <c r="AN80" s="22">
        <f t="shared" si="95"/>
        <v>2</v>
      </c>
      <c r="AO80" s="22">
        <f t="shared" si="96"/>
        <v>23</v>
      </c>
      <c r="AP80" s="22" t="str">
        <f t="shared" si="97"/>
        <v>X</v>
      </c>
      <c r="AQ80" s="22" t="str">
        <f t="shared" si="98"/>
        <v>O</v>
      </c>
      <c r="AR80" s="22" t="str">
        <f t="shared" si="99"/>
        <v>X</v>
      </c>
      <c r="AS80" s="22" t="str">
        <f t="shared" si="100"/>
        <v>X</v>
      </c>
      <c r="AT80" s="22" t="str">
        <f t="shared" si="101"/>
        <v>X</v>
      </c>
      <c r="AU80" s="22" t="str">
        <f t="shared" si="102"/>
        <v>X</v>
      </c>
      <c r="AV80" s="22" t="str">
        <f t="shared" si="103"/>
        <v>X</v>
      </c>
      <c r="AW80" s="22" t="str">
        <f t="shared" si="104"/>
        <v>X</v>
      </c>
      <c r="AX80" s="22" t="str">
        <f t="shared" si="105"/>
        <v>X</v>
      </c>
      <c r="AY80" s="22" t="str">
        <f t="shared" si="106"/>
        <v>X</v>
      </c>
      <c r="AZ80" s="22" t="str">
        <f t="shared" si="107"/>
        <v>X</v>
      </c>
      <c r="BA80" s="22" t="str">
        <f t="shared" si="108"/>
        <v>O</v>
      </c>
      <c r="BB80" s="22">
        <f t="shared" si="109"/>
        <v>2</v>
      </c>
      <c r="BC80" s="22" t="str">
        <f t="shared" si="80"/>
        <v>1G</v>
      </c>
      <c r="BD80" s="22" t="str">
        <f t="shared" si="81"/>
        <v>1G</v>
      </c>
      <c r="BE80" s="22" t="str">
        <f t="shared" si="82"/>
        <v>1G</v>
      </c>
      <c r="BF80" s="22" t="str">
        <f t="shared" si="83"/>
        <v>2G</v>
      </c>
      <c r="BG80" s="22" t="str">
        <f t="shared" si="84"/>
        <v>2G</v>
      </c>
      <c r="BH80" s="22" t="str">
        <f t="shared" si="85"/>
        <v>3G</v>
      </c>
      <c r="BI80" s="22">
        <f t="shared" si="110"/>
        <v>3</v>
      </c>
      <c r="BJ80" s="22">
        <f t="shared" si="111"/>
        <v>2</v>
      </c>
      <c r="BK80" s="22">
        <f t="shared" si="112"/>
        <v>1</v>
      </c>
      <c r="BL80" s="22" t="str">
        <f t="shared" si="113"/>
        <v>321</v>
      </c>
      <c r="BO80" s="47">
        <v>5</v>
      </c>
      <c r="BP80" s="68">
        <f t="shared" si="114"/>
        <v>5</v>
      </c>
      <c r="BQ80" s="69">
        <f t="shared" si="115"/>
        <v>6.9348127600554789E-3</v>
      </c>
      <c r="BS80"/>
      <c r="CL80" s="23">
        <v>105</v>
      </c>
      <c r="CM80" s="23">
        <v>100</v>
      </c>
      <c r="CO80"/>
    </row>
    <row r="81" spans="2:93" ht="17">
      <c r="B81" s="15">
        <v>77</v>
      </c>
      <c r="C81" s="23" t="s">
        <v>107</v>
      </c>
      <c r="D81" s="16">
        <v>3</v>
      </c>
      <c r="E81" s="17">
        <v>5155758600</v>
      </c>
      <c r="F81" s="16">
        <v>19</v>
      </c>
      <c r="G81" s="17">
        <v>135677800</v>
      </c>
      <c r="H81" s="16">
        <v>713</v>
      </c>
      <c r="I81" s="17">
        <v>3615500</v>
      </c>
      <c r="J81" s="17">
        <v>37033</v>
      </c>
      <c r="K81" s="17">
        <v>139200</v>
      </c>
      <c r="L81" s="17">
        <v>643154</v>
      </c>
      <c r="M81" s="17">
        <v>10000</v>
      </c>
      <c r="N81" s="23">
        <v>2</v>
      </c>
      <c r="O81" s="23">
        <v>18</v>
      </c>
      <c r="P81" s="23">
        <v>29</v>
      </c>
      <c r="Q81" s="23">
        <v>32</v>
      </c>
      <c r="R81" s="23">
        <v>43</v>
      </c>
      <c r="S81" s="23">
        <v>44</v>
      </c>
      <c r="T81" s="23">
        <v>37</v>
      </c>
      <c r="U81" s="23">
        <f t="shared" si="86"/>
        <v>168</v>
      </c>
      <c r="W81" s="22" t="str">
        <f t="shared" si="69"/>
        <v>짝수</v>
      </c>
      <c r="X81" s="22" t="str">
        <f t="shared" si="70"/>
        <v>짝수</v>
      </c>
      <c r="Y81" s="22" t="str">
        <f t="shared" si="71"/>
        <v>홀수</v>
      </c>
      <c r="Z81" s="22" t="str">
        <f t="shared" si="72"/>
        <v>짝수</v>
      </c>
      <c r="AA81" s="22" t="str">
        <f t="shared" si="73"/>
        <v>홀수</v>
      </c>
      <c r="AB81" s="22" t="str">
        <f t="shared" si="74"/>
        <v>짝수</v>
      </c>
      <c r="AC81" s="52" t="str">
        <f t="shared" si="75"/>
        <v>2 : 4</v>
      </c>
      <c r="AD81" s="22">
        <f t="shared" si="76"/>
        <v>2</v>
      </c>
      <c r="AE81" s="22">
        <f t="shared" si="77"/>
        <v>4</v>
      </c>
      <c r="AF81" s="22" t="str">
        <f t="shared" si="87"/>
        <v>저수</v>
      </c>
      <c r="AG81" s="22" t="str">
        <f t="shared" si="88"/>
        <v>저수</v>
      </c>
      <c r="AH81" s="22" t="str">
        <f t="shared" si="89"/>
        <v>고수</v>
      </c>
      <c r="AI81" s="22" t="str">
        <f t="shared" si="90"/>
        <v>고수</v>
      </c>
      <c r="AJ81" s="22" t="str">
        <f t="shared" si="91"/>
        <v>고수</v>
      </c>
      <c r="AK81" s="22" t="str">
        <f t="shared" si="92"/>
        <v>고수</v>
      </c>
      <c r="AL81" s="52" t="str">
        <f t="shared" si="93"/>
        <v>2 : 4</v>
      </c>
      <c r="AM81" s="22">
        <f t="shared" si="94"/>
        <v>2</v>
      </c>
      <c r="AN81" s="22">
        <f t="shared" si="95"/>
        <v>4</v>
      </c>
      <c r="AO81" s="22">
        <f t="shared" si="96"/>
        <v>28</v>
      </c>
      <c r="AP81" s="22" t="str">
        <f t="shared" si="97"/>
        <v>O</v>
      </c>
      <c r="AQ81" s="22" t="str">
        <f t="shared" si="98"/>
        <v>X</v>
      </c>
      <c r="AR81" s="22" t="str">
        <f t="shared" si="99"/>
        <v>X</v>
      </c>
      <c r="AS81" s="22" t="str">
        <f t="shared" si="100"/>
        <v>X</v>
      </c>
      <c r="AT81" s="22" t="str">
        <f t="shared" si="101"/>
        <v>X</v>
      </c>
      <c r="AU81" s="22" t="str">
        <f t="shared" si="102"/>
        <v>X</v>
      </c>
      <c r="AV81" s="22" t="str">
        <f t="shared" si="103"/>
        <v>X</v>
      </c>
      <c r="AW81" s="22" t="str">
        <f t="shared" si="104"/>
        <v>X</v>
      </c>
      <c r="AX81" s="22" t="str">
        <f t="shared" si="105"/>
        <v>O</v>
      </c>
      <c r="AY81" s="22" t="str">
        <f t="shared" si="106"/>
        <v>X</v>
      </c>
      <c r="AZ81" s="22" t="str">
        <f t="shared" si="107"/>
        <v>O</v>
      </c>
      <c r="BA81" s="22" t="str">
        <f t="shared" si="108"/>
        <v>X</v>
      </c>
      <c r="BB81" s="22">
        <f t="shared" si="109"/>
        <v>3</v>
      </c>
      <c r="BC81" s="22" t="str">
        <f t="shared" si="80"/>
        <v>1G</v>
      </c>
      <c r="BD81" s="22" t="str">
        <f t="shared" si="81"/>
        <v>2G</v>
      </c>
      <c r="BE81" s="22" t="str">
        <f t="shared" si="82"/>
        <v>2G</v>
      </c>
      <c r="BF81" s="22" t="str">
        <f t="shared" si="83"/>
        <v>3G</v>
      </c>
      <c r="BG81" s="22" t="str">
        <f t="shared" si="84"/>
        <v>3G</v>
      </c>
      <c r="BH81" s="22" t="str">
        <f t="shared" si="85"/>
        <v>3G</v>
      </c>
      <c r="BI81" s="22">
        <f t="shared" si="110"/>
        <v>1</v>
      </c>
      <c r="BJ81" s="22">
        <f t="shared" si="111"/>
        <v>2</v>
      </c>
      <c r="BK81" s="22">
        <f t="shared" si="112"/>
        <v>3</v>
      </c>
      <c r="BL81" s="22" t="str">
        <f t="shared" si="113"/>
        <v>123</v>
      </c>
      <c r="BO81" s="47" t="s">
        <v>651</v>
      </c>
      <c r="BP81" s="47">
        <f>SUM(BP75:BP80)</f>
        <v>721</v>
      </c>
      <c r="BQ81" s="69">
        <f>SUM(BQ75:BQ80)</f>
        <v>1</v>
      </c>
      <c r="BS81"/>
      <c r="CL81" s="23">
        <v>105</v>
      </c>
      <c r="CM81" s="23">
        <v>100</v>
      </c>
      <c r="CO81"/>
    </row>
    <row r="82" spans="2:93" ht="17" hidden="1">
      <c r="B82" s="15">
        <v>78</v>
      </c>
      <c r="C82" s="23" t="s">
        <v>108</v>
      </c>
      <c r="D82" s="16">
        <v>4</v>
      </c>
      <c r="E82" s="17">
        <v>3519850000</v>
      </c>
      <c r="F82" s="16">
        <v>22</v>
      </c>
      <c r="G82" s="17">
        <v>106662100</v>
      </c>
      <c r="H82" s="16">
        <v>910</v>
      </c>
      <c r="I82" s="17">
        <v>2578600</v>
      </c>
      <c r="J82" s="17">
        <v>42450</v>
      </c>
      <c r="K82" s="17">
        <v>110500</v>
      </c>
      <c r="L82" s="17">
        <v>716323</v>
      </c>
      <c r="M82" s="17">
        <v>10000</v>
      </c>
      <c r="N82" s="23">
        <v>10</v>
      </c>
      <c r="O82" s="23">
        <v>13</v>
      </c>
      <c r="P82" s="23">
        <v>25</v>
      </c>
      <c r="Q82" s="23">
        <v>29</v>
      </c>
      <c r="R82" s="23">
        <v>33</v>
      </c>
      <c r="S82" s="23">
        <v>35</v>
      </c>
      <c r="T82" s="23">
        <v>38</v>
      </c>
      <c r="U82" s="23">
        <f t="shared" si="86"/>
        <v>145</v>
      </c>
      <c r="W82" s="22" t="str">
        <f t="shared" si="69"/>
        <v>짝수</v>
      </c>
      <c r="X82" s="22" t="str">
        <f t="shared" si="70"/>
        <v>홀수</v>
      </c>
      <c r="Y82" s="22" t="str">
        <f t="shared" si="71"/>
        <v>홀수</v>
      </c>
      <c r="Z82" s="22" t="str">
        <f t="shared" si="72"/>
        <v>홀수</v>
      </c>
      <c r="AA82" s="22" t="str">
        <f t="shared" si="73"/>
        <v>홀수</v>
      </c>
      <c r="AB82" s="22" t="str">
        <f t="shared" si="74"/>
        <v>홀수</v>
      </c>
      <c r="AC82" s="52" t="str">
        <f t="shared" si="75"/>
        <v>5 : 1</v>
      </c>
      <c r="AD82" s="22">
        <f t="shared" si="76"/>
        <v>5</v>
      </c>
      <c r="AE82" s="22">
        <f t="shared" si="77"/>
        <v>1</v>
      </c>
      <c r="AF82" s="22" t="str">
        <f t="shared" si="87"/>
        <v>저수</v>
      </c>
      <c r="AG82" s="22" t="str">
        <f t="shared" si="88"/>
        <v>저수</v>
      </c>
      <c r="AH82" s="22" t="str">
        <f t="shared" si="89"/>
        <v>고수</v>
      </c>
      <c r="AI82" s="22" t="str">
        <f t="shared" si="90"/>
        <v>고수</v>
      </c>
      <c r="AJ82" s="22" t="str">
        <f t="shared" si="91"/>
        <v>고수</v>
      </c>
      <c r="AK82" s="22" t="str">
        <f t="shared" si="92"/>
        <v>고수</v>
      </c>
      <c r="AL82" s="52" t="str">
        <f t="shared" si="93"/>
        <v>2 : 4</v>
      </c>
      <c r="AM82" s="22">
        <f t="shared" si="94"/>
        <v>2</v>
      </c>
      <c r="AN82" s="22">
        <f t="shared" si="95"/>
        <v>4</v>
      </c>
      <c r="AO82" s="22">
        <f t="shared" si="96"/>
        <v>25</v>
      </c>
      <c r="AP82" s="22" t="str">
        <f t="shared" si="97"/>
        <v>X</v>
      </c>
      <c r="AQ82" s="22" t="str">
        <f t="shared" si="98"/>
        <v>O</v>
      </c>
      <c r="AR82" s="22" t="str">
        <f t="shared" si="99"/>
        <v>X</v>
      </c>
      <c r="AS82" s="22" t="str">
        <f t="shared" si="100"/>
        <v>X</v>
      </c>
      <c r="AT82" s="22" t="str">
        <f t="shared" si="101"/>
        <v>X</v>
      </c>
      <c r="AU82" s="22" t="str">
        <f t="shared" si="102"/>
        <v>X</v>
      </c>
      <c r="AV82" s="22" t="str">
        <f t="shared" si="103"/>
        <v>X</v>
      </c>
      <c r="AW82" s="22" t="str">
        <f t="shared" si="104"/>
        <v>X</v>
      </c>
      <c r="AX82" s="22" t="str">
        <f t="shared" si="105"/>
        <v>X</v>
      </c>
      <c r="AY82" s="22" t="str">
        <f t="shared" si="106"/>
        <v>O</v>
      </c>
      <c r="AZ82" s="22" t="str">
        <f t="shared" si="107"/>
        <v>X</v>
      </c>
      <c r="BA82" s="22" t="str">
        <f t="shared" si="108"/>
        <v>X</v>
      </c>
      <c r="BB82" s="22">
        <f t="shared" si="109"/>
        <v>2</v>
      </c>
      <c r="BC82" s="22" t="str">
        <f t="shared" si="80"/>
        <v>1G</v>
      </c>
      <c r="BD82" s="22" t="str">
        <f t="shared" si="81"/>
        <v>1G</v>
      </c>
      <c r="BE82" s="22" t="str">
        <f t="shared" si="82"/>
        <v>2G</v>
      </c>
      <c r="BF82" s="22" t="str">
        <f t="shared" si="83"/>
        <v>2G</v>
      </c>
      <c r="BG82" s="22" t="str">
        <f t="shared" si="84"/>
        <v>3G</v>
      </c>
      <c r="BH82" s="22" t="str">
        <f t="shared" si="85"/>
        <v>3G</v>
      </c>
      <c r="BI82" s="22">
        <f t="shared" si="110"/>
        <v>2</v>
      </c>
      <c r="BJ82" s="22">
        <f t="shared" si="111"/>
        <v>2</v>
      </c>
      <c r="BK82" s="22">
        <f t="shared" si="112"/>
        <v>2</v>
      </c>
      <c r="BL82" s="22" t="str">
        <f t="shared" si="113"/>
        <v>222</v>
      </c>
      <c r="BS82"/>
      <c r="CL82" s="23">
        <v>105</v>
      </c>
      <c r="CM82" s="23">
        <v>100</v>
      </c>
      <c r="CO82"/>
    </row>
    <row r="83" spans="2:93" ht="17" hidden="1">
      <c r="B83" s="15">
        <v>79</v>
      </c>
      <c r="C83" s="23" t="s">
        <v>109</v>
      </c>
      <c r="D83" s="16">
        <v>4</v>
      </c>
      <c r="E83" s="17">
        <v>3416443800</v>
      </c>
      <c r="F83" s="16">
        <v>31</v>
      </c>
      <c r="G83" s="17">
        <v>73471910</v>
      </c>
      <c r="H83" s="17">
        <v>1196</v>
      </c>
      <c r="I83" s="17">
        <v>1904373</v>
      </c>
      <c r="J83" s="17">
        <v>49431</v>
      </c>
      <c r="K83" s="17">
        <v>92154</v>
      </c>
      <c r="L83" s="17">
        <v>741871</v>
      </c>
      <c r="M83" s="17">
        <v>10000</v>
      </c>
      <c r="N83" s="23">
        <v>3</v>
      </c>
      <c r="O83" s="23">
        <v>12</v>
      </c>
      <c r="P83" s="23">
        <v>24</v>
      </c>
      <c r="Q83" s="23">
        <v>27</v>
      </c>
      <c r="R83" s="23">
        <v>30</v>
      </c>
      <c r="S83" s="23">
        <v>32</v>
      </c>
      <c r="T83" s="23">
        <v>14</v>
      </c>
      <c r="U83" s="23">
        <f t="shared" si="86"/>
        <v>128</v>
      </c>
      <c r="W83" s="22" t="str">
        <f t="shared" si="69"/>
        <v>홀수</v>
      </c>
      <c r="X83" s="22" t="str">
        <f t="shared" si="70"/>
        <v>짝수</v>
      </c>
      <c r="Y83" s="22" t="str">
        <f t="shared" si="71"/>
        <v>짝수</v>
      </c>
      <c r="Z83" s="22" t="str">
        <f t="shared" si="72"/>
        <v>홀수</v>
      </c>
      <c r="AA83" s="22" t="str">
        <f t="shared" si="73"/>
        <v>짝수</v>
      </c>
      <c r="AB83" s="22" t="str">
        <f t="shared" si="74"/>
        <v>짝수</v>
      </c>
      <c r="AC83" s="52" t="str">
        <f t="shared" si="75"/>
        <v>2 : 4</v>
      </c>
      <c r="AD83" s="22">
        <f t="shared" si="76"/>
        <v>2</v>
      </c>
      <c r="AE83" s="22">
        <f t="shared" si="77"/>
        <v>4</v>
      </c>
      <c r="AF83" s="22" t="str">
        <f t="shared" si="87"/>
        <v>저수</v>
      </c>
      <c r="AG83" s="22" t="str">
        <f t="shared" si="88"/>
        <v>저수</v>
      </c>
      <c r="AH83" s="22" t="str">
        <f t="shared" si="89"/>
        <v>고수</v>
      </c>
      <c r="AI83" s="22" t="str">
        <f t="shared" si="90"/>
        <v>고수</v>
      </c>
      <c r="AJ83" s="22" t="str">
        <f t="shared" si="91"/>
        <v>고수</v>
      </c>
      <c r="AK83" s="22" t="str">
        <f t="shared" si="92"/>
        <v>고수</v>
      </c>
      <c r="AL83" s="52" t="str">
        <f t="shared" si="93"/>
        <v>2 : 4</v>
      </c>
      <c r="AM83" s="22">
        <f t="shared" si="94"/>
        <v>2</v>
      </c>
      <c r="AN83" s="22">
        <f t="shared" si="95"/>
        <v>4</v>
      </c>
      <c r="AO83" s="22">
        <f t="shared" si="96"/>
        <v>18</v>
      </c>
      <c r="AP83" s="22" t="str">
        <f t="shared" si="97"/>
        <v>O</v>
      </c>
      <c r="AQ83" s="22" t="str">
        <f t="shared" si="98"/>
        <v>X</v>
      </c>
      <c r="AR83" s="22" t="str">
        <f t="shared" si="99"/>
        <v>X</v>
      </c>
      <c r="AS83" s="22" t="str">
        <f t="shared" si="100"/>
        <v>X</v>
      </c>
      <c r="AT83" s="22" t="str">
        <f t="shared" si="101"/>
        <v>X</v>
      </c>
      <c r="AU83" s="22" t="str">
        <f t="shared" si="102"/>
        <v>X</v>
      </c>
      <c r="AV83" s="22" t="str">
        <f t="shared" si="103"/>
        <v>X</v>
      </c>
      <c r="AW83" s="22" t="str">
        <f t="shared" si="104"/>
        <v>X</v>
      </c>
      <c r="AX83" s="22" t="str">
        <f t="shared" si="105"/>
        <v>X</v>
      </c>
      <c r="AY83" s="22" t="str">
        <f t="shared" si="106"/>
        <v>X</v>
      </c>
      <c r="AZ83" s="22" t="str">
        <f t="shared" si="107"/>
        <v>X</v>
      </c>
      <c r="BA83" s="22" t="str">
        <f t="shared" si="108"/>
        <v>X</v>
      </c>
      <c r="BB83" s="22">
        <f t="shared" si="109"/>
        <v>1</v>
      </c>
      <c r="BC83" s="22" t="str">
        <f t="shared" si="80"/>
        <v>1G</v>
      </c>
      <c r="BD83" s="22" t="str">
        <f t="shared" si="81"/>
        <v>1G</v>
      </c>
      <c r="BE83" s="22" t="str">
        <f t="shared" si="82"/>
        <v>2G</v>
      </c>
      <c r="BF83" s="22" t="str">
        <f t="shared" si="83"/>
        <v>2G</v>
      </c>
      <c r="BG83" s="22" t="str">
        <f t="shared" si="84"/>
        <v>2G</v>
      </c>
      <c r="BH83" s="22" t="str">
        <f t="shared" si="85"/>
        <v>3G</v>
      </c>
      <c r="BI83" s="22">
        <f t="shared" si="110"/>
        <v>2</v>
      </c>
      <c r="BJ83" s="22">
        <f t="shared" si="111"/>
        <v>3</v>
      </c>
      <c r="BK83" s="22">
        <f t="shared" si="112"/>
        <v>1</v>
      </c>
      <c r="BL83" s="22" t="str">
        <f t="shared" si="113"/>
        <v>231</v>
      </c>
      <c r="BS83"/>
      <c r="CL83" s="23">
        <v>105</v>
      </c>
      <c r="CM83" s="23">
        <v>100</v>
      </c>
      <c r="CO83"/>
    </row>
    <row r="84" spans="2:93" ht="17" hidden="1">
      <c r="B84" s="15">
        <v>80</v>
      </c>
      <c r="C84" s="23" t="s">
        <v>110</v>
      </c>
      <c r="D84" s="16">
        <v>1</v>
      </c>
      <c r="E84" s="17">
        <v>13809540000</v>
      </c>
      <c r="F84" s="16">
        <v>16</v>
      </c>
      <c r="G84" s="17">
        <v>143849375</v>
      </c>
      <c r="H84" s="16">
        <v>868</v>
      </c>
      <c r="I84" s="17">
        <v>2651602</v>
      </c>
      <c r="J84" s="17">
        <v>40251</v>
      </c>
      <c r="K84" s="17">
        <v>114362</v>
      </c>
      <c r="L84" s="17">
        <v>706432</v>
      </c>
      <c r="M84" s="17">
        <v>10000</v>
      </c>
      <c r="N84" s="23">
        <v>17</v>
      </c>
      <c r="O84" s="23">
        <v>18</v>
      </c>
      <c r="P84" s="23">
        <v>24</v>
      </c>
      <c r="Q84" s="23">
        <v>25</v>
      </c>
      <c r="R84" s="23">
        <v>26</v>
      </c>
      <c r="S84" s="23">
        <v>30</v>
      </c>
      <c r="T84" s="23">
        <v>1</v>
      </c>
      <c r="U84" s="23">
        <f t="shared" si="86"/>
        <v>140</v>
      </c>
      <c r="W84" s="22" t="str">
        <f t="shared" si="69"/>
        <v>홀수</v>
      </c>
      <c r="X84" s="22" t="str">
        <f t="shared" si="70"/>
        <v>짝수</v>
      </c>
      <c r="Y84" s="22" t="str">
        <f t="shared" si="71"/>
        <v>짝수</v>
      </c>
      <c r="Z84" s="22" t="str">
        <f t="shared" si="72"/>
        <v>홀수</v>
      </c>
      <c r="AA84" s="22" t="str">
        <f t="shared" si="73"/>
        <v>짝수</v>
      </c>
      <c r="AB84" s="22" t="str">
        <f t="shared" si="74"/>
        <v>짝수</v>
      </c>
      <c r="AC84" s="52" t="str">
        <f t="shared" si="75"/>
        <v>2 : 4</v>
      </c>
      <c r="AD84" s="22">
        <f t="shared" si="76"/>
        <v>2</v>
      </c>
      <c r="AE84" s="22">
        <f t="shared" si="77"/>
        <v>4</v>
      </c>
      <c r="AF84" s="22" t="str">
        <f t="shared" si="87"/>
        <v>저수</v>
      </c>
      <c r="AG84" s="22" t="str">
        <f t="shared" si="88"/>
        <v>저수</v>
      </c>
      <c r="AH84" s="22" t="str">
        <f t="shared" si="89"/>
        <v>고수</v>
      </c>
      <c r="AI84" s="22" t="str">
        <f t="shared" si="90"/>
        <v>고수</v>
      </c>
      <c r="AJ84" s="22" t="str">
        <f t="shared" si="91"/>
        <v>고수</v>
      </c>
      <c r="AK84" s="22" t="str">
        <f t="shared" si="92"/>
        <v>고수</v>
      </c>
      <c r="AL84" s="52" t="str">
        <f t="shared" si="93"/>
        <v>2 : 4</v>
      </c>
      <c r="AM84" s="22">
        <f t="shared" si="94"/>
        <v>2</v>
      </c>
      <c r="AN84" s="22">
        <f t="shared" si="95"/>
        <v>4</v>
      </c>
      <c r="AO84" s="22">
        <f t="shared" si="96"/>
        <v>30</v>
      </c>
      <c r="AP84" s="22" t="str">
        <f t="shared" si="97"/>
        <v>O</v>
      </c>
      <c r="AQ84" s="22" t="str">
        <f t="shared" si="98"/>
        <v>X</v>
      </c>
      <c r="AR84" s="22" t="str">
        <f t="shared" si="99"/>
        <v>X</v>
      </c>
      <c r="AS84" s="22" t="str">
        <f t="shared" si="100"/>
        <v>X</v>
      </c>
      <c r="AT84" s="22" t="str">
        <f t="shared" si="101"/>
        <v>X</v>
      </c>
      <c r="AU84" s="22" t="str">
        <f t="shared" si="102"/>
        <v>X</v>
      </c>
      <c r="AV84" s="22" t="str">
        <f t="shared" si="103"/>
        <v>X</v>
      </c>
      <c r="AW84" s="22" t="str">
        <f t="shared" si="104"/>
        <v>X</v>
      </c>
      <c r="AX84" s="22" t="str">
        <f t="shared" si="105"/>
        <v>X</v>
      </c>
      <c r="AY84" s="22" t="str">
        <f t="shared" si="106"/>
        <v>X</v>
      </c>
      <c r="AZ84" s="22" t="str">
        <f t="shared" si="107"/>
        <v>X</v>
      </c>
      <c r="BA84" s="22" t="str">
        <f t="shared" si="108"/>
        <v>X</v>
      </c>
      <c r="BB84" s="22">
        <f t="shared" si="109"/>
        <v>1</v>
      </c>
      <c r="BC84" s="22" t="str">
        <f t="shared" si="80"/>
        <v>2G</v>
      </c>
      <c r="BD84" s="22" t="str">
        <f t="shared" si="81"/>
        <v>2G</v>
      </c>
      <c r="BE84" s="22" t="str">
        <f t="shared" si="82"/>
        <v>2G</v>
      </c>
      <c r="BF84" s="22" t="str">
        <f t="shared" si="83"/>
        <v>2G</v>
      </c>
      <c r="BG84" s="22" t="str">
        <f t="shared" si="84"/>
        <v>2G</v>
      </c>
      <c r="BH84" s="22" t="str">
        <f t="shared" si="85"/>
        <v>2G</v>
      </c>
      <c r="BI84" s="22">
        <f t="shared" si="110"/>
        <v>0</v>
      </c>
      <c r="BJ84" s="22">
        <f t="shared" si="111"/>
        <v>6</v>
      </c>
      <c r="BK84" s="22">
        <f t="shared" si="112"/>
        <v>0</v>
      </c>
      <c r="BL84" s="22" t="str">
        <f t="shared" si="113"/>
        <v>060</v>
      </c>
      <c r="BS84"/>
      <c r="CL84" s="23">
        <v>106</v>
      </c>
      <c r="CM84" s="23">
        <v>100</v>
      </c>
      <c r="CO84"/>
    </row>
    <row r="85" spans="2:93" ht="17" hidden="1">
      <c r="B85" s="15">
        <v>81</v>
      </c>
      <c r="C85" s="23" t="s">
        <v>111</v>
      </c>
      <c r="D85" s="16">
        <v>5</v>
      </c>
      <c r="E85" s="17">
        <v>2714288880</v>
      </c>
      <c r="F85" s="16">
        <v>20</v>
      </c>
      <c r="G85" s="17">
        <v>113095370</v>
      </c>
      <c r="H85" s="17">
        <v>1046</v>
      </c>
      <c r="I85" s="17">
        <v>2162436</v>
      </c>
      <c r="J85" s="17">
        <v>51654</v>
      </c>
      <c r="K85" s="17">
        <v>87580</v>
      </c>
      <c r="L85" s="17">
        <v>787258</v>
      </c>
      <c r="M85" s="17">
        <v>10000</v>
      </c>
      <c r="N85" s="23">
        <v>5</v>
      </c>
      <c r="O85" s="23">
        <v>7</v>
      </c>
      <c r="P85" s="23">
        <v>11</v>
      </c>
      <c r="Q85" s="23">
        <v>13</v>
      </c>
      <c r="R85" s="23">
        <v>20</v>
      </c>
      <c r="S85" s="23">
        <v>33</v>
      </c>
      <c r="T85" s="23">
        <v>6</v>
      </c>
      <c r="U85" s="23">
        <f t="shared" si="86"/>
        <v>89</v>
      </c>
      <c r="W85" s="22" t="str">
        <f t="shared" si="69"/>
        <v>홀수</v>
      </c>
      <c r="X85" s="22" t="str">
        <f t="shared" si="70"/>
        <v>홀수</v>
      </c>
      <c r="Y85" s="22" t="str">
        <f t="shared" si="71"/>
        <v>홀수</v>
      </c>
      <c r="Z85" s="22" t="str">
        <f t="shared" si="72"/>
        <v>홀수</v>
      </c>
      <c r="AA85" s="22" t="str">
        <f t="shared" si="73"/>
        <v>짝수</v>
      </c>
      <c r="AB85" s="22" t="str">
        <f t="shared" si="74"/>
        <v>홀수</v>
      </c>
      <c r="AC85" s="52" t="str">
        <f t="shared" si="75"/>
        <v>5 : 1</v>
      </c>
      <c r="AD85" s="22">
        <f t="shared" si="76"/>
        <v>5</v>
      </c>
      <c r="AE85" s="22">
        <f t="shared" si="77"/>
        <v>1</v>
      </c>
      <c r="AF85" s="22" t="str">
        <f t="shared" si="87"/>
        <v>저수</v>
      </c>
      <c r="AG85" s="22" t="str">
        <f t="shared" si="88"/>
        <v>저수</v>
      </c>
      <c r="AH85" s="22" t="str">
        <f t="shared" si="89"/>
        <v>저수</v>
      </c>
      <c r="AI85" s="22" t="str">
        <f t="shared" si="90"/>
        <v>저수</v>
      </c>
      <c r="AJ85" s="22" t="str">
        <f t="shared" si="91"/>
        <v>저수</v>
      </c>
      <c r="AK85" s="22" t="str">
        <f t="shared" si="92"/>
        <v>고수</v>
      </c>
      <c r="AL85" s="52" t="str">
        <f t="shared" si="93"/>
        <v>5 : 1</v>
      </c>
      <c r="AM85" s="22">
        <f t="shared" si="94"/>
        <v>5</v>
      </c>
      <c r="AN85" s="22">
        <f t="shared" si="95"/>
        <v>1</v>
      </c>
      <c r="AO85" s="22">
        <f t="shared" si="96"/>
        <v>19</v>
      </c>
      <c r="AP85" s="22" t="str">
        <f t="shared" si="97"/>
        <v>O</v>
      </c>
      <c r="AQ85" s="22" t="str">
        <f t="shared" si="98"/>
        <v>O</v>
      </c>
      <c r="AR85" s="22" t="str">
        <f t="shared" si="99"/>
        <v>O</v>
      </c>
      <c r="AS85" s="22" t="str">
        <f t="shared" si="100"/>
        <v>O</v>
      </c>
      <c r="AT85" s="22" t="str">
        <f t="shared" si="101"/>
        <v>X</v>
      </c>
      <c r="AU85" s="22" t="str">
        <f t="shared" si="102"/>
        <v>X</v>
      </c>
      <c r="AV85" s="22" t="str">
        <f t="shared" si="103"/>
        <v>X</v>
      </c>
      <c r="AW85" s="22" t="str">
        <f t="shared" si="104"/>
        <v>X</v>
      </c>
      <c r="AX85" s="22" t="str">
        <f t="shared" si="105"/>
        <v>X</v>
      </c>
      <c r="AY85" s="22" t="str">
        <f t="shared" si="106"/>
        <v>X</v>
      </c>
      <c r="AZ85" s="22" t="str">
        <f t="shared" si="107"/>
        <v>X</v>
      </c>
      <c r="BA85" s="22" t="str">
        <f t="shared" si="108"/>
        <v>X</v>
      </c>
      <c r="BB85" s="22">
        <f t="shared" si="109"/>
        <v>4</v>
      </c>
      <c r="BC85" s="22" t="str">
        <f t="shared" si="80"/>
        <v>1G</v>
      </c>
      <c r="BD85" s="22" t="str">
        <f t="shared" si="81"/>
        <v>1G</v>
      </c>
      <c r="BE85" s="22" t="str">
        <f t="shared" si="82"/>
        <v>1G</v>
      </c>
      <c r="BF85" s="22" t="str">
        <f t="shared" si="83"/>
        <v>1G</v>
      </c>
      <c r="BG85" s="22" t="str">
        <f t="shared" si="84"/>
        <v>2G</v>
      </c>
      <c r="BH85" s="22" t="str">
        <f t="shared" si="85"/>
        <v>3G</v>
      </c>
      <c r="BI85" s="22">
        <f t="shared" si="110"/>
        <v>4</v>
      </c>
      <c r="BJ85" s="22">
        <f t="shared" si="111"/>
        <v>1</v>
      </c>
      <c r="BK85" s="22">
        <f t="shared" si="112"/>
        <v>1</v>
      </c>
      <c r="BL85" s="22" t="str">
        <f t="shared" si="113"/>
        <v>411</v>
      </c>
      <c r="BS85"/>
      <c r="CL85" s="23">
        <v>107</v>
      </c>
      <c r="CM85" s="23">
        <v>100</v>
      </c>
      <c r="CO85"/>
    </row>
    <row r="86" spans="2:93" ht="17" hidden="1">
      <c r="B86" s="15">
        <v>82</v>
      </c>
      <c r="C86" s="23" t="s">
        <v>112</v>
      </c>
      <c r="D86" s="16">
        <v>1</v>
      </c>
      <c r="E86" s="17">
        <v>14562494400</v>
      </c>
      <c r="F86" s="16">
        <v>20</v>
      </c>
      <c r="G86" s="17">
        <v>121354120</v>
      </c>
      <c r="H86" s="16">
        <v>637</v>
      </c>
      <c r="I86" s="17">
        <v>3810177</v>
      </c>
      <c r="J86" s="17">
        <v>36139</v>
      </c>
      <c r="K86" s="17">
        <v>134320</v>
      </c>
      <c r="L86" s="17">
        <v>638058</v>
      </c>
      <c r="M86" s="17">
        <v>10000</v>
      </c>
      <c r="N86" s="23">
        <v>1</v>
      </c>
      <c r="O86" s="23">
        <v>2</v>
      </c>
      <c r="P86" s="23">
        <v>3</v>
      </c>
      <c r="Q86" s="23">
        <v>14</v>
      </c>
      <c r="R86" s="23">
        <v>27</v>
      </c>
      <c r="S86" s="23">
        <v>42</v>
      </c>
      <c r="T86" s="23">
        <v>39</v>
      </c>
      <c r="U86" s="23">
        <f t="shared" si="86"/>
        <v>89</v>
      </c>
      <c r="W86" s="22" t="str">
        <f t="shared" si="69"/>
        <v>홀수</v>
      </c>
      <c r="X86" s="22" t="str">
        <f t="shared" si="70"/>
        <v>짝수</v>
      </c>
      <c r="Y86" s="22" t="str">
        <f t="shared" si="71"/>
        <v>홀수</v>
      </c>
      <c r="Z86" s="22" t="str">
        <f t="shared" si="72"/>
        <v>짝수</v>
      </c>
      <c r="AA86" s="22" t="str">
        <f t="shared" si="73"/>
        <v>홀수</v>
      </c>
      <c r="AB86" s="22" t="str">
        <f t="shared" si="74"/>
        <v>짝수</v>
      </c>
      <c r="AC86" s="52" t="str">
        <f t="shared" si="75"/>
        <v>3 : 3</v>
      </c>
      <c r="AD86" s="22">
        <f t="shared" si="76"/>
        <v>3</v>
      </c>
      <c r="AE86" s="22">
        <f t="shared" si="77"/>
        <v>3</v>
      </c>
      <c r="AF86" s="22" t="str">
        <f t="shared" si="87"/>
        <v>저수</v>
      </c>
      <c r="AG86" s="22" t="str">
        <f t="shared" si="88"/>
        <v>저수</v>
      </c>
      <c r="AH86" s="22" t="str">
        <f t="shared" si="89"/>
        <v>저수</v>
      </c>
      <c r="AI86" s="22" t="str">
        <f t="shared" si="90"/>
        <v>저수</v>
      </c>
      <c r="AJ86" s="22" t="str">
        <f t="shared" si="91"/>
        <v>고수</v>
      </c>
      <c r="AK86" s="22" t="str">
        <f t="shared" si="92"/>
        <v>고수</v>
      </c>
      <c r="AL86" s="52" t="str">
        <f t="shared" si="93"/>
        <v>4 : 2</v>
      </c>
      <c r="AM86" s="22">
        <f t="shared" si="94"/>
        <v>4</v>
      </c>
      <c r="AN86" s="22">
        <f t="shared" si="95"/>
        <v>2</v>
      </c>
      <c r="AO86" s="22">
        <f t="shared" si="96"/>
        <v>19</v>
      </c>
      <c r="AP86" s="22" t="str">
        <f t="shared" si="97"/>
        <v>X</v>
      </c>
      <c r="AQ86" s="22" t="str">
        <f t="shared" si="98"/>
        <v>O</v>
      </c>
      <c r="AR86" s="22" t="str">
        <f t="shared" si="99"/>
        <v>O</v>
      </c>
      <c r="AS86" s="22" t="str">
        <f t="shared" si="100"/>
        <v>X</v>
      </c>
      <c r="AT86" s="22" t="str">
        <f t="shared" si="101"/>
        <v>X</v>
      </c>
      <c r="AU86" s="22" t="str">
        <f t="shared" si="102"/>
        <v>X</v>
      </c>
      <c r="AV86" s="22" t="str">
        <f t="shared" si="103"/>
        <v>X</v>
      </c>
      <c r="AW86" s="22" t="str">
        <f t="shared" si="104"/>
        <v>X</v>
      </c>
      <c r="AX86" s="22" t="str">
        <f t="shared" si="105"/>
        <v>X</v>
      </c>
      <c r="AY86" s="22" t="str">
        <f t="shared" si="106"/>
        <v>X</v>
      </c>
      <c r="AZ86" s="22" t="str">
        <f t="shared" si="107"/>
        <v>X</v>
      </c>
      <c r="BA86" s="22" t="str">
        <f t="shared" si="108"/>
        <v>X</v>
      </c>
      <c r="BB86" s="22">
        <f t="shared" si="109"/>
        <v>2</v>
      </c>
      <c r="BC86" s="22" t="str">
        <f t="shared" si="80"/>
        <v>1G</v>
      </c>
      <c r="BD86" s="22" t="str">
        <f t="shared" si="81"/>
        <v>1G</v>
      </c>
      <c r="BE86" s="22" t="str">
        <f t="shared" si="82"/>
        <v>1G</v>
      </c>
      <c r="BF86" s="22" t="str">
        <f t="shared" si="83"/>
        <v>1G</v>
      </c>
      <c r="BG86" s="22" t="str">
        <f t="shared" si="84"/>
        <v>2G</v>
      </c>
      <c r="BH86" s="22" t="str">
        <f t="shared" si="85"/>
        <v>3G</v>
      </c>
      <c r="BI86" s="22">
        <f t="shared" si="110"/>
        <v>4</v>
      </c>
      <c r="BJ86" s="22">
        <f t="shared" si="111"/>
        <v>1</v>
      </c>
      <c r="BK86" s="22">
        <f t="shared" si="112"/>
        <v>1</v>
      </c>
      <c r="BL86" s="22" t="str">
        <f t="shared" si="113"/>
        <v>411</v>
      </c>
      <c r="BP86" s="55"/>
      <c r="BQ86" s="55"/>
      <c r="BR86" s="55"/>
      <c r="BS86" s="55"/>
      <c r="BT86" s="77"/>
      <c r="CL86" s="23">
        <v>107</v>
      </c>
      <c r="CM86" s="23">
        <v>100</v>
      </c>
      <c r="CO86"/>
    </row>
    <row r="87" spans="2:93" ht="17" hidden="1">
      <c r="B87" s="15">
        <v>83</v>
      </c>
      <c r="C87" s="23" t="s">
        <v>113</v>
      </c>
      <c r="D87" s="16">
        <v>2</v>
      </c>
      <c r="E87" s="17">
        <v>7086948300</v>
      </c>
      <c r="F87" s="16">
        <v>15</v>
      </c>
      <c r="G87" s="17">
        <v>157487740</v>
      </c>
      <c r="H87" s="16">
        <v>851</v>
      </c>
      <c r="I87" s="17">
        <v>2775930</v>
      </c>
      <c r="J87" s="17">
        <v>45924</v>
      </c>
      <c r="K87" s="17">
        <v>102880</v>
      </c>
      <c r="L87" s="17">
        <v>763287</v>
      </c>
      <c r="M87" s="17">
        <v>10000</v>
      </c>
      <c r="N87" s="23">
        <v>6</v>
      </c>
      <c r="O87" s="23">
        <v>10</v>
      </c>
      <c r="P87" s="23">
        <v>15</v>
      </c>
      <c r="Q87" s="23">
        <v>17</v>
      </c>
      <c r="R87" s="23">
        <v>19</v>
      </c>
      <c r="S87" s="23">
        <v>34</v>
      </c>
      <c r="T87" s="23">
        <v>14</v>
      </c>
      <c r="U87" s="23">
        <f t="shared" si="86"/>
        <v>101</v>
      </c>
      <c r="W87" s="22" t="str">
        <f t="shared" si="69"/>
        <v>짝수</v>
      </c>
      <c r="X87" s="22" t="str">
        <f t="shared" si="70"/>
        <v>짝수</v>
      </c>
      <c r="Y87" s="22" t="str">
        <f t="shared" si="71"/>
        <v>홀수</v>
      </c>
      <c r="Z87" s="22" t="str">
        <f t="shared" si="72"/>
        <v>홀수</v>
      </c>
      <c r="AA87" s="22" t="str">
        <f t="shared" si="73"/>
        <v>홀수</v>
      </c>
      <c r="AB87" s="22" t="str">
        <f t="shared" si="74"/>
        <v>짝수</v>
      </c>
      <c r="AC87" s="52" t="str">
        <f t="shared" si="75"/>
        <v>3 : 3</v>
      </c>
      <c r="AD87" s="22">
        <f t="shared" si="76"/>
        <v>3</v>
      </c>
      <c r="AE87" s="22">
        <f t="shared" si="77"/>
        <v>3</v>
      </c>
      <c r="AF87" s="22" t="str">
        <f t="shared" si="87"/>
        <v>저수</v>
      </c>
      <c r="AG87" s="22" t="str">
        <f t="shared" si="88"/>
        <v>저수</v>
      </c>
      <c r="AH87" s="22" t="str">
        <f t="shared" si="89"/>
        <v>저수</v>
      </c>
      <c r="AI87" s="22" t="str">
        <f t="shared" si="90"/>
        <v>저수</v>
      </c>
      <c r="AJ87" s="22" t="str">
        <f t="shared" si="91"/>
        <v>저수</v>
      </c>
      <c r="AK87" s="22" t="str">
        <f t="shared" si="92"/>
        <v>고수</v>
      </c>
      <c r="AL87" s="52" t="str">
        <f t="shared" si="93"/>
        <v>5 : 1</v>
      </c>
      <c r="AM87" s="22">
        <f t="shared" si="94"/>
        <v>5</v>
      </c>
      <c r="AN87" s="22">
        <f t="shared" si="95"/>
        <v>1</v>
      </c>
      <c r="AO87" s="22">
        <f t="shared" si="96"/>
        <v>31</v>
      </c>
      <c r="AP87" s="22" t="str">
        <f t="shared" si="97"/>
        <v>X</v>
      </c>
      <c r="AQ87" s="22" t="str">
        <f t="shared" si="98"/>
        <v>X</v>
      </c>
      <c r="AR87" s="22" t="str">
        <f t="shared" si="99"/>
        <v>X</v>
      </c>
      <c r="AS87" s="22" t="str">
        <f t="shared" si="100"/>
        <v>O</v>
      </c>
      <c r="AT87" s="22" t="str">
        <f t="shared" si="101"/>
        <v>O</v>
      </c>
      <c r="AU87" s="22" t="str">
        <f t="shared" si="102"/>
        <v>X</v>
      </c>
      <c r="AV87" s="22" t="str">
        <f t="shared" si="103"/>
        <v>X</v>
      </c>
      <c r="AW87" s="22" t="str">
        <f t="shared" si="104"/>
        <v>X</v>
      </c>
      <c r="AX87" s="22" t="str">
        <f t="shared" si="105"/>
        <v>X</v>
      </c>
      <c r="AY87" s="22" t="str">
        <f t="shared" si="106"/>
        <v>X</v>
      </c>
      <c r="AZ87" s="22" t="str">
        <f t="shared" si="107"/>
        <v>X</v>
      </c>
      <c r="BA87" s="22" t="str">
        <f t="shared" si="108"/>
        <v>X</v>
      </c>
      <c r="BB87" s="22">
        <f t="shared" si="109"/>
        <v>2</v>
      </c>
      <c r="BC87" s="22" t="str">
        <f t="shared" si="80"/>
        <v>1G</v>
      </c>
      <c r="BD87" s="22" t="str">
        <f t="shared" si="81"/>
        <v>1G</v>
      </c>
      <c r="BE87" s="22" t="str">
        <f t="shared" si="82"/>
        <v>1G</v>
      </c>
      <c r="BF87" s="22" t="str">
        <f t="shared" si="83"/>
        <v>2G</v>
      </c>
      <c r="BG87" s="22" t="str">
        <f t="shared" si="84"/>
        <v>2G</v>
      </c>
      <c r="BH87" s="22" t="str">
        <f t="shared" si="85"/>
        <v>3G</v>
      </c>
      <c r="BI87" s="22">
        <f t="shared" si="110"/>
        <v>3</v>
      </c>
      <c r="BJ87" s="22">
        <f t="shared" si="111"/>
        <v>2</v>
      </c>
      <c r="BK87" s="22">
        <f t="shared" si="112"/>
        <v>1</v>
      </c>
      <c r="BL87" s="22" t="str">
        <f t="shared" si="113"/>
        <v>321</v>
      </c>
      <c r="BS87"/>
      <c r="CL87" s="23">
        <v>107</v>
      </c>
      <c r="CM87" s="23">
        <v>100</v>
      </c>
      <c r="CO87"/>
    </row>
    <row r="88" spans="2:93" ht="17" hidden="1">
      <c r="B88" s="15">
        <v>84</v>
      </c>
      <c r="C88" s="23" t="s">
        <v>114</v>
      </c>
      <c r="D88" s="16">
        <v>2</v>
      </c>
      <c r="E88" s="17">
        <v>7669779000</v>
      </c>
      <c r="F88" s="16">
        <v>17</v>
      </c>
      <c r="G88" s="17">
        <v>150387824</v>
      </c>
      <c r="H88" s="16">
        <v>635</v>
      </c>
      <c r="I88" s="17">
        <v>4026131</v>
      </c>
      <c r="J88" s="17">
        <v>32402</v>
      </c>
      <c r="K88" s="17">
        <v>157805</v>
      </c>
      <c r="L88" s="17">
        <v>582445</v>
      </c>
      <c r="M88" s="17">
        <v>10000</v>
      </c>
      <c r="N88" s="23">
        <v>16</v>
      </c>
      <c r="O88" s="23">
        <v>23</v>
      </c>
      <c r="P88" s="23">
        <v>27</v>
      </c>
      <c r="Q88" s="23">
        <v>34</v>
      </c>
      <c r="R88" s="23">
        <v>42</v>
      </c>
      <c r="S88" s="23">
        <v>45</v>
      </c>
      <c r="T88" s="23">
        <v>11</v>
      </c>
      <c r="U88" s="23">
        <f t="shared" si="86"/>
        <v>187</v>
      </c>
      <c r="W88" s="22" t="str">
        <f t="shared" si="69"/>
        <v>짝수</v>
      </c>
      <c r="X88" s="22" t="str">
        <f t="shared" si="70"/>
        <v>홀수</v>
      </c>
      <c r="Y88" s="22" t="str">
        <f t="shared" si="71"/>
        <v>홀수</v>
      </c>
      <c r="Z88" s="22" t="str">
        <f t="shared" si="72"/>
        <v>짝수</v>
      </c>
      <c r="AA88" s="22" t="str">
        <f t="shared" si="73"/>
        <v>짝수</v>
      </c>
      <c r="AB88" s="22" t="str">
        <f t="shared" si="74"/>
        <v>홀수</v>
      </c>
      <c r="AC88" s="52" t="str">
        <f t="shared" si="75"/>
        <v>3 : 3</v>
      </c>
      <c r="AD88" s="22">
        <f t="shared" si="76"/>
        <v>3</v>
      </c>
      <c r="AE88" s="22">
        <f t="shared" si="77"/>
        <v>3</v>
      </c>
      <c r="AF88" s="22" t="str">
        <f t="shared" si="87"/>
        <v>저수</v>
      </c>
      <c r="AG88" s="22" t="str">
        <f t="shared" si="88"/>
        <v>고수</v>
      </c>
      <c r="AH88" s="22" t="str">
        <f t="shared" si="89"/>
        <v>고수</v>
      </c>
      <c r="AI88" s="22" t="str">
        <f t="shared" si="90"/>
        <v>고수</v>
      </c>
      <c r="AJ88" s="22" t="str">
        <f t="shared" si="91"/>
        <v>고수</v>
      </c>
      <c r="AK88" s="22" t="str">
        <f t="shared" si="92"/>
        <v>고수</v>
      </c>
      <c r="AL88" s="52" t="str">
        <f t="shared" si="93"/>
        <v>1 : 5</v>
      </c>
      <c r="AM88" s="22">
        <f t="shared" si="94"/>
        <v>1</v>
      </c>
      <c r="AN88" s="22">
        <f t="shared" si="95"/>
        <v>5</v>
      </c>
      <c r="AO88" s="22">
        <f t="shared" si="96"/>
        <v>27</v>
      </c>
      <c r="AP88" s="22" t="str">
        <f t="shared" si="97"/>
        <v>X</v>
      </c>
      <c r="AQ88" s="22" t="str">
        <f t="shared" si="98"/>
        <v>X</v>
      </c>
      <c r="AR88" s="22" t="str">
        <f t="shared" si="99"/>
        <v>X</v>
      </c>
      <c r="AS88" s="22" t="str">
        <f t="shared" si="100"/>
        <v>X</v>
      </c>
      <c r="AT88" s="22" t="str">
        <f t="shared" si="101"/>
        <v>X</v>
      </c>
      <c r="AU88" s="22" t="str">
        <f t="shared" si="102"/>
        <v>X</v>
      </c>
      <c r="AV88" s="22" t="str">
        <f t="shared" si="103"/>
        <v>X</v>
      </c>
      <c r="AW88" s="22" t="str">
        <f t="shared" si="104"/>
        <v>O</v>
      </c>
      <c r="AX88" s="22" t="str">
        <f t="shared" si="105"/>
        <v>X</v>
      </c>
      <c r="AY88" s="22" t="str">
        <f t="shared" si="106"/>
        <v>X</v>
      </c>
      <c r="AZ88" s="22" t="str">
        <f t="shared" si="107"/>
        <v>X</v>
      </c>
      <c r="BA88" s="22" t="str">
        <f t="shared" si="108"/>
        <v>X</v>
      </c>
      <c r="BB88" s="22">
        <f t="shared" si="109"/>
        <v>1</v>
      </c>
      <c r="BC88" s="22" t="str">
        <f t="shared" si="80"/>
        <v>2G</v>
      </c>
      <c r="BD88" s="22" t="str">
        <f t="shared" si="81"/>
        <v>2G</v>
      </c>
      <c r="BE88" s="22" t="str">
        <f t="shared" si="82"/>
        <v>2G</v>
      </c>
      <c r="BF88" s="22" t="str">
        <f t="shared" si="83"/>
        <v>3G</v>
      </c>
      <c r="BG88" s="22" t="str">
        <f t="shared" si="84"/>
        <v>3G</v>
      </c>
      <c r="BH88" s="22" t="str">
        <f t="shared" si="85"/>
        <v>3G</v>
      </c>
      <c r="BI88" s="22">
        <f t="shared" si="110"/>
        <v>0</v>
      </c>
      <c r="BJ88" s="22">
        <f t="shared" si="111"/>
        <v>3</v>
      </c>
      <c r="BK88" s="22">
        <f t="shared" si="112"/>
        <v>3</v>
      </c>
      <c r="BL88" s="22" t="str">
        <f t="shared" si="113"/>
        <v>033</v>
      </c>
      <c r="BS88"/>
      <c r="CL88" s="23">
        <v>108</v>
      </c>
      <c r="CM88" s="23">
        <v>100</v>
      </c>
      <c r="CO88"/>
    </row>
    <row r="89" spans="2:93" ht="17" hidden="1">
      <c r="B89" s="15">
        <v>85</v>
      </c>
      <c r="C89" s="23" t="s">
        <v>115</v>
      </c>
      <c r="D89" s="16">
        <v>4</v>
      </c>
      <c r="E89" s="17">
        <v>3462109800</v>
      </c>
      <c r="F89" s="16">
        <v>31</v>
      </c>
      <c r="G89" s="17">
        <v>74453975</v>
      </c>
      <c r="H89" s="16">
        <v>823</v>
      </c>
      <c r="I89" s="17">
        <v>2804464</v>
      </c>
      <c r="J89" s="17">
        <v>41746</v>
      </c>
      <c r="K89" s="17">
        <v>110577</v>
      </c>
      <c r="L89" s="17">
        <v>664492</v>
      </c>
      <c r="M89" s="17">
        <v>10000</v>
      </c>
      <c r="N89" s="23">
        <v>6</v>
      </c>
      <c r="O89" s="23">
        <v>8</v>
      </c>
      <c r="P89" s="23">
        <v>13</v>
      </c>
      <c r="Q89" s="23">
        <v>23</v>
      </c>
      <c r="R89" s="23">
        <v>31</v>
      </c>
      <c r="S89" s="23">
        <v>36</v>
      </c>
      <c r="T89" s="23">
        <v>21</v>
      </c>
      <c r="U89" s="23">
        <f t="shared" si="86"/>
        <v>117</v>
      </c>
      <c r="W89" s="22" t="str">
        <f t="shared" si="69"/>
        <v>짝수</v>
      </c>
      <c r="X89" s="22" t="str">
        <f t="shared" si="70"/>
        <v>짝수</v>
      </c>
      <c r="Y89" s="22" t="str">
        <f t="shared" si="71"/>
        <v>홀수</v>
      </c>
      <c r="Z89" s="22" t="str">
        <f t="shared" si="72"/>
        <v>홀수</v>
      </c>
      <c r="AA89" s="22" t="str">
        <f t="shared" si="73"/>
        <v>홀수</v>
      </c>
      <c r="AB89" s="22" t="str">
        <f t="shared" si="74"/>
        <v>짝수</v>
      </c>
      <c r="AC89" s="52" t="str">
        <f t="shared" si="75"/>
        <v>3 : 3</v>
      </c>
      <c r="AD89" s="22">
        <f t="shared" si="76"/>
        <v>3</v>
      </c>
      <c r="AE89" s="22">
        <f t="shared" si="77"/>
        <v>3</v>
      </c>
      <c r="AF89" s="22" t="str">
        <f t="shared" si="87"/>
        <v>저수</v>
      </c>
      <c r="AG89" s="22" t="str">
        <f t="shared" si="88"/>
        <v>저수</v>
      </c>
      <c r="AH89" s="22" t="str">
        <f t="shared" si="89"/>
        <v>저수</v>
      </c>
      <c r="AI89" s="22" t="str">
        <f t="shared" si="90"/>
        <v>고수</v>
      </c>
      <c r="AJ89" s="22" t="str">
        <f t="shared" si="91"/>
        <v>고수</v>
      </c>
      <c r="AK89" s="22" t="str">
        <f t="shared" si="92"/>
        <v>고수</v>
      </c>
      <c r="AL89" s="52" t="str">
        <f t="shared" si="93"/>
        <v>3 : 3</v>
      </c>
      <c r="AM89" s="22">
        <f t="shared" si="94"/>
        <v>3</v>
      </c>
      <c r="AN89" s="22">
        <f t="shared" si="95"/>
        <v>3</v>
      </c>
      <c r="AO89" s="22">
        <f t="shared" si="96"/>
        <v>27</v>
      </c>
      <c r="AP89" s="22" t="str">
        <f t="shared" si="97"/>
        <v>X</v>
      </c>
      <c r="AQ89" s="22" t="str">
        <f t="shared" si="98"/>
        <v>X</v>
      </c>
      <c r="AR89" s="22" t="str">
        <f t="shared" si="99"/>
        <v>O</v>
      </c>
      <c r="AS89" s="22" t="str">
        <f t="shared" si="100"/>
        <v>X</v>
      </c>
      <c r="AT89" s="22" t="str">
        <f t="shared" si="101"/>
        <v>X</v>
      </c>
      <c r="AU89" s="22" t="str">
        <f t="shared" si="102"/>
        <v>X</v>
      </c>
      <c r="AV89" s="22" t="str">
        <f t="shared" si="103"/>
        <v>X</v>
      </c>
      <c r="AW89" s="22" t="str">
        <f t="shared" si="104"/>
        <v>X</v>
      </c>
      <c r="AX89" s="22" t="str">
        <f t="shared" si="105"/>
        <v>X</v>
      </c>
      <c r="AY89" s="22" t="str">
        <f t="shared" si="106"/>
        <v>O</v>
      </c>
      <c r="AZ89" s="22" t="str">
        <f t="shared" si="107"/>
        <v>O</v>
      </c>
      <c r="BA89" s="22" t="str">
        <f t="shared" si="108"/>
        <v>X</v>
      </c>
      <c r="BB89" s="22">
        <f t="shared" si="109"/>
        <v>3</v>
      </c>
      <c r="BC89" s="22" t="str">
        <f t="shared" si="80"/>
        <v>1G</v>
      </c>
      <c r="BD89" s="22" t="str">
        <f t="shared" si="81"/>
        <v>1G</v>
      </c>
      <c r="BE89" s="22" t="str">
        <f t="shared" si="82"/>
        <v>1G</v>
      </c>
      <c r="BF89" s="22" t="str">
        <f t="shared" si="83"/>
        <v>2G</v>
      </c>
      <c r="BG89" s="22" t="str">
        <f t="shared" si="84"/>
        <v>3G</v>
      </c>
      <c r="BH89" s="22" t="str">
        <f t="shared" si="85"/>
        <v>3G</v>
      </c>
      <c r="BI89" s="22">
        <f t="shared" si="110"/>
        <v>3</v>
      </c>
      <c r="BJ89" s="22">
        <f t="shared" si="111"/>
        <v>1</v>
      </c>
      <c r="BK89" s="22">
        <f t="shared" si="112"/>
        <v>2</v>
      </c>
      <c r="BL89" s="22" t="str">
        <f t="shared" si="113"/>
        <v>312</v>
      </c>
      <c r="BS89"/>
      <c r="CL89" s="23">
        <v>108</v>
      </c>
      <c r="CM89" s="23">
        <v>100</v>
      </c>
      <c r="CO89"/>
    </row>
    <row r="90" spans="2:93" ht="17" hidden="1">
      <c r="B90" s="15">
        <v>86</v>
      </c>
      <c r="C90" s="23" t="s">
        <v>116</v>
      </c>
      <c r="D90" s="16">
        <v>1</v>
      </c>
      <c r="E90" s="17">
        <v>14252186400</v>
      </c>
      <c r="F90" s="16">
        <v>16</v>
      </c>
      <c r="G90" s="17">
        <v>148460275</v>
      </c>
      <c r="H90" s="16">
        <v>611</v>
      </c>
      <c r="I90" s="17">
        <v>3887667</v>
      </c>
      <c r="J90" s="17">
        <v>35057</v>
      </c>
      <c r="K90" s="17">
        <v>135515</v>
      </c>
      <c r="L90" s="17">
        <v>616434</v>
      </c>
      <c r="M90" s="17">
        <v>10000</v>
      </c>
      <c r="N90" s="23">
        <v>2</v>
      </c>
      <c r="O90" s="23">
        <v>12</v>
      </c>
      <c r="P90" s="23">
        <v>37</v>
      </c>
      <c r="Q90" s="23">
        <v>39</v>
      </c>
      <c r="R90" s="23">
        <v>41</v>
      </c>
      <c r="S90" s="23">
        <v>45</v>
      </c>
      <c r="T90" s="23">
        <v>33</v>
      </c>
      <c r="U90" s="23">
        <f t="shared" si="86"/>
        <v>176</v>
      </c>
      <c r="W90" s="22" t="str">
        <f t="shared" si="69"/>
        <v>짝수</v>
      </c>
      <c r="X90" s="22" t="str">
        <f t="shared" si="70"/>
        <v>짝수</v>
      </c>
      <c r="Y90" s="22" t="str">
        <f t="shared" si="71"/>
        <v>홀수</v>
      </c>
      <c r="Z90" s="22" t="str">
        <f t="shared" si="72"/>
        <v>홀수</v>
      </c>
      <c r="AA90" s="22" t="str">
        <f t="shared" si="73"/>
        <v>홀수</v>
      </c>
      <c r="AB90" s="22" t="str">
        <f t="shared" si="74"/>
        <v>홀수</v>
      </c>
      <c r="AC90" s="52" t="str">
        <f t="shared" si="75"/>
        <v>4 : 2</v>
      </c>
      <c r="AD90" s="22">
        <f t="shared" si="76"/>
        <v>4</v>
      </c>
      <c r="AE90" s="22">
        <f t="shared" si="77"/>
        <v>2</v>
      </c>
      <c r="AF90" s="22" t="str">
        <f t="shared" si="87"/>
        <v>저수</v>
      </c>
      <c r="AG90" s="22" t="str">
        <f t="shared" si="88"/>
        <v>저수</v>
      </c>
      <c r="AH90" s="22" t="str">
        <f t="shared" si="89"/>
        <v>고수</v>
      </c>
      <c r="AI90" s="22" t="str">
        <f t="shared" si="90"/>
        <v>고수</v>
      </c>
      <c r="AJ90" s="22" t="str">
        <f t="shared" si="91"/>
        <v>고수</v>
      </c>
      <c r="AK90" s="22" t="str">
        <f t="shared" si="92"/>
        <v>고수</v>
      </c>
      <c r="AL90" s="52" t="str">
        <f t="shared" si="93"/>
        <v>2 : 4</v>
      </c>
      <c r="AM90" s="22">
        <f t="shared" si="94"/>
        <v>2</v>
      </c>
      <c r="AN90" s="22">
        <f t="shared" si="95"/>
        <v>4</v>
      </c>
      <c r="AO90" s="22">
        <f t="shared" si="96"/>
        <v>26</v>
      </c>
      <c r="AP90" s="22" t="str">
        <f t="shared" si="97"/>
        <v>O</v>
      </c>
      <c r="AQ90" s="22" t="str">
        <f t="shared" si="98"/>
        <v>X</v>
      </c>
      <c r="AR90" s="22" t="str">
        <f t="shared" si="99"/>
        <v>X</v>
      </c>
      <c r="AS90" s="22" t="str">
        <f t="shared" si="100"/>
        <v>X</v>
      </c>
      <c r="AT90" s="22" t="str">
        <f t="shared" si="101"/>
        <v>X</v>
      </c>
      <c r="AU90" s="22" t="str">
        <f t="shared" si="102"/>
        <v>X</v>
      </c>
      <c r="AV90" s="22" t="str">
        <f t="shared" si="103"/>
        <v>X</v>
      </c>
      <c r="AW90" s="22" t="str">
        <f t="shared" si="104"/>
        <v>X</v>
      </c>
      <c r="AX90" s="22" t="str">
        <f t="shared" si="105"/>
        <v>O</v>
      </c>
      <c r="AY90" s="22" t="str">
        <f t="shared" si="106"/>
        <v>X</v>
      </c>
      <c r="AZ90" s="22" t="str">
        <f t="shared" si="107"/>
        <v>O</v>
      </c>
      <c r="BA90" s="22" t="str">
        <f t="shared" si="108"/>
        <v>X</v>
      </c>
      <c r="BB90" s="22">
        <f t="shared" si="109"/>
        <v>3</v>
      </c>
      <c r="BC90" s="22" t="str">
        <f t="shared" si="80"/>
        <v>1G</v>
      </c>
      <c r="BD90" s="22" t="str">
        <f t="shared" si="81"/>
        <v>1G</v>
      </c>
      <c r="BE90" s="22" t="str">
        <f t="shared" si="82"/>
        <v>3G</v>
      </c>
      <c r="BF90" s="22" t="str">
        <f t="shared" si="83"/>
        <v>3G</v>
      </c>
      <c r="BG90" s="22" t="str">
        <f t="shared" si="84"/>
        <v>3G</v>
      </c>
      <c r="BH90" s="22" t="str">
        <f t="shared" si="85"/>
        <v>3G</v>
      </c>
      <c r="BI90" s="22">
        <f t="shared" si="110"/>
        <v>2</v>
      </c>
      <c r="BJ90" s="22">
        <f t="shared" si="111"/>
        <v>0</v>
      </c>
      <c r="BK90" s="22">
        <f t="shared" si="112"/>
        <v>4</v>
      </c>
      <c r="BL90" s="22" t="str">
        <f t="shared" si="113"/>
        <v>204</v>
      </c>
      <c r="BS90"/>
      <c r="CL90" s="23">
        <v>108</v>
      </c>
      <c r="CM90" s="23">
        <v>100</v>
      </c>
      <c r="CO90"/>
    </row>
    <row r="91" spans="2:93" ht="17" hidden="1">
      <c r="B91" s="15">
        <v>87</v>
      </c>
      <c r="C91" s="23" t="s">
        <v>117</v>
      </c>
      <c r="D91" s="16">
        <v>11</v>
      </c>
      <c r="E91" s="17">
        <v>1799358055</v>
      </c>
      <c r="F91" s="16">
        <v>33</v>
      </c>
      <c r="G91" s="17">
        <v>99964337</v>
      </c>
      <c r="H91" s="17">
        <v>1250</v>
      </c>
      <c r="I91" s="17">
        <v>2639059</v>
      </c>
      <c r="J91" s="17">
        <v>54768</v>
      </c>
      <c r="K91" s="17">
        <v>120466</v>
      </c>
      <c r="L91" s="17">
        <v>890859</v>
      </c>
      <c r="M91" s="17">
        <v>10000</v>
      </c>
      <c r="N91" s="23">
        <v>4</v>
      </c>
      <c r="O91" s="23">
        <v>12</v>
      </c>
      <c r="P91" s="23">
        <v>16</v>
      </c>
      <c r="Q91" s="23">
        <v>23</v>
      </c>
      <c r="R91" s="23">
        <v>34</v>
      </c>
      <c r="S91" s="23">
        <v>43</v>
      </c>
      <c r="T91" s="23">
        <v>26</v>
      </c>
      <c r="U91" s="23">
        <f t="shared" si="86"/>
        <v>132</v>
      </c>
      <c r="W91" s="22" t="str">
        <f t="shared" si="69"/>
        <v>짝수</v>
      </c>
      <c r="X91" s="22" t="str">
        <f t="shared" si="70"/>
        <v>짝수</v>
      </c>
      <c r="Y91" s="22" t="str">
        <f t="shared" si="71"/>
        <v>짝수</v>
      </c>
      <c r="Z91" s="22" t="str">
        <f t="shared" si="72"/>
        <v>홀수</v>
      </c>
      <c r="AA91" s="22" t="str">
        <f t="shared" si="73"/>
        <v>짝수</v>
      </c>
      <c r="AB91" s="22" t="str">
        <f t="shared" si="74"/>
        <v>홀수</v>
      </c>
      <c r="AC91" s="52" t="str">
        <f t="shared" si="75"/>
        <v>2 : 4</v>
      </c>
      <c r="AD91" s="22">
        <f t="shared" si="76"/>
        <v>2</v>
      </c>
      <c r="AE91" s="22">
        <f t="shared" si="77"/>
        <v>4</v>
      </c>
      <c r="AF91" s="22" t="str">
        <f t="shared" si="87"/>
        <v>저수</v>
      </c>
      <c r="AG91" s="22" t="str">
        <f t="shared" si="88"/>
        <v>저수</v>
      </c>
      <c r="AH91" s="22" t="str">
        <f t="shared" si="89"/>
        <v>저수</v>
      </c>
      <c r="AI91" s="22" t="str">
        <f t="shared" si="90"/>
        <v>고수</v>
      </c>
      <c r="AJ91" s="22" t="str">
        <f t="shared" si="91"/>
        <v>고수</v>
      </c>
      <c r="AK91" s="22" t="str">
        <f t="shared" si="92"/>
        <v>고수</v>
      </c>
      <c r="AL91" s="52" t="str">
        <f t="shared" si="93"/>
        <v>3 : 3</v>
      </c>
      <c r="AM91" s="22">
        <f t="shared" si="94"/>
        <v>3</v>
      </c>
      <c r="AN91" s="22">
        <f t="shared" si="95"/>
        <v>3</v>
      </c>
      <c r="AO91" s="22">
        <f t="shared" si="96"/>
        <v>22</v>
      </c>
      <c r="AP91" s="22" t="str">
        <f t="shared" si="97"/>
        <v>X</v>
      </c>
      <c r="AQ91" s="22" t="str">
        <f t="shared" si="98"/>
        <v>X</v>
      </c>
      <c r="AR91" s="22" t="str">
        <f t="shared" si="99"/>
        <v>X</v>
      </c>
      <c r="AS91" s="22" t="str">
        <f t="shared" si="100"/>
        <v>X</v>
      </c>
      <c r="AT91" s="22" t="str">
        <f t="shared" si="101"/>
        <v>X</v>
      </c>
      <c r="AU91" s="22" t="str">
        <f t="shared" si="102"/>
        <v>X</v>
      </c>
      <c r="AV91" s="22" t="str">
        <f t="shared" si="103"/>
        <v>X</v>
      </c>
      <c r="AW91" s="22" t="str">
        <f t="shared" si="104"/>
        <v>X</v>
      </c>
      <c r="AX91" s="22" t="str">
        <f t="shared" si="105"/>
        <v>X</v>
      </c>
      <c r="AY91" s="22" t="str">
        <f t="shared" si="106"/>
        <v>O</v>
      </c>
      <c r="AZ91" s="22" t="str">
        <f t="shared" si="107"/>
        <v>X</v>
      </c>
      <c r="BA91" s="22" t="str">
        <f t="shared" si="108"/>
        <v>O</v>
      </c>
      <c r="BB91" s="22">
        <f t="shared" si="109"/>
        <v>2</v>
      </c>
      <c r="BC91" s="22" t="str">
        <f t="shared" si="80"/>
        <v>1G</v>
      </c>
      <c r="BD91" s="22" t="str">
        <f t="shared" si="81"/>
        <v>1G</v>
      </c>
      <c r="BE91" s="22" t="str">
        <f t="shared" si="82"/>
        <v>2G</v>
      </c>
      <c r="BF91" s="22" t="str">
        <f t="shared" si="83"/>
        <v>2G</v>
      </c>
      <c r="BG91" s="22" t="str">
        <f t="shared" si="84"/>
        <v>3G</v>
      </c>
      <c r="BH91" s="22" t="str">
        <f t="shared" si="85"/>
        <v>3G</v>
      </c>
      <c r="BI91" s="22">
        <f t="shared" si="110"/>
        <v>2</v>
      </c>
      <c r="BJ91" s="22">
        <f t="shared" si="111"/>
        <v>2</v>
      </c>
      <c r="BK91" s="22">
        <f t="shared" si="112"/>
        <v>2</v>
      </c>
      <c r="BL91" s="22" t="str">
        <f t="shared" si="113"/>
        <v>222</v>
      </c>
      <c r="BS91"/>
      <c r="CL91" s="23">
        <v>108</v>
      </c>
      <c r="CM91" s="23">
        <v>100</v>
      </c>
      <c r="CO91"/>
    </row>
    <row r="92" spans="2:93" ht="17" hidden="1">
      <c r="B92" s="15">
        <v>88</v>
      </c>
      <c r="C92" s="23" t="s">
        <v>118</v>
      </c>
      <c r="D92" s="16">
        <v>4</v>
      </c>
      <c r="E92" s="17">
        <v>3069709650</v>
      </c>
      <c r="F92" s="16">
        <v>31</v>
      </c>
      <c r="G92" s="17">
        <v>66015262</v>
      </c>
      <c r="H92" s="17">
        <v>1183</v>
      </c>
      <c r="I92" s="17">
        <v>1729902</v>
      </c>
      <c r="J92" s="17">
        <v>64639</v>
      </c>
      <c r="K92" s="17">
        <v>63321</v>
      </c>
      <c r="L92" s="17">
        <v>1098115</v>
      </c>
      <c r="M92" s="17">
        <v>5000</v>
      </c>
      <c r="N92" s="23">
        <v>1</v>
      </c>
      <c r="O92" s="23">
        <v>17</v>
      </c>
      <c r="P92" s="23">
        <v>20</v>
      </c>
      <c r="Q92" s="23">
        <v>24</v>
      </c>
      <c r="R92" s="23">
        <v>30</v>
      </c>
      <c r="S92" s="23">
        <v>41</v>
      </c>
      <c r="T92" s="23">
        <v>27</v>
      </c>
      <c r="U92" s="23">
        <f t="shared" si="86"/>
        <v>133</v>
      </c>
      <c r="W92" s="22" t="str">
        <f t="shared" si="69"/>
        <v>홀수</v>
      </c>
      <c r="X92" s="22" t="str">
        <f t="shared" si="70"/>
        <v>홀수</v>
      </c>
      <c r="Y92" s="22" t="str">
        <f t="shared" si="71"/>
        <v>짝수</v>
      </c>
      <c r="Z92" s="22" t="str">
        <f t="shared" si="72"/>
        <v>짝수</v>
      </c>
      <c r="AA92" s="22" t="str">
        <f t="shared" si="73"/>
        <v>짝수</v>
      </c>
      <c r="AB92" s="22" t="str">
        <f t="shared" si="74"/>
        <v>홀수</v>
      </c>
      <c r="AC92" s="52" t="str">
        <f t="shared" si="75"/>
        <v>3 : 3</v>
      </c>
      <c r="AD92" s="22">
        <f t="shared" si="76"/>
        <v>3</v>
      </c>
      <c r="AE92" s="22">
        <f t="shared" si="77"/>
        <v>3</v>
      </c>
      <c r="AF92" s="22" t="str">
        <f t="shared" si="87"/>
        <v>저수</v>
      </c>
      <c r="AG92" s="22" t="str">
        <f t="shared" si="88"/>
        <v>저수</v>
      </c>
      <c r="AH92" s="22" t="str">
        <f t="shared" si="89"/>
        <v>저수</v>
      </c>
      <c r="AI92" s="22" t="str">
        <f t="shared" si="90"/>
        <v>고수</v>
      </c>
      <c r="AJ92" s="22" t="str">
        <f t="shared" si="91"/>
        <v>고수</v>
      </c>
      <c r="AK92" s="22" t="str">
        <f t="shared" si="92"/>
        <v>고수</v>
      </c>
      <c r="AL92" s="52" t="str">
        <f t="shared" si="93"/>
        <v>3 : 3</v>
      </c>
      <c r="AM92" s="22">
        <f t="shared" si="94"/>
        <v>3</v>
      </c>
      <c r="AN92" s="22">
        <f t="shared" si="95"/>
        <v>3</v>
      </c>
      <c r="AO92" s="22">
        <f t="shared" si="96"/>
        <v>13</v>
      </c>
      <c r="AP92" s="22" t="str">
        <f t="shared" si="97"/>
        <v>X</v>
      </c>
      <c r="AQ92" s="22" t="str">
        <f t="shared" si="98"/>
        <v>O</v>
      </c>
      <c r="AR92" s="22" t="str">
        <f t="shared" si="99"/>
        <v>X</v>
      </c>
      <c r="AS92" s="22" t="str">
        <f t="shared" si="100"/>
        <v>X</v>
      </c>
      <c r="AT92" s="22" t="str">
        <f t="shared" si="101"/>
        <v>X</v>
      </c>
      <c r="AU92" s="22" t="str">
        <f t="shared" si="102"/>
        <v>X</v>
      </c>
      <c r="AV92" s="22" t="str">
        <f t="shared" si="103"/>
        <v>X</v>
      </c>
      <c r="AW92" s="22" t="str">
        <f t="shared" si="104"/>
        <v>X</v>
      </c>
      <c r="AX92" s="22" t="str">
        <f t="shared" si="105"/>
        <v>X</v>
      </c>
      <c r="AY92" s="22" t="str">
        <f t="shared" si="106"/>
        <v>X</v>
      </c>
      <c r="AZ92" s="22" t="str">
        <f t="shared" si="107"/>
        <v>X</v>
      </c>
      <c r="BA92" s="22" t="str">
        <f t="shared" si="108"/>
        <v>O</v>
      </c>
      <c r="BB92" s="22">
        <f t="shared" si="109"/>
        <v>2</v>
      </c>
      <c r="BC92" s="22" t="str">
        <f t="shared" si="80"/>
        <v>1G</v>
      </c>
      <c r="BD92" s="22" t="str">
        <f t="shared" si="81"/>
        <v>2G</v>
      </c>
      <c r="BE92" s="22" t="str">
        <f t="shared" si="82"/>
        <v>2G</v>
      </c>
      <c r="BF92" s="22" t="str">
        <f t="shared" si="83"/>
        <v>2G</v>
      </c>
      <c r="BG92" s="22" t="str">
        <f t="shared" si="84"/>
        <v>2G</v>
      </c>
      <c r="BH92" s="22" t="str">
        <f t="shared" si="85"/>
        <v>3G</v>
      </c>
      <c r="BI92" s="22">
        <f t="shared" si="110"/>
        <v>1</v>
      </c>
      <c r="BJ92" s="22">
        <f t="shared" si="111"/>
        <v>4</v>
      </c>
      <c r="BK92" s="22">
        <f t="shared" si="112"/>
        <v>1</v>
      </c>
      <c r="BL92" s="22" t="str">
        <f t="shared" si="113"/>
        <v>141</v>
      </c>
      <c r="BS92"/>
      <c r="CL92" s="23">
        <v>108</v>
      </c>
      <c r="CM92" s="23">
        <v>100</v>
      </c>
      <c r="CO92"/>
    </row>
    <row r="93" spans="2:93" ht="17" hidden="1">
      <c r="B93" s="15">
        <v>89</v>
      </c>
      <c r="C93" s="23" t="s">
        <v>119</v>
      </c>
      <c r="D93" s="16">
        <v>3</v>
      </c>
      <c r="E93" s="17">
        <v>4248321900</v>
      </c>
      <c r="F93" s="16">
        <v>30</v>
      </c>
      <c r="G93" s="17">
        <v>70805365</v>
      </c>
      <c r="H93" s="17">
        <v>1340</v>
      </c>
      <c r="I93" s="17">
        <v>1585195</v>
      </c>
      <c r="J93" s="17">
        <v>72667</v>
      </c>
      <c r="K93" s="17">
        <v>58463</v>
      </c>
      <c r="L93" s="17">
        <v>1261896</v>
      </c>
      <c r="M93" s="17">
        <v>5000</v>
      </c>
      <c r="N93" s="23">
        <v>4</v>
      </c>
      <c r="O93" s="23">
        <v>26</v>
      </c>
      <c r="P93" s="23">
        <v>28</v>
      </c>
      <c r="Q93" s="23">
        <v>29</v>
      </c>
      <c r="R93" s="23">
        <v>33</v>
      </c>
      <c r="S93" s="23">
        <v>40</v>
      </c>
      <c r="T93" s="23">
        <v>37</v>
      </c>
      <c r="U93" s="23">
        <f t="shared" si="86"/>
        <v>160</v>
      </c>
      <c r="W93" s="22" t="str">
        <f t="shared" si="69"/>
        <v>짝수</v>
      </c>
      <c r="X93" s="22" t="str">
        <f t="shared" si="70"/>
        <v>짝수</v>
      </c>
      <c r="Y93" s="22" t="str">
        <f t="shared" si="71"/>
        <v>짝수</v>
      </c>
      <c r="Z93" s="22" t="str">
        <f t="shared" si="72"/>
        <v>홀수</v>
      </c>
      <c r="AA93" s="22" t="str">
        <f t="shared" si="73"/>
        <v>홀수</v>
      </c>
      <c r="AB93" s="22" t="str">
        <f t="shared" si="74"/>
        <v>짝수</v>
      </c>
      <c r="AC93" s="52" t="str">
        <f t="shared" si="75"/>
        <v>2 : 4</v>
      </c>
      <c r="AD93" s="22">
        <f t="shared" si="76"/>
        <v>2</v>
      </c>
      <c r="AE93" s="22">
        <f t="shared" si="77"/>
        <v>4</v>
      </c>
      <c r="AF93" s="22" t="str">
        <f t="shared" si="87"/>
        <v>저수</v>
      </c>
      <c r="AG93" s="22" t="str">
        <f t="shared" si="88"/>
        <v>고수</v>
      </c>
      <c r="AH93" s="22" t="str">
        <f t="shared" si="89"/>
        <v>고수</v>
      </c>
      <c r="AI93" s="22" t="str">
        <f t="shared" si="90"/>
        <v>고수</v>
      </c>
      <c r="AJ93" s="22" t="str">
        <f t="shared" si="91"/>
        <v>고수</v>
      </c>
      <c r="AK93" s="22" t="str">
        <f t="shared" si="92"/>
        <v>고수</v>
      </c>
      <c r="AL93" s="52" t="str">
        <f t="shared" si="93"/>
        <v>1 : 5</v>
      </c>
      <c r="AM93" s="22">
        <f t="shared" si="94"/>
        <v>1</v>
      </c>
      <c r="AN93" s="22">
        <f t="shared" si="95"/>
        <v>5</v>
      </c>
      <c r="AO93" s="22">
        <f t="shared" si="96"/>
        <v>30</v>
      </c>
      <c r="AP93" s="22" t="str">
        <f t="shared" si="97"/>
        <v>X</v>
      </c>
      <c r="AQ93" s="22" t="str">
        <f t="shared" si="98"/>
        <v>X</v>
      </c>
      <c r="AR93" s="22" t="str">
        <f t="shared" si="99"/>
        <v>X</v>
      </c>
      <c r="AS93" s="22" t="str">
        <f t="shared" si="100"/>
        <v>X</v>
      </c>
      <c r="AT93" s="22" t="str">
        <f t="shared" si="101"/>
        <v>X</v>
      </c>
      <c r="AU93" s="22" t="str">
        <f t="shared" si="102"/>
        <v>X</v>
      </c>
      <c r="AV93" s="22" t="str">
        <f t="shared" si="103"/>
        <v>X</v>
      </c>
      <c r="AW93" s="22" t="str">
        <f t="shared" si="104"/>
        <v>X</v>
      </c>
      <c r="AX93" s="22" t="str">
        <f t="shared" si="105"/>
        <v>X</v>
      </c>
      <c r="AY93" s="22" t="str">
        <f t="shared" si="106"/>
        <v>O</v>
      </c>
      <c r="AZ93" s="22" t="str">
        <f t="shared" si="107"/>
        <v>X</v>
      </c>
      <c r="BA93" s="22" t="str">
        <f t="shared" si="108"/>
        <v>X</v>
      </c>
      <c r="BB93" s="22">
        <f t="shared" si="109"/>
        <v>1</v>
      </c>
      <c r="BC93" s="22" t="str">
        <f t="shared" si="80"/>
        <v>1G</v>
      </c>
      <c r="BD93" s="22" t="str">
        <f t="shared" si="81"/>
        <v>2G</v>
      </c>
      <c r="BE93" s="22" t="str">
        <f t="shared" si="82"/>
        <v>2G</v>
      </c>
      <c r="BF93" s="22" t="str">
        <f t="shared" si="83"/>
        <v>2G</v>
      </c>
      <c r="BG93" s="22" t="str">
        <f t="shared" si="84"/>
        <v>3G</v>
      </c>
      <c r="BH93" s="22" t="str">
        <f t="shared" si="85"/>
        <v>3G</v>
      </c>
      <c r="BI93" s="22">
        <f t="shared" si="110"/>
        <v>1</v>
      </c>
      <c r="BJ93" s="22">
        <f t="shared" si="111"/>
        <v>3</v>
      </c>
      <c r="BK93" s="22">
        <f t="shared" si="112"/>
        <v>2</v>
      </c>
      <c r="BL93" s="22" t="str">
        <f t="shared" si="113"/>
        <v>132</v>
      </c>
      <c r="BS93"/>
      <c r="CL93" s="23">
        <v>109</v>
      </c>
      <c r="CM93" s="23">
        <v>100</v>
      </c>
      <c r="CO93"/>
    </row>
    <row r="94" spans="2:93" ht="17" hidden="1">
      <c r="B94" s="15">
        <v>90</v>
      </c>
      <c r="C94" s="23" t="s">
        <v>120</v>
      </c>
      <c r="D94" s="16">
        <v>4</v>
      </c>
      <c r="E94" s="17">
        <v>3291435300</v>
      </c>
      <c r="F94" s="16">
        <v>34</v>
      </c>
      <c r="G94" s="17">
        <v>64537948</v>
      </c>
      <c r="H94" s="17">
        <v>1297</v>
      </c>
      <c r="I94" s="17">
        <v>1691820</v>
      </c>
      <c r="J94" s="17">
        <v>67888</v>
      </c>
      <c r="K94" s="17">
        <v>64645</v>
      </c>
      <c r="L94" s="17">
        <v>1160774</v>
      </c>
      <c r="M94" s="17">
        <v>5000</v>
      </c>
      <c r="N94" s="23">
        <v>17</v>
      </c>
      <c r="O94" s="23">
        <v>20</v>
      </c>
      <c r="P94" s="23">
        <v>29</v>
      </c>
      <c r="Q94" s="23">
        <v>35</v>
      </c>
      <c r="R94" s="23">
        <v>38</v>
      </c>
      <c r="S94" s="23">
        <v>44</v>
      </c>
      <c r="T94" s="23">
        <v>10</v>
      </c>
      <c r="U94" s="23">
        <f t="shared" si="86"/>
        <v>183</v>
      </c>
      <c r="W94" s="22" t="str">
        <f t="shared" si="69"/>
        <v>홀수</v>
      </c>
      <c r="X94" s="22" t="str">
        <f t="shared" si="70"/>
        <v>짝수</v>
      </c>
      <c r="Y94" s="22" t="str">
        <f t="shared" si="71"/>
        <v>홀수</v>
      </c>
      <c r="Z94" s="22" t="str">
        <f t="shared" si="72"/>
        <v>홀수</v>
      </c>
      <c r="AA94" s="22" t="str">
        <f t="shared" si="73"/>
        <v>짝수</v>
      </c>
      <c r="AB94" s="22" t="str">
        <f t="shared" si="74"/>
        <v>짝수</v>
      </c>
      <c r="AC94" s="52" t="str">
        <f t="shared" si="75"/>
        <v>3 : 3</v>
      </c>
      <c r="AD94" s="22">
        <f t="shared" si="76"/>
        <v>3</v>
      </c>
      <c r="AE94" s="22">
        <f t="shared" si="77"/>
        <v>3</v>
      </c>
      <c r="AF94" s="22" t="str">
        <f t="shared" si="87"/>
        <v>저수</v>
      </c>
      <c r="AG94" s="22" t="str">
        <f t="shared" si="88"/>
        <v>저수</v>
      </c>
      <c r="AH94" s="22" t="str">
        <f t="shared" si="89"/>
        <v>고수</v>
      </c>
      <c r="AI94" s="22" t="str">
        <f t="shared" si="90"/>
        <v>고수</v>
      </c>
      <c r="AJ94" s="22" t="str">
        <f t="shared" si="91"/>
        <v>고수</v>
      </c>
      <c r="AK94" s="22" t="str">
        <f t="shared" si="92"/>
        <v>고수</v>
      </c>
      <c r="AL94" s="52" t="str">
        <f t="shared" si="93"/>
        <v>2 : 4</v>
      </c>
      <c r="AM94" s="22">
        <f t="shared" si="94"/>
        <v>2</v>
      </c>
      <c r="AN94" s="22">
        <f t="shared" si="95"/>
        <v>4</v>
      </c>
      <c r="AO94" s="22">
        <f t="shared" si="96"/>
        <v>33</v>
      </c>
      <c r="AP94" s="22" t="str">
        <f t="shared" si="97"/>
        <v>O</v>
      </c>
      <c r="AQ94" s="22" t="str">
        <f t="shared" si="98"/>
        <v>X</v>
      </c>
      <c r="AR94" s="22" t="str">
        <f t="shared" si="99"/>
        <v>X</v>
      </c>
      <c r="AS94" s="22" t="str">
        <f t="shared" si="100"/>
        <v>X</v>
      </c>
      <c r="AT94" s="22" t="str">
        <f t="shared" si="101"/>
        <v>X</v>
      </c>
      <c r="AU94" s="22" t="str">
        <f t="shared" si="102"/>
        <v>X</v>
      </c>
      <c r="AV94" s="22" t="str">
        <f t="shared" si="103"/>
        <v>X</v>
      </c>
      <c r="AW94" s="22" t="str">
        <f t="shared" si="104"/>
        <v>X</v>
      </c>
      <c r="AX94" s="22" t="str">
        <f t="shared" si="105"/>
        <v>O</v>
      </c>
      <c r="AY94" s="22" t="str">
        <f t="shared" si="106"/>
        <v>X</v>
      </c>
      <c r="AZ94" s="22" t="str">
        <f t="shared" si="107"/>
        <v>X</v>
      </c>
      <c r="BA94" s="22" t="str">
        <f t="shared" si="108"/>
        <v>X</v>
      </c>
      <c r="BB94" s="22">
        <f t="shared" si="109"/>
        <v>2</v>
      </c>
      <c r="BC94" s="22" t="str">
        <f t="shared" si="80"/>
        <v>2G</v>
      </c>
      <c r="BD94" s="22" t="str">
        <f t="shared" si="81"/>
        <v>2G</v>
      </c>
      <c r="BE94" s="22" t="str">
        <f t="shared" si="82"/>
        <v>2G</v>
      </c>
      <c r="BF94" s="22" t="str">
        <f t="shared" si="83"/>
        <v>3G</v>
      </c>
      <c r="BG94" s="22" t="str">
        <f t="shared" si="84"/>
        <v>3G</v>
      </c>
      <c r="BH94" s="22" t="str">
        <f t="shared" si="85"/>
        <v>3G</v>
      </c>
      <c r="BI94" s="22">
        <f t="shared" si="110"/>
        <v>0</v>
      </c>
      <c r="BJ94" s="22">
        <f t="shared" si="111"/>
        <v>3</v>
      </c>
      <c r="BK94" s="22">
        <f t="shared" si="112"/>
        <v>3</v>
      </c>
      <c r="BL94" s="22" t="str">
        <f t="shared" si="113"/>
        <v>033</v>
      </c>
      <c r="BS94"/>
      <c r="CL94" s="23">
        <v>109</v>
      </c>
      <c r="CM94" s="23">
        <v>100</v>
      </c>
      <c r="CO94"/>
    </row>
    <row r="95" spans="2:93" ht="17" hidden="1">
      <c r="B95" s="15">
        <v>91</v>
      </c>
      <c r="C95" s="23" t="s">
        <v>121</v>
      </c>
      <c r="D95" s="16">
        <v>4</v>
      </c>
      <c r="E95" s="17">
        <v>3582902400</v>
      </c>
      <c r="F95" s="16">
        <v>32</v>
      </c>
      <c r="G95" s="17">
        <v>74643800</v>
      </c>
      <c r="H95" s="17">
        <v>1205</v>
      </c>
      <c r="I95" s="17">
        <v>1982242</v>
      </c>
      <c r="J95" s="17">
        <v>64183</v>
      </c>
      <c r="K95" s="17">
        <v>74431</v>
      </c>
      <c r="L95" s="17">
        <v>1128902</v>
      </c>
      <c r="M95" s="17">
        <v>5000</v>
      </c>
      <c r="N95" s="23">
        <v>1</v>
      </c>
      <c r="O95" s="23">
        <v>21</v>
      </c>
      <c r="P95" s="23">
        <v>24</v>
      </c>
      <c r="Q95" s="23">
        <v>26</v>
      </c>
      <c r="R95" s="23">
        <v>29</v>
      </c>
      <c r="S95" s="23">
        <v>42</v>
      </c>
      <c r="T95" s="23">
        <v>27</v>
      </c>
      <c r="U95" s="23">
        <f t="shared" si="86"/>
        <v>143</v>
      </c>
      <c r="W95" s="22" t="str">
        <f t="shared" si="69"/>
        <v>홀수</v>
      </c>
      <c r="X95" s="22" t="str">
        <f t="shared" si="70"/>
        <v>홀수</v>
      </c>
      <c r="Y95" s="22" t="str">
        <f t="shared" si="71"/>
        <v>짝수</v>
      </c>
      <c r="Z95" s="22" t="str">
        <f t="shared" si="72"/>
        <v>짝수</v>
      </c>
      <c r="AA95" s="22" t="str">
        <f t="shared" si="73"/>
        <v>홀수</v>
      </c>
      <c r="AB95" s="22" t="str">
        <f t="shared" si="74"/>
        <v>짝수</v>
      </c>
      <c r="AC95" s="52" t="str">
        <f t="shared" si="75"/>
        <v>3 : 3</v>
      </c>
      <c r="AD95" s="22">
        <f t="shared" si="76"/>
        <v>3</v>
      </c>
      <c r="AE95" s="22">
        <f t="shared" si="77"/>
        <v>3</v>
      </c>
      <c r="AF95" s="22" t="str">
        <f t="shared" si="87"/>
        <v>저수</v>
      </c>
      <c r="AG95" s="22" t="str">
        <f t="shared" si="88"/>
        <v>저수</v>
      </c>
      <c r="AH95" s="22" t="str">
        <f t="shared" si="89"/>
        <v>고수</v>
      </c>
      <c r="AI95" s="22" t="str">
        <f t="shared" si="90"/>
        <v>고수</v>
      </c>
      <c r="AJ95" s="22" t="str">
        <f t="shared" si="91"/>
        <v>고수</v>
      </c>
      <c r="AK95" s="22" t="str">
        <f t="shared" si="92"/>
        <v>고수</v>
      </c>
      <c r="AL95" s="52" t="str">
        <f t="shared" si="93"/>
        <v>2 : 4</v>
      </c>
      <c r="AM95" s="22">
        <f t="shared" si="94"/>
        <v>2</v>
      </c>
      <c r="AN95" s="22">
        <f t="shared" si="95"/>
        <v>4</v>
      </c>
      <c r="AO95" s="22">
        <f t="shared" si="96"/>
        <v>23</v>
      </c>
      <c r="AP95" s="22" t="str">
        <f t="shared" si="97"/>
        <v>X</v>
      </c>
      <c r="AQ95" s="22" t="str">
        <f t="shared" si="98"/>
        <v>X</v>
      </c>
      <c r="AR95" s="22" t="str">
        <f t="shared" si="99"/>
        <v>X</v>
      </c>
      <c r="AS95" s="22" t="str">
        <f t="shared" si="100"/>
        <v>X</v>
      </c>
      <c r="AT95" s="22" t="str">
        <f t="shared" si="101"/>
        <v>X</v>
      </c>
      <c r="AU95" s="22" t="str">
        <f t="shared" si="102"/>
        <v>X</v>
      </c>
      <c r="AV95" s="22" t="str">
        <f t="shared" si="103"/>
        <v>X</v>
      </c>
      <c r="AW95" s="22" t="str">
        <f t="shared" si="104"/>
        <v>X</v>
      </c>
      <c r="AX95" s="22" t="str">
        <f t="shared" si="105"/>
        <v>X</v>
      </c>
      <c r="AY95" s="22" t="str">
        <f t="shared" si="106"/>
        <v>X</v>
      </c>
      <c r="AZ95" s="22" t="str">
        <f t="shared" si="107"/>
        <v>O</v>
      </c>
      <c r="BA95" s="22" t="str">
        <f t="shared" si="108"/>
        <v>X</v>
      </c>
      <c r="BB95" s="22">
        <f t="shared" si="109"/>
        <v>1</v>
      </c>
      <c r="BC95" s="22" t="str">
        <f t="shared" si="80"/>
        <v>1G</v>
      </c>
      <c r="BD95" s="22" t="str">
        <f t="shared" si="81"/>
        <v>2G</v>
      </c>
      <c r="BE95" s="22" t="str">
        <f t="shared" si="82"/>
        <v>2G</v>
      </c>
      <c r="BF95" s="22" t="str">
        <f t="shared" si="83"/>
        <v>2G</v>
      </c>
      <c r="BG95" s="22" t="str">
        <f t="shared" si="84"/>
        <v>2G</v>
      </c>
      <c r="BH95" s="22" t="str">
        <f t="shared" si="85"/>
        <v>3G</v>
      </c>
      <c r="BI95" s="22">
        <f t="shared" si="110"/>
        <v>1</v>
      </c>
      <c r="BJ95" s="22">
        <f t="shared" si="111"/>
        <v>4</v>
      </c>
      <c r="BK95" s="22">
        <f t="shared" si="112"/>
        <v>1</v>
      </c>
      <c r="BL95" s="22" t="str">
        <f t="shared" si="113"/>
        <v>141</v>
      </c>
      <c r="BS95"/>
      <c r="CL95" s="23">
        <v>109</v>
      </c>
      <c r="CM95" s="23">
        <v>100</v>
      </c>
      <c r="CO95"/>
    </row>
    <row r="96" spans="2:93" ht="17" hidden="1">
      <c r="B96" s="15">
        <v>92</v>
      </c>
      <c r="C96" s="23" t="s">
        <v>122</v>
      </c>
      <c r="D96" s="16">
        <v>11</v>
      </c>
      <c r="E96" s="17">
        <v>1233270846</v>
      </c>
      <c r="F96" s="16">
        <v>50</v>
      </c>
      <c r="G96" s="17">
        <v>45219931</v>
      </c>
      <c r="H96" s="17">
        <v>1623</v>
      </c>
      <c r="I96" s="17">
        <v>1393098</v>
      </c>
      <c r="J96" s="17">
        <v>79319</v>
      </c>
      <c r="K96" s="17">
        <v>57011</v>
      </c>
      <c r="L96" s="17">
        <v>1307607</v>
      </c>
      <c r="M96" s="17">
        <v>5000</v>
      </c>
      <c r="N96" s="23">
        <v>3</v>
      </c>
      <c r="O96" s="23">
        <v>14</v>
      </c>
      <c r="P96" s="23">
        <v>24</v>
      </c>
      <c r="Q96" s="23">
        <v>33</v>
      </c>
      <c r="R96" s="23">
        <v>35</v>
      </c>
      <c r="S96" s="23">
        <v>36</v>
      </c>
      <c r="T96" s="23">
        <v>17</v>
      </c>
      <c r="U96" s="23">
        <f t="shared" si="86"/>
        <v>145</v>
      </c>
      <c r="W96" s="22" t="str">
        <f t="shared" si="69"/>
        <v>홀수</v>
      </c>
      <c r="X96" s="22" t="str">
        <f t="shared" si="70"/>
        <v>짝수</v>
      </c>
      <c r="Y96" s="22" t="str">
        <f t="shared" si="71"/>
        <v>짝수</v>
      </c>
      <c r="Z96" s="22" t="str">
        <f t="shared" si="72"/>
        <v>홀수</v>
      </c>
      <c r="AA96" s="22" t="str">
        <f t="shared" si="73"/>
        <v>홀수</v>
      </c>
      <c r="AB96" s="22" t="str">
        <f t="shared" si="74"/>
        <v>짝수</v>
      </c>
      <c r="AC96" s="52" t="str">
        <f t="shared" si="75"/>
        <v>3 : 3</v>
      </c>
      <c r="AD96" s="22">
        <f t="shared" si="76"/>
        <v>3</v>
      </c>
      <c r="AE96" s="22">
        <f t="shared" si="77"/>
        <v>3</v>
      </c>
      <c r="AF96" s="22" t="str">
        <f t="shared" si="87"/>
        <v>저수</v>
      </c>
      <c r="AG96" s="22" t="str">
        <f t="shared" si="88"/>
        <v>저수</v>
      </c>
      <c r="AH96" s="22" t="str">
        <f t="shared" si="89"/>
        <v>고수</v>
      </c>
      <c r="AI96" s="22" t="str">
        <f t="shared" si="90"/>
        <v>고수</v>
      </c>
      <c r="AJ96" s="22" t="str">
        <f t="shared" si="91"/>
        <v>고수</v>
      </c>
      <c r="AK96" s="22" t="str">
        <f t="shared" si="92"/>
        <v>고수</v>
      </c>
      <c r="AL96" s="52" t="str">
        <f t="shared" si="93"/>
        <v>2 : 4</v>
      </c>
      <c r="AM96" s="22">
        <f t="shared" si="94"/>
        <v>2</v>
      </c>
      <c r="AN96" s="22">
        <f t="shared" si="95"/>
        <v>4</v>
      </c>
      <c r="AO96" s="22">
        <f t="shared" si="96"/>
        <v>25</v>
      </c>
      <c r="AP96" s="22" t="str">
        <f t="shared" si="97"/>
        <v>O</v>
      </c>
      <c r="AQ96" s="22" t="str">
        <f t="shared" si="98"/>
        <v>X</v>
      </c>
      <c r="AR96" s="22" t="str">
        <f t="shared" si="99"/>
        <v>X</v>
      </c>
      <c r="AS96" s="22" t="str">
        <f t="shared" si="100"/>
        <v>X</v>
      </c>
      <c r="AT96" s="22" t="str">
        <f t="shared" si="101"/>
        <v>X</v>
      </c>
      <c r="AU96" s="22" t="str">
        <f t="shared" si="102"/>
        <v>X</v>
      </c>
      <c r="AV96" s="22" t="str">
        <f t="shared" si="103"/>
        <v>X</v>
      </c>
      <c r="AW96" s="22" t="str">
        <f t="shared" si="104"/>
        <v>X</v>
      </c>
      <c r="AX96" s="22" t="str">
        <f t="shared" si="105"/>
        <v>X</v>
      </c>
      <c r="AY96" s="22" t="str">
        <f t="shared" si="106"/>
        <v>X</v>
      </c>
      <c r="AZ96" s="22" t="str">
        <f t="shared" si="107"/>
        <v>X</v>
      </c>
      <c r="BA96" s="22" t="str">
        <f t="shared" si="108"/>
        <v>X</v>
      </c>
      <c r="BB96" s="22">
        <f t="shared" si="109"/>
        <v>1</v>
      </c>
      <c r="BC96" s="22" t="str">
        <f t="shared" si="80"/>
        <v>1G</v>
      </c>
      <c r="BD96" s="22" t="str">
        <f t="shared" si="81"/>
        <v>1G</v>
      </c>
      <c r="BE96" s="22" t="str">
        <f t="shared" si="82"/>
        <v>2G</v>
      </c>
      <c r="BF96" s="22" t="str">
        <f t="shared" si="83"/>
        <v>3G</v>
      </c>
      <c r="BG96" s="22" t="str">
        <f t="shared" si="84"/>
        <v>3G</v>
      </c>
      <c r="BH96" s="22" t="str">
        <f t="shared" si="85"/>
        <v>3G</v>
      </c>
      <c r="BI96" s="22">
        <f t="shared" si="110"/>
        <v>2</v>
      </c>
      <c r="BJ96" s="22">
        <f t="shared" si="111"/>
        <v>1</v>
      </c>
      <c r="BK96" s="22">
        <f t="shared" si="112"/>
        <v>3</v>
      </c>
      <c r="BL96" s="22" t="str">
        <f t="shared" si="113"/>
        <v>213</v>
      </c>
      <c r="BS96"/>
      <c r="CL96" s="23">
        <v>109</v>
      </c>
      <c r="CM96" s="23">
        <v>100</v>
      </c>
      <c r="CO96"/>
    </row>
    <row r="97" spans="2:93" ht="17" hidden="1">
      <c r="B97" s="15">
        <v>93</v>
      </c>
      <c r="C97" s="23" t="s">
        <v>123</v>
      </c>
      <c r="D97" s="16">
        <v>6</v>
      </c>
      <c r="E97" s="17">
        <v>2269178150</v>
      </c>
      <c r="F97" s="16">
        <v>26</v>
      </c>
      <c r="G97" s="17">
        <v>87276083</v>
      </c>
      <c r="H97" s="17">
        <v>1462</v>
      </c>
      <c r="I97" s="17">
        <v>1552106</v>
      </c>
      <c r="J97" s="17">
        <v>68597</v>
      </c>
      <c r="K97" s="17">
        <v>66160</v>
      </c>
      <c r="L97" s="17">
        <v>1185275</v>
      </c>
      <c r="M97" s="17">
        <v>5000</v>
      </c>
      <c r="N97" s="23">
        <v>6</v>
      </c>
      <c r="O97" s="23">
        <v>22</v>
      </c>
      <c r="P97" s="23">
        <v>24</v>
      </c>
      <c r="Q97" s="23">
        <v>36</v>
      </c>
      <c r="R97" s="23">
        <v>38</v>
      </c>
      <c r="S97" s="23">
        <v>44</v>
      </c>
      <c r="T97" s="23">
        <v>19</v>
      </c>
      <c r="U97" s="23">
        <f t="shared" si="86"/>
        <v>170</v>
      </c>
      <c r="W97" s="22" t="str">
        <f t="shared" si="69"/>
        <v>짝수</v>
      </c>
      <c r="X97" s="22" t="str">
        <f t="shared" si="70"/>
        <v>짝수</v>
      </c>
      <c r="Y97" s="22" t="str">
        <f t="shared" si="71"/>
        <v>짝수</v>
      </c>
      <c r="Z97" s="22" t="str">
        <f t="shared" si="72"/>
        <v>짝수</v>
      </c>
      <c r="AA97" s="22" t="str">
        <f t="shared" si="73"/>
        <v>짝수</v>
      </c>
      <c r="AB97" s="22" t="str">
        <f t="shared" si="74"/>
        <v>짝수</v>
      </c>
      <c r="AC97" s="52" t="str">
        <f t="shared" si="75"/>
        <v>0 : 6</v>
      </c>
      <c r="AD97" s="22">
        <f t="shared" si="76"/>
        <v>0</v>
      </c>
      <c r="AE97" s="22">
        <f t="shared" si="77"/>
        <v>6</v>
      </c>
      <c r="AF97" s="22" t="str">
        <f t="shared" si="87"/>
        <v>저수</v>
      </c>
      <c r="AG97" s="22" t="str">
        <f t="shared" si="88"/>
        <v>저수</v>
      </c>
      <c r="AH97" s="22" t="str">
        <f t="shared" si="89"/>
        <v>고수</v>
      </c>
      <c r="AI97" s="22" t="str">
        <f t="shared" si="90"/>
        <v>고수</v>
      </c>
      <c r="AJ97" s="22" t="str">
        <f t="shared" si="91"/>
        <v>고수</v>
      </c>
      <c r="AK97" s="22" t="str">
        <f t="shared" si="92"/>
        <v>고수</v>
      </c>
      <c r="AL97" s="52" t="str">
        <f t="shared" si="93"/>
        <v>2 : 4</v>
      </c>
      <c r="AM97" s="22">
        <f t="shared" si="94"/>
        <v>2</v>
      </c>
      <c r="AN97" s="22">
        <f t="shared" si="95"/>
        <v>4</v>
      </c>
      <c r="AO97" s="22">
        <f t="shared" si="96"/>
        <v>30</v>
      </c>
      <c r="AP97" s="22" t="str">
        <f t="shared" si="97"/>
        <v>X</v>
      </c>
      <c r="AQ97" s="22" t="str">
        <f t="shared" si="98"/>
        <v>X</v>
      </c>
      <c r="AR97" s="22" t="str">
        <f t="shared" si="99"/>
        <v>X</v>
      </c>
      <c r="AS97" s="22" t="str">
        <f t="shared" si="100"/>
        <v>X</v>
      </c>
      <c r="AT97" s="22" t="str">
        <f t="shared" si="101"/>
        <v>X</v>
      </c>
      <c r="AU97" s="22" t="str">
        <f t="shared" si="102"/>
        <v>X</v>
      </c>
      <c r="AV97" s="22" t="str">
        <f t="shared" si="103"/>
        <v>X</v>
      </c>
      <c r="AW97" s="22" t="str">
        <f t="shared" si="104"/>
        <v>X</v>
      </c>
      <c r="AX97" s="22" t="str">
        <f t="shared" si="105"/>
        <v>X</v>
      </c>
      <c r="AY97" s="22" t="str">
        <f t="shared" si="106"/>
        <v>X</v>
      </c>
      <c r="AZ97" s="22" t="str">
        <f t="shared" si="107"/>
        <v>X</v>
      </c>
      <c r="BA97" s="22" t="str">
        <f t="shared" si="108"/>
        <v>X</v>
      </c>
      <c r="BB97" s="22">
        <f t="shared" si="109"/>
        <v>0</v>
      </c>
      <c r="BC97" s="22" t="str">
        <f t="shared" si="80"/>
        <v>1G</v>
      </c>
      <c r="BD97" s="22" t="str">
        <f t="shared" si="81"/>
        <v>2G</v>
      </c>
      <c r="BE97" s="22" t="str">
        <f t="shared" si="82"/>
        <v>2G</v>
      </c>
      <c r="BF97" s="22" t="str">
        <f t="shared" si="83"/>
        <v>3G</v>
      </c>
      <c r="BG97" s="22" t="str">
        <f t="shared" si="84"/>
        <v>3G</v>
      </c>
      <c r="BH97" s="22" t="str">
        <f t="shared" si="85"/>
        <v>3G</v>
      </c>
      <c r="BI97" s="22">
        <f t="shared" si="110"/>
        <v>1</v>
      </c>
      <c r="BJ97" s="22">
        <f t="shared" si="111"/>
        <v>2</v>
      </c>
      <c r="BK97" s="22">
        <f t="shared" si="112"/>
        <v>3</v>
      </c>
      <c r="BL97" s="22" t="str">
        <f t="shared" si="113"/>
        <v>123</v>
      </c>
      <c r="BS97"/>
      <c r="CL97" s="23">
        <v>109</v>
      </c>
      <c r="CM97" s="23">
        <v>100</v>
      </c>
      <c r="CO97"/>
    </row>
    <row r="98" spans="2:93" ht="17" hidden="1">
      <c r="B98" s="15">
        <v>94</v>
      </c>
      <c r="C98" s="23" t="s">
        <v>124</v>
      </c>
      <c r="D98" s="16">
        <v>6</v>
      </c>
      <c r="E98" s="17">
        <v>2245339950</v>
      </c>
      <c r="F98" s="16">
        <v>38</v>
      </c>
      <c r="G98" s="17">
        <v>59087894</v>
      </c>
      <c r="H98" s="17">
        <v>1353</v>
      </c>
      <c r="I98" s="17">
        <v>1659527</v>
      </c>
      <c r="J98" s="17">
        <v>71106</v>
      </c>
      <c r="K98" s="17">
        <v>63155</v>
      </c>
      <c r="L98" s="17">
        <v>1223793</v>
      </c>
      <c r="M98" s="17">
        <v>5000</v>
      </c>
      <c r="N98" s="23">
        <v>5</v>
      </c>
      <c r="O98" s="23">
        <v>32</v>
      </c>
      <c r="P98" s="23">
        <v>34</v>
      </c>
      <c r="Q98" s="23">
        <v>40</v>
      </c>
      <c r="R98" s="23">
        <v>41</v>
      </c>
      <c r="S98" s="23">
        <v>45</v>
      </c>
      <c r="T98" s="23">
        <v>6</v>
      </c>
      <c r="U98" s="23">
        <f t="shared" si="86"/>
        <v>197</v>
      </c>
      <c r="W98" s="22" t="str">
        <f t="shared" si="69"/>
        <v>홀수</v>
      </c>
      <c r="X98" s="22" t="str">
        <f t="shared" si="70"/>
        <v>짝수</v>
      </c>
      <c r="Y98" s="22" t="str">
        <f t="shared" si="71"/>
        <v>짝수</v>
      </c>
      <c r="Z98" s="22" t="str">
        <f t="shared" si="72"/>
        <v>짝수</v>
      </c>
      <c r="AA98" s="22" t="str">
        <f t="shared" si="73"/>
        <v>홀수</v>
      </c>
      <c r="AB98" s="22" t="str">
        <f t="shared" si="74"/>
        <v>홀수</v>
      </c>
      <c r="AC98" s="52" t="str">
        <f t="shared" si="75"/>
        <v>3 : 3</v>
      </c>
      <c r="AD98" s="22">
        <f t="shared" si="76"/>
        <v>3</v>
      </c>
      <c r="AE98" s="22">
        <f t="shared" si="77"/>
        <v>3</v>
      </c>
      <c r="AF98" s="22" t="str">
        <f t="shared" si="87"/>
        <v>저수</v>
      </c>
      <c r="AG98" s="22" t="str">
        <f t="shared" si="88"/>
        <v>고수</v>
      </c>
      <c r="AH98" s="22" t="str">
        <f t="shared" si="89"/>
        <v>고수</v>
      </c>
      <c r="AI98" s="22" t="str">
        <f t="shared" si="90"/>
        <v>고수</v>
      </c>
      <c r="AJ98" s="22" t="str">
        <f t="shared" si="91"/>
        <v>고수</v>
      </c>
      <c r="AK98" s="22" t="str">
        <f t="shared" si="92"/>
        <v>고수</v>
      </c>
      <c r="AL98" s="52" t="str">
        <f t="shared" si="93"/>
        <v>1 : 5</v>
      </c>
      <c r="AM98" s="22">
        <f t="shared" si="94"/>
        <v>1</v>
      </c>
      <c r="AN98" s="22">
        <f t="shared" si="95"/>
        <v>5</v>
      </c>
      <c r="AO98" s="22">
        <f t="shared" si="96"/>
        <v>17</v>
      </c>
      <c r="AP98" s="22" t="str">
        <f t="shared" si="97"/>
        <v>O</v>
      </c>
      <c r="AQ98" s="22" t="str">
        <f t="shared" si="98"/>
        <v>X</v>
      </c>
      <c r="AR98" s="22" t="str">
        <f t="shared" si="99"/>
        <v>X</v>
      </c>
      <c r="AS98" s="22" t="str">
        <f t="shared" si="100"/>
        <v>X</v>
      </c>
      <c r="AT98" s="22" t="str">
        <f t="shared" si="101"/>
        <v>X</v>
      </c>
      <c r="AU98" s="22" t="str">
        <f t="shared" si="102"/>
        <v>X</v>
      </c>
      <c r="AV98" s="22" t="str">
        <f t="shared" si="103"/>
        <v>X</v>
      </c>
      <c r="AW98" s="22" t="str">
        <f t="shared" si="104"/>
        <v>X</v>
      </c>
      <c r="AX98" s="22" t="str">
        <f t="shared" si="105"/>
        <v>X</v>
      </c>
      <c r="AY98" s="22" t="str">
        <f t="shared" si="106"/>
        <v>X</v>
      </c>
      <c r="AZ98" s="22" t="str">
        <f t="shared" si="107"/>
        <v>O</v>
      </c>
      <c r="BA98" s="22" t="str">
        <f t="shared" si="108"/>
        <v>X</v>
      </c>
      <c r="BB98" s="22">
        <f t="shared" si="109"/>
        <v>2</v>
      </c>
      <c r="BC98" s="22" t="str">
        <f t="shared" si="80"/>
        <v>1G</v>
      </c>
      <c r="BD98" s="22" t="str">
        <f t="shared" si="81"/>
        <v>3G</v>
      </c>
      <c r="BE98" s="22" t="str">
        <f t="shared" si="82"/>
        <v>3G</v>
      </c>
      <c r="BF98" s="22" t="str">
        <f t="shared" si="83"/>
        <v>3G</v>
      </c>
      <c r="BG98" s="22" t="str">
        <f t="shared" si="84"/>
        <v>3G</v>
      </c>
      <c r="BH98" s="22" t="str">
        <f t="shared" si="85"/>
        <v>3G</v>
      </c>
      <c r="BI98" s="22">
        <f t="shared" si="110"/>
        <v>1</v>
      </c>
      <c r="BJ98" s="22">
        <f t="shared" si="111"/>
        <v>0</v>
      </c>
      <c r="BK98" s="22">
        <f t="shared" si="112"/>
        <v>5</v>
      </c>
      <c r="BL98" s="22" t="str">
        <f t="shared" si="113"/>
        <v>105</v>
      </c>
      <c r="BS98"/>
      <c r="CL98" s="23">
        <v>110</v>
      </c>
      <c r="CM98" s="23">
        <v>110</v>
      </c>
      <c r="CO98"/>
    </row>
    <row r="99" spans="2:93" ht="17" hidden="1">
      <c r="B99" s="15">
        <v>95</v>
      </c>
      <c r="C99" s="23" t="s">
        <v>125</v>
      </c>
      <c r="D99" s="16">
        <v>8</v>
      </c>
      <c r="E99" s="17">
        <v>1747741238</v>
      </c>
      <c r="F99" s="16">
        <v>48</v>
      </c>
      <c r="G99" s="17">
        <v>48548368</v>
      </c>
      <c r="H99" s="17">
        <v>1728</v>
      </c>
      <c r="I99" s="17">
        <v>1348566</v>
      </c>
      <c r="J99" s="17">
        <v>82432</v>
      </c>
      <c r="K99" s="17">
        <v>56540</v>
      </c>
      <c r="L99" s="17">
        <v>1347106</v>
      </c>
      <c r="M99" s="17">
        <v>5000</v>
      </c>
      <c r="N99" s="23">
        <v>8</v>
      </c>
      <c r="O99" s="23">
        <v>17</v>
      </c>
      <c r="P99" s="23">
        <v>27</v>
      </c>
      <c r="Q99" s="23">
        <v>31</v>
      </c>
      <c r="R99" s="23">
        <v>34</v>
      </c>
      <c r="S99" s="23">
        <v>43</v>
      </c>
      <c r="T99" s="23">
        <v>14</v>
      </c>
      <c r="U99" s="23">
        <f t="shared" si="86"/>
        <v>160</v>
      </c>
      <c r="W99" s="22" t="str">
        <f t="shared" si="69"/>
        <v>짝수</v>
      </c>
      <c r="X99" s="22" t="str">
        <f t="shared" si="70"/>
        <v>홀수</v>
      </c>
      <c r="Y99" s="22" t="str">
        <f t="shared" si="71"/>
        <v>홀수</v>
      </c>
      <c r="Z99" s="22" t="str">
        <f t="shared" si="72"/>
        <v>홀수</v>
      </c>
      <c r="AA99" s="22" t="str">
        <f t="shared" si="73"/>
        <v>짝수</v>
      </c>
      <c r="AB99" s="22" t="str">
        <f t="shared" si="74"/>
        <v>홀수</v>
      </c>
      <c r="AC99" s="52" t="str">
        <f t="shared" si="75"/>
        <v>4 : 2</v>
      </c>
      <c r="AD99" s="22">
        <f t="shared" si="76"/>
        <v>4</v>
      </c>
      <c r="AE99" s="22">
        <f t="shared" si="77"/>
        <v>2</v>
      </c>
      <c r="AF99" s="22" t="str">
        <f t="shared" si="87"/>
        <v>저수</v>
      </c>
      <c r="AG99" s="22" t="str">
        <f t="shared" si="88"/>
        <v>저수</v>
      </c>
      <c r="AH99" s="22" t="str">
        <f t="shared" si="89"/>
        <v>고수</v>
      </c>
      <c r="AI99" s="22" t="str">
        <f t="shared" si="90"/>
        <v>고수</v>
      </c>
      <c r="AJ99" s="22" t="str">
        <f t="shared" si="91"/>
        <v>고수</v>
      </c>
      <c r="AK99" s="22" t="str">
        <f t="shared" si="92"/>
        <v>고수</v>
      </c>
      <c r="AL99" s="52" t="str">
        <f t="shared" si="93"/>
        <v>2 : 4</v>
      </c>
      <c r="AM99" s="22">
        <f t="shared" si="94"/>
        <v>2</v>
      </c>
      <c r="AN99" s="22">
        <f t="shared" si="95"/>
        <v>4</v>
      </c>
      <c r="AO99" s="22">
        <f t="shared" si="96"/>
        <v>30</v>
      </c>
      <c r="AP99" s="22" t="str">
        <f t="shared" si="97"/>
        <v>X</v>
      </c>
      <c r="AQ99" s="22" t="str">
        <f t="shared" si="98"/>
        <v>O</v>
      </c>
      <c r="AR99" s="22" t="str">
        <f t="shared" si="99"/>
        <v>X</v>
      </c>
      <c r="AS99" s="22" t="str">
        <f t="shared" si="100"/>
        <v>X</v>
      </c>
      <c r="AT99" s="22" t="str">
        <f t="shared" si="101"/>
        <v>X</v>
      </c>
      <c r="AU99" s="22" t="str">
        <f t="shared" si="102"/>
        <v>X</v>
      </c>
      <c r="AV99" s="22" t="str">
        <f t="shared" si="103"/>
        <v>X</v>
      </c>
      <c r="AW99" s="22" t="str">
        <f t="shared" si="104"/>
        <v>X</v>
      </c>
      <c r="AX99" s="22" t="str">
        <f t="shared" si="105"/>
        <v>X</v>
      </c>
      <c r="AY99" s="22" t="str">
        <f t="shared" si="106"/>
        <v>O</v>
      </c>
      <c r="AZ99" s="22" t="str">
        <f t="shared" si="107"/>
        <v>X</v>
      </c>
      <c r="BA99" s="22" t="str">
        <f t="shared" si="108"/>
        <v>O</v>
      </c>
      <c r="BB99" s="22">
        <f t="shared" si="109"/>
        <v>3</v>
      </c>
      <c r="BC99" s="22" t="str">
        <f t="shared" si="80"/>
        <v>1G</v>
      </c>
      <c r="BD99" s="22" t="str">
        <f t="shared" si="81"/>
        <v>2G</v>
      </c>
      <c r="BE99" s="22" t="str">
        <f t="shared" si="82"/>
        <v>2G</v>
      </c>
      <c r="BF99" s="22" t="str">
        <f t="shared" si="83"/>
        <v>3G</v>
      </c>
      <c r="BG99" s="22" t="str">
        <f t="shared" si="84"/>
        <v>3G</v>
      </c>
      <c r="BH99" s="22" t="str">
        <f t="shared" si="85"/>
        <v>3G</v>
      </c>
      <c r="BI99" s="22">
        <f t="shared" si="110"/>
        <v>1</v>
      </c>
      <c r="BJ99" s="22">
        <f t="shared" si="111"/>
        <v>2</v>
      </c>
      <c r="BK99" s="22">
        <f t="shared" si="112"/>
        <v>3</v>
      </c>
      <c r="BL99" s="22" t="str">
        <f t="shared" si="113"/>
        <v>123</v>
      </c>
      <c r="BS99"/>
      <c r="CL99" s="23">
        <v>110</v>
      </c>
      <c r="CM99" s="23">
        <v>110</v>
      </c>
      <c r="CO99"/>
    </row>
    <row r="100" spans="2:93" ht="17" hidden="1">
      <c r="B100" s="15">
        <v>96</v>
      </c>
      <c r="C100" s="23" t="s">
        <v>126</v>
      </c>
      <c r="D100" s="16">
        <v>7</v>
      </c>
      <c r="E100" s="17">
        <v>1847133515</v>
      </c>
      <c r="F100" s="16">
        <v>38</v>
      </c>
      <c r="G100" s="17">
        <v>56710240</v>
      </c>
      <c r="H100" s="17">
        <v>1197</v>
      </c>
      <c r="I100" s="17">
        <v>1800326</v>
      </c>
      <c r="J100" s="17">
        <v>65301</v>
      </c>
      <c r="K100" s="17">
        <v>66002</v>
      </c>
      <c r="L100" s="17">
        <v>1111779</v>
      </c>
      <c r="M100" s="17">
        <v>5000</v>
      </c>
      <c r="N100" s="23">
        <v>1</v>
      </c>
      <c r="O100" s="23">
        <v>3</v>
      </c>
      <c r="P100" s="23">
        <v>8</v>
      </c>
      <c r="Q100" s="23">
        <v>21</v>
      </c>
      <c r="R100" s="23">
        <v>22</v>
      </c>
      <c r="S100" s="23">
        <v>31</v>
      </c>
      <c r="T100" s="23">
        <v>20</v>
      </c>
      <c r="U100" s="23">
        <f t="shared" si="86"/>
        <v>86</v>
      </c>
      <c r="W100" s="22" t="str">
        <f t="shared" si="69"/>
        <v>홀수</v>
      </c>
      <c r="X100" s="22" t="str">
        <f t="shared" si="70"/>
        <v>홀수</v>
      </c>
      <c r="Y100" s="22" t="str">
        <f t="shared" si="71"/>
        <v>짝수</v>
      </c>
      <c r="Z100" s="22" t="str">
        <f t="shared" si="72"/>
        <v>홀수</v>
      </c>
      <c r="AA100" s="22" t="str">
        <f t="shared" si="73"/>
        <v>짝수</v>
      </c>
      <c r="AB100" s="22" t="str">
        <f t="shared" si="74"/>
        <v>홀수</v>
      </c>
      <c r="AC100" s="52" t="str">
        <f t="shared" si="75"/>
        <v>4 : 2</v>
      </c>
      <c r="AD100" s="22">
        <f t="shared" si="76"/>
        <v>4</v>
      </c>
      <c r="AE100" s="22">
        <f t="shared" si="77"/>
        <v>2</v>
      </c>
      <c r="AF100" s="22" t="str">
        <f t="shared" si="87"/>
        <v>저수</v>
      </c>
      <c r="AG100" s="22" t="str">
        <f t="shared" si="88"/>
        <v>저수</v>
      </c>
      <c r="AH100" s="22" t="str">
        <f t="shared" si="89"/>
        <v>저수</v>
      </c>
      <c r="AI100" s="22" t="str">
        <f t="shared" si="90"/>
        <v>저수</v>
      </c>
      <c r="AJ100" s="22" t="str">
        <f t="shared" si="91"/>
        <v>저수</v>
      </c>
      <c r="AK100" s="22" t="str">
        <f t="shared" si="92"/>
        <v>고수</v>
      </c>
      <c r="AL100" s="52" t="str">
        <f t="shared" si="93"/>
        <v>5 : 1</v>
      </c>
      <c r="AM100" s="22">
        <f t="shared" si="94"/>
        <v>5</v>
      </c>
      <c r="AN100" s="22">
        <f t="shared" si="95"/>
        <v>1</v>
      </c>
      <c r="AO100" s="22">
        <f t="shared" si="96"/>
        <v>16</v>
      </c>
      <c r="AP100" s="22" t="str">
        <f t="shared" si="97"/>
        <v>X</v>
      </c>
      <c r="AQ100" s="22" t="str">
        <f t="shared" si="98"/>
        <v>O</v>
      </c>
      <c r="AR100" s="22" t="str">
        <f t="shared" si="99"/>
        <v>X</v>
      </c>
      <c r="AS100" s="22" t="str">
        <f t="shared" si="100"/>
        <v>X</v>
      </c>
      <c r="AT100" s="22" t="str">
        <f t="shared" si="101"/>
        <v>X</v>
      </c>
      <c r="AU100" s="22" t="str">
        <f t="shared" si="102"/>
        <v>X</v>
      </c>
      <c r="AV100" s="22" t="str">
        <f t="shared" si="103"/>
        <v>X</v>
      </c>
      <c r="AW100" s="22" t="str">
        <f t="shared" si="104"/>
        <v>X</v>
      </c>
      <c r="AX100" s="22" t="str">
        <f t="shared" si="105"/>
        <v>X</v>
      </c>
      <c r="AY100" s="22" t="str">
        <f t="shared" si="106"/>
        <v>X</v>
      </c>
      <c r="AZ100" s="22" t="str">
        <f t="shared" si="107"/>
        <v>X</v>
      </c>
      <c r="BA100" s="22" t="str">
        <f t="shared" si="108"/>
        <v>O</v>
      </c>
      <c r="BB100" s="22">
        <f t="shared" si="109"/>
        <v>2</v>
      </c>
      <c r="BC100" s="22" t="str">
        <f t="shared" si="80"/>
        <v>1G</v>
      </c>
      <c r="BD100" s="22" t="str">
        <f t="shared" si="81"/>
        <v>1G</v>
      </c>
      <c r="BE100" s="22" t="str">
        <f t="shared" si="82"/>
        <v>1G</v>
      </c>
      <c r="BF100" s="22" t="str">
        <f t="shared" si="83"/>
        <v>2G</v>
      </c>
      <c r="BG100" s="22" t="str">
        <f t="shared" si="84"/>
        <v>2G</v>
      </c>
      <c r="BH100" s="22" t="str">
        <f t="shared" si="85"/>
        <v>3G</v>
      </c>
      <c r="BI100" s="22">
        <f t="shared" si="110"/>
        <v>3</v>
      </c>
      <c r="BJ100" s="22">
        <f t="shared" si="111"/>
        <v>2</v>
      </c>
      <c r="BK100" s="22">
        <f t="shared" si="112"/>
        <v>1</v>
      </c>
      <c r="BL100" s="22" t="str">
        <f t="shared" si="113"/>
        <v>321</v>
      </c>
      <c r="BS100"/>
      <c r="CL100" s="23">
        <v>110</v>
      </c>
      <c r="CM100" s="23">
        <v>110</v>
      </c>
      <c r="CO100"/>
    </row>
    <row r="101" spans="2:93" ht="17" hidden="1">
      <c r="B101" s="15">
        <v>97</v>
      </c>
      <c r="C101" s="23" t="s">
        <v>127</v>
      </c>
      <c r="D101" s="16">
        <v>9</v>
      </c>
      <c r="E101" s="17">
        <v>1496214000</v>
      </c>
      <c r="F101" s="16">
        <v>46</v>
      </c>
      <c r="G101" s="17">
        <v>48789587</v>
      </c>
      <c r="H101" s="17">
        <v>1543</v>
      </c>
      <c r="I101" s="17">
        <v>1454518</v>
      </c>
      <c r="J101" s="17">
        <v>77227</v>
      </c>
      <c r="K101" s="17">
        <v>58123</v>
      </c>
      <c r="L101" s="17">
        <v>1282678</v>
      </c>
      <c r="M101" s="17">
        <v>5000</v>
      </c>
      <c r="N101" s="23">
        <v>6</v>
      </c>
      <c r="O101" s="23">
        <v>7</v>
      </c>
      <c r="P101" s="23">
        <v>14</v>
      </c>
      <c r="Q101" s="23">
        <v>15</v>
      </c>
      <c r="R101" s="23">
        <v>20</v>
      </c>
      <c r="S101" s="23">
        <v>36</v>
      </c>
      <c r="T101" s="23">
        <v>3</v>
      </c>
      <c r="U101" s="23">
        <f t="shared" si="86"/>
        <v>98</v>
      </c>
      <c r="W101" s="22" t="str">
        <f t="shared" si="69"/>
        <v>짝수</v>
      </c>
      <c r="X101" s="22" t="str">
        <f t="shared" si="70"/>
        <v>홀수</v>
      </c>
      <c r="Y101" s="22" t="str">
        <f t="shared" si="71"/>
        <v>짝수</v>
      </c>
      <c r="Z101" s="22" t="str">
        <f t="shared" si="72"/>
        <v>홀수</v>
      </c>
      <c r="AA101" s="22" t="str">
        <f t="shared" si="73"/>
        <v>짝수</v>
      </c>
      <c r="AB101" s="22" t="str">
        <f t="shared" si="74"/>
        <v>짝수</v>
      </c>
      <c r="AC101" s="52" t="str">
        <f t="shared" si="75"/>
        <v>2 : 4</v>
      </c>
      <c r="AD101" s="22">
        <f t="shared" si="76"/>
        <v>2</v>
      </c>
      <c r="AE101" s="22">
        <f t="shared" si="77"/>
        <v>4</v>
      </c>
      <c r="AF101" s="22" t="str">
        <f t="shared" si="87"/>
        <v>저수</v>
      </c>
      <c r="AG101" s="22" t="str">
        <f t="shared" si="88"/>
        <v>저수</v>
      </c>
      <c r="AH101" s="22" t="str">
        <f t="shared" si="89"/>
        <v>저수</v>
      </c>
      <c r="AI101" s="22" t="str">
        <f t="shared" si="90"/>
        <v>저수</v>
      </c>
      <c r="AJ101" s="22" t="str">
        <f t="shared" si="91"/>
        <v>저수</v>
      </c>
      <c r="AK101" s="22" t="str">
        <f t="shared" si="92"/>
        <v>고수</v>
      </c>
      <c r="AL101" s="52" t="str">
        <f t="shared" si="93"/>
        <v>5 : 1</v>
      </c>
      <c r="AM101" s="22">
        <f t="shared" si="94"/>
        <v>5</v>
      </c>
      <c r="AN101" s="22">
        <f t="shared" si="95"/>
        <v>1</v>
      </c>
      <c r="AO101" s="22">
        <f t="shared" si="96"/>
        <v>28</v>
      </c>
      <c r="AP101" s="22" t="str">
        <f t="shared" si="97"/>
        <v>X</v>
      </c>
      <c r="AQ101" s="22" t="str">
        <f t="shared" si="98"/>
        <v>O</v>
      </c>
      <c r="AR101" s="22" t="str">
        <f t="shared" si="99"/>
        <v>X</v>
      </c>
      <c r="AS101" s="22" t="str">
        <f t="shared" si="100"/>
        <v>X</v>
      </c>
      <c r="AT101" s="22" t="str">
        <f t="shared" si="101"/>
        <v>X</v>
      </c>
      <c r="AU101" s="22" t="str">
        <f t="shared" si="102"/>
        <v>X</v>
      </c>
      <c r="AV101" s="22" t="str">
        <f t="shared" si="103"/>
        <v>X</v>
      </c>
      <c r="AW101" s="22" t="str">
        <f t="shared" si="104"/>
        <v>X</v>
      </c>
      <c r="AX101" s="22" t="str">
        <f t="shared" si="105"/>
        <v>X</v>
      </c>
      <c r="AY101" s="22" t="str">
        <f t="shared" si="106"/>
        <v>X</v>
      </c>
      <c r="AZ101" s="22" t="str">
        <f t="shared" si="107"/>
        <v>X</v>
      </c>
      <c r="BA101" s="22" t="str">
        <f t="shared" si="108"/>
        <v>X</v>
      </c>
      <c r="BB101" s="22">
        <f t="shared" si="109"/>
        <v>1</v>
      </c>
      <c r="BC101" s="22" t="str">
        <f t="shared" si="80"/>
        <v>1G</v>
      </c>
      <c r="BD101" s="22" t="str">
        <f t="shared" si="81"/>
        <v>1G</v>
      </c>
      <c r="BE101" s="22" t="str">
        <f t="shared" si="82"/>
        <v>1G</v>
      </c>
      <c r="BF101" s="22" t="str">
        <f t="shared" si="83"/>
        <v>1G</v>
      </c>
      <c r="BG101" s="22" t="str">
        <f t="shared" si="84"/>
        <v>2G</v>
      </c>
      <c r="BH101" s="22" t="str">
        <f t="shared" si="85"/>
        <v>3G</v>
      </c>
      <c r="BI101" s="22">
        <f t="shared" si="110"/>
        <v>4</v>
      </c>
      <c r="BJ101" s="22">
        <f t="shared" si="111"/>
        <v>1</v>
      </c>
      <c r="BK101" s="22">
        <f t="shared" si="112"/>
        <v>1</v>
      </c>
      <c r="BL101" s="22" t="str">
        <f t="shared" si="113"/>
        <v>411</v>
      </c>
      <c r="BS101"/>
      <c r="CL101" s="23">
        <v>110</v>
      </c>
      <c r="CM101" s="23">
        <v>110</v>
      </c>
      <c r="CO101"/>
    </row>
    <row r="102" spans="2:93" ht="17" hidden="1">
      <c r="B102" s="15">
        <v>98</v>
      </c>
      <c r="C102" s="23" t="s">
        <v>128</v>
      </c>
      <c r="D102" s="16">
        <v>4</v>
      </c>
      <c r="E102" s="17">
        <v>3177972300</v>
      </c>
      <c r="F102" s="16">
        <v>45</v>
      </c>
      <c r="G102" s="17">
        <v>47081072</v>
      </c>
      <c r="H102" s="17">
        <v>1880</v>
      </c>
      <c r="I102" s="17">
        <v>1126941</v>
      </c>
      <c r="J102" s="17">
        <v>87818</v>
      </c>
      <c r="K102" s="17">
        <v>48251</v>
      </c>
      <c r="L102" s="17">
        <v>1385812</v>
      </c>
      <c r="M102" s="17">
        <v>5000</v>
      </c>
      <c r="N102" s="23">
        <v>6</v>
      </c>
      <c r="O102" s="23">
        <v>9</v>
      </c>
      <c r="P102" s="23">
        <v>16</v>
      </c>
      <c r="Q102" s="23">
        <v>23</v>
      </c>
      <c r="R102" s="23">
        <v>24</v>
      </c>
      <c r="S102" s="23">
        <v>32</v>
      </c>
      <c r="T102" s="23">
        <v>43</v>
      </c>
      <c r="U102" s="23">
        <f t="shared" si="86"/>
        <v>110</v>
      </c>
      <c r="W102" s="22" t="str">
        <f t="shared" si="69"/>
        <v>짝수</v>
      </c>
      <c r="X102" s="22" t="str">
        <f t="shared" si="70"/>
        <v>홀수</v>
      </c>
      <c r="Y102" s="22" t="str">
        <f t="shared" si="71"/>
        <v>짝수</v>
      </c>
      <c r="Z102" s="22" t="str">
        <f t="shared" si="72"/>
        <v>홀수</v>
      </c>
      <c r="AA102" s="22" t="str">
        <f t="shared" si="73"/>
        <v>짝수</v>
      </c>
      <c r="AB102" s="22" t="str">
        <f t="shared" si="74"/>
        <v>짝수</v>
      </c>
      <c r="AC102" s="52" t="str">
        <f t="shared" si="75"/>
        <v>2 : 4</v>
      </c>
      <c r="AD102" s="22">
        <f t="shared" si="76"/>
        <v>2</v>
      </c>
      <c r="AE102" s="22">
        <f t="shared" si="77"/>
        <v>4</v>
      </c>
      <c r="AF102" s="22" t="str">
        <f t="shared" si="87"/>
        <v>저수</v>
      </c>
      <c r="AG102" s="22" t="str">
        <f t="shared" si="88"/>
        <v>저수</v>
      </c>
      <c r="AH102" s="22" t="str">
        <f t="shared" si="89"/>
        <v>저수</v>
      </c>
      <c r="AI102" s="22" t="str">
        <f t="shared" si="90"/>
        <v>고수</v>
      </c>
      <c r="AJ102" s="22" t="str">
        <f t="shared" si="91"/>
        <v>고수</v>
      </c>
      <c r="AK102" s="22" t="str">
        <f t="shared" si="92"/>
        <v>고수</v>
      </c>
      <c r="AL102" s="52" t="str">
        <f t="shared" si="93"/>
        <v>3 : 3</v>
      </c>
      <c r="AM102" s="22">
        <f t="shared" si="94"/>
        <v>3</v>
      </c>
      <c r="AN102" s="22">
        <f t="shared" si="95"/>
        <v>3</v>
      </c>
      <c r="AO102" s="22">
        <f t="shared" si="96"/>
        <v>30</v>
      </c>
      <c r="AP102" s="22" t="str">
        <f t="shared" si="97"/>
        <v>X</v>
      </c>
      <c r="AQ102" s="22" t="str">
        <f t="shared" si="98"/>
        <v>X</v>
      </c>
      <c r="AR102" s="22" t="str">
        <f t="shared" si="99"/>
        <v>X</v>
      </c>
      <c r="AS102" s="22" t="str">
        <f t="shared" si="100"/>
        <v>X</v>
      </c>
      <c r="AT102" s="22" t="str">
        <f t="shared" si="101"/>
        <v>X</v>
      </c>
      <c r="AU102" s="22" t="str">
        <f t="shared" si="102"/>
        <v>X</v>
      </c>
      <c r="AV102" s="22" t="str">
        <f t="shared" si="103"/>
        <v>X</v>
      </c>
      <c r="AW102" s="22" t="str">
        <f t="shared" si="104"/>
        <v>X</v>
      </c>
      <c r="AX102" s="22" t="str">
        <f t="shared" si="105"/>
        <v>X</v>
      </c>
      <c r="AY102" s="22" t="str">
        <f t="shared" si="106"/>
        <v>O</v>
      </c>
      <c r="AZ102" s="22" t="str">
        <f t="shared" si="107"/>
        <v>X</v>
      </c>
      <c r="BA102" s="22" t="str">
        <f t="shared" si="108"/>
        <v>X</v>
      </c>
      <c r="BB102" s="22">
        <f t="shared" si="109"/>
        <v>1</v>
      </c>
      <c r="BC102" s="22" t="str">
        <f t="shared" si="80"/>
        <v>1G</v>
      </c>
      <c r="BD102" s="22" t="str">
        <f t="shared" si="81"/>
        <v>1G</v>
      </c>
      <c r="BE102" s="22" t="str">
        <f t="shared" si="82"/>
        <v>2G</v>
      </c>
      <c r="BF102" s="22" t="str">
        <f t="shared" si="83"/>
        <v>2G</v>
      </c>
      <c r="BG102" s="22" t="str">
        <f t="shared" si="84"/>
        <v>2G</v>
      </c>
      <c r="BH102" s="22" t="str">
        <f t="shared" si="85"/>
        <v>3G</v>
      </c>
      <c r="BI102" s="22">
        <f t="shared" si="110"/>
        <v>2</v>
      </c>
      <c r="BJ102" s="22">
        <f t="shared" si="111"/>
        <v>3</v>
      </c>
      <c r="BK102" s="22">
        <f t="shared" si="112"/>
        <v>1</v>
      </c>
      <c r="BL102" s="22" t="str">
        <f t="shared" si="113"/>
        <v>231</v>
      </c>
      <c r="BS102"/>
      <c r="CL102" s="23">
        <v>111</v>
      </c>
      <c r="CM102" s="23">
        <v>110</v>
      </c>
      <c r="CO102"/>
    </row>
    <row r="103" spans="2:93" ht="17" hidden="1">
      <c r="B103" s="15">
        <v>99</v>
      </c>
      <c r="C103" s="23" t="s">
        <v>129</v>
      </c>
      <c r="D103" s="16">
        <v>6</v>
      </c>
      <c r="E103" s="17">
        <v>2169219050</v>
      </c>
      <c r="F103" s="16">
        <v>40</v>
      </c>
      <c r="G103" s="17">
        <v>54230477</v>
      </c>
      <c r="H103" s="17">
        <v>1581</v>
      </c>
      <c r="I103" s="17">
        <v>1372056</v>
      </c>
      <c r="J103" s="17">
        <v>77203</v>
      </c>
      <c r="K103" s="17">
        <v>56196</v>
      </c>
      <c r="L103" s="17">
        <v>1282311</v>
      </c>
      <c r="M103" s="17">
        <v>5000</v>
      </c>
      <c r="N103" s="23">
        <v>1</v>
      </c>
      <c r="O103" s="23">
        <v>3</v>
      </c>
      <c r="P103" s="23">
        <v>10</v>
      </c>
      <c r="Q103" s="23">
        <v>27</v>
      </c>
      <c r="R103" s="23">
        <v>29</v>
      </c>
      <c r="S103" s="23">
        <v>37</v>
      </c>
      <c r="T103" s="23">
        <v>11</v>
      </c>
      <c r="U103" s="23">
        <f t="shared" si="86"/>
        <v>107</v>
      </c>
      <c r="W103" s="22" t="str">
        <f t="shared" si="69"/>
        <v>홀수</v>
      </c>
      <c r="X103" s="22" t="str">
        <f t="shared" si="70"/>
        <v>홀수</v>
      </c>
      <c r="Y103" s="22" t="str">
        <f t="shared" si="71"/>
        <v>짝수</v>
      </c>
      <c r="Z103" s="22" t="str">
        <f t="shared" si="72"/>
        <v>홀수</v>
      </c>
      <c r="AA103" s="22" t="str">
        <f t="shared" si="73"/>
        <v>홀수</v>
      </c>
      <c r="AB103" s="22" t="str">
        <f t="shared" si="74"/>
        <v>홀수</v>
      </c>
      <c r="AC103" s="52" t="str">
        <f t="shared" si="75"/>
        <v>5 : 1</v>
      </c>
      <c r="AD103" s="22">
        <f t="shared" si="76"/>
        <v>5</v>
      </c>
      <c r="AE103" s="22">
        <f t="shared" si="77"/>
        <v>1</v>
      </c>
      <c r="AF103" s="22" t="str">
        <f t="shared" si="87"/>
        <v>저수</v>
      </c>
      <c r="AG103" s="22" t="str">
        <f t="shared" si="88"/>
        <v>저수</v>
      </c>
      <c r="AH103" s="22" t="str">
        <f t="shared" si="89"/>
        <v>저수</v>
      </c>
      <c r="AI103" s="22" t="str">
        <f t="shared" si="90"/>
        <v>고수</v>
      </c>
      <c r="AJ103" s="22" t="str">
        <f t="shared" si="91"/>
        <v>고수</v>
      </c>
      <c r="AK103" s="22" t="str">
        <f t="shared" si="92"/>
        <v>고수</v>
      </c>
      <c r="AL103" s="52" t="str">
        <f t="shared" si="93"/>
        <v>3 : 3</v>
      </c>
      <c r="AM103" s="22">
        <f t="shared" si="94"/>
        <v>3</v>
      </c>
      <c r="AN103" s="22">
        <f t="shared" si="95"/>
        <v>3</v>
      </c>
      <c r="AO103" s="22">
        <f t="shared" si="96"/>
        <v>27</v>
      </c>
      <c r="AP103" s="22" t="str">
        <f t="shared" si="97"/>
        <v>X</v>
      </c>
      <c r="AQ103" s="22" t="str">
        <f t="shared" si="98"/>
        <v>O</v>
      </c>
      <c r="AR103" s="22" t="str">
        <f t="shared" si="99"/>
        <v>X</v>
      </c>
      <c r="AS103" s="22" t="str">
        <f t="shared" si="100"/>
        <v>X</v>
      </c>
      <c r="AT103" s="22" t="str">
        <f t="shared" si="101"/>
        <v>X</v>
      </c>
      <c r="AU103" s="22" t="str">
        <f t="shared" si="102"/>
        <v>X</v>
      </c>
      <c r="AV103" s="22" t="str">
        <f t="shared" si="103"/>
        <v>X</v>
      </c>
      <c r="AW103" s="22" t="str">
        <f t="shared" si="104"/>
        <v>X</v>
      </c>
      <c r="AX103" s="22" t="str">
        <f t="shared" si="105"/>
        <v>X</v>
      </c>
      <c r="AY103" s="22" t="str">
        <f t="shared" si="106"/>
        <v>X</v>
      </c>
      <c r="AZ103" s="22" t="str">
        <f t="shared" si="107"/>
        <v>O</v>
      </c>
      <c r="BA103" s="22" t="str">
        <f t="shared" si="108"/>
        <v>O</v>
      </c>
      <c r="BB103" s="22">
        <f t="shared" si="109"/>
        <v>3</v>
      </c>
      <c r="BC103" s="22" t="str">
        <f t="shared" si="80"/>
        <v>1G</v>
      </c>
      <c r="BD103" s="22" t="str">
        <f t="shared" si="81"/>
        <v>1G</v>
      </c>
      <c r="BE103" s="22" t="str">
        <f t="shared" si="82"/>
        <v>1G</v>
      </c>
      <c r="BF103" s="22" t="str">
        <f t="shared" si="83"/>
        <v>2G</v>
      </c>
      <c r="BG103" s="22" t="str">
        <f t="shared" si="84"/>
        <v>2G</v>
      </c>
      <c r="BH103" s="22" t="str">
        <f t="shared" si="85"/>
        <v>3G</v>
      </c>
      <c r="BI103" s="22">
        <f t="shared" si="110"/>
        <v>3</v>
      </c>
      <c r="BJ103" s="22">
        <f t="shared" si="111"/>
        <v>2</v>
      </c>
      <c r="BK103" s="22">
        <f t="shared" si="112"/>
        <v>1</v>
      </c>
      <c r="BL103" s="22" t="str">
        <f t="shared" si="113"/>
        <v>321</v>
      </c>
      <c r="BS103"/>
      <c r="CL103" s="23">
        <v>111</v>
      </c>
      <c r="CM103" s="23">
        <v>110</v>
      </c>
      <c r="CO103"/>
    </row>
    <row r="104" spans="2:93" ht="17" hidden="1">
      <c r="B104" s="15">
        <v>100</v>
      </c>
      <c r="C104" s="23" t="s">
        <v>130</v>
      </c>
      <c r="D104" s="16">
        <v>4</v>
      </c>
      <c r="E104" s="17">
        <v>3315315525</v>
      </c>
      <c r="F104" s="16">
        <v>36</v>
      </c>
      <c r="G104" s="17">
        <v>61394732</v>
      </c>
      <c r="H104" s="17">
        <v>1544</v>
      </c>
      <c r="I104" s="17">
        <v>1431484</v>
      </c>
      <c r="J104" s="17">
        <v>76899</v>
      </c>
      <c r="K104" s="17">
        <v>57484</v>
      </c>
      <c r="L104" s="17">
        <v>1235777</v>
      </c>
      <c r="M104" s="17">
        <v>5000</v>
      </c>
      <c r="N104" s="23">
        <v>1</v>
      </c>
      <c r="O104" s="23">
        <v>7</v>
      </c>
      <c r="P104" s="23">
        <v>11</v>
      </c>
      <c r="Q104" s="23">
        <v>23</v>
      </c>
      <c r="R104" s="23">
        <v>37</v>
      </c>
      <c r="S104" s="23">
        <v>42</v>
      </c>
      <c r="T104" s="23">
        <v>6</v>
      </c>
      <c r="U104" s="23">
        <f t="shared" si="86"/>
        <v>121</v>
      </c>
      <c r="W104" s="22" t="str">
        <f t="shared" si="69"/>
        <v>홀수</v>
      </c>
      <c r="X104" s="22" t="str">
        <f t="shared" si="70"/>
        <v>홀수</v>
      </c>
      <c r="Y104" s="22" t="str">
        <f t="shared" si="71"/>
        <v>홀수</v>
      </c>
      <c r="Z104" s="22" t="str">
        <f t="shared" si="72"/>
        <v>홀수</v>
      </c>
      <c r="AA104" s="22" t="str">
        <f t="shared" si="73"/>
        <v>홀수</v>
      </c>
      <c r="AB104" s="22" t="str">
        <f t="shared" si="74"/>
        <v>짝수</v>
      </c>
      <c r="AC104" s="52" t="str">
        <f t="shared" si="75"/>
        <v>5 : 1</v>
      </c>
      <c r="AD104" s="22">
        <f t="shared" si="76"/>
        <v>5</v>
      </c>
      <c r="AE104" s="22">
        <f t="shared" si="77"/>
        <v>1</v>
      </c>
      <c r="AF104" s="22" t="str">
        <f t="shared" si="87"/>
        <v>저수</v>
      </c>
      <c r="AG104" s="22" t="str">
        <f t="shared" si="88"/>
        <v>저수</v>
      </c>
      <c r="AH104" s="22" t="str">
        <f t="shared" si="89"/>
        <v>저수</v>
      </c>
      <c r="AI104" s="22" t="str">
        <f t="shared" si="90"/>
        <v>고수</v>
      </c>
      <c r="AJ104" s="22" t="str">
        <f t="shared" si="91"/>
        <v>고수</v>
      </c>
      <c r="AK104" s="22" t="str">
        <f t="shared" si="92"/>
        <v>고수</v>
      </c>
      <c r="AL104" s="52" t="str">
        <f t="shared" si="93"/>
        <v>3 : 3</v>
      </c>
      <c r="AM104" s="22">
        <f t="shared" si="94"/>
        <v>3</v>
      </c>
      <c r="AN104" s="22">
        <f t="shared" si="95"/>
        <v>3</v>
      </c>
      <c r="AO104" s="22">
        <f t="shared" si="96"/>
        <v>21</v>
      </c>
      <c r="AP104" s="22" t="str">
        <f t="shared" si="97"/>
        <v>X</v>
      </c>
      <c r="AQ104" s="22" t="str">
        <f t="shared" si="98"/>
        <v>O</v>
      </c>
      <c r="AR104" s="22" t="str">
        <f t="shared" si="99"/>
        <v>O</v>
      </c>
      <c r="AS104" s="22" t="str">
        <f t="shared" si="100"/>
        <v>X</v>
      </c>
      <c r="AT104" s="22" t="str">
        <f t="shared" si="101"/>
        <v>X</v>
      </c>
      <c r="AU104" s="22" t="str">
        <f t="shared" si="102"/>
        <v>X</v>
      </c>
      <c r="AV104" s="22" t="str">
        <f t="shared" si="103"/>
        <v>X</v>
      </c>
      <c r="AW104" s="22" t="str">
        <f t="shared" si="104"/>
        <v>X</v>
      </c>
      <c r="AX104" s="22" t="str">
        <f t="shared" si="105"/>
        <v>X</v>
      </c>
      <c r="AY104" s="22" t="str">
        <f t="shared" si="106"/>
        <v>O</v>
      </c>
      <c r="AZ104" s="22" t="str">
        <f t="shared" si="107"/>
        <v>O</v>
      </c>
      <c r="BA104" s="22" t="str">
        <f t="shared" si="108"/>
        <v>X</v>
      </c>
      <c r="BB104" s="22">
        <f t="shared" si="109"/>
        <v>4</v>
      </c>
      <c r="BC104" s="22" t="str">
        <f t="shared" si="80"/>
        <v>1G</v>
      </c>
      <c r="BD104" s="22" t="str">
        <f t="shared" si="81"/>
        <v>1G</v>
      </c>
      <c r="BE104" s="22" t="str">
        <f t="shared" si="82"/>
        <v>1G</v>
      </c>
      <c r="BF104" s="22" t="str">
        <f t="shared" si="83"/>
        <v>2G</v>
      </c>
      <c r="BG104" s="22" t="str">
        <f t="shared" si="84"/>
        <v>3G</v>
      </c>
      <c r="BH104" s="22" t="str">
        <f t="shared" si="85"/>
        <v>3G</v>
      </c>
      <c r="BI104" s="22">
        <f t="shared" si="110"/>
        <v>3</v>
      </c>
      <c r="BJ104" s="22">
        <f t="shared" si="111"/>
        <v>1</v>
      </c>
      <c r="BK104" s="22">
        <f t="shared" si="112"/>
        <v>2</v>
      </c>
      <c r="BL104" s="22" t="str">
        <f t="shared" si="113"/>
        <v>312</v>
      </c>
      <c r="BS104"/>
      <c r="CL104" s="23">
        <v>112</v>
      </c>
      <c r="CM104" s="23">
        <v>110</v>
      </c>
      <c r="CO104"/>
    </row>
    <row r="105" spans="2:93" ht="17" hidden="1">
      <c r="B105" s="15">
        <v>101</v>
      </c>
      <c r="C105" s="23" t="s">
        <v>131</v>
      </c>
      <c r="D105" s="16">
        <v>5</v>
      </c>
      <c r="E105" s="17">
        <v>2707297500</v>
      </c>
      <c r="F105" s="16">
        <v>38</v>
      </c>
      <c r="G105" s="17">
        <v>59370560</v>
      </c>
      <c r="H105" s="17">
        <v>1405</v>
      </c>
      <c r="I105" s="17">
        <v>1605752</v>
      </c>
      <c r="J105" s="17">
        <v>73210</v>
      </c>
      <c r="K105" s="17">
        <v>61634</v>
      </c>
      <c r="L105" s="17">
        <v>1246344</v>
      </c>
      <c r="M105" s="17">
        <v>5000</v>
      </c>
      <c r="N105" s="23">
        <v>1</v>
      </c>
      <c r="O105" s="23">
        <v>3</v>
      </c>
      <c r="P105" s="23">
        <v>17</v>
      </c>
      <c r="Q105" s="23">
        <v>32</v>
      </c>
      <c r="R105" s="23">
        <v>35</v>
      </c>
      <c r="S105" s="23">
        <v>45</v>
      </c>
      <c r="T105" s="23">
        <v>8</v>
      </c>
      <c r="U105" s="23">
        <f t="shared" si="86"/>
        <v>133</v>
      </c>
      <c r="W105" s="22" t="str">
        <f t="shared" si="69"/>
        <v>홀수</v>
      </c>
      <c r="X105" s="22" t="str">
        <f t="shared" si="70"/>
        <v>홀수</v>
      </c>
      <c r="Y105" s="22" t="str">
        <f t="shared" si="71"/>
        <v>홀수</v>
      </c>
      <c r="Z105" s="22" t="str">
        <f t="shared" si="72"/>
        <v>짝수</v>
      </c>
      <c r="AA105" s="22" t="str">
        <f t="shared" si="73"/>
        <v>홀수</v>
      </c>
      <c r="AB105" s="22" t="str">
        <f t="shared" si="74"/>
        <v>홀수</v>
      </c>
      <c r="AC105" s="52" t="str">
        <f t="shared" si="75"/>
        <v>5 : 1</v>
      </c>
      <c r="AD105" s="22">
        <f t="shared" si="76"/>
        <v>5</v>
      </c>
      <c r="AE105" s="22">
        <f t="shared" si="77"/>
        <v>1</v>
      </c>
      <c r="AF105" s="22" t="str">
        <f t="shared" si="87"/>
        <v>저수</v>
      </c>
      <c r="AG105" s="22" t="str">
        <f t="shared" si="88"/>
        <v>저수</v>
      </c>
      <c r="AH105" s="22" t="str">
        <f t="shared" si="89"/>
        <v>저수</v>
      </c>
      <c r="AI105" s="22" t="str">
        <f t="shared" si="90"/>
        <v>고수</v>
      </c>
      <c r="AJ105" s="22" t="str">
        <f t="shared" si="91"/>
        <v>고수</v>
      </c>
      <c r="AK105" s="22" t="str">
        <f t="shared" si="92"/>
        <v>고수</v>
      </c>
      <c r="AL105" s="52" t="str">
        <f t="shared" si="93"/>
        <v>3 : 3</v>
      </c>
      <c r="AM105" s="22">
        <f t="shared" si="94"/>
        <v>3</v>
      </c>
      <c r="AN105" s="22">
        <f t="shared" si="95"/>
        <v>3</v>
      </c>
      <c r="AO105" s="22">
        <f t="shared" si="96"/>
        <v>23</v>
      </c>
      <c r="AP105" s="22" t="str">
        <f t="shared" si="97"/>
        <v>X</v>
      </c>
      <c r="AQ105" s="22" t="str">
        <f t="shared" si="98"/>
        <v>O</v>
      </c>
      <c r="AR105" s="22" t="str">
        <f t="shared" si="99"/>
        <v>O</v>
      </c>
      <c r="AS105" s="22" t="str">
        <f t="shared" si="100"/>
        <v>X</v>
      </c>
      <c r="AT105" s="22" t="str">
        <f t="shared" si="101"/>
        <v>X</v>
      </c>
      <c r="AU105" s="22" t="str">
        <f t="shared" si="102"/>
        <v>X</v>
      </c>
      <c r="AV105" s="22" t="str">
        <f t="shared" si="103"/>
        <v>X</v>
      </c>
      <c r="AW105" s="22" t="str">
        <f t="shared" si="104"/>
        <v>X</v>
      </c>
      <c r="AX105" s="22" t="str">
        <f t="shared" si="105"/>
        <v>X</v>
      </c>
      <c r="AY105" s="22" t="str">
        <f t="shared" si="106"/>
        <v>X</v>
      </c>
      <c r="AZ105" s="22" t="str">
        <f t="shared" si="107"/>
        <v>X</v>
      </c>
      <c r="BA105" s="22" t="str">
        <f t="shared" si="108"/>
        <v>X</v>
      </c>
      <c r="BB105" s="22">
        <f t="shared" si="109"/>
        <v>2</v>
      </c>
      <c r="BC105" s="22" t="str">
        <f t="shared" si="80"/>
        <v>1G</v>
      </c>
      <c r="BD105" s="22" t="str">
        <f t="shared" si="81"/>
        <v>1G</v>
      </c>
      <c r="BE105" s="22" t="str">
        <f t="shared" si="82"/>
        <v>2G</v>
      </c>
      <c r="BF105" s="22" t="str">
        <f t="shared" si="83"/>
        <v>3G</v>
      </c>
      <c r="BG105" s="22" t="str">
        <f t="shared" si="84"/>
        <v>3G</v>
      </c>
      <c r="BH105" s="22" t="str">
        <f t="shared" si="85"/>
        <v>3G</v>
      </c>
      <c r="BI105" s="22">
        <f t="shared" si="110"/>
        <v>2</v>
      </c>
      <c r="BJ105" s="22">
        <f t="shared" si="111"/>
        <v>1</v>
      </c>
      <c r="BK105" s="22">
        <f t="shared" si="112"/>
        <v>3</v>
      </c>
      <c r="BL105" s="22" t="str">
        <f t="shared" si="113"/>
        <v>213</v>
      </c>
      <c r="BS105"/>
      <c r="CL105" s="23">
        <v>113</v>
      </c>
      <c r="CM105" s="23">
        <v>110</v>
      </c>
      <c r="CO105"/>
    </row>
    <row r="106" spans="2:93" ht="17" hidden="1">
      <c r="B106" s="15">
        <v>102</v>
      </c>
      <c r="C106" s="23" t="s">
        <v>132</v>
      </c>
      <c r="D106" s="16">
        <v>9</v>
      </c>
      <c r="E106" s="17">
        <v>1457153067</v>
      </c>
      <c r="F106" s="16">
        <v>24</v>
      </c>
      <c r="G106" s="17">
        <v>91072067</v>
      </c>
      <c r="H106" s="17">
        <v>1352</v>
      </c>
      <c r="I106" s="17">
        <v>1616664</v>
      </c>
      <c r="J106" s="17">
        <v>75476</v>
      </c>
      <c r="K106" s="17">
        <v>57919</v>
      </c>
      <c r="L106" s="17">
        <v>1322337</v>
      </c>
      <c r="M106" s="17">
        <v>5000</v>
      </c>
      <c r="N106" s="23">
        <v>17</v>
      </c>
      <c r="O106" s="23">
        <v>22</v>
      </c>
      <c r="P106" s="23">
        <v>24</v>
      </c>
      <c r="Q106" s="23">
        <v>26</v>
      </c>
      <c r="R106" s="23">
        <v>35</v>
      </c>
      <c r="S106" s="23">
        <v>40</v>
      </c>
      <c r="T106" s="23">
        <v>42</v>
      </c>
      <c r="U106" s="23">
        <f t="shared" si="86"/>
        <v>164</v>
      </c>
      <c r="W106" s="22" t="str">
        <f t="shared" si="69"/>
        <v>홀수</v>
      </c>
      <c r="X106" s="22" t="str">
        <f t="shared" si="70"/>
        <v>짝수</v>
      </c>
      <c r="Y106" s="22" t="str">
        <f t="shared" si="71"/>
        <v>짝수</v>
      </c>
      <c r="Z106" s="22" t="str">
        <f t="shared" si="72"/>
        <v>짝수</v>
      </c>
      <c r="AA106" s="22" t="str">
        <f t="shared" si="73"/>
        <v>홀수</v>
      </c>
      <c r="AB106" s="22" t="str">
        <f t="shared" si="74"/>
        <v>짝수</v>
      </c>
      <c r="AC106" s="52" t="str">
        <f t="shared" si="75"/>
        <v>2 : 4</v>
      </c>
      <c r="AD106" s="22">
        <f t="shared" si="76"/>
        <v>2</v>
      </c>
      <c r="AE106" s="22">
        <f t="shared" si="77"/>
        <v>4</v>
      </c>
      <c r="AF106" s="22" t="str">
        <f t="shared" si="87"/>
        <v>저수</v>
      </c>
      <c r="AG106" s="22" t="str">
        <f t="shared" si="88"/>
        <v>저수</v>
      </c>
      <c r="AH106" s="22" t="str">
        <f t="shared" si="89"/>
        <v>고수</v>
      </c>
      <c r="AI106" s="22" t="str">
        <f t="shared" si="90"/>
        <v>고수</v>
      </c>
      <c r="AJ106" s="22" t="str">
        <f t="shared" si="91"/>
        <v>고수</v>
      </c>
      <c r="AK106" s="22" t="str">
        <f t="shared" si="92"/>
        <v>고수</v>
      </c>
      <c r="AL106" s="52" t="str">
        <f t="shared" si="93"/>
        <v>2 : 4</v>
      </c>
      <c r="AM106" s="22">
        <f t="shared" si="94"/>
        <v>2</v>
      </c>
      <c r="AN106" s="22">
        <f t="shared" si="95"/>
        <v>4</v>
      </c>
      <c r="AO106" s="22">
        <f t="shared" si="96"/>
        <v>24</v>
      </c>
      <c r="AP106" s="22" t="str">
        <f t="shared" si="97"/>
        <v>O</v>
      </c>
      <c r="AQ106" s="22" t="str">
        <f t="shared" si="98"/>
        <v>X</v>
      </c>
      <c r="AR106" s="22" t="str">
        <f t="shared" si="99"/>
        <v>X</v>
      </c>
      <c r="AS106" s="22" t="str">
        <f t="shared" si="100"/>
        <v>X</v>
      </c>
      <c r="AT106" s="22" t="str">
        <f t="shared" si="101"/>
        <v>X</v>
      </c>
      <c r="AU106" s="22" t="str">
        <f t="shared" si="102"/>
        <v>X</v>
      </c>
      <c r="AV106" s="22" t="str">
        <f t="shared" si="103"/>
        <v>X</v>
      </c>
      <c r="AW106" s="22" t="str">
        <f t="shared" si="104"/>
        <v>X</v>
      </c>
      <c r="AX106" s="22" t="str">
        <f t="shared" si="105"/>
        <v>X</v>
      </c>
      <c r="AY106" s="22" t="str">
        <f t="shared" si="106"/>
        <v>X</v>
      </c>
      <c r="AZ106" s="22" t="str">
        <f t="shared" si="107"/>
        <v>X</v>
      </c>
      <c r="BA106" s="22" t="str">
        <f t="shared" si="108"/>
        <v>X</v>
      </c>
      <c r="BB106" s="22">
        <f t="shared" si="109"/>
        <v>1</v>
      </c>
      <c r="BC106" s="22" t="str">
        <f t="shared" si="80"/>
        <v>2G</v>
      </c>
      <c r="BD106" s="22" t="str">
        <f t="shared" si="81"/>
        <v>2G</v>
      </c>
      <c r="BE106" s="22" t="str">
        <f t="shared" si="82"/>
        <v>2G</v>
      </c>
      <c r="BF106" s="22" t="str">
        <f t="shared" si="83"/>
        <v>2G</v>
      </c>
      <c r="BG106" s="22" t="str">
        <f t="shared" si="84"/>
        <v>3G</v>
      </c>
      <c r="BH106" s="22" t="str">
        <f t="shared" si="85"/>
        <v>3G</v>
      </c>
      <c r="BI106" s="22">
        <f t="shared" si="110"/>
        <v>0</v>
      </c>
      <c r="BJ106" s="22">
        <f t="shared" si="111"/>
        <v>4</v>
      </c>
      <c r="BK106" s="22">
        <f t="shared" si="112"/>
        <v>2</v>
      </c>
      <c r="BL106" s="22" t="str">
        <f t="shared" si="113"/>
        <v>042</v>
      </c>
      <c r="BS106"/>
      <c r="CL106" s="23">
        <v>113</v>
      </c>
      <c r="CM106" s="23">
        <v>110</v>
      </c>
      <c r="CO106"/>
    </row>
    <row r="107" spans="2:93" ht="17" hidden="1">
      <c r="B107" s="15">
        <v>103</v>
      </c>
      <c r="C107" s="23" t="s">
        <v>133</v>
      </c>
      <c r="D107" s="16">
        <v>8</v>
      </c>
      <c r="E107" s="17">
        <v>1691589563</v>
      </c>
      <c r="F107" s="16">
        <v>38</v>
      </c>
      <c r="G107" s="17">
        <v>59354020</v>
      </c>
      <c r="H107" s="17">
        <v>1583</v>
      </c>
      <c r="I107" s="17">
        <v>1424797</v>
      </c>
      <c r="J107" s="17">
        <v>75587</v>
      </c>
      <c r="K107" s="17">
        <v>59679</v>
      </c>
      <c r="L107" s="17">
        <v>1231156</v>
      </c>
      <c r="M107" s="17">
        <v>5000</v>
      </c>
      <c r="N107" s="23">
        <v>5</v>
      </c>
      <c r="O107" s="23">
        <v>14</v>
      </c>
      <c r="P107" s="23">
        <v>15</v>
      </c>
      <c r="Q107" s="23">
        <v>27</v>
      </c>
      <c r="R107" s="23">
        <v>30</v>
      </c>
      <c r="S107" s="23">
        <v>45</v>
      </c>
      <c r="T107" s="23">
        <v>10</v>
      </c>
      <c r="U107" s="23">
        <f t="shared" si="86"/>
        <v>136</v>
      </c>
      <c r="W107" s="22" t="str">
        <f t="shared" si="69"/>
        <v>홀수</v>
      </c>
      <c r="X107" s="22" t="str">
        <f t="shared" si="70"/>
        <v>짝수</v>
      </c>
      <c r="Y107" s="22" t="str">
        <f t="shared" si="71"/>
        <v>홀수</v>
      </c>
      <c r="Z107" s="22" t="str">
        <f t="shared" si="72"/>
        <v>홀수</v>
      </c>
      <c r="AA107" s="22" t="str">
        <f t="shared" si="73"/>
        <v>짝수</v>
      </c>
      <c r="AB107" s="22" t="str">
        <f t="shared" si="74"/>
        <v>홀수</v>
      </c>
      <c r="AC107" s="52" t="str">
        <f t="shared" si="75"/>
        <v>4 : 2</v>
      </c>
      <c r="AD107" s="22">
        <f t="shared" si="76"/>
        <v>4</v>
      </c>
      <c r="AE107" s="22">
        <f t="shared" si="77"/>
        <v>2</v>
      </c>
      <c r="AF107" s="22" t="str">
        <f t="shared" si="87"/>
        <v>저수</v>
      </c>
      <c r="AG107" s="22" t="str">
        <f t="shared" si="88"/>
        <v>저수</v>
      </c>
      <c r="AH107" s="22" t="str">
        <f t="shared" si="89"/>
        <v>저수</v>
      </c>
      <c r="AI107" s="22" t="str">
        <f t="shared" si="90"/>
        <v>고수</v>
      </c>
      <c r="AJ107" s="22" t="str">
        <f t="shared" si="91"/>
        <v>고수</v>
      </c>
      <c r="AK107" s="22" t="str">
        <f t="shared" si="92"/>
        <v>고수</v>
      </c>
      <c r="AL107" s="52" t="str">
        <f t="shared" si="93"/>
        <v>3 : 3</v>
      </c>
      <c r="AM107" s="22">
        <f t="shared" si="94"/>
        <v>3</v>
      </c>
      <c r="AN107" s="22">
        <f t="shared" si="95"/>
        <v>3</v>
      </c>
      <c r="AO107" s="22">
        <f t="shared" si="96"/>
        <v>26</v>
      </c>
      <c r="AP107" s="22" t="str">
        <f t="shared" si="97"/>
        <v>O</v>
      </c>
      <c r="AQ107" s="22" t="str">
        <f t="shared" si="98"/>
        <v>X</v>
      </c>
      <c r="AR107" s="22" t="str">
        <f t="shared" si="99"/>
        <v>X</v>
      </c>
      <c r="AS107" s="22" t="str">
        <f t="shared" si="100"/>
        <v>X</v>
      </c>
      <c r="AT107" s="22" t="str">
        <f t="shared" si="101"/>
        <v>X</v>
      </c>
      <c r="AU107" s="22" t="str">
        <f t="shared" si="102"/>
        <v>X</v>
      </c>
      <c r="AV107" s="22" t="str">
        <f t="shared" si="103"/>
        <v>X</v>
      </c>
      <c r="AW107" s="22" t="str">
        <f t="shared" si="104"/>
        <v>X</v>
      </c>
      <c r="AX107" s="22" t="str">
        <f t="shared" si="105"/>
        <v>X</v>
      </c>
      <c r="AY107" s="22" t="str">
        <f t="shared" si="106"/>
        <v>X</v>
      </c>
      <c r="AZ107" s="22" t="str">
        <f t="shared" si="107"/>
        <v>X</v>
      </c>
      <c r="BA107" s="22" t="str">
        <f t="shared" si="108"/>
        <v>X</v>
      </c>
      <c r="BB107" s="22">
        <f t="shared" si="109"/>
        <v>1</v>
      </c>
      <c r="BC107" s="22" t="str">
        <f t="shared" si="80"/>
        <v>1G</v>
      </c>
      <c r="BD107" s="22" t="str">
        <f t="shared" si="81"/>
        <v>1G</v>
      </c>
      <c r="BE107" s="22" t="str">
        <f t="shared" si="82"/>
        <v>1G</v>
      </c>
      <c r="BF107" s="22" t="str">
        <f t="shared" si="83"/>
        <v>2G</v>
      </c>
      <c r="BG107" s="22" t="str">
        <f t="shared" si="84"/>
        <v>2G</v>
      </c>
      <c r="BH107" s="22" t="str">
        <f t="shared" si="85"/>
        <v>3G</v>
      </c>
      <c r="BI107" s="22">
        <f t="shared" si="110"/>
        <v>3</v>
      </c>
      <c r="BJ107" s="22">
        <f t="shared" si="111"/>
        <v>2</v>
      </c>
      <c r="BK107" s="22">
        <f t="shared" si="112"/>
        <v>1</v>
      </c>
      <c r="BL107" s="22" t="str">
        <f t="shared" si="113"/>
        <v>321</v>
      </c>
      <c r="BS107"/>
      <c r="CL107" s="23">
        <v>114</v>
      </c>
      <c r="CM107" s="23">
        <v>110</v>
      </c>
      <c r="CO107"/>
    </row>
    <row r="108" spans="2:93" ht="17" hidden="1">
      <c r="B108" s="15">
        <v>104</v>
      </c>
      <c r="C108" s="23" t="s">
        <v>134</v>
      </c>
      <c r="D108" s="16">
        <v>2</v>
      </c>
      <c r="E108" s="17">
        <v>6610743750</v>
      </c>
      <c r="F108" s="16">
        <v>23</v>
      </c>
      <c r="G108" s="17">
        <v>95807881</v>
      </c>
      <c r="H108" s="17">
        <v>1293</v>
      </c>
      <c r="I108" s="17">
        <v>1704240</v>
      </c>
      <c r="J108" s="17">
        <v>71824</v>
      </c>
      <c r="K108" s="17">
        <v>61361</v>
      </c>
      <c r="L108" s="17">
        <v>1246208</v>
      </c>
      <c r="M108" s="17">
        <v>5000</v>
      </c>
      <c r="N108" s="23">
        <v>17</v>
      </c>
      <c r="O108" s="23">
        <v>32</v>
      </c>
      <c r="P108" s="23">
        <v>33</v>
      </c>
      <c r="Q108" s="23">
        <v>34</v>
      </c>
      <c r="R108" s="23">
        <v>42</v>
      </c>
      <c r="S108" s="23">
        <v>44</v>
      </c>
      <c r="T108" s="23">
        <v>35</v>
      </c>
      <c r="U108" s="23">
        <f t="shared" si="86"/>
        <v>202</v>
      </c>
      <c r="W108" s="22" t="str">
        <f t="shared" si="69"/>
        <v>홀수</v>
      </c>
      <c r="X108" s="22" t="str">
        <f t="shared" si="70"/>
        <v>짝수</v>
      </c>
      <c r="Y108" s="22" t="str">
        <f t="shared" si="71"/>
        <v>홀수</v>
      </c>
      <c r="Z108" s="22" t="str">
        <f t="shared" si="72"/>
        <v>짝수</v>
      </c>
      <c r="AA108" s="22" t="str">
        <f t="shared" si="73"/>
        <v>짝수</v>
      </c>
      <c r="AB108" s="22" t="str">
        <f t="shared" si="74"/>
        <v>짝수</v>
      </c>
      <c r="AC108" s="52" t="str">
        <f t="shared" si="75"/>
        <v>2 : 4</v>
      </c>
      <c r="AD108" s="22">
        <f t="shared" si="76"/>
        <v>2</v>
      </c>
      <c r="AE108" s="22">
        <f t="shared" si="77"/>
        <v>4</v>
      </c>
      <c r="AF108" s="22" t="str">
        <f t="shared" si="87"/>
        <v>저수</v>
      </c>
      <c r="AG108" s="22" t="str">
        <f t="shared" si="88"/>
        <v>고수</v>
      </c>
      <c r="AH108" s="22" t="str">
        <f t="shared" si="89"/>
        <v>고수</v>
      </c>
      <c r="AI108" s="22" t="str">
        <f t="shared" si="90"/>
        <v>고수</v>
      </c>
      <c r="AJ108" s="22" t="str">
        <f t="shared" si="91"/>
        <v>고수</v>
      </c>
      <c r="AK108" s="22" t="str">
        <f t="shared" si="92"/>
        <v>고수</v>
      </c>
      <c r="AL108" s="52" t="str">
        <f t="shared" si="93"/>
        <v>1 : 5</v>
      </c>
      <c r="AM108" s="22">
        <f t="shared" si="94"/>
        <v>1</v>
      </c>
      <c r="AN108" s="22">
        <f t="shared" si="95"/>
        <v>5</v>
      </c>
      <c r="AO108" s="22">
        <f t="shared" si="96"/>
        <v>22</v>
      </c>
      <c r="AP108" s="22" t="str">
        <f t="shared" si="97"/>
        <v>O</v>
      </c>
      <c r="AQ108" s="22" t="str">
        <f t="shared" si="98"/>
        <v>X</v>
      </c>
      <c r="AR108" s="22" t="str">
        <f t="shared" si="99"/>
        <v>X</v>
      </c>
      <c r="AS108" s="22" t="str">
        <f t="shared" si="100"/>
        <v>X</v>
      </c>
      <c r="AT108" s="22" t="str">
        <f t="shared" si="101"/>
        <v>X</v>
      </c>
      <c r="AU108" s="22" t="str">
        <f t="shared" si="102"/>
        <v>X</v>
      </c>
      <c r="AV108" s="22" t="str">
        <f t="shared" si="103"/>
        <v>X</v>
      </c>
      <c r="AW108" s="22" t="str">
        <f t="shared" si="104"/>
        <v>X</v>
      </c>
      <c r="AX108" s="22" t="str">
        <f t="shared" si="105"/>
        <v>X</v>
      </c>
      <c r="AY108" s="22" t="str">
        <f t="shared" si="106"/>
        <v>X</v>
      </c>
      <c r="AZ108" s="22" t="str">
        <f t="shared" si="107"/>
        <v>X</v>
      </c>
      <c r="BA108" s="22" t="str">
        <f t="shared" si="108"/>
        <v>X</v>
      </c>
      <c r="BB108" s="22">
        <f t="shared" si="109"/>
        <v>1</v>
      </c>
      <c r="BC108" s="22" t="str">
        <f t="shared" si="80"/>
        <v>2G</v>
      </c>
      <c r="BD108" s="22" t="str">
        <f t="shared" si="81"/>
        <v>3G</v>
      </c>
      <c r="BE108" s="22" t="str">
        <f t="shared" si="82"/>
        <v>3G</v>
      </c>
      <c r="BF108" s="22" t="str">
        <f t="shared" si="83"/>
        <v>3G</v>
      </c>
      <c r="BG108" s="22" t="str">
        <f t="shared" si="84"/>
        <v>3G</v>
      </c>
      <c r="BH108" s="22" t="str">
        <f t="shared" si="85"/>
        <v>3G</v>
      </c>
      <c r="BI108" s="22">
        <f t="shared" si="110"/>
        <v>0</v>
      </c>
      <c r="BJ108" s="22">
        <f t="shared" si="111"/>
        <v>1</v>
      </c>
      <c r="BK108" s="22">
        <f t="shared" si="112"/>
        <v>5</v>
      </c>
      <c r="BL108" s="22" t="str">
        <f t="shared" si="113"/>
        <v>015</v>
      </c>
      <c r="BS108"/>
      <c r="CL108" s="23">
        <v>114</v>
      </c>
      <c r="CM108" s="23">
        <v>110</v>
      </c>
      <c r="CO108"/>
    </row>
    <row r="109" spans="2:93" ht="17" hidden="1">
      <c r="B109" s="15">
        <v>105</v>
      </c>
      <c r="C109" s="23" t="s">
        <v>135</v>
      </c>
      <c r="D109" s="16">
        <v>4</v>
      </c>
      <c r="E109" s="17">
        <v>3416781450</v>
      </c>
      <c r="F109" s="16">
        <v>26</v>
      </c>
      <c r="G109" s="17">
        <v>87609781</v>
      </c>
      <c r="H109" s="17">
        <v>1331</v>
      </c>
      <c r="I109" s="17">
        <v>1711386</v>
      </c>
      <c r="J109" s="17">
        <v>69127</v>
      </c>
      <c r="K109" s="17">
        <v>65904</v>
      </c>
      <c r="L109" s="17">
        <v>1192263</v>
      </c>
      <c r="M109" s="17">
        <v>5000</v>
      </c>
      <c r="N109" s="23">
        <v>8</v>
      </c>
      <c r="O109" s="23">
        <v>10</v>
      </c>
      <c r="P109" s="23">
        <v>20</v>
      </c>
      <c r="Q109" s="23">
        <v>34</v>
      </c>
      <c r="R109" s="23">
        <v>41</v>
      </c>
      <c r="S109" s="23">
        <v>45</v>
      </c>
      <c r="T109" s="23">
        <v>28</v>
      </c>
      <c r="U109" s="23">
        <f t="shared" si="86"/>
        <v>158</v>
      </c>
      <c r="W109" s="22" t="str">
        <f t="shared" si="69"/>
        <v>짝수</v>
      </c>
      <c r="X109" s="22" t="str">
        <f t="shared" si="70"/>
        <v>짝수</v>
      </c>
      <c r="Y109" s="22" t="str">
        <f t="shared" si="71"/>
        <v>짝수</v>
      </c>
      <c r="Z109" s="22" t="str">
        <f t="shared" si="72"/>
        <v>짝수</v>
      </c>
      <c r="AA109" s="22" t="str">
        <f t="shared" si="73"/>
        <v>홀수</v>
      </c>
      <c r="AB109" s="22" t="str">
        <f t="shared" si="74"/>
        <v>홀수</v>
      </c>
      <c r="AC109" s="52" t="str">
        <f t="shared" si="75"/>
        <v>2 : 4</v>
      </c>
      <c r="AD109" s="22">
        <f t="shared" si="76"/>
        <v>2</v>
      </c>
      <c r="AE109" s="22">
        <f t="shared" si="77"/>
        <v>4</v>
      </c>
      <c r="AF109" s="22" t="str">
        <f t="shared" si="87"/>
        <v>저수</v>
      </c>
      <c r="AG109" s="22" t="str">
        <f t="shared" si="88"/>
        <v>저수</v>
      </c>
      <c r="AH109" s="22" t="str">
        <f t="shared" si="89"/>
        <v>저수</v>
      </c>
      <c r="AI109" s="22" t="str">
        <f t="shared" si="90"/>
        <v>고수</v>
      </c>
      <c r="AJ109" s="22" t="str">
        <f t="shared" si="91"/>
        <v>고수</v>
      </c>
      <c r="AK109" s="22" t="str">
        <f t="shared" si="92"/>
        <v>고수</v>
      </c>
      <c r="AL109" s="52" t="str">
        <f t="shared" si="93"/>
        <v>3 : 3</v>
      </c>
      <c r="AM109" s="22">
        <f t="shared" si="94"/>
        <v>3</v>
      </c>
      <c r="AN109" s="22">
        <f t="shared" si="95"/>
        <v>3</v>
      </c>
      <c r="AO109" s="22">
        <f t="shared" si="96"/>
        <v>18</v>
      </c>
      <c r="AP109" s="22" t="str">
        <f t="shared" si="97"/>
        <v>X</v>
      </c>
      <c r="AQ109" s="22" t="str">
        <f t="shared" si="98"/>
        <v>X</v>
      </c>
      <c r="AR109" s="22" t="str">
        <f t="shared" si="99"/>
        <v>X</v>
      </c>
      <c r="AS109" s="22" t="str">
        <f t="shared" si="100"/>
        <v>X</v>
      </c>
      <c r="AT109" s="22" t="str">
        <f t="shared" si="101"/>
        <v>X</v>
      </c>
      <c r="AU109" s="22" t="str">
        <f t="shared" si="102"/>
        <v>X</v>
      </c>
      <c r="AV109" s="22" t="str">
        <f t="shared" si="103"/>
        <v>X</v>
      </c>
      <c r="AW109" s="22" t="str">
        <f t="shared" si="104"/>
        <v>X</v>
      </c>
      <c r="AX109" s="22" t="str">
        <f t="shared" si="105"/>
        <v>X</v>
      </c>
      <c r="AY109" s="22" t="str">
        <f t="shared" si="106"/>
        <v>X</v>
      </c>
      <c r="AZ109" s="22" t="str">
        <f t="shared" si="107"/>
        <v>O</v>
      </c>
      <c r="BA109" s="22" t="str">
        <f t="shared" si="108"/>
        <v>X</v>
      </c>
      <c r="BB109" s="22">
        <f t="shared" si="109"/>
        <v>1</v>
      </c>
      <c r="BC109" s="22" t="str">
        <f t="shared" si="80"/>
        <v>1G</v>
      </c>
      <c r="BD109" s="22" t="str">
        <f t="shared" si="81"/>
        <v>1G</v>
      </c>
      <c r="BE109" s="22" t="str">
        <f t="shared" si="82"/>
        <v>2G</v>
      </c>
      <c r="BF109" s="22" t="str">
        <f t="shared" si="83"/>
        <v>3G</v>
      </c>
      <c r="BG109" s="22" t="str">
        <f t="shared" si="84"/>
        <v>3G</v>
      </c>
      <c r="BH109" s="22" t="str">
        <f t="shared" si="85"/>
        <v>3G</v>
      </c>
      <c r="BI109" s="22">
        <f t="shared" si="110"/>
        <v>2</v>
      </c>
      <c r="BJ109" s="22">
        <f t="shared" si="111"/>
        <v>1</v>
      </c>
      <c r="BK109" s="22">
        <f t="shared" si="112"/>
        <v>3</v>
      </c>
      <c r="BL109" s="22" t="str">
        <f t="shared" si="113"/>
        <v>213</v>
      </c>
      <c r="BS109"/>
      <c r="CL109" s="23">
        <v>114</v>
      </c>
      <c r="CM109" s="23">
        <v>110</v>
      </c>
      <c r="CO109"/>
    </row>
    <row r="110" spans="2:93" ht="17" hidden="1">
      <c r="B110" s="15">
        <v>106</v>
      </c>
      <c r="C110" s="23" t="s">
        <v>136</v>
      </c>
      <c r="D110" s="16">
        <v>16</v>
      </c>
      <c r="E110" s="17">
        <v>810461157</v>
      </c>
      <c r="F110" s="16">
        <v>40</v>
      </c>
      <c r="G110" s="17">
        <v>54030744</v>
      </c>
      <c r="H110" s="17">
        <v>2056</v>
      </c>
      <c r="I110" s="17">
        <v>1051182</v>
      </c>
      <c r="J110" s="17">
        <v>93551</v>
      </c>
      <c r="K110" s="17">
        <v>46205</v>
      </c>
      <c r="L110" s="17">
        <v>1415989</v>
      </c>
      <c r="M110" s="17">
        <v>5000</v>
      </c>
      <c r="N110" s="23">
        <v>4</v>
      </c>
      <c r="O110" s="23">
        <v>10</v>
      </c>
      <c r="P110" s="23">
        <v>12</v>
      </c>
      <c r="Q110" s="23">
        <v>22</v>
      </c>
      <c r="R110" s="23">
        <v>24</v>
      </c>
      <c r="S110" s="23">
        <v>33</v>
      </c>
      <c r="T110" s="23">
        <v>29</v>
      </c>
      <c r="U110" s="23">
        <f t="shared" si="86"/>
        <v>105</v>
      </c>
      <c r="W110" s="22" t="str">
        <f t="shared" si="69"/>
        <v>짝수</v>
      </c>
      <c r="X110" s="22" t="str">
        <f t="shared" si="70"/>
        <v>짝수</v>
      </c>
      <c r="Y110" s="22" t="str">
        <f t="shared" si="71"/>
        <v>짝수</v>
      </c>
      <c r="Z110" s="22" t="str">
        <f t="shared" si="72"/>
        <v>짝수</v>
      </c>
      <c r="AA110" s="22" t="str">
        <f t="shared" si="73"/>
        <v>짝수</v>
      </c>
      <c r="AB110" s="22" t="str">
        <f t="shared" si="74"/>
        <v>홀수</v>
      </c>
      <c r="AC110" s="52" t="str">
        <f t="shared" si="75"/>
        <v>1 : 5</v>
      </c>
      <c r="AD110" s="22">
        <f t="shared" si="76"/>
        <v>1</v>
      </c>
      <c r="AE110" s="22">
        <f t="shared" si="77"/>
        <v>5</v>
      </c>
      <c r="AF110" s="22" t="str">
        <f t="shared" si="87"/>
        <v>저수</v>
      </c>
      <c r="AG110" s="22" t="str">
        <f t="shared" si="88"/>
        <v>저수</v>
      </c>
      <c r="AH110" s="22" t="str">
        <f t="shared" si="89"/>
        <v>저수</v>
      </c>
      <c r="AI110" s="22" t="str">
        <f t="shared" si="90"/>
        <v>저수</v>
      </c>
      <c r="AJ110" s="22" t="str">
        <f t="shared" si="91"/>
        <v>고수</v>
      </c>
      <c r="AK110" s="22" t="str">
        <f t="shared" si="92"/>
        <v>고수</v>
      </c>
      <c r="AL110" s="52" t="str">
        <f t="shared" si="93"/>
        <v>4 : 2</v>
      </c>
      <c r="AM110" s="22">
        <f t="shared" si="94"/>
        <v>4</v>
      </c>
      <c r="AN110" s="22">
        <f t="shared" si="95"/>
        <v>2</v>
      </c>
      <c r="AO110" s="22">
        <f t="shared" si="96"/>
        <v>15</v>
      </c>
      <c r="AP110" s="22" t="str">
        <f t="shared" si="97"/>
        <v>X</v>
      </c>
      <c r="AQ110" s="22" t="str">
        <f t="shared" si="98"/>
        <v>X</v>
      </c>
      <c r="AR110" s="22" t="str">
        <f t="shared" si="99"/>
        <v>X</v>
      </c>
      <c r="AS110" s="22" t="str">
        <f t="shared" si="100"/>
        <v>X</v>
      </c>
      <c r="AT110" s="22" t="str">
        <f t="shared" si="101"/>
        <v>X</v>
      </c>
      <c r="AU110" s="22" t="str">
        <f t="shared" si="102"/>
        <v>X</v>
      </c>
      <c r="AV110" s="22" t="str">
        <f t="shared" si="103"/>
        <v>X</v>
      </c>
      <c r="AW110" s="22" t="str">
        <f t="shared" si="104"/>
        <v>X</v>
      </c>
      <c r="AX110" s="22" t="str">
        <f t="shared" si="105"/>
        <v>X</v>
      </c>
      <c r="AY110" s="22" t="str">
        <f t="shared" si="106"/>
        <v>X</v>
      </c>
      <c r="AZ110" s="22" t="str">
        <f t="shared" si="107"/>
        <v>X</v>
      </c>
      <c r="BA110" s="22" t="str">
        <f t="shared" si="108"/>
        <v>X</v>
      </c>
      <c r="BB110" s="22">
        <f t="shared" si="109"/>
        <v>0</v>
      </c>
      <c r="BC110" s="22" t="str">
        <f t="shared" si="80"/>
        <v>1G</v>
      </c>
      <c r="BD110" s="22" t="str">
        <f t="shared" si="81"/>
        <v>1G</v>
      </c>
      <c r="BE110" s="22" t="str">
        <f t="shared" si="82"/>
        <v>1G</v>
      </c>
      <c r="BF110" s="22" t="str">
        <f t="shared" si="83"/>
        <v>2G</v>
      </c>
      <c r="BG110" s="22" t="str">
        <f t="shared" si="84"/>
        <v>2G</v>
      </c>
      <c r="BH110" s="22" t="str">
        <f t="shared" si="85"/>
        <v>3G</v>
      </c>
      <c r="BI110" s="22">
        <f t="shared" si="110"/>
        <v>3</v>
      </c>
      <c r="BJ110" s="22">
        <f t="shared" si="111"/>
        <v>2</v>
      </c>
      <c r="BK110" s="22">
        <f t="shared" si="112"/>
        <v>1</v>
      </c>
      <c r="BL110" s="22" t="str">
        <f t="shared" si="113"/>
        <v>321</v>
      </c>
      <c r="BS110"/>
      <c r="CL110" s="23">
        <v>114</v>
      </c>
      <c r="CM110" s="23">
        <v>110</v>
      </c>
      <c r="CO110"/>
    </row>
    <row r="111" spans="2:93" ht="17" hidden="1">
      <c r="B111" s="15">
        <v>107</v>
      </c>
      <c r="C111" s="23" t="s">
        <v>137</v>
      </c>
      <c r="D111" s="16">
        <v>2</v>
      </c>
      <c r="E111" s="17">
        <v>6679927800</v>
      </c>
      <c r="F111" s="16">
        <v>35</v>
      </c>
      <c r="G111" s="17">
        <v>63618360</v>
      </c>
      <c r="H111" s="17">
        <v>2181</v>
      </c>
      <c r="I111" s="17">
        <v>1020928</v>
      </c>
      <c r="J111" s="17">
        <v>91651</v>
      </c>
      <c r="K111" s="17">
        <v>48590</v>
      </c>
      <c r="L111" s="17">
        <v>1301235</v>
      </c>
      <c r="M111" s="17">
        <v>5000</v>
      </c>
      <c r="N111" s="23">
        <v>1</v>
      </c>
      <c r="O111" s="23">
        <v>4</v>
      </c>
      <c r="P111" s="23">
        <v>5</v>
      </c>
      <c r="Q111" s="23">
        <v>6</v>
      </c>
      <c r="R111" s="23">
        <v>9</v>
      </c>
      <c r="S111" s="23">
        <v>31</v>
      </c>
      <c r="T111" s="23">
        <v>17</v>
      </c>
      <c r="U111" s="23">
        <f t="shared" si="86"/>
        <v>56</v>
      </c>
      <c r="W111" s="22" t="str">
        <f t="shared" si="69"/>
        <v>홀수</v>
      </c>
      <c r="X111" s="22" t="str">
        <f t="shared" si="70"/>
        <v>짝수</v>
      </c>
      <c r="Y111" s="22" t="str">
        <f t="shared" si="71"/>
        <v>홀수</v>
      </c>
      <c r="Z111" s="22" t="str">
        <f t="shared" si="72"/>
        <v>짝수</v>
      </c>
      <c r="AA111" s="22" t="str">
        <f t="shared" si="73"/>
        <v>홀수</v>
      </c>
      <c r="AB111" s="22" t="str">
        <f t="shared" si="74"/>
        <v>홀수</v>
      </c>
      <c r="AC111" s="52" t="str">
        <f t="shared" si="75"/>
        <v>4 : 2</v>
      </c>
      <c r="AD111" s="22">
        <f t="shared" si="76"/>
        <v>4</v>
      </c>
      <c r="AE111" s="22">
        <f t="shared" si="77"/>
        <v>2</v>
      </c>
      <c r="AF111" s="22" t="str">
        <f t="shared" si="87"/>
        <v>저수</v>
      </c>
      <c r="AG111" s="22" t="str">
        <f t="shared" si="88"/>
        <v>저수</v>
      </c>
      <c r="AH111" s="22" t="str">
        <f t="shared" si="89"/>
        <v>저수</v>
      </c>
      <c r="AI111" s="22" t="str">
        <f t="shared" si="90"/>
        <v>저수</v>
      </c>
      <c r="AJ111" s="22" t="str">
        <f t="shared" si="91"/>
        <v>저수</v>
      </c>
      <c r="AK111" s="22" t="str">
        <f t="shared" si="92"/>
        <v>고수</v>
      </c>
      <c r="AL111" s="52" t="str">
        <f t="shared" si="93"/>
        <v>5 : 1</v>
      </c>
      <c r="AM111" s="22">
        <f t="shared" si="94"/>
        <v>5</v>
      </c>
      <c r="AN111" s="22">
        <f t="shared" si="95"/>
        <v>1</v>
      </c>
      <c r="AO111" s="22">
        <f t="shared" si="96"/>
        <v>26</v>
      </c>
      <c r="AP111" s="22" t="str">
        <f t="shared" si="97"/>
        <v>X</v>
      </c>
      <c r="AQ111" s="22" t="str">
        <f t="shared" si="98"/>
        <v>X</v>
      </c>
      <c r="AR111" s="22" t="str">
        <f t="shared" si="99"/>
        <v>O</v>
      </c>
      <c r="AS111" s="22" t="str">
        <f t="shared" si="100"/>
        <v>X</v>
      </c>
      <c r="AT111" s="22" t="str">
        <f t="shared" si="101"/>
        <v>X</v>
      </c>
      <c r="AU111" s="22" t="str">
        <f t="shared" si="102"/>
        <v>X</v>
      </c>
      <c r="AV111" s="22" t="str">
        <f t="shared" si="103"/>
        <v>X</v>
      </c>
      <c r="AW111" s="22" t="str">
        <f t="shared" si="104"/>
        <v>X</v>
      </c>
      <c r="AX111" s="22" t="str">
        <f t="shared" si="105"/>
        <v>X</v>
      </c>
      <c r="AY111" s="22" t="str">
        <f t="shared" si="106"/>
        <v>X</v>
      </c>
      <c r="AZ111" s="22" t="str">
        <f t="shared" si="107"/>
        <v>X</v>
      </c>
      <c r="BA111" s="22" t="str">
        <f t="shared" si="108"/>
        <v>O</v>
      </c>
      <c r="BB111" s="22">
        <f t="shared" si="109"/>
        <v>2</v>
      </c>
      <c r="BC111" s="22" t="str">
        <f t="shared" si="80"/>
        <v>1G</v>
      </c>
      <c r="BD111" s="22" t="str">
        <f t="shared" si="81"/>
        <v>1G</v>
      </c>
      <c r="BE111" s="22" t="str">
        <f t="shared" si="82"/>
        <v>1G</v>
      </c>
      <c r="BF111" s="22" t="str">
        <f t="shared" si="83"/>
        <v>1G</v>
      </c>
      <c r="BG111" s="22" t="str">
        <f t="shared" si="84"/>
        <v>1G</v>
      </c>
      <c r="BH111" s="22" t="str">
        <f t="shared" si="85"/>
        <v>3G</v>
      </c>
      <c r="BI111" s="22">
        <f t="shared" si="110"/>
        <v>5</v>
      </c>
      <c r="BJ111" s="22">
        <f t="shared" si="111"/>
        <v>0</v>
      </c>
      <c r="BK111" s="22">
        <f t="shared" si="112"/>
        <v>1</v>
      </c>
      <c r="BL111" s="22" t="str">
        <f t="shared" si="113"/>
        <v>501</v>
      </c>
      <c r="BS111"/>
      <c r="CL111" s="23">
        <v>114</v>
      </c>
      <c r="CM111" s="23">
        <v>110</v>
      </c>
      <c r="CO111"/>
    </row>
    <row r="112" spans="2:93" ht="17" hidden="1">
      <c r="B112" s="15">
        <v>108</v>
      </c>
      <c r="C112" s="23" t="s">
        <v>138</v>
      </c>
      <c r="D112" s="16">
        <v>7</v>
      </c>
      <c r="E112" s="17">
        <v>1998900772</v>
      </c>
      <c r="F112" s="16">
        <v>41</v>
      </c>
      <c r="G112" s="17">
        <v>56879291</v>
      </c>
      <c r="H112" s="17">
        <v>1462</v>
      </c>
      <c r="I112" s="17">
        <v>1595111</v>
      </c>
      <c r="J112" s="17">
        <v>70827</v>
      </c>
      <c r="K112" s="17">
        <v>65853</v>
      </c>
      <c r="L112" s="17">
        <v>1223421</v>
      </c>
      <c r="M112" s="17">
        <v>5000</v>
      </c>
      <c r="N112" s="23">
        <v>7</v>
      </c>
      <c r="O112" s="23">
        <v>18</v>
      </c>
      <c r="P112" s="23">
        <v>22</v>
      </c>
      <c r="Q112" s="23">
        <v>23</v>
      </c>
      <c r="R112" s="23">
        <v>29</v>
      </c>
      <c r="S112" s="23">
        <v>44</v>
      </c>
      <c r="T112" s="23">
        <v>12</v>
      </c>
      <c r="U112" s="23">
        <f t="shared" si="86"/>
        <v>143</v>
      </c>
      <c r="W112" s="22" t="str">
        <f t="shared" si="69"/>
        <v>홀수</v>
      </c>
      <c r="X112" s="22" t="str">
        <f t="shared" si="70"/>
        <v>짝수</v>
      </c>
      <c r="Y112" s="22" t="str">
        <f t="shared" si="71"/>
        <v>짝수</v>
      </c>
      <c r="Z112" s="22" t="str">
        <f t="shared" si="72"/>
        <v>홀수</v>
      </c>
      <c r="AA112" s="22" t="str">
        <f t="shared" si="73"/>
        <v>홀수</v>
      </c>
      <c r="AB112" s="22" t="str">
        <f t="shared" si="74"/>
        <v>짝수</v>
      </c>
      <c r="AC112" s="52" t="str">
        <f t="shared" si="75"/>
        <v>3 : 3</v>
      </c>
      <c r="AD112" s="22">
        <f t="shared" si="76"/>
        <v>3</v>
      </c>
      <c r="AE112" s="22">
        <f t="shared" si="77"/>
        <v>3</v>
      </c>
      <c r="AF112" s="22" t="str">
        <f t="shared" si="87"/>
        <v>저수</v>
      </c>
      <c r="AG112" s="22" t="str">
        <f t="shared" si="88"/>
        <v>저수</v>
      </c>
      <c r="AH112" s="22" t="str">
        <f t="shared" si="89"/>
        <v>저수</v>
      </c>
      <c r="AI112" s="22" t="str">
        <f t="shared" si="90"/>
        <v>고수</v>
      </c>
      <c r="AJ112" s="22" t="str">
        <f t="shared" si="91"/>
        <v>고수</v>
      </c>
      <c r="AK112" s="22" t="str">
        <f t="shared" si="92"/>
        <v>고수</v>
      </c>
      <c r="AL112" s="52" t="str">
        <f t="shared" si="93"/>
        <v>3 : 3</v>
      </c>
      <c r="AM112" s="22">
        <f t="shared" si="94"/>
        <v>3</v>
      </c>
      <c r="AN112" s="22">
        <f t="shared" si="95"/>
        <v>3</v>
      </c>
      <c r="AO112" s="22">
        <f t="shared" si="96"/>
        <v>33</v>
      </c>
      <c r="AP112" s="22" t="str">
        <f t="shared" si="97"/>
        <v>O</v>
      </c>
      <c r="AQ112" s="22" t="str">
        <f t="shared" si="98"/>
        <v>X</v>
      </c>
      <c r="AR112" s="22" t="str">
        <f t="shared" si="99"/>
        <v>X</v>
      </c>
      <c r="AS112" s="22" t="str">
        <f t="shared" si="100"/>
        <v>X</v>
      </c>
      <c r="AT112" s="22" t="str">
        <f t="shared" si="101"/>
        <v>X</v>
      </c>
      <c r="AU112" s="22" t="str">
        <f t="shared" si="102"/>
        <v>X</v>
      </c>
      <c r="AV112" s="22" t="str">
        <f t="shared" si="103"/>
        <v>X</v>
      </c>
      <c r="AW112" s="22" t="str">
        <f t="shared" si="104"/>
        <v>X</v>
      </c>
      <c r="AX112" s="22" t="str">
        <f t="shared" si="105"/>
        <v>X</v>
      </c>
      <c r="AY112" s="22" t="str">
        <f t="shared" si="106"/>
        <v>O</v>
      </c>
      <c r="AZ112" s="22" t="str">
        <f t="shared" si="107"/>
        <v>O</v>
      </c>
      <c r="BA112" s="22" t="str">
        <f t="shared" si="108"/>
        <v>X</v>
      </c>
      <c r="BB112" s="22">
        <f t="shared" si="109"/>
        <v>3</v>
      </c>
      <c r="BC112" s="22" t="str">
        <f t="shared" si="80"/>
        <v>1G</v>
      </c>
      <c r="BD112" s="22" t="str">
        <f t="shared" si="81"/>
        <v>2G</v>
      </c>
      <c r="BE112" s="22" t="str">
        <f t="shared" si="82"/>
        <v>2G</v>
      </c>
      <c r="BF112" s="22" t="str">
        <f t="shared" si="83"/>
        <v>2G</v>
      </c>
      <c r="BG112" s="22" t="str">
        <f t="shared" si="84"/>
        <v>2G</v>
      </c>
      <c r="BH112" s="22" t="str">
        <f t="shared" si="85"/>
        <v>3G</v>
      </c>
      <c r="BI112" s="22">
        <f t="shared" si="110"/>
        <v>1</v>
      </c>
      <c r="BJ112" s="22">
        <f t="shared" si="111"/>
        <v>4</v>
      </c>
      <c r="BK112" s="22">
        <f t="shared" si="112"/>
        <v>1</v>
      </c>
      <c r="BL112" s="22" t="str">
        <f t="shared" si="113"/>
        <v>141</v>
      </c>
      <c r="BS112"/>
      <c r="CL112" s="23">
        <v>114</v>
      </c>
      <c r="CM112" s="23">
        <v>110</v>
      </c>
      <c r="CO112"/>
    </row>
    <row r="113" spans="1:93" ht="17" hidden="1">
      <c r="A113" s="16">
        <v>2005</v>
      </c>
      <c r="B113" s="15">
        <v>109</v>
      </c>
      <c r="C113" s="23" t="s">
        <v>139</v>
      </c>
      <c r="D113" s="16">
        <v>12</v>
      </c>
      <c r="E113" s="17">
        <v>1246838200</v>
      </c>
      <c r="F113" s="16">
        <v>31</v>
      </c>
      <c r="G113" s="17">
        <v>80441175</v>
      </c>
      <c r="H113" s="17">
        <v>1493</v>
      </c>
      <c r="I113" s="17">
        <v>1670246</v>
      </c>
      <c r="J113" s="17">
        <v>73179</v>
      </c>
      <c r="K113" s="17">
        <v>68153</v>
      </c>
      <c r="L113" s="17">
        <v>1271057</v>
      </c>
      <c r="M113" s="17">
        <v>5000</v>
      </c>
      <c r="N113" s="23">
        <v>1</v>
      </c>
      <c r="O113" s="23">
        <v>5</v>
      </c>
      <c r="P113" s="23">
        <v>34</v>
      </c>
      <c r="Q113" s="23">
        <v>36</v>
      </c>
      <c r="R113" s="23">
        <v>42</v>
      </c>
      <c r="S113" s="23">
        <v>44</v>
      </c>
      <c r="T113" s="23">
        <v>33</v>
      </c>
      <c r="U113" s="23">
        <f t="shared" si="86"/>
        <v>162</v>
      </c>
      <c r="W113" s="22" t="str">
        <f t="shared" si="69"/>
        <v>홀수</v>
      </c>
      <c r="X113" s="22" t="str">
        <f t="shared" si="70"/>
        <v>홀수</v>
      </c>
      <c r="Y113" s="22" t="str">
        <f t="shared" si="71"/>
        <v>짝수</v>
      </c>
      <c r="Z113" s="22" t="str">
        <f t="shared" si="72"/>
        <v>짝수</v>
      </c>
      <c r="AA113" s="22" t="str">
        <f t="shared" si="73"/>
        <v>짝수</v>
      </c>
      <c r="AB113" s="22" t="str">
        <f t="shared" si="74"/>
        <v>짝수</v>
      </c>
      <c r="AC113" s="52" t="str">
        <f t="shared" si="75"/>
        <v>2 : 4</v>
      </c>
      <c r="AD113" s="22">
        <f t="shared" si="76"/>
        <v>2</v>
      </c>
      <c r="AE113" s="22">
        <f t="shared" si="77"/>
        <v>4</v>
      </c>
      <c r="AF113" s="22" t="str">
        <f t="shared" si="87"/>
        <v>저수</v>
      </c>
      <c r="AG113" s="22" t="str">
        <f t="shared" si="88"/>
        <v>저수</v>
      </c>
      <c r="AH113" s="22" t="str">
        <f t="shared" si="89"/>
        <v>고수</v>
      </c>
      <c r="AI113" s="22" t="str">
        <f t="shared" si="90"/>
        <v>고수</v>
      </c>
      <c r="AJ113" s="22" t="str">
        <f t="shared" si="91"/>
        <v>고수</v>
      </c>
      <c r="AK113" s="22" t="str">
        <f t="shared" si="92"/>
        <v>고수</v>
      </c>
      <c r="AL113" s="52" t="str">
        <f t="shared" si="93"/>
        <v>2 : 4</v>
      </c>
      <c r="AM113" s="22">
        <f t="shared" si="94"/>
        <v>2</v>
      </c>
      <c r="AN113" s="22">
        <f t="shared" si="95"/>
        <v>4</v>
      </c>
      <c r="AO113" s="22">
        <f t="shared" si="96"/>
        <v>22</v>
      </c>
      <c r="AP113" s="22" t="str">
        <f t="shared" si="97"/>
        <v>X</v>
      </c>
      <c r="AQ113" s="22" t="str">
        <f t="shared" si="98"/>
        <v>O</v>
      </c>
      <c r="AR113" s="22" t="str">
        <f t="shared" si="99"/>
        <v>X</v>
      </c>
      <c r="AS113" s="22" t="str">
        <f t="shared" si="100"/>
        <v>X</v>
      </c>
      <c r="AT113" s="22" t="str">
        <f t="shared" si="101"/>
        <v>X</v>
      </c>
      <c r="AU113" s="22" t="str">
        <f t="shared" si="102"/>
        <v>X</v>
      </c>
      <c r="AV113" s="22" t="str">
        <f t="shared" si="103"/>
        <v>X</v>
      </c>
      <c r="AW113" s="22" t="str">
        <f t="shared" si="104"/>
        <v>X</v>
      </c>
      <c r="AX113" s="22" t="str">
        <f t="shared" si="105"/>
        <v>X</v>
      </c>
      <c r="AY113" s="22" t="str">
        <f t="shared" si="106"/>
        <v>X</v>
      </c>
      <c r="AZ113" s="22" t="str">
        <f t="shared" si="107"/>
        <v>X</v>
      </c>
      <c r="BA113" s="22" t="str">
        <f t="shared" si="108"/>
        <v>X</v>
      </c>
      <c r="BB113" s="22">
        <f t="shared" si="109"/>
        <v>1</v>
      </c>
      <c r="BC113" s="22" t="str">
        <f t="shared" si="80"/>
        <v>1G</v>
      </c>
      <c r="BD113" s="22" t="str">
        <f t="shared" si="81"/>
        <v>1G</v>
      </c>
      <c r="BE113" s="22" t="str">
        <f t="shared" si="82"/>
        <v>3G</v>
      </c>
      <c r="BF113" s="22" t="str">
        <f t="shared" si="83"/>
        <v>3G</v>
      </c>
      <c r="BG113" s="22" t="str">
        <f t="shared" si="84"/>
        <v>3G</v>
      </c>
      <c r="BH113" s="22" t="str">
        <f t="shared" si="85"/>
        <v>3G</v>
      </c>
      <c r="BI113" s="22">
        <f t="shared" si="110"/>
        <v>2</v>
      </c>
      <c r="BJ113" s="22">
        <f t="shared" si="111"/>
        <v>0</v>
      </c>
      <c r="BK113" s="22">
        <f t="shared" si="112"/>
        <v>4</v>
      </c>
      <c r="BL113" s="22" t="str">
        <f t="shared" si="113"/>
        <v>204</v>
      </c>
      <c r="BS113"/>
      <c r="CL113" s="23">
        <v>114</v>
      </c>
      <c r="CM113" s="23">
        <v>110</v>
      </c>
      <c r="CO113"/>
    </row>
    <row r="114" spans="1:93" ht="17" hidden="1">
      <c r="B114" s="15">
        <v>110</v>
      </c>
      <c r="C114" s="23" t="s">
        <v>140</v>
      </c>
      <c r="D114" s="16">
        <v>3</v>
      </c>
      <c r="E114" s="17">
        <v>4566262000</v>
      </c>
      <c r="F114" s="16">
        <v>38</v>
      </c>
      <c r="G114" s="17">
        <v>60082395</v>
      </c>
      <c r="H114" s="17">
        <v>1392</v>
      </c>
      <c r="I114" s="17">
        <v>1640181</v>
      </c>
      <c r="J114" s="17">
        <v>73674</v>
      </c>
      <c r="K114" s="17">
        <v>61980</v>
      </c>
      <c r="L114" s="17">
        <v>1196287</v>
      </c>
      <c r="M114" s="17">
        <v>5000</v>
      </c>
      <c r="N114" s="23">
        <v>7</v>
      </c>
      <c r="O114" s="23">
        <v>20</v>
      </c>
      <c r="P114" s="23">
        <v>22</v>
      </c>
      <c r="Q114" s="23">
        <v>23</v>
      </c>
      <c r="R114" s="23">
        <v>29</v>
      </c>
      <c r="S114" s="23">
        <v>43</v>
      </c>
      <c r="T114" s="23">
        <v>1</v>
      </c>
      <c r="U114" s="23">
        <f t="shared" si="86"/>
        <v>144</v>
      </c>
      <c r="W114" s="22" t="str">
        <f t="shared" si="69"/>
        <v>홀수</v>
      </c>
      <c r="X114" s="22" t="str">
        <f t="shared" si="70"/>
        <v>짝수</v>
      </c>
      <c r="Y114" s="22" t="str">
        <f t="shared" si="71"/>
        <v>짝수</v>
      </c>
      <c r="Z114" s="22" t="str">
        <f t="shared" si="72"/>
        <v>홀수</v>
      </c>
      <c r="AA114" s="22" t="str">
        <f t="shared" si="73"/>
        <v>홀수</v>
      </c>
      <c r="AB114" s="22" t="str">
        <f t="shared" si="74"/>
        <v>홀수</v>
      </c>
      <c r="AC114" s="52" t="str">
        <f t="shared" si="75"/>
        <v>4 : 2</v>
      </c>
      <c r="AD114" s="22">
        <f t="shared" si="76"/>
        <v>4</v>
      </c>
      <c r="AE114" s="22">
        <f t="shared" si="77"/>
        <v>2</v>
      </c>
      <c r="AF114" s="22" t="str">
        <f t="shared" si="87"/>
        <v>저수</v>
      </c>
      <c r="AG114" s="22" t="str">
        <f t="shared" si="88"/>
        <v>저수</v>
      </c>
      <c r="AH114" s="22" t="str">
        <f t="shared" si="89"/>
        <v>저수</v>
      </c>
      <c r="AI114" s="22" t="str">
        <f t="shared" si="90"/>
        <v>고수</v>
      </c>
      <c r="AJ114" s="22" t="str">
        <f t="shared" si="91"/>
        <v>고수</v>
      </c>
      <c r="AK114" s="22" t="str">
        <f t="shared" si="92"/>
        <v>고수</v>
      </c>
      <c r="AL114" s="52" t="str">
        <f t="shared" si="93"/>
        <v>3 : 3</v>
      </c>
      <c r="AM114" s="22">
        <f t="shared" si="94"/>
        <v>3</v>
      </c>
      <c r="AN114" s="22">
        <f t="shared" si="95"/>
        <v>3</v>
      </c>
      <c r="AO114" s="22">
        <f t="shared" si="96"/>
        <v>24</v>
      </c>
      <c r="AP114" s="22" t="str">
        <f t="shared" si="97"/>
        <v>O</v>
      </c>
      <c r="AQ114" s="22" t="str">
        <f t="shared" si="98"/>
        <v>X</v>
      </c>
      <c r="AR114" s="22" t="str">
        <f t="shared" si="99"/>
        <v>X</v>
      </c>
      <c r="AS114" s="22" t="str">
        <f t="shared" si="100"/>
        <v>X</v>
      </c>
      <c r="AT114" s="22" t="str">
        <f t="shared" si="101"/>
        <v>X</v>
      </c>
      <c r="AU114" s="22" t="str">
        <f t="shared" si="102"/>
        <v>X</v>
      </c>
      <c r="AV114" s="22" t="str">
        <f t="shared" si="103"/>
        <v>X</v>
      </c>
      <c r="AW114" s="22" t="str">
        <f t="shared" si="104"/>
        <v>X</v>
      </c>
      <c r="AX114" s="22" t="str">
        <f t="shared" si="105"/>
        <v>X</v>
      </c>
      <c r="AY114" s="22" t="str">
        <f t="shared" si="106"/>
        <v>O</v>
      </c>
      <c r="AZ114" s="22" t="str">
        <f t="shared" si="107"/>
        <v>O</v>
      </c>
      <c r="BA114" s="22" t="str">
        <f t="shared" si="108"/>
        <v>O</v>
      </c>
      <c r="BB114" s="22">
        <f t="shared" si="109"/>
        <v>4</v>
      </c>
      <c r="BC114" s="22" t="str">
        <f t="shared" si="80"/>
        <v>1G</v>
      </c>
      <c r="BD114" s="22" t="str">
        <f t="shared" si="81"/>
        <v>2G</v>
      </c>
      <c r="BE114" s="22" t="str">
        <f t="shared" si="82"/>
        <v>2G</v>
      </c>
      <c r="BF114" s="22" t="str">
        <f t="shared" si="83"/>
        <v>2G</v>
      </c>
      <c r="BG114" s="22" t="str">
        <f t="shared" si="84"/>
        <v>2G</v>
      </c>
      <c r="BH114" s="22" t="str">
        <f t="shared" si="85"/>
        <v>3G</v>
      </c>
      <c r="BI114" s="22">
        <f t="shared" si="110"/>
        <v>1</v>
      </c>
      <c r="BJ114" s="22">
        <f t="shared" si="111"/>
        <v>4</v>
      </c>
      <c r="BK114" s="22">
        <f t="shared" si="112"/>
        <v>1</v>
      </c>
      <c r="BL114" s="22" t="str">
        <f t="shared" si="113"/>
        <v>141</v>
      </c>
      <c r="BS114"/>
      <c r="CL114" s="23">
        <v>114</v>
      </c>
      <c r="CM114" s="23">
        <v>110</v>
      </c>
      <c r="CO114"/>
    </row>
    <row r="115" spans="1:93" ht="17" hidden="1">
      <c r="B115" s="15">
        <v>111</v>
      </c>
      <c r="C115" s="23" t="s">
        <v>141</v>
      </c>
      <c r="D115" s="16">
        <v>6</v>
      </c>
      <c r="E115" s="17">
        <v>2199047450</v>
      </c>
      <c r="F115" s="16">
        <v>51</v>
      </c>
      <c r="G115" s="17">
        <v>43118578</v>
      </c>
      <c r="H115" s="17">
        <v>1734</v>
      </c>
      <c r="I115" s="17">
        <v>1268194</v>
      </c>
      <c r="J115" s="17">
        <v>86863</v>
      </c>
      <c r="K115" s="17">
        <v>50633</v>
      </c>
      <c r="L115" s="17">
        <v>1389605</v>
      </c>
      <c r="M115" s="17">
        <v>5000</v>
      </c>
      <c r="N115" s="23">
        <v>7</v>
      </c>
      <c r="O115" s="23">
        <v>18</v>
      </c>
      <c r="P115" s="23">
        <v>31</v>
      </c>
      <c r="Q115" s="23">
        <v>33</v>
      </c>
      <c r="R115" s="23">
        <v>36</v>
      </c>
      <c r="S115" s="23">
        <v>40</v>
      </c>
      <c r="T115" s="23">
        <v>27</v>
      </c>
      <c r="U115" s="23">
        <f t="shared" si="86"/>
        <v>165</v>
      </c>
      <c r="W115" s="22" t="str">
        <f t="shared" si="69"/>
        <v>홀수</v>
      </c>
      <c r="X115" s="22" t="str">
        <f t="shared" si="70"/>
        <v>짝수</v>
      </c>
      <c r="Y115" s="22" t="str">
        <f t="shared" si="71"/>
        <v>홀수</v>
      </c>
      <c r="Z115" s="22" t="str">
        <f t="shared" si="72"/>
        <v>홀수</v>
      </c>
      <c r="AA115" s="22" t="str">
        <f t="shared" si="73"/>
        <v>짝수</v>
      </c>
      <c r="AB115" s="22" t="str">
        <f t="shared" si="74"/>
        <v>짝수</v>
      </c>
      <c r="AC115" s="52" t="str">
        <f t="shared" si="75"/>
        <v>3 : 3</v>
      </c>
      <c r="AD115" s="22">
        <f t="shared" si="76"/>
        <v>3</v>
      </c>
      <c r="AE115" s="22">
        <f t="shared" si="77"/>
        <v>3</v>
      </c>
      <c r="AF115" s="22" t="str">
        <f t="shared" si="87"/>
        <v>저수</v>
      </c>
      <c r="AG115" s="22" t="str">
        <f t="shared" si="88"/>
        <v>저수</v>
      </c>
      <c r="AH115" s="22" t="str">
        <f t="shared" si="89"/>
        <v>고수</v>
      </c>
      <c r="AI115" s="22" t="str">
        <f t="shared" si="90"/>
        <v>고수</v>
      </c>
      <c r="AJ115" s="22" t="str">
        <f t="shared" si="91"/>
        <v>고수</v>
      </c>
      <c r="AK115" s="22" t="str">
        <f t="shared" si="92"/>
        <v>고수</v>
      </c>
      <c r="AL115" s="52" t="str">
        <f t="shared" si="93"/>
        <v>2 : 4</v>
      </c>
      <c r="AM115" s="22">
        <f t="shared" si="94"/>
        <v>2</v>
      </c>
      <c r="AN115" s="22">
        <f t="shared" si="95"/>
        <v>4</v>
      </c>
      <c r="AO115" s="22">
        <f t="shared" si="96"/>
        <v>25</v>
      </c>
      <c r="AP115" s="22" t="str">
        <f t="shared" si="97"/>
        <v>O</v>
      </c>
      <c r="AQ115" s="22" t="str">
        <f t="shared" si="98"/>
        <v>X</v>
      </c>
      <c r="AR115" s="22" t="str">
        <f t="shared" si="99"/>
        <v>X</v>
      </c>
      <c r="AS115" s="22" t="str">
        <f t="shared" si="100"/>
        <v>X</v>
      </c>
      <c r="AT115" s="22" t="str">
        <f t="shared" si="101"/>
        <v>X</v>
      </c>
      <c r="AU115" s="22" t="str">
        <f t="shared" si="102"/>
        <v>X</v>
      </c>
      <c r="AV115" s="22" t="str">
        <f t="shared" si="103"/>
        <v>X</v>
      </c>
      <c r="AW115" s="22" t="str">
        <f t="shared" si="104"/>
        <v>X</v>
      </c>
      <c r="AX115" s="22" t="str">
        <f t="shared" si="105"/>
        <v>O</v>
      </c>
      <c r="AY115" s="22" t="str">
        <f t="shared" si="106"/>
        <v>X</v>
      </c>
      <c r="AZ115" s="22" t="str">
        <f t="shared" si="107"/>
        <v>X</v>
      </c>
      <c r="BA115" s="22" t="str">
        <f t="shared" si="108"/>
        <v>X</v>
      </c>
      <c r="BB115" s="22">
        <f t="shared" si="109"/>
        <v>2</v>
      </c>
      <c r="BC115" s="22" t="str">
        <f t="shared" si="80"/>
        <v>1G</v>
      </c>
      <c r="BD115" s="22" t="str">
        <f t="shared" si="81"/>
        <v>2G</v>
      </c>
      <c r="BE115" s="22" t="str">
        <f t="shared" si="82"/>
        <v>3G</v>
      </c>
      <c r="BF115" s="22" t="str">
        <f t="shared" si="83"/>
        <v>3G</v>
      </c>
      <c r="BG115" s="22" t="str">
        <f t="shared" si="84"/>
        <v>3G</v>
      </c>
      <c r="BH115" s="22" t="str">
        <f t="shared" si="85"/>
        <v>3G</v>
      </c>
      <c r="BI115" s="22">
        <f t="shared" si="110"/>
        <v>1</v>
      </c>
      <c r="BJ115" s="22">
        <f t="shared" si="111"/>
        <v>1</v>
      </c>
      <c r="BK115" s="22">
        <f t="shared" si="112"/>
        <v>4</v>
      </c>
      <c r="BL115" s="22" t="str">
        <f t="shared" si="113"/>
        <v>114</v>
      </c>
      <c r="BS115"/>
      <c r="CL115" s="23">
        <v>115</v>
      </c>
      <c r="CM115" s="23">
        <v>110</v>
      </c>
      <c r="CO115"/>
    </row>
    <row r="116" spans="1:93" ht="17" hidden="1">
      <c r="B116" s="15">
        <v>112</v>
      </c>
      <c r="C116" s="23" t="s">
        <v>142</v>
      </c>
      <c r="D116" s="16">
        <v>9</v>
      </c>
      <c r="E116" s="17">
        <v>1567271167</v>
      </c>
      <c r="F116" s="16">
        <v>32</v>
      </c>
      <c r="G116" s="17">
        <v>73465836</v>
      </c>
      <c r="H116" s="17">
        <v>1370</v>
      </c>
      <c r="I116" s="17">
        <v>1715991</v>
      </c>
      <c r="J116" s="17">
        <v>70247</v>
      </c>
      <c r="K116" s="17">
        <v>66933</v>
      </c>
      <c r="L116" s="17">
        <v>1227387</v>
      </c>
      <c r="M116" s="17">
        <v>5000</v>
      </c>
      <c r="N116" s="23">
        <v>26</v>
      </c>
      <c r="O116" s="23">
        <v>29</v>
      </c>
      <c r="P116" s="23">
        <v>30</v>
      </c>
      <c r="Q116" s="23">
        <v>33</v>
      </c>
      <c r="R116" s="23">
        <v>41</v>
      </c>
      <c r="S116" s="23">
        <v>42</v>
      </c>
      <c r="T116" s="23">
        <v>43</v>
      </c>
      <c r="U116" s="23">
        <f t="shared" si="86"/>
        <v>201</v>
      </c>
      <c r="W116" s="22" t="str">
        <f t="shared" si="69"/>
        <v>짝수</v>
      </c>
      <c r="X116" s="22" t="str">
        <f t="shared" si="70"/>
        <v>홀수</v>
      </c>
      <c r="Y116" s="22" t="str">
        <f t="shared" si="71"/>
        <v>짝수</v>
      </c>
      <c r="Z116" s="22" t="str">
        <f t="shared" si="72"/>
        <v>홀수</v>
      </c>
      <c r="AA116" s="22" t="str">
        <f t="shared" si="73"/>
        <v>홀수</v>
      </c>
      <c r="AB116" s="22" t="str">
        <f t="shared" si="74"/>
        <v>짝수</v>
      </c>
      <c r="AC116" s="52" t="str">
        <f t="shared" si="75"/>
        <v>3 : 3</v>
      </c>
      <c r="AD116" s="22">
        <f t="shared" si="76"/>
        <v>3</v>
      </c>
      <c r="AE116" s="22">
        <f t="shared" si="77"/>
        <v>3</v>
      </c>
      <c r="AF116" s="22" t="str">
        <f t="shared" si="87"/>
        <v>고수</v>
      </c>
      <c r="AG116" s="22" t="str">
        <f t="shared" si="88"/>
        <v>고수</v>
      </c>
      <c r="AH116" s="22" t="str">
        <f t="shared" si="89"/>
        <v>고수</v>
      </c>
      <c r="AI116" s="22" t="str">
        <f t="shared" si="90"/>
        <v>고수</v>
      </c>
      <c r="AJ116" s="22" t="str">
        <f t="shared" si="91"/>
        <v>고수</v>
      </c>
      <c r="AK116" s="22" t="str">
        <f t="shared" si="92"/>
        <v>고수</v>
      </c>
      <c r="AL116" s="52" t="str">
        <f t="shared" si="93"/>
        <v>0 : 6</v>
      </c>
      <c r="AM116" s="22">
        <f t="shared" si="94"/>
        <v>0</v>
      </c>
      <c r="AN116" s="22">
        <f t="shared" si="95"/>
        <v>6</v>
      </c>
      <c r="AO116" s="22">
        <f t="shared" si="96"/>
        <v>21</v>
      </c>
      <c r="AP116" s="22" t="str">
        <f t="shared" si="97"/>
        <v>X</v>
      </c>
      <c r="AQ116" s="22" t="str">
        <f t="shared" si="98"/>
        <v>X</v>
      </c>
      <c r="AR116" s="22" t="str">
        <f t="shared" si="99"/>
        <v>X</v>
      </c>
      <c r="AS116" s="22" t="str">
        <f t="shared" si="100"/>
        <v>X</v>
      </c>
      <c r="AT116" s="22" t="str">
        <f t="shared" si="101"/>
        <v>X</v>
      </c>
      <c r="AU116" s="22" t="str">
        <f t="shared" si="102"/>
        <v>X</v>
      </c>
      <c r="AV116" s="22" t="str">
        <f t="shared" si="103"/>
        <v>X</v>
      </c>
      <c r="AW116" s="22" t="str">
        <f t="shared" si="104"/>
        <v>O</v>
      </c>
      <c r="AX116" s="22" t="str">
        <f t="shared" si="105"/>
        <v>X</v>
      </c>
      <c r="AY116" s="22" t="str">
        <f t="shared" si="106"/>
        <v>X</v>
      </c>
      <c r="AZ116" s="22" t="str">
        <f t="shared" si="107"/>
        <v>O</v>
      </c>
      <c r="BA116" s="22" t="str">
        <f t="shared" si="108"/>
        <v>X</v>
      </c>
      <c r="BB116" s="22">
        <f t="shared" si="109"/>
        <v>2</v>
      </c>
      <c r="BC116" s="22" t="str">
        <f t="shared" si="80"/>
        <v>2G</v>
      </c>
      <c r="BD116" s="22" t="str">
        <f t="shared" si="81"/>
        <v>2G</v>
      </c>
      <c r="BE116" s="22" t="str">
        <f t="shared" si="82"/>
        <v>2G</v>
      </c>
      <c r="BF116" s="22" t="str">
        <f t="shared" si="83"/>
        <v>3G</v>
      </c>
      <c r="BG116" s="22" t="str">
        <f t="shared" si="84"/>
        <v>3G</v>
      </c>
      <c r="BH116" s="22" t="str">
        <f t="shared" si="85"/>
        <v>3G</v>
      </c>
      <c r="BI116" s="22">
        <f t="shared" si="110"/>
        <v>0</v>
      </c>
      <c r="BJ116" s="22">
        <f t="shared" si="111"/>
        <v>3</v>
      </c>
      <c r="BK116" s="22">
        <f t="shared" si="112"/>
        <v>3</v>
      </c>
      <c r="BL116" s="22" t="str">
        <f t="shared" si="113"/>
        <v>033</v>
      </c>
      <c r="BS116"/>
      <c r="CL116" s="23">
        <v>115</v>
      </c>
      <c r="CM116" s="23">
        <v>110</v>
      </c>
      <c r="CO116"/>
    </row>
    <row r="117" spans="1:93" ht="17" hidden="1">
      <c r="B117" s="15">
        <v>113</v>
      </c>
      <c r="C117" s="23" t="s">
        <v>143</v>
      </c>
      <c r="D117" s="16">
        <v>9</v>
      </c>
      <c r="E117" s="17">
        <v>1561528934</v>
      </c>
      <c r="F117" s="16">
        <v>43</v>
      </c>
      <c r="G117" s="17">
        <v>54471940</v>
      </c>
      <c r="H117" s="17">
        <v>1479</v>
      </c>
      <c r="I117" s="17">
        <v>1583701</v>
      </c>
      <c r="J117" s="17">
        <v>72711</v>
      </c>
      <c r="K117" s="17">
        <v>64428</v>
      </c>
      <c r="L117" s="17">
        <v>1241238</v>
      </c>
      <c r="M117" s="17">
        <v>5000</v>
      </c>
      <c r="N117" s="23">
        <v>4</v>
      </c>
      <c r="O117" s="23">
        <v>9</v>
      </c>
      <c r="P117" s="23">
        <v>28</v>
      </c>
      <c r="Q117" s="23">
        <v>33</v>
      </c>
      <c r="R117" s="23">
        <v>36</v>
      </c>
      <c r="S117" s="23">
        <v>45</v>
      </c>
      <c r="T117" s="23">
        <v>26</v>
      </c>
      <c r="U117" s="23">
        <f t="shared" si="86"/>
        <v>155</v>
      </c>
      <c r="W117" s="22" t="str">
        <f t="shared" si="69"/>
        <v>짝수</v>
      </c>
      <c r="X117" s="22" t="str">
        <f t="shared" si="70"/>
        <v>홀수</v>
      </c>
      <c r="Y117" s="22" t="str">
        <f t="shared" si="71"/>
        <v>짝수</v>
      </c>
      <c r="Z117" s="22" t="str">
        <f t="shared" si="72"/>
        <v>홀수</v>
      </c>
      <c r="AA117" s="22" t="str">
        <f t="shared" si="73"/>
        <v>짝수</v>
      </c>
      <c r="AB117" s="22" t="str">
        <f t="shared" si="74"/>
        <v>홀수</v>
      </c>
      <c r="AC117" s="52" t="str">
        <f t="shared" si="75"/>
        <v>3 : 3</v>
      </c>
      <c r="AD117" s="22">
        <f t="shared" si="76"/>
        <v>3</v>
      </c>
      <c r="AE117" s="22">
        <f t="shared" si="77"/>
        <v>3</v>
      </c>
      <c r="AF117" s="22" t="str">
        <f t="shared" si="87"/>
        <v>저수</v>
      </c>
      <c r="AG117" s="22" t="str">
        <f t="shared" si="88"/>
        <v>저수</v>
      </c>
      <c r="AH117" s="22" t="str">
        <f t="shared" si="89"/>
        <v>고수</v>
      </c>
      <c r="AI117" s="22" t="str">
        <f t="shared" si="90"/>
        <v>고수</v>
      </c>
      <c r="AJ117" s="22" t="str">
        <f t="shared" si="91"/>
        <v>고수</v>
      </c>
      <c r="AK117" s="22" t="str">
        <f t="shared" si="92"/>
        <v>고수</v>
      </c>
      <c r="AL117" s="52" t="str">
        <f t="shared" si="93"/>
        <v>2 : 4</v>
      </c>
      <c r="AM117" s="22">
        <f t="shared" si="94"/>
        <v>2</v>
      </c>
      <c r="AN117" s="22">
        <f t="shared" si="95"/>
        <v>4</v>
      </c>
      <c r="AO117" s="22">
        <f t="shared" si="96"/>
        <v>35</v>
      </c>
      <c r="AP117" s="22" t="str">
        <f t="shared" si="97"/>
        <v>X</v>
      </c>
      <c r="AQ117" s="22" t="str">
        <f t="shared" si="98"/>
        <v>X</v>
      </c>
      <c r="AR117" s="22" t="str">
        <f t="shared" si="99"/>
        <v>X</v>
      </c>
      <c r="AS117" s="22" t="str">
        <f t="shared" si="100"/>
        <v>X</v>
      </c>
      <c r="AT117" s="22" t="str">
        <f t="shared" si="101"/>
        <v>X</v>
      </c>
      <c r="AU117" s="22" t="str">
        <f t="shared" si="102"/>
        <v>X</v>
      </c>
      <c r="AV117" s="22" t="str">
        <f t="shared" si="103"/>
        <v>X</v>
      </c>
      <c r="AW117" s="22" t="str">
        <f t="shared" si="104"/>
        <v>X</v>
      </c>
      <c r="AX117" s="22" t="str">
        <f t="shared" si="105"/>
        <v>X</v>
      </c>
      <c r="AY117" s="22" t="str">
        <f t="shared" si="106"/>
        <v>X</v>
      </c>
      <c r="AZ117" s="22" t="str">
        <f t="shared" si="107"/>
        <v>X</v>
      </c>
      <c r="BA117" s="22" t="str">
        <f t="shared" si="108"/>
        <v>X</v>
      </c>
      <c r="BB117" s="22">
        <f t="shared" si="109"/>
        <v>0</v>
      </c>
      <c r="BC117" s="22" t="str">
        <f t="shared" si="80"/>
        <v>1G</v>
      </c>
      <c r="BD117" s="22" t="str">
        <f t="shared" si="81"/>
        <v>1G</v>
      </c>
      <c r="BE117" s="22" t="str">
        <f t="shared" si="82"/>
        <v>2G</v>
      </c>
      <c r="BF117" s="22" t="str">
        <f t="shared" si="83"/>
        <v>3G</v>
      </c>
      <c r="BG117" s="22" t="str">
        <f t="shared" si="84"/>
        <v>3G</v>
      </c>
      <c r="BH117" s="22" t="str">
        <f t="shared" si="85"/>
        <v>3G</v>
      </c>
      <c r="BI117" s="22">
        <f t="shared" si="110"/>
        <v>2</v>
      </c>
      <c r="BJ117" s="22">
        <f t="shared" si="111"/>
        <v>1</v>
      </c>
      <c r="BK117" s="22">
        <f t="shared" si="112"/>
        <v>3</v>
      </c>
      <c r="BL117" s="22" t="str">
        <f t="shared" si="113"/>
        <v>213</v>
      </c>
      <c r="BS117"/>
      <c r="CL117" s="23">
        <v>115</v>
      </c>
      <c r="CM117" s="23">
        <v>110</v>
      </c>
      <c r="CO117"/>
    </row>
    <row r="118" spans="1:93" ht="17" hidden="1">
      <c r="B118" s="15">
        <v>114</v>
      </c>
      <c r="C118" s="23" t="s">
        <v>144</v>
      </c>
      <c r="D118" s="16">
        <v>6</v>
      </c>
      <c r="E118" s="17">
        <v>2362345050</v>
      </c>
      <c r="F118" s="16">
        <v>41</v>
      </c>
      <c r="G118" s="17">
        <v>57618172</v>
      </c>
      <c r="H118" s="17">
        <v>1491</v>
      </c>
      <c r="I118" s="17">
        <v>1584404</v>
      </c>
      <c r="J118" s="17">
        <v>78504</v>
      </c>
      <c r="K118" s="17">
        <v>60185</v>
      </c>
      <c r="L118" s="17">
        <v>1283250</v>
      </c>
      <c r="M118" s="17">
        <v>5000</v>
      </c>
      <c r="N118" s="23">
        <v>11</v>
      </c>
      <c r="O118" s="23">
        <v>14</v>
      </c>
      <c r="P118" s="23">
        <v>19</v>
      </c>
      <c r="Q118" s="23">
        <v>26</v>
      </c>
      <c r="R118" s="23">
        <v>28</v>
      </c>
      <c r="S118" s="23">
        <v>41</v>
      </c>
      <c r="T118" s="23">
        <v>2</v>
      </c>
      <c r="U118" s="23">
        <f t="shared" si="86"/>
        <v>139</v>
      </c>
      <c r="W118" s="22" t="str">
        <f t="shared" ref="W118:W181" si="116">IF(RIGHT(N118,1)="1","홀수",IF(RIGHT(N118,1)="3","홀수",IF(RIGHT(N118,1)="5","홀수",IF(RIGHT(N118,1)="7","홀수",IF(RIGHT(N118,1)="9","홀수","짝수")))))</f>
        <v>홀수</v>
      </c>
      <c r="X118" s="22" t="str">
        <f t="shared" ref="X118:X181" si="117">IF(RIGHT(O118,1)="1","홀수",IF(RIGHT(O118,1)="3","홀수",IF(RIGHT(O118,1)="5","홀수",IF(RIGHT(O118,1)="7","홀수",IF(RIGHT(O118,1)="9","홀수","짝수")))))</f>
        <v>짝수</v>
      </c>
      <c r="Y118" s="22" t="str">
        <f t="shared" ref="Y118:Y181" si="118">IF(RIGHT(P118,1)="1","홀수",IF(RIGHT(P118,1)="3","홀수",IF(RIGHT(P118,1)="5","홀수",IF(RIGHT(P118,1)="7","홀수",IF(RIGHT(P118,1)="9","홀수","짝수")))))</f>
        <v>홀수</v>
      </c>
      <c r="Z118" s="22" t="str">
        <f t="shared" ref="Z118:Z181" si="119">IF(RIGHT(Q118,1)="1","홀수",IF(RIGHT(Q118,1)="3","홀수",IF(RIGHT(Q118,1)="5","홀수",IF(RIGHT(Q118,1)="7","홀수",IF(RIGHT(Q118,1)="9","홀수","짝수")))))</f>
        <v>짝수</v>
      </c>
      <c r="AA118" s="22" t="str">
        <f t="shared" ref="AA118:AA181" si="120">IF(RIGHT(R118,1)="1","홀수",IF(RIGHT(R118,1)="3","홀수",IF(RIGHT(R118,1)="5","홀수",IF(RIGHT(R118,1)="7","홀수",IF(RIGHT(R118,1)="9","홀수","짝수")))))</f>
        <v>짝수</v>
      </c>
      <c r="AB118" s="22" t="str">
        <f t="shared" ref="AB118:AB181" si="121">IF(RIGHT(S118,1)="1","홀수",IF(RIGHT(S118,1)="3","홀수",IF(RIGHT(S118,1)="5","홀수",IF(RIGHT(S118,1)="7","홀수",IF(RIGHT(S118,1)="9","홀수","짝수")))))</f>
        <v>홀수</v>
      </c>
      <c r="AC118" s="52" t="str">
        <f t="shared" ref="AC118:AC181" si="122">AD118&amp;" : "&amp;AE118</f>
        <v>3 : 3</v>
      </c>
      <c r="AD118" s="22">
        <f t="shared" ref="AD118:AD181" si="123">COUNTIF(W118:AB118,"홀수")</f>
        <v>3</v>
      </c>
      <c r="AE118" s="22">
        <f t="shared" ref="AE118:AE181" si="124">COUNTIF(W118:AB118,"짝수")</f>
        <v>3</v>
      </c>
      <c r="AF118" s="22" t="str">
        <f t="shared" si="87"/>
        <v>저수</v>
      </c>
      <c r="AG118" s="22" t="str">
        <f t="shared" si="88"/>
        <v>저수</v>
      </c>
      <c r="AH118" s="22" t="str">
        <f t="shared" si="89"/>
        <v>저수</v>
      </c>
      <c r="AI118" s="22" t="str">
        <f t="shared" si="90"/>
        <v>고수</v>
      </c>
      <c r="AJ118" s="22" t="str">
        <f t="shared" si="91"/>
        <v>고수</v>
      </c>
      <c r="AK118" s="22" t="str">
        <f t="shared" si="92"/>
        <v>고수</v>
      </c>
      <c r="AL118" s="52" t="str">
        <f t="shared" si="93"/>
        <v>3 : 3</v>
      </c>
      <c r="AM118" s="22">
        <f t="shared" si="94"/>
        <v>3</v>
      </c>
      <c r="AN118" s="22">
        <f t="shared" si="95"/>
        <v>3</v>
      </c>
      <c r="AO118" s="22">
        <f t="shared" si="96"/>
        <v>29</v>
      </c>
      <c r="AP118" s="22" t="str">
        <f t="shared" si="97"/>
        <v>O</v>
      </c>
      <c r="AQ118" s="22" t="str">
        <f t="shared" si="98"/>
        <v>X</v>
      </c>
      <c r="AR118" s="22" t="str">
        <f t="shared" si="99"/>
        <v>O</v>
      </c>
      <c r="AS118" s="22" t="str">
        <f t="shared" si="100"/>
        <v>X</v>
      </c>
      <c r="AT118" s="22" t="str">
        <f t="shared" si="101"/>
        <v>X</v>
      </c>
      <c r="AU118" s="22" t="str">
        <f t="shared" si="102"/>
        <v>X</v>
      </c>
      <c r="AV118" s="22" t="str">
        <f t="shared" si="103"/>
        <v>X</v>
      </c>
      <c r="AW118" s="22" t="str">
        <f t="shared" si="104"/>
        <v>X</v>
      </c>
      <c r="AX118" s="22" t="str">
        <f t="shared" si="105"/>
        <v>X</v>
      </c>
      <c r="AY118" s="22" t="str">
        <f t="shared" si="106"/>
        <v>X</v>
      </c>
      <c r="AZ118" s="22" t="str">
        <f t="shared" si="107"/>
        <v>X</v>
      </c>
      <c r="BA118" s="22" t="str">
        <f t="shared" si="108"/>
        <v>O</v>
      </c>
      <c r="BB118" s="22">
        <f t="shared" si="109"/>
        <v>3</v>
      </c>
      <c r="BC118" s="22" t="str">
        <f t="shared" si="80"/>
        <v>1G</v>
      </c>
      <c r="BD118" s="22" t="str">
        <f t="shared" si="81"/>
        <v>1G</v>
      </c>
      <c r="BE118" s="22" t="str">
        <f t="shared" si="82"/>
        <v>2G</v>
      </c>
      <c r="BF118" s="22" t="str">
        <f t="shared" si="83"/>
        <v>2G</v>
      </c>
      <c r="BG118" s="22" t="str">
        <f t="shared" si="84"/>
        <v>2G</v>
      </c>
      <c r="BH118" s="22" t="str">
        <f t="shared" si="85"/>
        <v>3G</v>
      </c>
      <c r="BI118" s="22">
        <f t="shared" si="110"/>
        <v>2</v>
      </c>
      <c r="BJ118" s="22">
        <f t="shared" si="111"/>
        <v>3</v>
      </c>
      <c r="BK118" s="22">
        <f t="shared" si="112"/>
        <v>1</v>
      </c>
      <c r="BL118" s="22" t="str">
        <f t="shared" si="113"/>
        <v>231</v>
      </c>
      <c r="BS118"/>
      <c r="CL118" s="23">
        <v>116</v>
      </c>
      <c r="CM118" s="23">
        <v>110</v>
      </c>
      <c r="CO118"/>
    </row>
    <row r="119" spans="1:93" ht="17" hidden="1">
      <c r="B119" s="15">
        <v>115</v>
      </c>
      <c r="C119" s="23" t="s">
        <v>145</v>
      </c>
      <c r="D119" s="16">
        <v>9</v>
      </c>
      <c r="E119" s="17">
        <v>1488589567</v>
      </c>
      <c r="F119" s="16">
        <v>34</v>
      </c>
      <c r="G119" s="17">
        <v>65673070</v>
      </c>
      <c r="H119" s="17">
        <v>1990</v>
      </c>
      <c r="I119" s="17">
        <v>1122053</v>
      </c>
      <c r="J119" s="17">
        <v>91627</v>
      </c>
      <c r="K119" s="17">
        <v>48739</v>
      </c>
      <c r="L119" s="17">
        <v>1447287</v>
      </c>
      <c r="M119" s="17">
        <v>5000</v>
      </c>
      <c r="N119" s="23">
        <v>1</v>
      </c>
      <c r="O119" s="23">
        <v>2</v>
      </c>
      <c r="P119" s="23">
        <v>6</v>
      </c>
      <c r="Q119" s="23">
        <v>9</v>
      </c>
      <c r="R119" s="23">
        <v>25</v>
      </c>
      <c r="S119" s="23">
        <v>28</v>
      </c>
      <c r="T119" s="23">
        <v>31</v>
      </c>
      <c r="U119" s="23">
        <f t="shared" si="86"/>
        <v>71</v>
      </c>
      <c r="W119" s="22" t="str">
        <f t="shared" si="116"/>
        <v>홀수</v>
      </c>
      <c r="X119" s="22" t="str">
        <f t="shared" si="117"/>
        <v>짝수</v>
      </c>
      <c r="Y119" s="22" t="str">
        <f t="shared" si="118"/>
        <v>짝수</v>
      </c>
      <c r="Z119" s="22" t="str">
        <f t="shared" si="119"/>
        <v>홀수</v>
      </c>
      <c r="AA119" s="22" t="str">
        <f t="shared" si="120"/>
        <v>홀수</v>
      </c>
      <c r="AB119" s="22" t="str">
        <f t="shared" si="121"/>
        <v>짝수</v>
      </c>
      <c r="AC119" s="52" t="str">
        <f t="shared" si="122"/>
        <v>3 : 3</v>
      </c>
      <c r="AD119" s="22">
        <f t="shared" si="123"/>
        <v>3</v>
      </c>
      <c r="AE119" s="22">
        <f t="shared" si="124"/>
        <v>3</v>
      </c>
      <c r="AF119" s="22" t="str">
        <f t="shared" si="87"/>
        <v>저수</v>
      </c>
      <c r="AG119" s="22" t="str">
        <f t="shared" si="88"/>
        <v>저수</v>
      </c>
      <c r="AH119" s="22" t="str">
        <f t="shared" si="89"/>
        <v>저수</v>
      </c>
      <c r="AI119" s="22" t="str">
        <f t="shared" si="90"/>
        <v>저수</v>
      </c>
      <c r="AJ119" s="22" t="str">
        <f t="shared" si="91"/>
        <v>고수</v>
      </c>
      <c r="AK119" s="22" t="str">
        <f t="shared" si="92"/>
        <v>고수</v>
      </c>
      <c r="AL119" s="52" t="str">
        <f t="shared" si="93"/>
        <v>4 : 2</v>
      </c>
      <c r="AM119" s="22">
        <f t="shared" si="94"/>
        <v>4</v>
      </c>
      <c r="AN119" s="22">
        <f t="shared" si="95"/>
        <v>2</v>
      </c>
      <c r="AO119" s="22">
        <f t="shared" si="96"/>
        <v>31</v>
      </c>
      <c r="AP119" s="22" t="str">
        <f t="shared" si="97"/>
        <v>X</v>
      </c>
      <c r="AQ119" s="22" t="str">
        <f t="shared" si="98"/>
        <v>O</v>
      </c>
      <c r="AR119" s="22" t="str">
        <f t="shared" si="99"/>
        <v>X</v>
      </c>
      <c r="AS119" s="22" t="str">
        <f t="shared" si="100"/>
        <v>X</v>
      </c>
      <c r="AT119" s="22" t="str">
        <f t="shared" si="101"/>
        <v>X</v>
      </c>
      <c r="AU119" s="22" t="str">
        <f t="shared" si="102"/>
        <v>X</v>
      </c>
      <c r="AV119" s="22" t="str">
        <f t="shared" si="103"/>
        <v>X</v>
      </c>
      <c r="AW119" s="22" t="str">
        <f t="shared" si="104"/>
        <v>X</v>
      </c>
      <c r="AX119" s="22" t="str">
        <f t="shared" si="105"/>
        <v>X</v>
      </c>
      <c r="AY119" s="22" t="str">
        <f t="shared" si="106"/>
        <v>X</v>
      </c>
      <c r="AZ119" s="22" t="str">
        <f t="shared" si="107"/>
        <v>X</v>
      </c>
      <c r="BA119" s="22" t="str">
        <f t="shared" si="108"/>
        <v>X</v>
      </c>
      <c r="BB119" s="22">
        <f t="shared" si="109"/>
        <v>1</v>
      </c>
      <c r="BC119" s="22" t="str">
        <f t="shared" si="80"/>
        <v>1G</v>
      </c>
      <c r="BD119" s="22" t="str">
        <f t="shared" si="81"/>
        <v>1G</v>
      </c>
      <c r="BE119" s="22" t="str">
        <f t="shared" si="82"/>
        <v>1G</v>
      </c>
      <c r="BF119" s="22" t="str">
        <f t="shared" si="83"/>
        <v>1G</v>
      </c>
      <c r="BG119" s="22" t="str">
        <f t="shared" si="84"/>
        <v>2G</v>
      </c>
      <c r="BH119" s="22" t="str">
        <f t="shared" si="85"/>
        <v>2G</v>
      </c>
      <c r="BI119" s="22">
        <f t="shared" si="110"/>
        <v>4</v>
      </c>
      <c r="BJ119" s="22">
        <f t="shared" si="111"/>
        <v>2</v>
      </c>
      <c r="BK119" s="22">
        <f t="shared" si="112"/>
        <v>0</v>
      </c>
      <c r="BL119" s="22" t="str">
        <f t="shared" si="113"/>
        <v>420</v>
      </c>
      <c r="BS119"/>
      <c r="CL119" s="23">
        <v>116</v>
      </c>
      <c r="CM119" s="23">
        <v>110</v>
      </c>
      <c r="CO119"/>
    </row>
    <row r="120" spans="1:93" ht="17" hidden="1">
      <c r="B120" s="15">
        <v>116</v>
      </c>
      <c r="C120" s="23" t="s">
        <v>146</v>
      </c>
      <c r="D120" s="16">
        <v>7</v>
      </c>
      <c r="E120" s="17">
        <v>1997747315</v>
      </c>
      <c r="F120" s="16">
        <v>56</v>
      </c>
      <c r="G120" s="17">
        <v>41619736</v>
      </c>
      <c r="H120" s="17">
        <v>1735</v>
      </c>
      <c r="I120" s="17">
        <v>1343346</v>
      </c>
      <c r="J120" s="17">
        <v>91897</v>
      </c>
      <c r="K120" s="17">
        <v>50725</v>
      </c>
      <c r="L120" s="17">
        <v>1499198</v>
      </c>
      <c r="M120" s="17">
        <v>5000</v>
      </c>
      <c r="N120" s="23">
        <v>2</v>
      </c>
      <c r="O120" s="23">
        <v>4</v>
      </c>
      <c r="P120" s="23">
        <v>25</v>
      </c>
      <c r="Q120" s="23">
        <v>31</v>
      </c>
      <c r="R120" s="23">
        <v>34</v>
      </c>
      <c r="S120" s="23">
        <v>37</v>
      </c>
      <c r="T120" s="23">
        <v>17</v>
      </c>
      <c r="U120" s="23">
        <f t="shared" si="86"/>
        <v>133</v>
      </c>
      <c r="W120" s="22" t="str">
        <f t="shared" si="116"/>
        <v>짝수</v>
      </c>
      <c r="X120" s="22" t="str">
        <f t="shared" si="117"/>
        <v>짝수</v>
      </c>
      <c r="Y120" s="22" t="str">
        <f t="shared" si="118"/>
        <v>홀수</v>
      </c>
      <c r="Z120" s="22" t="str">
        <f t="shared" si="119"/>
        <v>홀수</v>
      </c>
      <c r="AA120" s="22" t="str">
        <f t="shared" si="120"/>
        <v>짝수</v>
      </c>
      <c r="AB120" s="22" t="str">
        <f t="shared" si="121"/>
        <v>홀수</v>
      </c>
      <c r="AC120" s="52" t="str">
        <f t="shared" si="122"/>
        <v>3 : 3</v>
      </c>
      <c r="AD120" s="22">
        <f t="shared" si="123"/>
        <v>3</v>
      </c>
      <c r="AE120" s="22">
        <f t="shared" si="124"/>
        <v>3</v>
      </c>
      <c r="AF120" s="22" t="str">
        <f t="shared" si="87"/>
        <v>저수</v>
      </c>
      <c r="AG120" s="22" t="str">
        <f t="shared" si="88"/>
        <v>저수</v>
      </c>
      <c r="AH120" s="22" t="str">
        <f t="shared" si="89"/>
        <v>고수</v>
      </c>
      <c r="AI120" s="22" t="str">
        <f t="shared" si="90"/>
        <v>고수</v>
      </c>
      <c r="AJ120" s="22" t="str">
        <f t="shared" si="91"/>
        <v>고수</v>
      </c>
      <c r="AK120" s="22" t="str">
        <f t="shared" si="92"/>
        <v>고수</v>
      </c>
      <c r="AL120" s="52" t="str">
        <f t="shared" si="93"/>
        <v>2 : 4</v>
      </c>
      <c r="AM120" s="22">
        <f t="shared" si="94"/>
        <v>2</v>
      </c>
      <c r="AN120" s="22">
        <f t="shared" si="95"/>
        <v>4</v>
      </c>
      <c r="AO120" s="22">
        <f t="shared" si="96"/>
        <v>23</v>
      </c>
      <c r="AP120" s="22" t="str">
        <f t="shared" si="97"/>
        <v>O</v>
      </c>
      <c r="AQ120" s="22" t="str">
        <f t="shared" si="98"/>
        <v>X</v>
      </c>
      <c r="AR120" s="22" t="str">
        <f t="shared" si="99"/>
        <v>X</v>
      </c>
      <c r="AS120" s="22" t="str">
        <f t="shared" si="100"/>
        <v>X</v>
      </c>
      <c r="AT120" s="22" t="str">
        <f t="shared" si="101"/>
        <v>X</v>
      </c>
      <c r="AU120" s="22" t="str">
        <f t="shared" si="102"/>
        <v>X</v>
      </c>
      <c r="AV120" s="22" t="str">
        <f t="shared" si="103"/>
        <v>X</v>
      </c>
      <c r="AW120" s="22" t="str">
        <f t="shared" si="104"/>
        <v>X</v>
      </c>
      <c r="AX120" s="22" t="str">
        <f t="shared" si="105"/>
        <v>X</v>
      </c>
      <c r="AY120" s="22" t="str">
        <f t="shared" si="106"/>
        <v>O</v>
      </c>
      <c r="AZ120" s="22" t="str">
        <f t="shared" si="107"/>
        <v>X</v>
      </c>
      <c r="BA120" s="22" t="str">
        <f t="shared" si="108"/>
        <v>O</v>
      </c>
      <c r="BB120" s="22">
        <f t="shared" si="109"/>
        <v>3</v>
      </c>
      <c r="BC120" s="22" t="str">
        <f t="shared" si="80"/>
        <v>1G</v>
      </c>
      <c r="BD120" s="22" t="str">
        <f t="shared" si="81"/>
        <v>1G</v>
      </c>
      <c r="BE120" s="22" t="str">
        <f t="shared" si="82"/>
        <v>2G</v>
      </c>
      <c r="BF120" s="22" t="str">
        <f t="shared" si="83"/>
        <v>3G</v>
      </c>
      <c r="BG120" s="22" t="str">
        <f t="shared" si="84"/>
        <v>3G</v>
      </c>
      <c r="BH120" s="22" t="str">
        <f t="shared" si="85"/>
        <v>3G</v>
      </c>
      <c r="BI120" s="22">
        <f t="shared" si="110"/>
        <v>2</v>
      </c>
      <c r="BJ120" s="22">
        <f t="shared" si="111"/>
        <v>1</v>
      </c>
      <c r="BK120" s="22">
        <f t="shared" si="112"/>
        <v>3</v>
      </c>
      <c r="BL120" s="22" t="str">
        <f t="shared" si="113"/>
        <v>213</v>
      </c>
      <c r="BS120"/>
      <c r="CL120" s="23">
        <v>116</v>
      </c>
      <c r="CM120" s="23">
        <v>110</v>
      </c>
      <c r="CO120"/>
    </row>
    <row r="121" spans="1:93" ht="17" hidden="1">
      <c r="B121" s="15">
        <v>117</v>
      </c>
      <c r="C121" s="23" t="s">
        <v>147</v>
      </c>
      <c r="D121" s="16">
        <v>9</v>
      </c>
      <c r="E121" s="17">
        <v>1558378334</v>
      </c>
      <c r="F121" s="16">
        <v>50</v>
      </c>
      <c r="G121" s="17">
        <v>46751350</v>
      </c>
      <c r="H121" s="17">
        <v>1642</v>
      </c>
      <c r="I121" s="17">
        <v>1423610</v>
      </c>
      <c r="J121" s="17">
        <v>78361</v>
      </c>
      <c r="K121" s="17">
        <v>59662</v>
      </c>
      <c r="L121" s="17">
        <v>1267826</v>
      </c>
      <c r="M121" s="17">
        <v>5000</v>
      </c>
      <c r="N121" s="23">
        <v>5</v>
      </c>
      <c r="O121" s="23">
        <v>10</v>
      </c>
      <c r="P121" s="23">
        <v>22</v>
      </c>
      <c r="Q121" s="23">
        <v>34</v>
      </c>
      <c r="R121" s="23">
        <v>36</v>
      </c>
      <c r="S121" s="23">
        <v>44</v>
      </c>
      <c r="T121" s="23">
        <v>35</v>
      </c>
      <c r="U121" s="23">
        <f t="shared" si="86"/>
        <v>151</v>
      </c>
      <c r="W121" s="22" t="str">
        <f t="shared" si="116"/>
        <v>홀수</v>
      </c>
      <c r="X121" s="22" t="str">
        <f t="shared" si="117"/>
        <v>짝수</v>
      </c>
      <c r="Y121" s="22" t="str">
        <f t="shared" si="118"/>
        <v>짝수</v>
      </c>
      <c r="Z121" s="22" t="str">
        <f t="shared" si="119"/>
        <v>짝수</v>
      </c>
      <c r="AA121" s="22" t="str">
        <f t="shared" si="120"/>
        <v>짝수</v>
      </c>
      <c r="AB121" s="22" t="str">
        <f t="shared" si="121"/>
        <v>짝수</v>
      </c>
      <c r="AC121" s="52" t="str">
        <f t="shared" si="122"/>
        <v>1 : 5</v>
      </c>
      <c r="AD121" s="22">
        <f t="shared" si="123"/>
        <v>1</v>
      </c>
      <c r="AE121" s="22">
        <f t="shared" si="124"/>
        <v>5</v>
      </c>
      <c r="AF121" s="22" t="str">
        <f t="shared" si="87"/>
        <v>저수</v>
      </c>
      <c r="AG121" s="22" t="str">
        <f t="shared" si="88"/>
        <v>저수</v>
      </c>
      <c r="AH121" s="22" t="str">
        <f t="shared" si="89"/>
        <v>저수</v>
      </c>
      <c r="AI121" s="22" t="str">
        <f t="shared" si="90"/>
        <v>고수</v>
      </c>
      <c r="AJ121" s="22" t="str">
        <f t="shared" si="91"/>
        <v>고수</v>
      </c>
      <c r="AK121" s="22" t="str">
        <f t="shared" si="92"/>
        <v>고수</v>
      </c>
      <c r="AL121" s="52" t="str">
        <f t="shared" si="93"/>
        <v>3 : 3</v>
      </c>
      <c r="AM121" s="22">
        <f t="shared" si="94"/>
        <v>3</v>
      </c>
      <c r="AN121" s="22">
        <f t="shared" si="95"/>
        <v>3</v>
      </c>
      <c r="AO121" s="22">
        <f t="shared" si="96"/>
        <v>21</v>
      </c>
      <c r="AP121" s="22" t="str">
        <f t="shared" si="97"/>
        <v>O</v>
      </c>
      <c r="AQ121" s="22" t="str">
        <f t="shared" si="98"/>
        <v>X</v>
      </c>
      <c r="AR121" s="22" t="str">
        <f t="shared" si="99"/>
        <v>X</v>
      </c>
      <c r="AS121" s="22" t="str">
        <f t="shared" si="100"/>
        <v>X</v>
      </c>
      <c r="AT121" s="22" t="str">
        <f t="shared" si="101"/>
        <v>X</v>
      </c>
      <c r="AU121" s="22" t="str">
        <f t="shared" si="102"/>
        <v>X</v>
      </c>
      <c r="AV121" s="22" t="str">
        <f t="shared" si="103"/>
        <v>X</v>
      </c>
      <c r="AW121" s="22" t="str">
        <f t="shared" si="104"/>
        <v>X</v>
      </c>
      <c r="AX121" s="22" t="str">
        <f t="shared" si="105"/>
        <v>X</v>
      </c>
      <c r="AY121" s="22" t="str">
        <f t="shared" si="106"/>
        <v>X</v>
      </c>
      <c r="AZ121" s="22" t="str">
        <f t="shared" si="107"/>
        <v>X</v>
      </c>
      <c r="BA121" s="22" t="str">
        <f t="shared" si="108"/>
        <v>X</v>
      </c>
      <c r="BB121" s="22">
        <f t="shared" si="109"/>
        <v>1</v>
      </c>
      <c r="BC121" s="22" t="str">
        <f t="shared" si="80"/>
        <v>1G</v>
      </c>
      <c r="BD121" s="22" t="str">
        <f t="shared" si="81"/>
        <v>1G</v>
      </c>
      <c r="BE121" s="22" t="str">
        <f t="shared" si="82"/>
        <v>2G</v>
      </c>
      <c r="BF121" s="22" t="str">
        <f t="shared" si="83"/>
        <v>3G</v>
      </c>
      <c r="BG121" s="22" t="str">
        <f t="shared" si="84"/>
        <v>3G</v>
      </c>
      <c r="BH121" s="22" t="str">
        <f t="shared" si="85"/>
        <v>3G</v>
      </c>
      <c r="BI121" s="22">
        <f t="shared" si="110"/>
        <v>2</v>
      </c>
      <c r="BJ121" s="22">
        <f t="shared" si="111"/>
        <v>1</v>
      </c>
      <c r="BK121" s="22">
        <f t="shared" si="112"/>
        <v>3</v>
      </c>
      <c r="BL121" s="22" t="str">
        <f t="shared" si="113"/>
        <v>213</v>
      </c>
      <c r="BS121"/>
      <c r="CL121" s="23">
        <v>116</v>
      </c>
      <c r="CM121" s="23">
        <v>110</v>
      </c>
      <c r="CO121"/>
    </row>
    <row r="122" spans="1:93" ht="17" hidden="1">
      <c r="B122" s="15">
        <v>118</v>
      </c>
      <c r="C122" s="23" t="s">
        <v>148</v>
      </c>
      <c r="D122" s="16">
        <v>10</v>
      </c>
      <c r="E122" s="17">
        <v>1297989720</v>
      </c>
      <c r="F122" s="16">
        <v>41</v>
      </c>
      <c r="G122" s="17">
        <v>52763810</v>
      </c>
      <c r="H122" s="17">
        <v>1671</v>
      </c>
      <c r="I122" s="17">
        <v>1294624</v>
      </c>
      <c r="J122" s="17">
        <v>83233</v>
      </c>
      <c r="K122" s="17">
        <v>51983</v>
      </c>
      <c r="L122" s="17">
        <v>1390561</v>
      </c>
      <c r="M122" s="17">
        <v>5000</v>
      </c>
      <c r="N122" s="23">
        <v>3</v>
      </c>
      <c r="O122" s="23">
        <v>4</v>
      </c>
      <c r="P122" s="23">
        <v>10</v>
      </c>
      <c r="Q122" s="23">
        <v>17</v>
      </c>
      <c r="R122" s="23">
        <v>19</v>
      </c>
      <c r="S122" s="23">
        <v>22</v>
      </c>
      <c r="T122" s="23">
        <v>38</v>
      </c>
      <c r="U122" s="23">
        <f t="shared" si="86"/>
        <v>75</v>
      </c>
      <c r="W122" s="22" t="str">
        <f t="shared" si="116"/>
        <v>홀수</v>
      </c>
      <c r="X122" s="22" t="str">
        <f t="shared" si="117"/>
        <v>짝수</v>
      </c>
      <c r="Y122" s="22" t="str">
        <f t="shared" si="118"/>
        <v>짝수</v>
      </c>
      <c r="Z122" s="22" t="str">
        <f t="shared" si="119"/>
        <v>홀수</v>
      </c>
      <c r="AA122" s="22" t="str">
        <f t="shared" si="120"/>
        <v>홀수</v>
      </c>
      <c r="AB122" s="22" t="str">
        <f t="shared" si="121"/>
        <v>짝수</v>
      </c>
      <c r="AC122" s="52" t="str">
        <f t="shared" si="122"/>
        <v>3 : 3</v>
      </c>
      <c r="AD122" s="22">
        <f t="shared" si="123"/>
        <v>3</v>
      </c>
      <c r="AE122" s="22">
        <f t="shared" si="124"/>
        <v>3</v>
      </c>
      <c r="AF122" s="22" t="str">
        <f t="shared" si="87"/>
        <v>저수</v>
      </c>
      <c r="AG122" s="22" t="str">
        <f t="shared" si="88"/>
        <v>저수</v>
      </c>
      <c r="AH122" s="22" t="str">
        <f t="shared" si="89"/>
        <v>저수</v>
      </c>
      <c r="AI122" s="22" t="str">
        <f t="shared" si="90"/>
        <v>저수</v>
      </c>
      <c r="AJ122" s="22" t="str">
        <f t="shared" si="91"/>
        <v>저수</v>
      </c>
      <c r="AK122" s="22" t="str">
        <f t="shared" si="92"/>
        <v>저수</v>
      </c>
      <c r="AL122" s="52" t="str">
        <f t="shared" si="93"/>
        <v>6 : 0</v>
      </c>
      <c r="AM122" s="22">
        <f t="shared" si="94"/>
        <v>6</v>
      </c>
      <c r="AN122" s="22">
        <f t="shared" si="95"/>
        <v>0</v>
      </c>
      <c r="AO122" s="22">
        <f t="shared" si="96"/>
        <v>25</v>
      </c>
      <c r="AP122" s="22" t="str">
        <f t="shared" si="97"/>
        <v>O</v>
      </c>
      <c r="AQ122" s="22" t="str">
        <f t="shared" si="98"/>
        <v>X</v>
      </c>
      <c r="AR122" s="22" t="str">
        <f t="shared" si="99"/>
        <v>X</v>
      </c>
      <c r="AS122" s="22" t="str">
        <f t="shared" si="100"/>
        <v>O</v>
      </c>
      <c r="AT122" s="22" t="str">
        <f t="shared" si="101"/>
        <v>O</v>
      </c>
      <c r="AU122" s="22" t="str">
        <f t="shared" si="102"/>
        <v>X</v>
      </c>
      <c r="AV122" s="22" t="str">
        <f t="shared" si="103"/>
        <v>X</v>
      </c>
      <c r="AW122" s="22" t="str">
        <f t="shared" si="104"/>
        <v>X</v>
      </c>
      <c r="AX122" s="22" t="str">
        <f t="shared" si="105"/>
        <v>X</v>
      </c>
      <c r="AY122" s="22" t="str">
        <f t="shared" si="106"/>
        <v>X</v>
      </c>
      <c r="AZ122" s="22" t="str">
        <f t="shared" si="107"/>
        <v>X</v>
      </c>
      <c r="BA122" s="22" t="str">
        <f t="shared" si="108"/>
        <v>X</v>
      </c>
      <c r="BB122" s="22">
        <f t="shared" si="109"/>
        <v>3</v>
      </c>
      <c r="BC122" s="22" t="str">
        <f t="shared" si="80"/>
        <v>1G</v>
      </c>
      <c r="BD122" s="22" t="str">
        <f t="shared" si="81"/>
        <v>1G</v>
      </c>
      <c r="BE122" s="22" t="str">
        <f t="shared" si="82"/>
        <v>1G</v>
      </c>
      <c r="BF122" s="22" t="str">
        <f t="shared" si="83"/>
        <v>2G</v>
      </c>
      <c r="BG122" s="22" t="str">
        <f t="shared" si="84"/>
        <v>2G</v>
      </c>
      <c r="BH122" s="22" t="str">
        <f t="shared" si="85"/>
        <v>2G</v>
      </c>
      <c r="BI122" s="22">
        <f t="shared" si="110"/>
        <v>3</v>
      </c>
      <c r="BJ122" s="22">
        <f t="shared" si="111"/>
        <v>3</v>
      </c>
      <c r="BK122" s="22">
        <f t="shared" si="112"/>
        <v>0</v>
      </c>
      <c r="BL122" s="22" t="str">
        <f t="shared" si="113"/>
        <v>330</v>
      </c>
      <c r="BS122"/>
      <c r="CL122" s="23">
        <v>116</v>
      </c>
      <c r="CM122" s="23">
        <v>110</v>
      </c>
      <c r="CO122"/>
    </row>
    <row r="123" spans="1:93" ht="17" hidden="1">
      <c r="B123" s="15">
        <v>119</v>
      </c>
      <c r="C123" s="23" t="s">
        <v>149</v>
      </c>
      <c r="D123" s="16">
        <v>9</v>
      </c>
      <c r="E123" s="17">
        <v>1474899400</v>
      </c>
      <c r="F123" s="16">
        <v>49</v>
      </c>
      <c r="G123" s="17">
        <v>45149982</v>
      </c>
      <c r="H123" s="17">
        <v>1936</v>
      </c>
      <c r="I123" s="17">
        <v>1142743</v>
      </c>
      <c r="J123" s="17">
        <v>85327</v>
      </c>
      <c r="K123" s="17">
        <v>51856</v>
      </c>
      <c r="L123" s="17">
        <v>1355365</v>
      </c>
      <c r="M123" s="17">
        <v>5000</v>
      </c>
      <c r="N123" s="23">
        <v>3</v>
      </c>
      <c r="O123" s="23">
        <v>11</v>
      </c>
      <c r="P123" s="23">
        <v>13</v>
      </c>
      <c r="Q123" s="23">
        <v>14</v>
      </c>
      <c r="R123" s="23">
        <v>17</v>
      </c>
      <c r="S123" s="23">
        <v>21</v>
      </c>
      <c r="T123" s="23">
        <v>38</v>
      </c>
      <c r="U123" s="23">
        <f t="shared" si="86"/>
        <v>79</v>
      </c>
      <c r="W123" s="22" t="str">
        <f t="shared" si="116"/>
        <v>홀수</v>
      </c>
      <c r="X123" s="22" t="str">
        <f t="shared" si="117"/>
        <v>홀수</v>
      </c>
      <c r="Y123" s="22" t="str">
        <f t="shared" si="118"/>
        <v>홀수</v>
      </c>
      <c r="Z123" s="22" t="str">
        <f t="shared" si="119"/>
        <v>짝수</v>
      </c>
      <c r="AA123" s="22" t="str">
        <f t="shared" si="120"/>
        <v>홀수</v>
      </c>
      <c r="AB123" s="22" t="str">
        <f t="shared" si="121"/>
        <v>홀수</v>
      </c>
      <c r="AC123" s="52" t="str">
        <f t="shared" si="122"/>
        <v>5 : 1</v>
      </c>
      <c r="AD123" s="22">
        <f t="shared" si="123"/>
        <v>5</v>
      </c>
      <c r="AE123" s="22">
        <f t="shared" si="124"/>
        <v>1</v>
      </c>
      <c r="AF123" s="22" t="str">
        <f t="shared" si="87"/>
        <v>저수</v>
      </c>
      <c r="AG123" s="22" t="str">
        <f t="shared" si="88"/>
        <v>저수</v>
      </c>
      <c r="AH123" s="22" t="str">
        <f t="shared" si="89"/>
        <v>저수</v>
      </c>
      <c r="AI123" s="22" t="str">
        <f t="shared" si="90"/>
        <v>저수</v>
      </c>
      <c r="AJ123" s="22" t="str">
        <f t="shared" si="91"/>
        <v>저수</v>
      </c>
      <c r="AK123" s="22" t="str">
        <f t="shared" si="92"/>
        <v>저수</v>
      </c>
      <c r="AL123" s="52" t="str">
        <f t="shared" si="93"/>
        <v>6 : 0</v>
      </c>
      <c r="AM123" s="22">
        <f t="shared" si="94"/>
        <v>6</v>
      </c>
      <c r="AN123" s="22">
        <f t="shared" si="95"/>
        <v>0</v>
      </c>
      <c r="AO123" s="22">
        <f t="shared" si="96"/>
        <v>19</v>
      </c>
      <c r="AP123" s="22" t="str">
        <f t="shared" si="97"/>
        <v>O</v>
      </c>
      <c r="AQ123" s="22" t="str">
        <f t="shared" si="98"/>
        <v>O</v>
      </c>
      <c r="AR123" s="22" t="str">
        <f t="shared" si="99"/>
        <v>O</v>
      </c>
      <c r="AS123" s="22" t="str">
        <f t="shared" si="100"/>
        <v>X</v>
      </c>
      <c r="AT123" s="22" t="str">
        <f t="shared" si="101"/>
        <v>O</v>
      </c>
      <c r="AU123" s="22" t="str">
        <f t="shared" si="102"/>
        <v>X</v>
      </c>
      <c r="AV123" s="22" t="str">
        <f t="shared" si="103"/>
        <v>X</v>
      </c>
      <c r="AW123" s="22" t="str">
        <f t="shared" si="104"/>
        <v>X</v>
      </c>
      <c r="AX123" s="22" t="str">
        <f t="shared" si="105"/>
        <v>X</v>
      </c>
      <c r="AY123" s="22" t="str">
        <f t="shared" si="106"/>
        <v>X</v>
      </c>
      <c r="AZ123" s="22" t="str">
        <f t="shared" si="107"/>
        <v>X</v>
      </c>
      <c r="BA123" s="22" t="str">
        <f t="shared" si="108"/>
        <v>X</v>
      </c>
      <c r="BB123" s="22">
        <f t="shared" si="109"/>
        <v>4</v>
      </c>
      <c r="BC123" s="22" t="str">
        <f t="shared" si="80"/>
        <v>1G</v>
      </c>
      <c r="BD123" s="22" t="str">
        <f t="shared" si="81"/>
        <v>1G</v>
      </c>
      <c r="BE123" s="22" t="str">
        <f t="shared" si="82"/>
        <v>1G</v>
      </c>
      <c r="BF123" s="22" t="str">
        <f t="shared" si="83"/>
        <v>1G</v>
      </c>
      <c r="BG123" s="22" t="str">
        <f t="shared" si="84"/>
        <v>2G</v>
      </c>
      <c r="BH123" s="22" t="str">
        <f t="shared" si="85"/>
        <v>2G</v>
      </c>
      <c r="BI123" s="22">
        <f t="shared" si="110"/>
        <v>4</v>
      </c>
      <c r="BJ123" s="22">
        <f t="shared" si="111"/>
        <v>2</v>
      </c>
      <c r="BK123" s="22">
        <f t="shared" si="112"/>
        <v>0</v>
      </c>
      <c r="BL123" s="22" t="str">
        <f t="shared" si="113"/>
        <v>420</v>
      </c>
      <c r="BS123"/>
      <c r="CL123" s="23">
        <v>116</v>
      </c>
      <c r="CM123" s="23">
        <v>110</v>
      </c>
      <c r="CO123"/>
    </row>
    <row r="124" spans="1:93" ht="17" hidden="1">
      <c r="B124" s="15">
        <v>120</v>
      </c>
      <c r="C124" s="23" t="s">
        <v>150</v>
      </c>
      <c r="D124" s="16">
        <v>3</v>
      </c>
      <c r="E124" s="17">
        <v>4364530300</v>
      </c>
      <c r="F124" s="16">
        <v>31</v>
      </c>
      <c r="G124" s="17">
        <v>70395650</v>
      </c>
      <c r="H124" s="17">
        <v>1605</v>
      </c>
      <c r="I124" s="17">
        <v>1359667</v>
      </c>
      <c r="J124" s="17">
        <v>80400</v>
      </c>
      <c r="K124" s="17">
        <v>54286</v>
      </c>
      <c r="L124" s="17">
        <v>1377368</v>
      </c>
      <c r="M124" s="17">
        <v>5000</v>
      </c>
      <c r="N124" s="23">
        <v>4</v>
      </c>
      <c r="O124" s="23">
        <v>6</v>
      </c>
      <c r="P124" s="23">
        <v>10</v>
      </c>
      <c r="Q124" s="23">
        <v>11</v>
      </c>
      <c r="R124" s="23">
        <v>32</v>
      </c>
      <c r="S124" s="23">
        <v>37</v>
      </c>
      <c r="T124" s="23">
        <v>30</v>
      </c>
      <c r="U124" s="23">
        <f t="shared" si="86"/>
        <v>100</v>
      </c>
      <c r="W124" s="22" t="str">
        <f t="shared" si="116"/>
        <v>짝수</v>
      </c>
      <c r="X124" s="22" t="str">
        <f t="shared" si="117"/>
        <v>짝수</v>
      </c>
      <c r="Y124" s="22" t="str">
        <f t="shared" si="118"/>
        <v>짝수</v>
      </c>
      <c r="Z124" s="22" t="str">
        <f t="shared" si="119"/>
        <v>홀수</v>
      </c>
      <c r="AA124" s="22" t="str">
        <f t="shared" si="120"/>
        <v>짝수</v>
      </c>
      <c r="AB124" s="22" t="str">
        <f t="shared" si="121"/>
        <v>홀수</v>
      </c>
      <c r="AC124" s="52" t="str">
        <f t="shared" si="122"/>
        <v>2 : 4</v>
      </c>
      <c r="AD124" s="22">
        <f t="shared" si="123"/>
        <v>2</v>
      </c>
      <c r="AE124" s="22">
        <f t="shared" si="124"/>
        <v>4</v>
      </c>
      <c r="AF124" s="22" t="str">
        <f t="shared" si="87"/>
        <v>저수</v>
      </c>
      <c r="AG124" s="22" t="str">
        <f t="shared" si="88"/>
        <v>저수</v>
      </c>
      <c r="AH124" s="22" t="str">
        <f t="shared" si="89"/>
        <v>저수</v>
      </c>
      <c r="AI124" s="22" t="str">
        <f t="shared" si="90"/>
        <v>저수</v>
      </c>
      <c r="AJ124" s="22" t="str">
        <f t="shared" si="91"/>
        <v>고수</v>
      </c>
      <c r="AK124" s="22" t="str">
        <f t="shared" si="92"/>
        <v>고수</v>
      </c>
      <c r="AL124" s="52" t="str">
        <f t="shared" si="93"/>
        <v>4 : 2</v>
      </c>
      <c r="AM124" s="22">
        <f t="shared" si="94"/>
        <v>4</v>
      </c>
      <c r="AN124" s="22">
        <f t="shared" si="95"/>
        <v>2</v>
      </c>
      <c r="AO124" s="22">
        <f t="shared" si="96"/>
        <v>20</v>
      </c>
      <c r="AP124" s="22" t="str">
        <f t="shared" si="97"/>
        <v>X</v>
      </c>
      <c r="AQ124" s="22" t="str">
        <f t="shared" si="98"/>
        <v>X</v>
      </c>
      <c r="AR124" s="22" t="str">
        <f t="shared" si="99"/>
        <v>X</v>
      </c>
      <c r="AS124" s="22" t="str">
        <f t="shared" si="100"/>
        <v>O</v>
      </c>
      <c r="AT124" s="22" t="str">
        <f t="shared" si="101"/>
        <v>X</v>
      </c>
      <c r="AU124" s="22" t="str">
        <f t="shared" si="102"/>
        <v>X</v>
      </c>
      <c r="AV124" s="22" t="str">
        <f t="shared" si="103"/>
        <v>X</v>
      </c>
      <c r="AW124" s="22" t="str">
        <f t="shared" si="104"/>
        <v>X</v>
      </c>
      <c r="AX124" s="22" t="str">
        <f t="shared" si="105"/>
        <v>X</v>
      </c>
      <c r="AY124" s="22" t="str">
        <f t="shared" si="106"/>
        <v>X</v>
      </c>
      <c r="AZ124" s="22" t="str">
        <f t="shared" si="107"/>
        <v>X</v>
      </c>
      <c r="BA124" s="22" t="str">
        <f t="shared" si="108"/>
        <v>O</v>
      </c>
      <c r="BB124" s="22">
        <f t="shared" si="109"/>
        <v>2</v>
      </c>
      <c r="BC124" s="22" t="str">
        <f t="shared" si="80"/>
        <v>1G</v>
      </c>
      <c r="BD124" s="22" t="str">
        <f t="shared" si="81"/>
        <v>1G</v>
      </c>
      <c r="BE124" s="22" t="str">
        <f t="shared" si="82"/>
        <v>1G</v>
      </c>
      <c r="BF124" s="22" t="str">
        <f t="shared" si="83"/>
        <v>1G</v>
      </c>
      <c r="BG124" s="22" t="str">
        <f t="shared" si="84"/>
        <v>3G</v>
      </c>
      <c r="BH124" s="22" t="str">
        <f t="shared" si="85"/>
        <v>3G</v>
      </c>
      <c r="BI124" s="22">
        <f t="shared" si="110"/>
        <v>4</v>
      </c>
      <c r="BJ124" s="22">
        <f t="shared" si="111"/>
        <v>0</v>
      </c>
      <c r="BK124" s="22">
        <f t="shared" si="112"/>
        <v>2</v>
      </c>
      <c r="BL124" s="22" t="str">
        <f t="shared" si="113"/>
        <v>402</v>
      </c>
      <c r="BS124"/>
      <c r="CL124" s="23">
        <v>116</v>
      </c>
      <c r="CM124" s="23">
        <v>110</v>
      </c>
      <c r="CO124"/>
    </row>
    <row r="125" spans="1:93" ht="17" hidden="1">
      <c r="B125" s="15">
        <v>121</v>
      </c>
      <c r="C125" s="23" t="s">
        <v>151</v>
      </c>
      <c r="D125" s="16">
        <v>2</v>
      </c>
      <c r="E125" s="17">
        <v>6839648100</v>
      </c>
      <c r="F125" s="16">
        <v>31</v>
      </c>
      <c r="G125" s="17">
        <v>73544604</v>
      </c>
      <c r="H125" s="17">
        <v>1342</v>
      </c>
      <c r="I125" s="17">
        <v>1698870</v>
      </c>
      <c r="J125" s="17">
        <v>67464</v>
      </c>
      <c r="K125" s="17">
        <v>67589</v>
      </c>
      <c r="L125" s="17">
        <v>1153689</v>
      </c>
      <c r="M125" s="17">
        <v>5000</v>
      </c>
      <c r="N125" s="23">
        <v>12</v>
      </c>
      <c r="O125" s="23">
        <v>28</v>
      </c>
      <c r="P125" s="23">
        <v>30</v>
      </c>
      <c r="Q125" s="23">
        <v>34</v>
      </c>
      <c r="R125" s="23">
        <v>38</v>
      </c>
      <c r="S125" s="23">
        <v>43</v>
      </c>
      <c r="T125" s="23">
        <v>9</v>
      </c>
      <c r="U125" s="23">
        <f t="shared" si="86"/>
        <v>185</v>
      </c>
      <c r="W125" s="22" t="str">
        <f t="shared" si="116"/>
        <v>짝수</v>
      </c>
      <c r="X125" s="22" t="str">
        <f t="shared" si="117"/>
        <v>짝수</v>
      </c>
      <c r="Y125" s="22" t="str">
        <f t="shared" si="118"/>
        <v>짝수</v>
      </c>
      <c r="Z125" s="22" t="str">
        <f t="shared" si="119"/>
        <v>짝수</v>
      </c>
      <c r="AA125" s="22" t="str">
        <f t="shared" si="120"/>
        <v>짝수</v>
      </c>
      <c r="AB125" s="22" t="str">
        <f t="shared" si="121"/>
        <v>홀수</v>
      </c>
      <c r="AC125" s="52" t="str">
        <f t="shared" si="122"/>
        <v>1 : 5</v>
      </c>
      <c r="AD125" s="22">
        <f t="shared" si="123"/>
        <v>1</v>
      </c>
      <c r="AE125" s="22">
        <f t="shared" si="124"/>
        <v>5</v>
      </c>
      <c r="AF125" s="22" t="str">
        <f t="shared" si="87"/>
        <v>저수</v>
      </c>
      <c r="AG125" s="22" t="str">
        <f t="shared" si="88"/>
        <v>고수</v>
      </c>
      <c r="AH125" s="22" t="str">
        <f t="shared" si="89"/>
        <v>고수</v>
      </c>
      <c r="AI125" s="22" t="str">
        <f t="shared" si="90"/>
        <v>고수</v>
      </c>
      <c r="AJ125" s="22" t="str">
        <f t="shared" si="91"/>
        <v>고수</v>
      </c>
      <c r="AK125" s="22" t="str">
        <f t="shared" si="92"/>
        <v>고수</v>
      </c>
      <c r="AL125" s="52" t="str">
        <f t="shared" si="93"/>
        <v>1 : 5</v>
      </c>
      <c r="AM125" s="22">
        <f t="shared" si="94"/>
        <v>1</v>
      </c>
      <c r="AN125" s="22">
        <f t="shared" si="95"/>
        <v>5</v>
      </c>
      <c r="AO125" s="22">
        <f t="shared" si="96"/>
        <v>25</v>
      </c>
      <c r="AP125" s="22" t="str">
        <f t="shared" si="97"/>
        <v>X</v>
      </c>
      <c r="AQ125" s="22" t="str">
        <f t="shared" si="98"/>
        <v>X</v>
      </c>
      <c r="AR125" s="22" t="str">
        <f t="shared" si="99"/>
        <v>X</v>
      </c>
      <c r="AS125" s="22" t="str">
        <f t="shared" si="100"/>
        <v>X</v>
      </c>
      <c r="AT125" s="22" t="str">
        <f t="shared" si="101"/>
        <v>X</v>
      </c>
      <c r="AU125" s="22" t="str">
        <f t="shared" si="102"/>
        <v>X</v>
      </c>
      <c r="AV125" s="22" t="str">
        <f t="shared" si="103"/>
        <v>X</v>
      </c>
      <c r="AW125" s="22" t="str">
        <f t="shared" si="104"/>
        <v>X</v>
      </c>
      <c r="AX125" s="22" t="str">
        <f t="shared" si="105"/>
        <v>X</v>
      </c>
      <c r="AY125" s="22" t="str">
        <f t="shared" si="106"/>
        <v>X</v>
      </c>
      <c r="AZ125" s="22" t="str">
        <f t="shared" si="107"/>
        <v>X</v>
      </c>
      <c r="BA125" s="22" t="str">
        <f t="shared" si="108"/>
        <v>O</v>
      </c>
      <c r="BB125" s="22">
        <f t="shared" si="109"/>
        <v>1</v>
      </c>
      <c r="BC125" s="22" t="str">
        <f t="shared" si="80"/>
        <v>1G</v>
      </c>
      <c r="BD125" s="22" t="str">
        <f t="shared" si="81"/>
        <v>2G</v>
      </c>
      <c r="BE125" s="22" t="str">
        <f t="shared" si="82"/>
        <v>2G</v>
      </c>
      <c r="BF125" s="22" t="str">
        <f t="shared" si="83"/>
        <v>3G</v>
      </c>
      <c r="BG125" s="22" t="str">
        <f t="shared" si="84"/>
        <v>3G</v>
      </c>
      <c r="BH125" s="22" t="str">
        <f t="shared" si="85"/>
        <v>3G</v>
      </c>
      <c r="BI125" s="22">
        <f t="shared" si="110"/>
        <v>1</v>
      </c>
      <c r="BJ125" s="22">
        <f t="shared" si="111"/>
        <v>2</v>
      </c>
      <c r="BK125" s="22">
        <f t="shared" si="112"/>
        <v>3</v>
      </c>
      <c r="BL125" s="22" t="str">
        <f t="shared" si="113"/>
        <v>123</v>
      </c>
      <c r="BS125"/>
      <c r="CL125" s="23">
        <v>117</v>
      </c>
      <c r="CM125" s="23">
        <v>110</v>
      </c>
      <c r="CO125"/>
    </row>
    <row r="126" spans="1:93" ht="17" hidden="1">
      <c r="B126" s="15">
        <v>122</v>
      </c>
      <c r="C126" s="23" t="s">
        <v>152</v>
      </c>
      <c r="D126" s="16">
        <v>9</v>
      </c>
      <c r="E126" s="17">
        <v>1450073800</v>
      </c>
      <c r="F126" s="16">
        <v>38</v>
      </c>
      <c r="G126" s="17">
        <v>57239756</v>
      </c>
      <c r="H126" s="17">
        <v>1403</v>
      </c>
      <c r="I126" s="17">
        <v>1550329</v>
      </c>
      <c r="J126" s="17">
        <v>72518</v>
      </c>
      <c r="K126" s="17">
        <v>59989</v>
      </c>
      <c r="L126" s="17">
        <v>1266949</v>
      </c>
      <c r="M126" s="17">
        <v>5000</v>
      </c>
      <c r="N126" s="23">
        <v>1</v>
      </c>
      <c r="O126" s="23">
        <v>11</v>
      </c>
      <c r="P126" s="23">
        <v>16</v>
      </c>
      <c r="Q126" s="23">
        <v>17</v>
      </c>
      <c r="R126" s="23">
        <v>36</v>
      </c>
      <c r="S126" s="23">
        <v>40</v>
      </c>
      <c r="T126" s="23">
        <v>8</v>
      </c>
      <c r="U126" s="23">
        <f t="shared" si="86"/>
        <v>121</v>
      </c>
      <c r="W126" s="22" t="str">
        <f t="shared" si="116"/>
        <v>홀수</v>
      </c>
      <c r="X126" s="22" t="str">
        <f t="shared" si="117"/>
        <v>홀수</v>
      </c>
      <c r="Y126" s="22" t="str">
        <f t="shared" si="118"/>
        <v>짝수</v>
      </c>
      <c r="Z126" s="22" t="str">
        <f t="shared" si="119"/>
        <v>홀수</v>
      </c>
      <c r="AA126" s="22" t="str">
        <f t="shared" si="120"/>
        <v>짝수</v>
      </c>
      <c r="AB126" s="22" t="str">
        <f t="shared" si="121"/>
        <v>짝수</v>
      </c>
      <c r="AC126" s="52" t="str">
        <f t="shared" si="122"/>
        <v>3 : 3</v>
      </c>
      <c r="AD126" s="22">
        <f t="shared" si="123"/>
        <v>3</v>
      </c>
      <c r="AE126" s="22">
        <f t="shared" si="124"/>
        <v>3</v>
      </c>
      <c r="AF126" s="22" t="str">
        <f t="shared" si="87"/>
        <v>저수</v>
      </c>
      <c r="AG126" s="22" t="str">
        <f t="shared" si="88"/>
        <v>저수</v>
      </c>
      <c r="AH126" s="22" t="str">
        <f t="shared" si="89"/>
        <v>저수</v>
      </c>
      <c r="AI126" s="22" t="str">
        <f t="shared" si="90"/>
        <v>저수</v>
      </c>
      <c r="AJ126" s="22" t="str">
        <f t="shared" si="91"/>
        <v>고수</v>
      </c>
      <c r="AK126" s="22" t="str">
        <f t="shared" si="92"/>
        <v>고수</v>
      </c>
      <c r="AL126" s="52" t="str">
        <f t="shared" si="93"/>
        <v>4 : 2</v>
      </c>
      <c r="AM126" s="22">
        <f t="shared" si="94"/>
        <v>4</v>
      </c>
      <c r="AN126" s="22">
        <f t="shared" si="95"/>
        <v>2</v>
      </c>
      <c r="AO126" s="22">
        <f t="shared" si="96"/>
        <v>21</v>
      </c>
      <c r="AP126" s="22" t="str">
        <f t="shared" si="97"/>
        <v>X</v>
      </c>
      <c r="AQ126" s="22" t="str">
        <f t="shared" si="98"/>
        <v>O</v>
      </c>
      <c r="AR126" s="22" t="str">
        <f t="shared" si="99"/>
        <v>X</v>
      </c>
      <c r="AS126" s="22" t="str">
        <f t="shared" si="100"/>
        <v>O</v>
      </c>
      <c r="AT126" s="22" t="str">
        <f t="shared" si="101"/>
        <v>X</v>
      </c>
      <c r="AU126" s="22" t="str">
        <f t="shared" si="102"/>
        <v>X</v>
      </c>
      <c r="AV126" s="22" t="str">
        <f t="shared" si="103"/>
        <v>X</v>
      </c>
      <c r="AW126" s="22" t="str">
        <f t="shared" si="104"/>
        <v>X</v>
      </c>
      <c r="AX126" s="22" t="str">
        <f t="shared" si="105"/>
        <v>X</v>
      </c>
      <c r="AY126" s="22" t="str">
        <f t="shared" si="106"/>
        <v>X</v>
      </c>
      <c r="AZ126" s="22" t="str">
        <f t="shared" si="107"/>
        <v>X</v>
      </c>
      <c r="BA126" s="22" t="str">
        <f t="shared" si="108"/>
        <v>X</v>
      </c>
      <c r="BB126" s="22">
        <f t="shared" si="109"/>
        <v>2</v>
      </c>
      <c r="BC126" s="22" t="str">
        <f t="shared" si="80"/>
        <v>1G</v>
      </c>
      <c r="BD126" s="22" t="str">
        <f t="shared" si="81"/>
        <v>1G</v>
      </c>
      <c r="BE126" s="22" t="str">
        <f t="shared" si="82"/>
        <v>2G</v>
      </c>
      <c r="BF126" s="22" t="str">
        <f t="shared" si="83"/>
        <v>2G</v>
      </c>
      <c r="BG126" s="22" t="str">
        <f t="shared" si="84"/>
        <v>3G</v>
      </c>
      <c r="BH126" s="22" t="str">
        <f t="shared" si="85"/>
        <v>3G</v>
      </c>
      <c r="BI126" s="22">
        <f t="shared" si="110"/>
        <v>2</v>
      </c>
      <c r="BJ126" s="22">
        <f t="shared" si="111"/>
        <v>2</v>
      </c>
      <c r="BK126" s="22">
        <f t="shared" si="112"/>
        <v>2</v>
      </c>
      <c r="BL126" s="22" t="str">
        <f t="shared" si="113"/>
        <v>222</v>
      </c>
      <c r="BS126"/>
      <c r="CL126" s="23">
        <v>117</v>
      </c>
      <c r="CM126" s="23">
        <v>110</v>
      </c>
      <c r="CO126"/>
    </row>
    <row r="127" spans="1:93" ht="17" hidden="1">
      <c r="B127" s="15">
        <v>123</v>
      </c>
      <c r="C127" s="23" t="s">
        <v>153</v>
      </c>
      <c r="D127" s="16">
        <v>5</v>
      </c>
      <c r="E127" s="17">
        <v>2532982680</v>
      </c>
      <c r="F127" s="16">
        <v>38</v>
      </c>
      <c r="G127" s="17">
        <v>55547866</v>
      </c>
      <c r="H127" s="17">
        <v>1477</v>
      </c>
      <c r="I127" s="17">
        <v>1429126</v>
      </c>
      <c r="J127" s="17">
        <v>72742</v>
      </c>
      <c r="K127" s="17">
        <v>58036</v>
      </c>
      <c r="L127" s="17">
        <v>1188107</v>
      </c>
      <c r="M127" s="17">
        <v>5000</v>
      </c>
      <c r="N127" s="23">
        <v>7</v>
      </c>
      <c r="O127" s="23">
        <v>17</v>
      </c>
      <c r="P127" s="23">
        <v>18</v>
      </c>
      <c r="Q127" s="23">
        <v>28</v>
      </c>
      <c r="R127" s="23">
        <v>30</v>
      </c>
      <c r="S127" s="23">
        <v>45</v>
      </c>
      <c r="T127" s="23">
        <v>27</v>
      </c>
      <c r="U127" s="23">
        <f t="shared" si="86"/>
        <v>145</v>
      </c>
      <c r="W127" s="22" t="str">
        <f t="shared" si="116"/>
        <v>홀수</v>
      </c>
      <c r="X127" s="22" t="str">
        <f t="shared" si="117"/>
        <v>홀수</v>
      </c>
      <c r="Y127" s="22" t="str">
        <f t="shared" si="118"/>
        <v>짝수</v>
      </c>
      <c r="Z127" s="22" t="str">
        <f t="shared" si="119"/>
        <v>짝수</v>
      </c>
      <c r="AA127" s="22" t="str">
        <f t="shared" si="120"/>
        <v>짝수</v>
      </c>
      <c r="AB127" s="22" t="str">
        <f t="shared" si="121"/>
        <v>홀수</v>
      </c>
      <c r="AC127" s="52" t="str">
        <f t="shared" si="122"/>
        <v>3 : 3</v>
      </c>
      <c r="AD127" s="22">
        <f t="shared" si="123"/>
        <v>3</v>
      </c>
      <c r="AE127" s="22">
        <f t="shared" si="124"/>
        <v>3</v>
      </c>
      <c r="AF127" s="22" t="str">
        <f t="shared" si="87"/>
        <v>저수</v>
      </c>
      <c r="AG127" s="22" t="str">
        <f t="shared" si="88"/>
        <v>저수</v>
      </c>
      <c r="AH127" s="22" t="str">
        <f t="shared" si="89"/>
        <v>저수</v>
      </c>
      <c r="AI127" s="22" t="str">
        <f t="shared" si="90"/>
        <v>고수</v>
      </c>
      <c r="AJ127" s="22" t="str">
        <f t="shared" si="91"/>
        <v>고수</v>
      </c>
      <c r="AK127" s="22" t="str">
        <f t="shared" si="92"/>
        <v>고수</v>
      </c>
      <c r="AL127" s="52" t="str">
        <f t="shared" si="93"/>
        <v>3 : 3</v>
      </c>
      <c r="AM127" s="22">
        <f t="shared" si="94"/>
        <v>3</v>
      </c>
      <c r="AN127" s="22">
        <f t="shared" si="95"/>
        <v>3</v>
      </c>
      <c r="AO127" s="22">
        <f t="shared" si="96"/>
        <v>35</v>
      </c>
      <c r="AP127" s="22" t="str">
        <f t="shared" si="97"/>
        <v>O</v>
      </c>
      <c r="AQ127" s="22" t="str">
        <f t="shared" si="98"/>
        <v>O</v>
      </c>
      <c r="AR127" s="22" t="str">
        <f t="shared" si="99"/>
        <v>X</v>
      </c>
      <c r="AS127" s="22" t="str">
        <f t="shared" si="100"/>
        <v>X</v>
      </c>
      <c r="AT127" s="22" t="str">
        <f t="shared" si="101"/>
        <v>X</v>
      </c>
      <c r="AU127" s="22" t="str">
        <f t="shared" si="102"/>
        <v>X</v>
      </c>
      <c r="AV127" s="22" t="str">
        <f t="shared" si="103"/>
        <v>X</v>
      </c>
      <c r="AW127" s="22" t="str">
        <f t="shared" si="104"/>
        <v>X</v>
      </c>
      <c r="AX127" s="22" t="str">
        <f t="shared" si="105"/>
        <v>X</v>
      </c>
      <c r="AY127" s="22" t="str">
        <f t="shared" si="106"/>
        <v>X</v>
      </c>
      <c r="AZ127" s="22" t="str">
        <f t="shared" si="107"/>
        <v>X</v>
      </c>
      <c r="BA127" s="22" t="str">
        <f t="shared" si="108"/>
        <v>X</v>
      </c>
      <c r="BB127" s="22">
        <f t="shared" si="109"/>
        <v>2</v>
      </c>
      <c r="BC127" s="22" t="str">
        <f t="shared" si="80"/>
        <v>1G</v>
      </c>
      <c r="BD127" s="22" t="str">
        <f t="shared" si="81"/>
        <v>2G</v>
      </c>
      <c r="BE127" s="22" t="str">
        <f t="shared" si="82"/>
        <v>2G</v>
      </c>
      <c r="BF127" s="22" t="str">
        <f t="shared" si="83"/>
        <v>2G</v>
      </c>
      <c r="BG127" s="22" t="str">
        <f t="shared" si="84"/>
        <v>2G</v>
      </c>
      <c r="BH127" s="22" t="str">
        <f t="shared" si="85"/>
        <v>3G</v>
      </c>
      <c r="BI127" s="22">
        <f t="shared" si="110"/>
        <v>1</v>
      </c>
      <c r="BJ127" s="22">
        <f t="shared" si="111"/>
        <v>4</v>
      </c>
      <c r="BK127" s="22">
        <f t="shared" si="112"/>
        <v>1</v>
      </c>
      <c r="BL127" s="22" t="str">
        <f t="shared" si="113"/>
        <v>141</v>
      </c>
      <c r="BS127"/>
      <c r="CL127" s="23">
        <v>117</v>
      </c>
      <c r="CM127" s="23">
        <v>110</v>
      </c>
      <c r="CO127"/>
    </row>
    <row r="128" spans="1:93" ht="17" hidden="1">
      <c r="B128" s="15">
        <v>124</v>
      </c>
      <c r="C128" s="23" t="s">
        <v>154</v>
      </c>
      <c r="D128" s="16">
        <v>9</v>
      </c>
      <c r="E128" s="17">
        <v>1395936267</v>
      </c>
      <c r="F128" s="16">
        <v>37</v>
      </c>
      <c r="G128" s="17">
        <v>56592011</v>
      </c>
      <c r="H128" s="17">
        <v>1540</v>
      </c>
      <c r="I128" s="17">
        <v>1359679</v>
      </c>
      <c r="J128" s="17">
        <v>75040</v>
      </c>
      <c r="K128" s="17">
        <v>55808</v>
      </c>
      <c r="L128" s="17">
        <v>1230275</v>
      </c>
      <c r="M128" s="17">
        <v>5000</v>
      </c>
      <c r="N128" s="23">
        <v>4</v>
      </c>
      <c r="O128" s="23">
        <v>16</v>
      </c>
      <c r="P128" s="23">
        <v>23</v>
      </c>
      <c r="Q128" s="23">
        <v>25</v>
      </c>
      <c r="R128" s="23">
        <v>29</v>
      </c>
      <c r="S128" s="23">
        <v>42</v>
      </c>
      <c r="T128" s="23">
        <v>1</v>
      </c>
      <c r="U128" s="23">
        <f t="shared" si="86"/>
        <v>139</v>
      </c>
      <c r="W128" s="22" t="str">
        <f t="shared" si="116"/>
        <v>짝수</v>
      </c>
      <c r="X128" s="22" t="str">
        <f t="shared" si="117"/>
        <v>짝수</v>
      </c>
      <c r="Y128" s="22" t="str">
        <f t="shared" si="118"/>
        <v>홀수</v>
      </c>
      <c r="Z128" s="22" t="str">
        <f t="shared" si="119"/>
        <v>홀수</v>
      </c>
      <c r="AA128" s="22" t="str">
        <f t="shared" si="120"/>
        <v>홀수</v>
      </c>
      <c r="AB128" s="22" t="str">
        <f t="shared" si="121"/>
        <v>짝수</v>
      </c>
      <c r="AC128" s="52" t="str">
        <f t="shared" si="122"/>
        <v>3 : 3</v>
      </c>
      <c r="AD128" s="22">
        <f t="shared" si="123"/>
        <v>3</v>
      </c>
      <c r="AE128" s="22">
        <f t="shared" si="124"/>
        <v>3</v>
      </c>
      <c r="AF128" s="22" t="str">
        <f t="shared" si="87"/>
        <v>저수</v>
      </c>
      <c r="AG128" s="22" t="str">
        <f t="shared" si="88"/>
        <v>저수</v>
      </c>
      <c r="AH128" s="22" t="str">
        <f t="shared" si="89"/>
        <v>고수</v>
      </c>
      <c r="AI128" s="22" t="str">
        <f t="shared" si="90"/>
        <v>고수</v>
      </c>
      <c r="AJ128" s="22" t="str">
        <f t="shared" si="91"/>
        <v>고수</v>
      </c>
      <c r="AK128" s="22" t="str">
        <f t="shared" si="92"/>
        <v>고수</v>
      </c>
      <c r="AL128" s="52" t="str">
        <f t="shared" si="93"/>
        <v>2 : 4</v>
      </c>
      <c r="AM128" s="22">
        <f t="shared" si="94"/>
        <v>2</v>
      </c>
      <c r="AN128" s="22">
        <f t="shared" si="95"/>
        <v>4</v>
      </c>
      <c r="AO128" s="22">
        <f t="shared" si="96"/>
        <v>29</v>
      </c>
      <c r="AP128" s="22" t="str">
        <f t="shared" si="97"/>
        <v>X</v>
      </c>
      <c r="AQ128" s="22" t="str">
        <f t="shared" si="98"/>
        <v>X</v>
      </c>
      <c r="AR128" s="22" t="str">
        <f t="shared" si="99"/>
        <v>X</v>
      </c>
      <c r="AS128" s="22" t="str">
        <f t="shared" si="100"/>
        <v>X</v>
      </c>
      <c r="AT128" s="22" t="str">
        <f t="shared" si="101"/>
        <v>X</v>
      </c>
      <c r="AU128" s="22" t="str">
        <f t="shared" si="102"/>
        <v>X</v>
      </c>
      <c r="AV128" s="22" t="str">
        <f t="shared" si="103"/>
        <v>X</v>
      </c>
      <c r="AW128" s="22" t="str">
        <f t="shared" si="104"/>
        <v>X</v>
      </c>
      <c r="AX128" s="22" t="str">
        <f t="shared" si="105"/>
        <v>O</v>
      </c>
      <c r="AY128" s="22" t="str">
        <f t="shared" si="106"/>
        <v>X</v>
      </c>
      <c r="AZ128" s="22" t="str">
        <f t="shared" si="107"/>
        <v>O</v>
      </c>
      <c r="BA128" s="22" t="str">
        <f t="shared" si="108"/>
        <v>X</v>
      </c>
      <c r="BB128" s="22">
        <f t="shared" si="109"/>
        <v>2</v>
      </c>
      <c r="BC128" s="22" t="str">
        <f t="shared" si="80"/>
        <v>1G</v>
      </c>
      <c r="BD128" s="22" t="str">
        <f t="shared" si="81"/>
        <v>2G</v>
      </c>
      <c r="BE128" s="22" t="str">
        <f t="shared" si="82"/>
        <v>2G</v>
      </c>
      <c r="BF128" s="22" t="str">
        <f t="shared" si="83"/>
        <v>2G</v>
      </c>
      <c r="BG128" s="22" t="str">
        <f t="shared" si="84"/>
        <v>2G</v>
      </c>
      <c r="BH128" s="22" t="str">
        <f t="shared" si="85"/>
        <v>3G</v>
      </c>
      <c r="BI128" s="22">
        <f t="shared" si="110"/>
        <v>1</v>
      </c>
      <c r="BJ128" s="22">
        <f t="shared" si="111"/>
        <v>4</v>
      </c>
      <c r="BK128" s="22">
        <f t="shared" si="112"/>
        <v>1</v>
      </c>
      <c r="BL128" s="22" t="str">
        <f t="shared" si="113"/>
        <v>141</v>
      </c>
      <c r="BS128"/>
      <c r="CL128" s="23">
        <v>117</v>
      </c>
      <c r="CM128" s="23">
        <v>110</v>
      </c>
      <c r="CO128"/>
    </row>
    <row r="129" spans="2:93" ht="17" hidden="1">
      <c r="B129" s="15">
        <v>125</v>
      </c>
      <c r="C129" s="23" t="s">
        <v>155</v>
      </c>
      <c r="D129" s="16">
        <v>7</v>
      </c>
      <c r="E129" s="17">
        <v>1754870786</v>
      </c>
      <c r="F129" s="16">
        <v>36</v>
      </c>
      <c r="G129" s="17">
        <v>56870813</v>
      </c>
      <c r="H129" s="17">
        <v>1444</v>
      </c>
      <c r="I129" s="17">
        <v>1417832</v>
      </c>
      <c r="J129" s="17">
        <v>74261</v>
      </c>
      <c r="K129" s="17">
        <v>55140</v>
      </c>
      <c r="L129" s="17">
        <v>1220272</v>
      </c>
      <c r="M129" s="17">
        <v>5000</v>
      </c>
      <c r="N129" s="23">
        <v>2</v>
      </c>
      <c r="O129" s="23">
        <v>8</v>
      </c>
      <c r="P129" s="23">
        <v>32</v>
      </c>
      <c r="Q129" s="23">
        <v>33</v>
      </c>
      <c r="R129" s="23">
        <v>35</v>
      </c>
      <c r="S129" s="23">
        <v>36</v>
      </c>
      <c r="T129" s="23">
        <v>18</v>
      </c>
      <c r="U129" s="23">
        <f t="shared" si="86"/>
        <v>146</v>
      </c>
      <c r="W129" s="22" t="str">
        <f t="shared" si="116"/>
        <v>짝수</v>
      </c>
      <c r="X129" s="22" t="str">
        <f t="shared" si="117"/>
        <v>짝수</v>
      </c>
      <c r="Y129" s="22" t="str">
        <f t="shared" si="118"/>
        <v>짝수</v>
      </c>
      <c r="Z129" s="22" t="str">
        <f t="shared" si="119"/>
        <v>홀수</v>
      </c>
      <c r="AA129" s="22" t="str">
        <f t="shared" si="120"/>
        <v>홀수</v>
      </c>
      <c r="AB129" s="22" t="str">
        <f t="shared" si="121"/>
        <v>짝수</v>
      </c>
      <c r="AC129" s="52" t="str">
        <f t="shared" si="122"/>
        <v>2 : 4</v>
      </c>
      <c r="AD129" s="22">
        <f t="shared" si="123"/>
        <v>2</v>
      </c>
      <c r="AE129" s="22">
        <f t="shared" si="124"/>
        <v>4</v>
      </c>
      <c r="AF129" s="22" t="str">
        <f t="shared" si="87"/>
        <v>저수</v>
      </c>
      <c r="AG129" s="22" t="str">
        <f t="shared" si="88"/>
        <v>저수</v>
      </c>
      <c r="AH129" s="22" t="str">
        <f t="shared" si="89"/>
        <v>고수</v>
      </c>
      <c r="AI129" s="22" t="str">
        <f t="shared" si="90"/>
        <v>고수</v>
      </c>
      <c r="AJ129" s="22" t="str">
        <f t="shared" si="91"/>
        <v>고수</v>
      </c>
      <c r="AK129" s="22" t="str">
        <f t="shared" si="92"/>
        <v>고수</v>
      </c>
      <c r="AL129" s="52" t="str">
        <f t="shared" si="93"/>
        <v>2 : 4</v>
      </c>
      <c r="AM129" s="22">
        <f t="shared" si="94"/>
        <v>2</v>
      </c>
      <c r="AN129" s="22">
        <f t="shared" si="95"/>
        <v>4</v>
      </c>
      <c r="AO129" s="22">
        <f t="shared" si="96"/>
        <v>26</v>
      </c>
      <c r="AP129" s="22" t="str">
        <f t="shared" si="97"/>
        <v>O</v>
      </c>
      <c r="AQ129" s="22" t="str">
        <f t="shared" si="98"/>
        <v>X</v>
      </c>
      <c r="AR129" s="22" t="str">
        <f t="shared" si="99"/>
        <v>X</v>
      </c>
      <c r="AS129" s="22" t="str">
        <f t="shared" si="100"/>
        <v>X</v>
      </c>
      <c r="AT129" s="22" t="str">
        <f t="shared" si="101"/>
        <v>X</v>
      </c>
      <c r="AU129" s="22" t="str">
        <f t="shared" si="102"/>
        <v>X</v>
      </c>
      <c r="AV129" s="22" t="str">
        <f t="shared" si="103"/>
        <v>X</v>
      </c>
      <c r="AW129" s="22" t="str">
        <f t="shared" si="104"/>
        <v>X</v>
      </c>
      <c r="AX129" s="22" t="str">
        <f t="shared" si="105"/>
        <v>X</v>
      </c>
      <c r="AY129" s="22" t="str">
        <f t="shared" si="106"/>
        <v>X</v>
      </c>
      <c r="AZ129" s="22" t="str">
        <f t="shared" si="107"/>
        <v>X</v>
      </c>
      <c r="BA129" s="22" t="str">
        <f t="shared" si="108"/>
        <v>X</v>
      </c>
      <c r="BB129" s="22">
        <f t="shared" si="109"/>
        <v>1</v>
      </c>
      <c r="BC129" s="22" t="str">
        <f t="shared" si="80"/>
        <v>1G</v>
      </c>
      <c r="BD129" s="22" t="str">
        <f t="shared" si="81"/>
        <v>1G</v>
      </c>
      <c r="BE129" s="22" t="str">
        <f t="shared" si="82"/>
        <v>3G</v>
      </c>
      <c r="BF129" s="22" t="str">
        <f t="shared" si="83"/>
        <v>3G</v>
      </c>
      <c r="BG129" s="22" t="str">
        <f t="shared" si="84"/>
        <v>3G</v>
      </c>
      <c r="BH129" s="22" t="str">
        <f t="shared" si="85"/>
        <v>3G</v>
      </c>
      <c r="BI129" s="22">
        <f t="shared" si="110"/>
        <v>2</v>
      </c>
      <c r="BJ129" s="22">
        <f t="shared" si="111"/>
        <v>0</v>
      </c>
      <c r="BK129" s="22">
        <f t="shared" si="112"/>
        <v>4</v>
      </c>
      <c r="BL129" s="22" t="str">
        <f t="shared" si="113"/>
        <v>204</v>
      </c>
      <c r="BS129"/>
      <c r="CL129" s="23">
        <v>117</v>
      </c>
      <c r="CM129" s="23">
        <v>110</v>
      </c>
      <c r="CO129"/>
    </row>
    <row r="130" spans="2:93" ht="17" hidden="1">
      <c r="B130" s="15">
        <v>126</v>
      </c>
      <c r="C130" s="23" t="s">
        <v>156</v>
      </c>
      <c r="D130" s="16">
        <v>9</v>
      </c>
      <c r="E130" s="17">
        <v>1369301500</v>
      </c>
      <c r="F130" s="16">
        <v>35</v>
      </c>
      <c r="G130" s="17">
        <v>58684350</v>
      </c>
      <c r="H130" s="17">
        <v>1439</v>
      </c>
      <c r="I130" s="17">
        <v>1427347</v>
      </c>
      <c r="J130" s="17">
        <v>71370</v>
      </c>
      <c r="K130" s="17">
        <v>57558</v>
      </c>
      <c r="L130" s="17">
        <v>1166992</v>
      </c>
      <c r="M130" s="17">
        <v>5000</v>
      </c>
      <c r="N130" s="23">
        <v>7</v>
      </c>
      <c r="O130" s="23">
        <v>20</v>
      </c>
      <c r="P130" s="23">
        <v>22</v>
      </c>
      <c r="Q130" s="23">
        <v>27</v>
      </c>
      <c r="R130" s="23">
        <v>40</v>
      </c>
      <c r="S130" s="23">
        <v>43</v>
      </c>
      <c r="T130" s="23">
        <v>1</v>
      </c>
      <c r="U130" s="23">
        <f t="shared" si="86"/>
        <v>159</v>
      </c>
      <c r="W130" s="22" t="str">
        <f t="shared" si="116"/>
        <v>홀수</v>
      </c>
      <c r="X130" s="22" t="str">
        <f t="shared" si="117"/>
        <v>짝수</v>
      </c>
      <c r="Y130" s="22" t="str">
        <f t="shared" si="118"/>
        <v>짝수</v>
      </c>
      <c r="Z130" s="22" t="str">
        <f t="shared" si="119"/>
        <v>홀수</v>
      </c>
      <c r="AA130" s="22" t="str">
        <f t="shared" si="120"/>
        <v>짝수</v>
      </c>
      <c r="AB130" s="22" t="str">
        <f t="shared" si="121"/>
        <v>홀수</v>
      </c>
      <c r="AC130" s="52" t="str">
        <f t="shared" si="122"/>
        <v>3 : 3</v>
      </c>
      <c r="AD130" s="22">
        <f t="shared" si="123"/>
        <v>3</v>
      </c>
      <c r="AE130" s="22">
        <f t="shared" si="124"/>
        <v>3</v>
      </c>
      <c r="AF130" s="22" t="str">
        <f t="shared" si="87"/>
        <v>저수</v>
      </c>
      <c r="AG130" s="22" t="str">
        <f t="shared" si="88"/>
        <v>저수</v>
      </c>
      <c r="AH130" s="22" t="str">
        <f t="shared" si="89"/>
        <v>저수</v>
      </c>
      <c r="AI130" s="22" t="str">
        <f t="shared" si="90"/>
        <v>고수</v>
      </c>
      <c r="AJ130" s="22" t="str">
        <f t="shared" si="91"/>
        <v>고수</v>
      </c>
      <c r="AK130" s="22" t="str">
        <f t="shared" si="92"/>
        <v>고수</v>
      </c>
      <c r="AL130" s="52" t="str">
        <f t="shared" si="93"/>
        <v>3 : 3</v>
      </c>
      <c r="AM130" s="22">
        <f t="shared" si="94"/>
        <v>3</v>
      </c>
      <c r="AN130" s="22">
        <f t="shared" si="95"/>
        <v>3</v>
      </c>
      <c r="AO130" s="22">
        <f t="shared" si="96"/>
        <v>19</v>
      </c>
      <c r="AP130" s="22" t="str">
        <f t="shared" si="97"/>
        <v>O</v>
      </c>
      <c r="AQ130" s="22" t="str">
        <f t="shared" si="98"/>
        <v>X</v>
      </c>
      <c r="AR130" s="22" t="str">
        <f t="shared" si="99"/>
        <v>X</v>
      </c>
      <c r="AS130" s="22" t="str">
        <f t="shared" si="100"/>
        <v>X</v>
      </c>
      <c r="AT130" s="22" t="str">
        <f t="shared" si="101"/>
        <v>X</v>
      </c>
      <c r="AU130" s="22" t="str">
        <f t="shared" si="102"/>
        <v>X</v>
      </c>
      <c r="AV130" s="22" t="str">
        <f t="shared" si="103"/>
        <v>X</v>
      </c>
      <c r="AW130" s="22" t="str">
        <f t="shared" si="104"/>
        <v>X</v>
      </c>
      <c r="AX130" s="22" t="str">
        <f t="shared" si="105"/>
        <v>X</v>
      </c>
      <c r="AY130" s="22" t="str">
        <f t="shared" si="106"/>
        <v>X</v>
      </c>
      <c r="AZ130" s="22" t="str">
        <f t="shared" si="107"/>
        <v>X</v>
      </c>
      <c r="BA130" s="22" t="str">
        <f t="shared" si="108"/>
        <v>O</v>
      </c>
      <c r="BB130" s="22">
        <f t="shared" si="109"/>
        <v>2</v>
      </c>
      <c r="BC130" s="22" t="str">
        <f t="shared" si="80"/>
        <v>1G</v>
      </c>
      <c r="BD130" s="22" t="str">
        <f t="shared" si="81"/>
        <v>2G</v>
      </c>
      <c r="BE130" s="22" t="str">
        <f t="shared" si="82"/>
        <v>2G</v>
      </c>
      <c r="BF130" s="22" t="str">
        <f t="shared" si="83"/>
        <v>2G</v>
      </c>
      <c r="BG130" s="22" t="str">
        <f t="shared" si="84"/>
        <v>3G</v>
      </c>
      <c r="BH130" s="22" t="str">
        <f t="shared" si="85"/>
        <v>3G</v>
      </c>
      <c r="BI130" s="22">
        <f t="shared" si="110"/>
        <v>1</v>
      </c>
      <c r="BJ130" s="22">
        <f t="shared" si="111"/>
        <v>3</v>
      </c>
      <c r="BK130" s="22">
        <f t="shared" si="112"/>
        <v>2</v>
      </c>
      <c r="BL130" s="22" t="str">
        <f t="shared" si="113"/>
        <v>132</v>
      </c>
      <c r="BS130"/>
      <c r="CL130" s="23">
        <v>118</v>
      </c>
      <c r="CM130" s="23">
        <v>110</v>
      </c>
      <c r="CO130"/>
    </row>
    <row r="131" spans="2:93" ht="17" hidden="1">
      <c r="B131" s="15">
        <v>127</v>
      </c>
      <c r="C131" s="23" t="s">
        <v>157</v>
      </c>
      <c r="D131" s="16">
        <v>6</v>
      </c>
      <c r="E131" s="17">
        <v>1965939150</v>
      </c>
      <c r="F131" s="16">
        <v>43</v>
      </c>
      <c r="G131" s="17">
        <v>45719516</v>
      </c>
      <c r="H131" s="17">
        <v>1279</v>
      </c>
      <c r="I131" s="17">
        <v>1537091</v>
      </c>
      <c r="J131" s="17">
        <v>67175</v>
      </c>
      <c r="K131" s="17">
        <v>58532</v>
      </c>
      <c r="L131" s="17">
        <v>1143382</v>
      </c>
      <c r="M131" s="17">
        <v>5000</v>
      </c>
      <c r="N131" s="23">
        <v>3</v>
      </c>
      <c r="O131" s="23">
        <v>5</v>
      </c>
      <c r="P131" s="23">
        <v>10</v>
      </c>
      <c r="Q131" s="23">
        <v>29</v>
      </c>
      <c r="R131" s="23">
        <v>32</v>
      </c>
      <c r="S131" s="23">
        <v>43</v>
      </c>
      <c r="T131" s="23">
        <v>35</v>
      </c>
      <c r="U131" s="23">
        <f t="shared" si="86"/>
        <v>122</v>
      </c>
      <c r="W131" s="22" t="str">
        <f t="shared" si="116"/>
        <v>홀수</v>
      </c>
      <c r="X131" s="22" t="str">
        <f t="shared" si="117"/>
        <v>홀수</v>
      </c>
      <c r="Y131" s="22" t="str">
        <f t="shared" si="118"/>
        <v>짝수</v>
      </c>
      <c r="Z131" s="22" t="str">
        <f t="shared" si="119"/>
        <v>홀수</v>
      </c>
      <c r="AA131" s="22" t="str">
        <f t="shared" si="120"/>
        <v>짝수</v>
      </c>
      <c r="AB131" s="22" t="str">
        <f t="shared" si="121"/>
        <v>홀수</v>
      </c>
      <c r="AC131" s="52" t="str">
        <f t="shared" si="122"/>
        <v>4 : 2</v>
      </c>
      <c r="AD131" s="22">
        <f t="shared" si="123"/>
        <v>4</v>
      </c>
      <c r="AE131" s="22">
        <f t="shared" si="124"/>
        <v>2</v>
      </c>
      <c r="AF131" s="22" t="str">
        <f t="shared" si="87"/>
        <v>저수</v>
      </c>
      <c r="AG131" s="22" t="str">
        <f t="shared" si="88"/>
        <v>저수</v>
      </c>
      <c r="AH131" s="22" t="str">
        <f t="shared" si="89"/>
        <v>저수</v>
      </c>
      <c r="AI131" s="22" t="str">
        <f t="shared" si="90"/>
        <v>고수</v>
      </c>
      <c r="AJ131" s="22" t="str">
        <f t="shared" si="91"/>
        <v>고수</v>
      </c>
      <c r="AK131" s="22" t="str">
        <f t="shared" si="92"/>
        <v>고수</v>
      </c>
      <c r="AL131" s="52" t="str">
        <f t="shared" si="93"/>
        <v>3 : 3</v>
      </c>
      <c r="AM131" s="22">
        <f t="shared" si="94"/>
        <v>3</v>
      </c>
      <c r="AN131" s="22">
        <f t="shared" si="95"/>
        <v>3</v>
      </c>
      <c r="AO131" s="22">
        <f t="shared" si="96"/>
        <v>22</v>
      </c>
      <c r="AP131" s="22" t="str">
        <f t="shared" si="97"/>
        <v>O</v>
      </c>
      <c r="AQ131" s="22" t="str">
        <f t="shared" si="98"/>
        <v>O</v>
      </c>
      <c r="AR131" s="22" t="str">
        <f t="shared" si="99"/>
        <v>X</v>
      </c>
      <c r="AS131" s="22" t="str">
        <f t="shared" si="100"/>
        <v>X</v>
      </c>
      <c r="AT131" s="22" t="str">
        <f t="shared" si="101"/>
        <v>X</v>
      </c>
      <c r="AU131" s="22" t="str">
        <f t="shared" si="102"/>
        <v>X</v>
      </c>
      <c r="AV131" s="22" t="str">
        <f t="shared" si="103"/>
        <v>X</v>
      </c>
      <c r="AW131" s="22" t="str">
        <f t="shared" si="104"/>
        <v>X</v>
      </c>
      <c r="AX131" s="22" t="str">
        <f t="shared" si="105"/>
        <v>X</v>
      </c>
      <c r="AY131" s="22" t="str">
        <f t="shared" si="106"/>
        <v>O</v>
      </c>
      <c r="AZ131" s="22" t="str">
        <f t="shared" si="107"/>
        <v>X</v>
      </c>
      <c r="BA131" s="22" t="str">
        <f t="shared" si="108"/>
        <v>O</v>
      </c>
      <c r="BB131" s="22">
        <f t="shared" si="109"/>
        <v>4</v>
      </c>
      <c r="BC131" s="22" t="str">
        <f t="shared" si="80"/>
        <v>1G</v>
      </c>
      <c r="BD131" s="22" t="str">
        <f t="shared" si="81"/>
        <v>1G</v>
      </c>
      <c r="BE131" s="22" t="str">
        <f t="shared" si="82"/>
        <v>1G</v>
      </c>
      <c r="BF131" s="22" t="str">
        <f t="shared" si="83"/>
        <v>2G</v>
      </c>
      <c r="BG131" s="22" t="str">
        <f t="shared" si="84"/>
        <v>3G</v>
      </c>
      <c r="BH131" s="22" t="str">
        <f t="shared" si="85"/>
        <v>3G</v>
      </c>
      <c r="BI131" s="22">
        <f t="shared" si="110"/>
        <v>3</v>
      </c>
      <c r="BJ131" s="22">
        <f t="shared" si="111"/>
        <v>1</v>
      </c>
      <c r="BK131" s="22">
        <f t="shared" si="112"/>
        <v>2</v>
      </c>
      <c r="BL131" s="22" t="str">
        <f t="shared" si="113"/>
        <v>312</v>
      </c>
      <c r="BS131"/>
      <c r="CL131" s="23">
        <v>118</v>
      </c>
      <c r="CM131" s="23">
        <v>110</v>
      </c>
      <c r="CO131"/>
    </row>
    <row r="132" spans="2:93" ht="17" hidden="1">
      <c r="B132" s="15">
        <v>128</v>
      </c>
      <c r="C132" s="23" t="s">
        <v>158</v>
      </c>
      <c r="D132" s="16">
        <v>6</v>
      </c>
      <c r="E132" s="17">
        <v>2064043100</v>
      </c>
      <c r="F132" s="16">
        <v>23</v>
      </c>
      <c r="G132" s="17">
        <v>89741005</v>
      </c>
      <c r="H132" s="17">
        <v>1192</v>
      </c>
      <c r="I132" s="17">
        <v>1731580</v>
      </c>
      <c r="J132" s="17">
        <v>63294</v>
      </c>
      <c r="K132" s="17">
        <v>65221</v>
      </c>
      <c r="L132" s="17">
        <v>1102953</v>
      </c>
      <c r="M132" s="17">
        <v>5000</v>
      </c>
      <c r="N132" s="23">
        <v>12</v>
      </c>
      <c r="O132" s="23">
        <v>30</v>
      </c>
      <c r="P132" s="23">
        <v>34</v>
      </c>
      <c r="Q132" s="23">
        <v>36</v>
      </c>
      <c r="R132" s="23">
        <v>37</v>
      </c>
      <c r="S132" s="23">
        <v>45</v>
      </c>
      <c r="T132" s="23">
        <v>39</v>
      </c>
      <c r="U132" s="23">
        <f t="shared" si="86"/>
        <v>194</v>
      </c>
      <c r="W132" s="22" t="str">
        <f t="shared" si="116"/>
        <v>짝수</v>
      </c>
      <c r="X132" s="22" t="str">
        <f t="shared" si="117"/>
        <v>짝수</v>
      </c>
      <c r="Y132" s="22" t="str">
        <f t="shared" si="118"/>
        <v>짝수</v>
      </c>
      <c r="Z132" s="22" t="str">
        <f t="shared" si="119"/>
        <v>짝수</v>
      </c>
      <c r="AA132" s="22" t="str">
        <f t="shared" si="120"/>
        <v>홀수</v>
      </c>
      <c r="AB132" s="22" t="str">
        <f t="shared" si="121"/>
        <v>홀수</v>
      </c>
      <c r="AC132" s="52" t="str">
        <f t="shared" si="122"/>
        <v>2 : 4</v>
      </c>
      <c r="AD132" s="22">
        <f t="shared" si="123"/>
        <v>2</v>
      </c>
      <c r="AE132" s="22">
        <f t="shared" si="124"/>
        <v>4</v>
      </c>
      <c r="AF132" s="22" t="str">
        <f t="shared" si="87"/>
        <v>저수</v>
      </c>
      <c r="AG132" s="22" t="str">
        <f t="shared" si="88"/>
        <v>고수</v>
      </c>
      <c r="AH132" s="22" t="str">
        <f t="shared" si="89"/>
        <v>고수</v>
      </c>
      <c r="AI132" s="22" t="str">
        <f t="shared" si="90"/>
        <v>고수</v>
      </c>
      <c r="AJ132" s="22" t="str">
        <f t="shared" si="91"/>
        <v>고수</v>
      </c>
      <c r="AK132" s="22" t="str">
        <f t="shared" si="92"/>
        <v>고수</v>
      </c>
      <c r="AL132" s="52" t="str">
        <f t="shared" si="93"/>
        <v>1 : 5</v>
      </c>
      <c r="AM132" s="22">
        <f t="shared" si="94"/>
        <v>1</v>
      </c>
      <c r="AN132" s="22">
        <f t="shared" si="95"/>
        <v>5</v>
      </c>
      <c r="AO132" s="22">
        <f t="shared" si="96"/>
        <v>24</v>
      </c>
      <c r="AP132" s="22" t="str">
        <f t="shared" si="97"/>
        <v>X</v>
      </c>
      <c r="AQ132" s="22" t="str">
        <f t="shared" si="98"/>
        <v>X</v>
      </c>
      <c r="AR132" s="22" t="str">
        <f t="shared" si="99"/>
        <v>X</v>
      </c>
      <c r="AS132" s="22" t="str">
        <f t="shared" si="100"/>
        <v>X</v>
      </c>
      <c r="AT132" s="22" t="str">
        <f t="shared" si="101"/>
        <v>X</v>
      </c>
      <c r="AU132" s="22" t="str">
        <f t="shared" si="102"/>
        <v>X</v>
      </c>
      <c r="AV132" s="22" t="str">
        <f t="shared" si="103"/>
        <v>X</v>
      </c>
      <c r="AW132" s="22" t="str">
        <f t="shared" si="104"/>
        <v>X</v>
      </c>
      <c r="AX132" s="22" t="str">
        <f t="shared" si="105"/>
        <v>X</v>
      </c>
      <c r="AY132" s="22" t="str">
        <f t="shared" si="106"/>
        <v>X</v>
      </c>
      <c r="AZ132" s="22" t="str">
        <f t="shared" si="107"/>
        <v>O</v>
      </c>
      <c r="BA132" s="22" t="str">
        <f t="shared" si="108"/>
        <v>X</v>
      </c>
      <c r="BB132" s="22">
        <f t="shared" si="109"/>
        <v>1</v>
      </c>
      <c r="BC132" s="22" t="str">
        <f t="shared" si="80"/>
        <v>1G</v>
      </c>
      <c r="BD132" s="22" t="str">
        <f t="shared" si="81"/>
        <v>2G</v>
      </c>
      <c r="BE132" s="22" t="str">
        <f t="shared" si="82"/>
        <v>3G</v>
      </c>
      <c r="BF132" s="22" t="str">
        <f t="shared" si="83"/>
        <v>3G</v>
      </c>
      <c r="BG132" s="22" t="str">
        <f t="shared" si="84"/>
        <v>3G</v>
      </c>
      <c r="BH132" s="22" t="str">
        <f t="shared" si="85"/>
        <v>3G</v>
      </c>
      <c r="BI132" s="22">
        <f t="shared" si="110"/>
        <v>1</v>
      </c>
      <c r="BJ132" s="22">
        <f t="shared" si="111"/>
        <v>1</v>
      </c>
      <c r="BK132" s="22">
        <f t="shared" si="112"/>
        <v>4</v>
      </c>
      <c r="BL132" s="22" t="str">
        <f t="shared" si="113"/>
        <v>114</v>
      </c>
      <c r="BS132"/>
      <c r="CL132" s="23">
        <v>118</v>
      </c>
      <c r="CM132" s="23">
        <v>110</v>
      </c>
      <c r="CO132"/>
    </row>
    <row r="133" spans="2:93" ht="17" hidden="1">
      <c r="B133" s="15">
        <v>129</v>
      </c>
      <c r="C133" s="23" t="s">
        <v>159</v>
      </c>
      <c r="D133" s="16">
        <v>11</v>
      </c>
      <c r="E133" s="17">
        <v>1093629655</v>
      </c>
      <c r="F133" s="16">
        <v>50</v>
      </c>
      <c r="G133" s="17">
        <v>40099754</v>
      </c>
      <c r="H133" s="17">
        <v>1473</v>
      </c>
      <c r="I133" s="17">
        <v>1361160</v>
      </c>
      <c r="J133" s="17">
        <v>71124</v>
      </c>
      <c r="K133" s="17">
        <v>56381</v>
      </c>
      <c r="L133" s="17">
        <v>1145600</v>
      </c>
      <c r="M133" s="17">
        <v>5000</v>
      </c>
      <c r="N133" s="23">
        <v>19</v>
      </c>
      <c r="O133" s="23">
        <v>23</v>
      </c>
      <c r="P133" s="23">
        <v>25</v>
      </c>
      <c r="Q133" s="23">
        <v>28</v>
      </c>
      <c r="R133" s="23">
        <v>38</v>
      </c>
      <c r="S133" s="23">
        <v>42</v>
      </c>
      <c r="T133" s="23">
        <v>17</v>
      </c>
      <c r="U133" s="23">
        <f t="shared" si="86"/>
        <v>175</v>
      </c>
      <c r="W133" s="22" t="str">
        <f t="shared" si="116"/>
        <v>홀수</v>
      </c>
      <c r="X133" s="22" t="str">
        <f t="shared" si="117"/>
        <v>홀수</v>
      </c>
      <c r="Y133" s="22" t="str">
        <f t="shared" si="118"/>
        <v>홀수</v>
      </c>
      <c r="Z133" s="22" t="str">
        <f t="shared" si="119"/>
        <v>짝수</v>
      </c>
      <c r="AA133" s="22" t="str">
        <f t="shared" si="120"/>
        <v>짝수</v>
      </c>
      <c r="AB133" s="22" t="str">
        <f t="shared" si="121"/>
        <v>짝수</v>
      </c>
      <c r="AC133" s="52" t="str">
        <f t="shared" si="122"/>
        <v>3 : 3</v>
      </c>
      <c r="AD133" s="22">
        <f t="shared" si="123"/>
        <v>3</v>
      </c>
      <c r="AE133" s="22">
        <f t="shared" si="124"/>
        <v>3</v>
      </c>
      <c r="AF133" s="22" t="str">
        <f t="shared" si="87"/>
        <v>저수</v>
      </c>
      <c r="AG133" s="22" t="str">
        <f t="shared" si="88"/>
        <v>고수</v>
      </c>
      <c r="AH133" s="22" t="str">
        <f t="shared" si="89"/>
        <v>고수</v>
      </c>
      <c r="AI133" s="22" t="str">
        <f t="shared" si="90"/>
        <v>고수</v>
      </c>
      <c r="AJ133" s="22" t="str">
        <f t="shared" si="91"/>
        <v>고수</v>
      </c>
      <c r="AK133" s="22" t="str">
        <f t="shared" si="92"/>
        <v>고수</v>
      </c>
      <c r="AL133" s="52" t="str">
        <f t="shared" si="93"/>
        <v>1 : 5</v>
      </c>
      <c r="AM133" s="22">
        <f t="shared" si="94"/>
        <v>1</v>
      </c>
      <c r="AN133" s="22">
        <f t="shared" si="95"/>
        <v>5</v>
      </c>
      <c r="AO133" s="22">
        <f t="shared" si="96"/>
        <v>35</v>
      </c>
      <c r="AP133" s="22" t="str">
        <f t="shared" si="97"/>
        <v>O</v>
      </c>
      <c r="AQ133" s="22" t="str">
        <f t="shared" si="98"/>
        <v>X</v>
      </c>
      <c r="AR133" s="22" t="str">
        <f t="shared" si="99"/>
        <v>X</v>
      </c>
      <c r="AS133" s="22" t="str">
        <f t="shared" si="100"/>
        <v>X</v>
      </c>
      <c r="AT133" s="22" t="str">
        <f t="shared" si="101"/>
        <v>X</v>
      </c>
      <c r="AU133" s="22" t="str">
        <f t="shared" si="102"/>
        <v>X</v>
      </c>
      <c r="AV133" s="22" t="str">
        <f t="shared" si="103"/>
        <v>X</v>
      </c>
      <c r="AW133" s="22" t="str">
        <f t="shared" si="104"/>
        <v>O</v>
      </c>
      <c r="AX133" s="22" t="str">
        <f t="shared" si="105"/>
        <v>X</v>
      </c>
      <c r="AY133" s="22" t="str">
        <f t="shared" si="106"/>
        <v>X</v>
      </c>
      <c r="AZ133" s="22" t="str">
        <f t="shared" si="107"/>
        <v>X</v>
      </c>
      <c r="BA133" s="22" t="str">
        <f t="shared" si="108"/>
        <v>X</v>
      </c>
      <c r="BB133" s="22">
        <f t="shared" si="109"/>
        <v>2</v>
      </c>
      <c r="BC133" s="22" t="str">
        <f t="shared" ref="BC133:BC196" si="125">VLOOKUP(N133,삼그룹,6,FALSE)</f>
        <v>2G</v>
      </c>
      <c r="BD133" s="22" t="str">
        <f t="shared" ref="BD133:BD196" si="126">VLOOKUP(O133,삼그룹,6,FALSE)</f>
        <v>2G</v>
      </c>
      <c r="BE133" s="22" t="str">
        <f t="shared" ref="BE133:BE196" si="127">VLOOKUP(P133,삼그룹,6,FALSE)</f>
        <v>2G</v>
      </c>
      <c r="BF133" s="22" t="str">
        <f t="shared" ref="BF133:BF196" si="128">VLOOKUP(Q133,삼그룹,6,FALSE)</f>
        <v>2G</v>
      </c>
      <c r="BG133" s="22" t="str">
        <f t="shared" ref="BG133:BG196" si="129">VLOOKUP(R133,삼그룹,6,FALSE)</f>
        <v>3G</v>
      </c>
      <c r="BH133" s="22" t="str">
        <f t="shared" ref="BH133:BH196" si="130">VLOOKUP(S133,삼그룹,6,FALSE)</f>
        <v>3G</v>
      </c>
      <c r="BI133" s="22">
        <f t="shared" si="110"/>
        <v>0</v>
      </c>
      <c r="BJ133" s="22">
        <f t="shared" si="111"/>
        <v>4</v>
      </c>
      <c r="BK133" s="22">
        <f t="shared" si="112"/>
        <v>2</v>
      </c>
      <c r="BL133" s="22" t="str">
        <f t="shared" si="113"/>
        <v>042</v>
      </c>
      <c r="BS133"/>
      <c r="CL133" s="23">
        <v>119</v>
      </c>
      <c r="CM133" s="23">
        <v>110</v>
      </c>
      <c r="CO133"/>
    </row>
    <row r="134" spans="2:93" ht="17" hidden="1">
      <c r="B134" s="15">
        <v>130</v>
      </c>
      <c r="C134" s="23" t="s">
        <v>160</v>
      </c>
      <c r="D134" s="16">
        <v>4</v>
      </c>
      <c r="E134" s="17">
        <v>3036496650</v>
      </c>
      <c r="F134" s="16">
        <v>30</v>
      </c>
      <c r="G134" s="17">
        <v>67477704</v>
      </c>
      <c r="H134" s="17">
        <v>1273</v>
      </c>
      <c r="I134" s="17">
        <v>1590206</v>
      </c>
      <c r="J134" s="17">
        <v>63587</v>
      </c>
      <c r="K134" s="17">
        <v>63672</v>
      </c>
      <c r="L134" s="17">
        <v>1087239</v>
      </c>
      <c r="M134" s="17">
        <v>5000</v>
      </c>
      <c r="N134" s="23">
        <v>7</v>
      </c>
      <c r="O134" s="23">
        <v>19</v>
      </c>
      <c r="P134" s="23">
        <v>24</v>
      </c>
      <c r="Q134" s="23">
        <v>27</v>
      </c>
      <c r="R134" s="23">
        <v>42</v>
      </c>
      <c r="S134" s="23">
        <v>45</v>
      </c>
      <c r="T134" s="23">
        <v>31</v>
      </c>
      <c r="U134" s="23">
        <f t="shared" ref="U134:U197" si="131">SUM(N134:S134)</f>
        <v>164</v>
      </c>
      <c r="W134" s="22" t="str">
        <f t="shared" si="116"/>
        <v>홀수</v>
      </c>
      <c r="X134" s="22" t="str">
        <f t="shared" si="117"/>
        <v>홀수</v>
      </c>
      <c r="Y134" s="22" t="str">
        <f t="shared" si="118"/>
        <v>짝수</v>
      </c>
      <c r="Z134" s="22" t="str">
        <f t="shared" si="119"/>
        <v>홀수</v>
      </c>
      <c r="AA134" s="22" t="str">
        <f t="shared" si="120"/>
        <v>짝수</v>
      </c>
      <c r="AB134" s="22" t="str">
        <f t="shared" si="121"/>
        <v>홀수</v>
      </c>
      <c r="AC134" s="52" t="str">
        <f t="shared" si="122"/>
        <v>4 : 2</v>
      </c>
      <c r="AD134" s="22">
        <f t="shared" si="123"/>
        <v>4</v>
      </c>
      <c r="AE134" s="22">
        <f t="shared" si="124"/>
        <v>2</v>
      </c>
      <c r="AF134" s="22" t="str">
        <f t="shared" ref="AF134:AF197" si="132">IF(N134&lt;23,"저수","고수")</f>
        <v>저수</v>
      </c>
      <c r="AG134" s="22" t="str">
        <f t="shared" ref="AG134:AG197" si="133">IF(O134&lt;23,"저수","고수")</f>
        <v>저수</v>
      </c>
      <c r="AH134" s="22" t="str">
        <f t="shared" ref="AH134:AH197" si="134">IF(P134&lt;23,"저수","고수")</f>
        <v>고수</v>
      </c>
      <c r="AI134" s="22" t="str">
        <f t="shared" ref="AI134:AI197" si="135">IF(Q134&lt;23,"저수","고수")</f>
        <v>고수</v>
      </c>
      <c r="AJ134" s="22" t="str">
        <f t="shared" ref="AJ134:AJ197" si="136">IF(R134&lt;23,"저수","고수")</f>
        <v>고수</v>
      </c>
      <c r="AK134" s="22" t="str">
        <f t="shared" ref="AK134:AK197" si="137">IF(S134&lt;23,"저수","고수")</f>
        <v>고수</v>
      </c>
      <c r="AL134" s="52" t="str">
        <f t="shared" ref="AL134:AL197" si="138">AM134&amp;" : "&amp;AN134</f>
        <v>2 : 4</v>
      </c>
      <c r="AM134" s="22">
        <f t="shared" ref="AM134:AM197" si="139">COUNTIF(AF134:AK134,"저수")</f>
        <v>2</v>
      </c>
      <c r="AN134" s="22">
        <f t="shared" ref="AN134:AN197" si="140">COUNTIF(AF134:AK134,"고수")</f>
        <v>4</v>
      </c>
      <c r="AO134" s="22">
        <f t="shared" ref="AO134:AO197" si="141">RIGHT(N134,1)+RIGHT(O134,1)+RIGHT(P134,1)+RIGHT(Q134,1)+RIGHT(R134,1)+RIGHT(S134,1)</f>
        <v>34</v>
      </c>
      <c r="AP134" s="22" t="str">
        <f t="shared" ref="AP134:AP197" si="142">IF(N134=2,"O",IF(N134=3,"O",IF(N134=5,"O",IF(N134=7,"O",IF(N134=11,"O",IF(N134=13,"O",IF(N134=17,"O",IF(N134=19,"O","X"))))))))</f>
        <v>O</v>
      </c>
      <c r="AQ134" s="22" t="str">
        <f t="shared" ref="AQ134:AQ197" si="143">IF(O134=2,"O",IF(O134=3,"O",IF(O134=5,"O",IF(O134=7,"O",IF(O134=11,"O",IF(O134=13,"O",IF(O134=17,"O",IF(O134=19,"O","X"))))))))</f>
        <v>O</v>
      </c>
      <c r="AR134" s="22" t="str">
        <f t="shared" ref="AR134:AR197" si="144">IF(P134=2,"O",IF(P134=3,"O",IF(P134=5,"O",IF(P134=7,"O",IF(P134=11,"O",IF(P134=13,"O",IF(P134=17,"O",IF(P134=19,"O","X"))))))))</f>
        <v>X</v>
      </c>
      <c r="AS134" s="22" t="str">
        <f t="shared" ref="AS134:AS197" si="145">IF(Q134=2,"O",IF(Q134=3,"O",IF(Q134=5,"O",IF(Q134=7,"O",IF(Q134=11,"O",IF(Q134=13,"O",IF(Q134=17,"O",IF(Q134=19,"O","X"))))))))</f>
        <v>X</v>
      </c>
      <c r="AT134" s="22" t="str">
        <f t="shared" ref="AT134:AT197" si="146">IF(R134=2,"O",IF(R134=3,"O",IF(R134=5,"O",IF(R134=7,"O",IF(R134=11,"O",IF(R134=13,"O",IF(R134=17,"O",IF(R134=19,"O","X"))))))))</f>
        <v>X</v>
      </c>
      <c r="AU134" s="22" t="str">
        <f t="shared" ref="AU134:AU197" si="147">IF(S134=2,"O",IF(S134=3,"O",IF(S134=5,"O",IF(S134=7,"O",IF(S134=11,"O",IF(S134=13,"O",IF(S134=17,"O",IF(S134=19,"O","X"))))))))</f>
        <v>X</v>
      </c>
      <c r="AV134" s="22" t="str">
        <f t="shared" ref="AV134:AV197" si="148">IF(N134=23,"O",IF(N134=29,"O",IF(N134=31,"O",IF(N134=37,"O",IF(N134=41,"O",IF(N134=43,"O","X"))))))</f>
        <v>X</v>
      </c>
      <c r="AW134" s="22" t="str">
        <f t="shared" ref="AW134:AW197" si="149">IF(O134=23,"O",IF(O134=29,"O",IF(O134=31,"O",IF(O134=37,"O",IF(O134=41,"O",IF(O134=43,"O","X"))))))</f>
        <v>X</v>
      </c>
      <c r="AX134" s="22" t="str">
        <f t="shared" ref="AX134:AX197" si="150">IF(P134=23,"O",IF(P134=29,"O",IF(P134=31,"O",IF(P134=37,"O",IF(P134=41,"O",IF(P134=43,"O","X"))))))</f>
        <v>X</v>
      </c>
      <c r="AY134" s="22" t="str">
        <f t="shared" ref="AY134:AY197" si="151">IF(Q134=23,"O",IF(Q134=29,"O",IF(Q134=31,"O",IF(Q134=37,"O",IF(Q134=41,"O",IF(Q134=43,"O","X"))))))</f>
        <v>X</v>
      </c>
      <c r="AZ134" s="22" t="str">
        <f t="shared" ref="AZ134:AZ197" si="152">IF(R134=23,"O",IF(R134=29,"O",IF(R134=31,"O",IF(R134=37,"O",IF(R134=41,"O",IF(R134=43,"O","X"))))))</f>
        <v>X</v>
      </c>
      <c r="BA134" s="22" t="str">
        <f t="shared" ref="BA134:BA197" si="153">IF(S134=23,"O",IF(S134=29,"O",IF(S134=31,"O",IF(S134=37,"O",IF(S134=41,"O",IF(S134=43,"O","X"))))))</f>
        <v>X</v>
      </c>
      <c r="BB134" s="22">
        <f t="shared" ref="BB134:BB197" si="154">COUNTIF(AP134:BA134,"O")</f>
        <v>2</v>
      </c>
      <c r="BC134" s="22" t="str">
        <f t="shared" si="125"/>
        <v>1G</v>
      </c>
      <c r="BD134" s="22" t="str">
        <f t="shared" si="126"/>
        <v>2G</v>
      </c>
      <c r="BE134" s="22" t="str">
        <f t="shared" si="127"/>
        <v>2G</v>
      </c>
      <c r="BF134" s="22" t="str">
        <f t="shared" si="128"/>
        <v>2G</v>
      </c>
      <c r="BG134" s="22" t="str">
        <f t="shared" si="129"/>
        <v>3G</v>
      </c>
      <c r="BH134" s="22" t="str">
        <f t="shared" si="130"/>
        <v>3G</v>
      </c>
      <c r="BI134" s="22">
        <f t="shared" ref="BI134:BI197" si="155">COUNTIF($BC134:$BH134,"1G")</f>
        <v>1</v>
      </c>
      <c r="BJ134" s="22">
        <f t="shared" ref="BJ134:BJ197" si="156">COUNTIF($BC134:$BH134,"2G")</f>
        <v>3</v>
      </c>
      <c r="BK134" s="22">
        <f t="shared" ref="BK134:BK197" si="157">COUNTIF($BC134:$BH134,"3G")</f>
        <v>2</v>
      </c>
      <c r="BL134" s="22" t="str">
        <f t="shared" ref="BL134:BL197" si="158">BI134&amp;BJ134&amp;BK134</f>
        <v>132</v>
      </c>
      <c r="BS134"/>
      <c r="CL134" s="23">
        <v>119</v>
      </c>
      <c r="CM134" s="23">
        <v>110</v>
      </c>
      <c r="CO134"/>
    </row>
    <row r="135" spans="2:93" ht="17" hidden="1">
      <c r="B135" s="15">
        <v>131</v>
      </c>
      <c r="C135" s="23" t="s">
        <v>161</v>
      </c>
      <c r="D135" s="16">
        <v>8</v>
      </c>
      <c r="E135" s="17">
        <v>1451214488</v>
      </c>
      <c r="F135" s="16">
        <v>33</v>
      </c>
      <c r="G135" s="17">
        <v>58634929</v>
      </c>
      <c r="H135" s="17">
        <v>1645</v>
      </c>
      <c r="I135" s="17">
        <v>1176264</v>
      </c>
      <c r="J135" s="17">
        <v>73893</v>
      </c>
      <c r="K135" s="17">
        <v>52372</v>
      </c>
      <c r="L135" s="17">
        <v>1153272</v>
      </c>
      <c r="M135" s="17">
        <v>5000</v>
      </c>
      <c r="N135" s="23">
        <v>8</v>
      </c>
      <c r="O135" s="23">
        <v>10</v>
      </c>
      <c r="P135" s="23">
        <v>11</v>
      </c>
      <c r="Q135" s="23">
        <v>14</v>
      </c>
      <c r="R135" s="23">
        <v>15</v>
      </c>
      <c r="S135" s="23">
        <v>21</v>
      </c>
      <c r="T135" s="23">
        <v>37</v>
      </c>
      <c r="U135" s="23">
        <f t="shared" si="131"/>
        <v>79</v>
      </c>
      <c r="W135" s="22" t="str">
        <f t="shared" si="116"/>
        <v>짝수</v>
      </c>
      <c r="X135" s="22" t="str">
        <f t="shared" si="117"/>
        <v>짝수</v>
      </c>
      <c r="Y135" s="22" t="str">
        <f t="shared" si="118"/>
        <v>홀수</v>
      </c>
      <c r="Z135" s="22" t="str">
        <f t="shared" si="119"/>
        <v>짝수</v>
      </c>
      <c r="AA135" s="22" t="str">
        <f t="shared" si="120"/>
        <v>홀수</v>
      </c>
      <c r="AB135" s="22" t="str">
        <f t="shared" si="121"/>
        <v>홀수</v>
      </c>
      <c r="AC135" s="52" t="str">
        <f t="shared" si="122"/>
        <v>3 : 3</v>
      </c>
      <c r="AD135" s="22">
        <f t="shared" si="123"/>
        <v>3</v>
      </c>
      <c r="AE135" s="22">
        <f t="shared" si="124"/>
        <v>3</v>
      </c>
      <c r="AF135" s="22" t="str">
        <f t="shared" si="132"/>
        <v>저수</v>
      </c>
      <c r="AG135" s="22" t="str">
        <f t="shared" si="133"/>
        <v>저수</v>
      </c>
      <c r="AH135" s="22" t="str">
        <f t="shared" si="134"/>
        <v>저수</v>
      </c>
      <c r="AI135" s="22" t="str">
        <f t="shared" si="135"/>
        <v>저수</v>
      </c>
      <c r="AJ135" s="22" t="str">
        <f t="shared" si="136"/>
        <v>저수</v>
      </c>
      <c r="AK135" s="22" t="str">
        <f t="shared" si="137"/>
        <v>저수</v>
      </c>
      <c r="AL135" s="52" t="str">
        <f t="shared" si="138"/>
        <v>6 : 0</v>
      </c>
      <c r="AM135" s="22">
        <f t="shared" si="139"/>
        <v>6</v>
      </c>
      <c r="AN135" s="22">
        <f t="shared" si="140"/>
        <v>0</v>
      </c>
      <c r="AO135" s="22">
        <f t="shared" si="141"/>
        <v>19</v>
      </c>
      <c r="AP135" s="22" t="str">
        <f t="shared" si="142"/>
        <v>X</v>
      </c>
      <c r="AQ135" s="22" t="str">
        <f t="shared" si="143"/>
        <v>X</v>
      </c>
      <c r="AR135" s="22" t="str">
        <f t="shared" si="144"/>
        <v>O</v>
      </c>
      <c r="AS135" s="22" t="str">
        <f t="shared" si="145"/>
        <v>X</v>
      </c>
      <c r="AT135" s="22" t="str">
        <f t="shared" si="146"/>
        <v>X</v>
      </c>
      <c r="AU135" s="22" t="str">
        <f t="shared" si="147"/>
        <v>X</v>
      </c>
      <c r="AV135" s="22" t="str">
        <f t="shared" si="148"/>
        <v>X</v>
      </c>
      <c r="AW135" s="22" t="str">
        <f t="shared" si="149"/>
        <v>X</v>
      </c>
      <c r="AX135" s="22" t="str">
        <f t="shared" si="150"/>
        <v>X</v>
      </c>
      <c r="AY135" s="22" t="str">
        <f t="shared" si="151"/>
        <v>X</v>
      </c>
      <c r="AZ135" s="22" t="str">
        <f t="shared" si="152"/>
        <v>X</v>
      </c>
      <c r="BA135" s="22" t="str">
        <f t="shared" si="153"/>
        <v>X</v>
      </c>
      <c r="BB135" s="22">
        <f t="shared" si="154"/>
        <v>1</v>
      </c>
      <c r="BC135" s="22" t="str">
        <f t="shared" si="125"/>
        <v>1G</v>
      </c>
      <c r="BD135" s="22" t="str">
        <f t="shared" si="126"/>
        <v>1G</v>
      </c>
      <c r="BE135" s="22" t="str">
        <f t="shared" si="127"/>
        <v>1G</v>
      </c>
      <c r="BF135" s="22" t="str">
        <f t="shared" si="128"/>
        <v>1G</v>
      </c>
      <c r="BG135" s="22" t="str">
        <f t="shared" si="129"/>
        <v>1G</v>
      </c>
      <c r="BH135" s="22" t="str">
        <f t="shared" si="130"/>
        <v>2G</v>
      </c>
      <c r="BI135" s="22">
        <f t="shared" si="155"/>
        <v>5</v>
      </c>
      <c r="BJ135" s="22">
        <f t="shared" si="156"/>
        <v>1</v>
      </c>
      <c r="BK135" s="22">
        <f t="shared" si="157"/>
        <v>0</v>
      </c>
      <c r="BL135" s="22" t="str">
        <f t="shared" si="158"/>
        <v>510</v>
      </c>
      <c r="BS135"/>
      <c r="CL135" s="23">
        <v>120</v>
      </c>
      <c r="CM135" s="23">
        <v>120</v>
      </c>
      <c r="CO135"/>
    </row>
    <row r="136" spans="2:93" ht="17" hidden="1">
      <c r="B136" s="15">
        <v>132</v>
      </c>
      <c r="C136" s="23" t="s">
        <v>162</v>
      </c>
      <c r="D136" s="16">
        <v>4</v>
      </c>
      <c r="E136" s="17">
        <v>2920473525</v>
      </c>
      <c r="F136" s="16">
        <v>34</v>
      </c>
      <c r="G136" s="17">
        <v>57264187</v>
      </c>
      <c r="H136" s="17">
        <v>1382</v>
      </c>
      <c r="I136" s="17">
        <v>1408816</v>
      </c>
      <c r="J136" s="17">
        <v>65277</v>
      </c>
      <c r="K136" s="17">
        <v>59653</v>
      </c>
      <c r="L136" s="17">
        <v>1098225</v>
      </c>
      <c r="M136" s="17">
        <v>5000</v>
      </c>
      <c r="N136" s="23">
        <v>3</v>
      </c>
      <c r="O136" s="23">
        <v>17</v>
      </c>
      <c r="P136" s="23">
        <v>23</v>
      </c>
      <c r="Q136" s="23">
        <v>34</v>
      </c>
      <c r="R136" s="23">
        <v>41</v>
      </c>
      <c r="S136" s="23">
        <v>45</v>
      </c>
      <c r="T136" s="23">
        <v>43</v>
      </c>
      <c r="U136" s="23">
        <f t="shared" si="131"/>
        <v>163</v>
      </c>
      <c r="W136" s="22" t="str">
        <f t="shared" si="116"/>
        <v>홀수</v>
      </c>
      <c r="X136" s="22" t="str">
        <f t="shared" si="117"/>
        <v>홀수</v>
      </c>
      <c r="Y136" s="22" t="str">
        <f t="shared" si="118"/>
        <v>홀수</v>
      </c>
      <c r="Z136" s="22" t="str">
        <f t="shared" si="119"/>
        <v>짝수</v>
      </c>
      <c r="AA136" s="22" t="str">
        <f t="shared" si="120"/>
        <v>홀수</v>
      </c>
      <c r="AB136" s="22" t="str">
        <f t="shared" si="121"/>
        <v>홀수</v>
      </c>
      <c r="AC136" s="52" t="str">
        <f t="shared" si="122"/>
        <v>5 : 1</v>
      </c>
      <c r="AD136" s="22">
        <f t="shared" si="123"/>
        <v>5</v>
      </c>
      <c r="AE136" s="22">
        <f t="shared" si="124"/>
        <v>1</v>
      </c>
      <c r="AF136" s="22" t="str">
        <f t="shared" si="132"/>
        <v>저수</v>
      </c>
      <c r="AG136" s="22" t="str">
        <f t="shared" si="133"/>
        <v>저수</v>
      </c>
      <c r="AH136" s="22" t="str">
        <f t="shared" si="134"/>
        <v>고수</v>
      </c>
      <c r="AI136" s="22" t="str">
        <f t="shared" si="135"/>
        <v>고수</v>
      </c>
      <c r="AJ136" s="22" t="str">
        <f t="shared" si="136"/>
        <v>고수</v>
      </c>
      <c r="AK136" s="22" t="str">
        <f t="shared" si="137"/>
        <v>고수</v>
      </c>
      <c r="AL136" s="52" t="str">
        <f t="shared" si="138"/>
        <v>2 : 4</v>
      </c>
      <c r="AM136" s="22">
        <f t="shared" si="139"/>
        <v>2</v>
      </c>
      <c r="AN136" s="22">
        <f t="shared" si="140"/>
        <v>4</v>
      </c>
      <c r="AO136" s="22">
        <f t="shared" si="141"/>
        <v>23</v>
      </c>
      <c r="AP136" s="22" t="str">
        <f t="shared" si="142"/>
        <v>O</v>
      </c>
      <c r="AQ136" s="22" t="str">
        <f t="shared" si="143"/>
        <v>O</v>
      </c>
      <c r="AR136" s="22" t="str">
        <f t="shared" si="144"/>
        <v>X</v>
      </c>
      <c r="AS136" s="22" t="str">
        <f t="shared" si="145"/>
        <v>X</v>
      </c>
      <c r="AT136" s="22" t="str">
        <f t="shared" si="146"/>
        <v>X</v>
      </c>
      <c r="AU136" s="22" t="str">
        <f t="shared" si="147"/>
        <v>X</v>
      </c>
      <c r="AV136" s="22" t="str">
        <f t="shared" si="148"/>
        <v>X</v>
      </c>
      <c r="AW136" s="22" t="str">
        <f t="shared" si="149"/>
        <v>X</v>
      </c>
      <c r="AX136" s="22" t="str">
        <f t="shared" si="150"/>
        <v>O</v>
      </c>
      <c r="AY136" s="22" t="str">
        <f t="shared" si="151"/>
        <v>X</v>
      </c>
      <c r="AZ136" s="22" t="str">
        <f t="shared" si="152"/>
        <v>O</v>
      </c>
      <c r="BA136" s="22" t="str">
        <f t="shared" si="153"/>
        <v>X</v>
      </c>
      <c r="BB136" s="22">
        <f t="shared" si="154"/>
        <v>4</v>
      </c>
      <c r="BC136" s="22" t="str">
        <f t="shared" si="125"/>
        <v>1G</v>
      </c>
      <c r="BD136" s="22" t="str">
        <f t="shared" si="126"/>
        <v>2G</v>
      </c>
      <c r="BE136" s="22" t="str">
        <f t="shared" si="127"/>
        <v>2G</v>
      </c>
      <c r="BF136" s="22" t="str">
        <f t="shared" si="128"/>
        <v>3G</v>
      </c>
      <c r="BG136" s="22" t="str">
        <f t="shared" si="129"/>
        <v>3G</v>
      </c>
      <c r="BH136" s="22" t="str">
        <f t="shared" si="130"/>
        <v>3G</v>
      </c>
      <c r="BI136" s="22">
        <f t="shared" si="155"/>
        <v>1</v>
      </c>
      <c r="BJ136" s="22">
        <f t="shared" si="156"/>
        <v>2</v>
      </c>
      <c r="BK136" s="22">
        <f t="shared" si="157"/>
        <v>3</v>
      </c>
      <c r="BL136" s="22" t="str">
        <f t="shared" si="158"/>
        <v>123</v>
      </c>
      <c r="BS136"/>
      <c r="CL136" s="23">
        <v>120</v>
      </c>
      <c r="CM136" s="23">
        <v>120</v>
      </c>
      <c r="CO136"/>
    </row>
    <row r="137" spans="2:93" ht="17" hidden="1">
      <c r="B137" s="15">
        <v>133</v>
      </c>
      <c r="C137" s="23" t="s">
        <v>163</v>
      </c>
      <c r="D137" s="16">
        <v>8</v>
      </c>
      <c r="E137" s="17">
        <v>1450242600</v>
      </c>
      <c r="F137" s="16">
        <v>51</v>
      </c>
      <c r="G137" s="17">
        <v>37914840</v>
      </c>
      <c r="H137" s="17">
        <v>1466</v>
      </c>
      <c r="I137" s="17">
        <v>1319002</v>
      </c>
      <c r="J137" s="17">
        <v>76266</v>
      </c>
      <c r="K137" s="17">
        <v>50709</v>
      </c>
      <c r="L137" s="17">
        <v>1221679</v>
      </c>
      <c r="M137" s="17">
        <v>5000</v>
      </c>
      <c r="N137" s="23">
        <v>4</v>
      </c>
      <c r="O137" s="23">
        <v>7</v>
      </c>
      <c r="P137" s="23">
        <v>15</v>
      </c>
      <c r="Q137" s="23">
        <v>18</v>
      </c>
      <c r="R137" s="23">
        <v>23</v>
      </c>
      <c r="S137" s="23">
        <v>26</v>
      </c>
      <c r="T137" s="23">
        <v>13</v>
      </c>
      <c r="U137" s="23">
        <f t="shared" si="131"/>
        <v>93</v>
      </c>
      <c r="W137" s="22" t="str">
        <f t="shared" si="116"/>
        <v>짝수</v>
      </c>
      <c r="X137" s="22" t="str">
        <f t="shared" si="117"/>
        <v>홀수</v>
      </c>
      <c r="Y137" s="22" t="str">
        <f t="shared" si="118"/>
        <v>홀수</v>
      </c>
      <c r="Z137" s="22" t="str">
        <f t="shared" si="119"/>
        <v>짝수</v>
      </c>
      <c r="AA137" s="22" t="str">
        <f t="shared" si="120"/>
        <v>홀수</v>
      </c>
      <c r="AB137" s="22" t="str">
        <f t="shared" si="121"/>
        <v>짝수</v>
      </c>
      <c r="AC137" s="52" t="str">
        <f t="shared" si="122"/>
        <v>3 : 3</v>
      </c>
      <c r="AD137" s="22">
        <f t="shared" si="123"/>
        <v>3</v>
      </c>
      <c r="AE137" s="22">
        <f t="shared" si="124"/>
        <v>3</v>
      </c>
      <c r="AF137" s="22" t="str">
        <f t="shared" si="132"/>
        <v>저수</v>
      </c>
      <c r="AG137" s="22" t="str">
        <f t="shared" si="133"/>
        <v>저수</v>
      </c>
      <c r="AH137" s="22" t="str">
        <f t="shared" si="134"/>
        <v>저수</v>
      </c>
      <c r="AI137" s="22" t="str">
        <f t="shared" si="135"/>
        <v>저수</v>
      </c>
      <c r="AJ137" s="22" t="str">
        <f t="shared" si="136"/>
        <v>고수</v>
      </c>
      <c r="AK137" s="22" t="str">
        <f t="shared" si="137"/>
        <v>고수</v>
      </c>
      <c r="AL137" s="52" t="str">
        <f t="shared" si="138"/>
        <v>4 : 2</v>
      </c>
      <c r="AM137" s="22">
        <f t="shared" si="139"/>
        <v>4</v>
      </c>
      <c r="AN137" s="22">
        <f t="shared" si="140"/>
        <v>2</v>
      </c>
      <c r="AO137" s="22">
        <f t="shared" si="141"/>
        <v>33</v>
      </c>
      <c r="AP137" s="22" t="str">
        <f t="shared" si="142"/>
        <v>X</v>
      </c>
      <c r="AQ137" s="22" t="str">
        <f t="shared" si="143"/>
        <v>O</v>
      </c>
      <c r="AR137" s="22" t="str">
        <f t="shared" si="144"/>
        <v>X</v>
      </c>
      <c r="AS137" s="22" t="str">
        <f t="shared" si="145"/>
        <v>X</v>
      </c>
      <c r="AT137" s="22" t="str">
        <f t="shared" si="146"/>
        <v>X</v>
      </c>
      <c r="AU137" s="22" t="str">
        <f t="shared" si="147"/>
        <v>X</v>
      </c>
      <c r="AV137" s="22" t="str">
        <f t="shared" si="148"/>
        <v>X</v>
      </c>
      <c r="AW137" s="22" t="str">
        <f t="shared" si="149"/>
        <v>X</v>
      </c>
      <c r="AX137" s="22" t="str">
        <f t="shared" si="150"/>
        <v>X</v>
      </c>
      <c r="AY137" s="22" t="str">
        <f t="shared" si="151"/>
        <v>X</v>
      </c>
      <c r="AZ137" s="22" t="str">
        <f t="shared" si="152"/>
        <v>O</v>
      </c>
      <c r="BA137" s="22" t="str">
        <f t="shared" si="153"/>
        <v>X</v>
      </c>
      <c r="BB137" s="22">
        <f t="shared" si="154"/>
        <v>2</v>
      </c>
      <c r="BC137" s="22" t="str">
        <f t="shared" si="125"/>
        <v>1G</v>
      </c>
      <c r="BD137" s="22" t="str">
        <f t="shared" si="126"/>
        <v>1G</v>
      </c>
      <c r="BE137" s="22" t="str">
        <f t="shared" si="127"/>
        <v>1G</v>
      </c>
      <c r="BF137" s="22" t="str">
        <f t="shared" si="128"/>
        <v>2G</v>
      </c>
      <c r="BG137" s="22" t="str">
        <f t="shared" si="129"/>
        <v>2G</v>
      </c>
      <c r="BH137" s="22" t="str">
        <f t="shared" si="130"/>
        <v>2G</v>
      </c>
      <c r="BI137" s="22">
        <f t="shared" si="155"/>
        <v>3</v>
      </c>
      <c r="BJ137" s="22">
        <f t="shared" si="156"/>
        <v>3</v>
      </c>
      <c r="BK137" s="22">
        <f t="shared" si="157"/>
        <v>0</v>
      </c>
      <c r="BL137" s="22" t="str">
        <f t="shared" si="158"/>
        <v>330</v>
      </c>
      <c r="BS137"/>
      <c r="CL137" s="23">
        <v>120</v>
      </c>
      <c r="CM137" s="23">
        <v>120</v>
      </c>
      <c r="CO137"/>
    </row>
    <row r="138" spans="2:93" ht="17" hidden="1">
      <c r="B138" s="15">
        <v>134</v>
      </c>
      <c r="C138" s="23" t="s">
        <v>164</v>
      </c>
      <c r="D138" s="16">
        <v>5</v>
      </c>
      <c r="E138" s="17">
        <v>2349155100</v>
      </c>
      <c r="F138" s="16">
        <v>50</v>
      </c>
      <c r="G138" s="17">
        <v>39152585</v>
      </c>
      <c r="H138" s="17">
        <v>1433</v>
      </c>
      <c r="I138" s="17">
        <v>1366106</v>
      </c>
      <c r="J138" s="17">
        <v>69698</v>
      </c>
      <c r="K138" s="17">
        <v>56175</v>
      </c>
      <c r="L138" s="17">
        <v>1129299</v>
      </c>
      <c r="M138" s="17">
        <v>5000</v>
      </c>
      <c r="N138" s="23">
        <v>3</v>
      </c>
      <c r="O138" s="23">
        <v>12</v>
      </c>
      <c r="P138" s="23">
        <v>20</v>
      </c>
      <c r="Q138" s="23">
        <v>23</v>
      </c>
      <c r="R138" s="23">
        <v>31</v>
      </c>
      <c r="S138" s="23">
        <v>35</v>
      </c>
      <c r="T138" s="23">
        <v>43</v>
      </c>
      <c r="U138" s="23">
        <f t="shared" si="131"/>
        <v>124</v>
      </c>
      <c r="W138" s="22" t="str">
        <f t="shared" si="116"/>
        <v>홀수</v>
      </c>
      <c r="X138" s="22" t="str">
        <f t="shared" si="117"/>
        <v>짝수</v>
      </c>
      <c r="Y138" s="22" t="str">
        <f t="shared" si="118"/>
        <v>짝수</v>
      </c>
      <c r="Z138" s="22" t="str">
        <f t="shared" si="119"/>
        <v>홀수</v>
      </c>
      <c r="AA138" s="22" t="str">
        <f t="shared" si="120"/>
        <v>홀수</v>
      </c>
      <c r="AB138" s="22" t="str">
        <f t="shared" si="121"/>
        <v>홀수</v>
      </c>
      <c r="AC138" s="52" t="str">
        <f t="shared" si="122"/>
        <v>4 : 2</v>
      </c>
      <c r="AD138" s="22">
        <f t="shared" si="123"/>
        <v>4</v>
      </c>
      <c r="AE138" s="22">
        <f t="shared" si="124"/>
        <v>2</v>
      </c>
      <c r="AF138" s="22" t="str">
        <f t="shared" si="132"/>
        <v>저수</v>
      </c>
      <c r="AG138" s="22" t="str">
        <f t="shared" si="133"/>
        <v>저수</v>
      </c>
      <c r="AH138" s="22" t="str">
        <f t="shared" si="134"/>
        <v>저수</v>
      </c>
      <c r="AI138" s="22" t="str">
        <f t="shared" si="135"/>
        <v>고수</v>
      </c>
      <c r="AJ138" s="22" t="str">
        <f t="shared" si="136"/>
        <v>고수</v>
      </c>
      <c r="AK138" s="22" t="str">
        <f t="shared" si="137"/>
        <v>고수</v>
      </c>
      <c r="AL138" s="52" t="str">
        <f t="shared" si="138"/>
        <v>3 : 3</v>
      </c>
      <c r="AM138" s="22">
        <f t="shared" si="139"/>
        <v>3</v>
      </c>
      <c r="AN138" s="22">
        <f t="shared" si="140"/>
        <v>3</v>
      </c>
      <c r="AO138" s="22">
        <f t="shared" si="141"/>
        <v>14</v>
      </c>
      <c r="AP138" s="22" t="str">
        <f t="shared" si="142"/>
        <v>O</v>
      </c>
      <c r="AQ138" s="22" t="str">
        <f t="shared" si="143"/>
        <v>X</v>
      </c>
      <c r="AR138" s="22" t="str">
        <f t="shared" si="144"/>
        <v>X</v>
      </c>
      <c r="AS138" s="22" t="str">
        <f t="shared" si="145"/>
        <v>X</v>
      </c>
      <c r="AT138" s="22" t="str">
        <f t="shared" si="146"/>
        <v>X</v>
      </c>
      <c r="AU138" s="22" t="str">
        <f t="shared" si="147"/>
        <v>X</v>
      </c>
      <c r="AV138" s="22" t="str">
        <f t="shared" si="148"/>
        <v>X</v>
      </c>
      <c r="AW138" s="22" t="str">
        <f t="shared" si="149"/>
        <v>X</v>
      </c>
      <c r="AX138" s="22" t="str">
        <f t="shared" si="150"/>
        <v>X</v>
      </c>
      <c r="AY138" s="22" t="str">
        <f t="shared" si="151"/>
        <v>O</v>
      </c>
      <c r="AZ138" s="22" t="str">
        <f t="shared" si="152"/>
        <v>O</v>
      </c>
      <c r="BA138" s="22" t="str">
        <f t="shared" si="153"/>
        <v>X</v>
      </c>
      <c r="BB138" s="22">
        <f t="shared" si="154"/>
        <v>3</v>
      </c>
      <c r="BC138" s="22" t="str">
        <f t="shared" si="125"/>
        <v>1G</v>
      </c>
      <c r="BD138" s="22" t="str">
        <f t="shared" si="126"/>
        <v>1G</v>
      </c>
      <c r="BE138" s="22" t="str">
        <f t="shared" si="127"/>
        <v>2G</v>
      </c>
      <c r="BF138" s="22" t="str">
        <f t="shared" si="128"/>
        <v>2G</v>
      </c>
      <c r="BG138" s="22" t="str">
        <f t="shared" si="129"/>
        <v>3G</v>
      </c>
      <c r="BH138" s="22" t="str">
        <f t="shared" si="130"/>
        <v>3G</v>
      </c>
      <c r="BI138" s="22">
        <f t="shared" si="155"/>
        <v>2</v>
      </c>
      <c r="BJ138" s="22">
        <f t="shared" si="156"/>
        <v>2</v>
      </c>
      <c r="BK138" s="22">
        <f t="shared" si="157"/>
        <v>2</v>
      </c>
      <c r="BL138" s="22" t="str">
        <f t="shared" si="158"/>
        <v>222</v>
      </c>
      <c r="BS138"/>
      <c r="CL138" s="23">
        <v>120</v>
      </c>
      <c r="CM138" s="23">
        <v>120</v>
      </c>
      <c r="CO138"/>
    </row>
    <row r="139" spans="2:93" ht="17" hidden="1">
      <c r="B139" s="15">
        <v>135</v>
      </c>
      <c r="C139" s="23" t="s">
        <v>165</v>
      </c>
      <c r="D139" s="16">
        <v>7</v>
      </c>
      <c r="E139" s="17">
        <v>1717293515</v>
      </c>
      <c r="F139" s="16">
        <v>28</v>
      </c>
      <c r="G139" s="17">
        <v>71553897</v>
      </c>
      <c r="H139" s="17">
        <v>1424</v>
      </c>
      <c r="I139" s="17">
        <v>1406959</v>
      </c>
      <c r="J139" s="17">
        <v>66201</v>
      </c>
      <c r="K139" s="17">
        <v>60529</v>
      </c>
      <c r="L139" s="17">
        <v>1099249</v>
      </c>
      <c r="M139" s="17">
        <v>5000</v>
      </c>
      <c r="N139" s="23">
        <v>6</v>
      </c>
      <c r="O139" s="23">
        <v>14</v>
      </c>
      <c r="P139" s="23">
        <v>22</v>
      </c>
      <c r="Q139" s="23">
        <v>28</v>
      </c>
      <c r="R139" s="23">
        <v>35</v>
      </c>
      <c r="S139" s="23">
        <v>39</v>
      </c>
      <c r="T139" s="23">
        <v>16</v>
      </c>
      <c r="U139" s="23">
        <f t="shared" si="131"/>
        <v>144</v>
      </c>
      <c r="W139" s="22" t="str">
        <f t="shared" si="116"/>
        <v>짝수</v>
      </c>
      <c r="X139" s="22" t="str">
        <f t="shared" si="117"/>
        <v>짝수</v>
      </c>
      <c r="Y139" s="22" t="str">
        <f t="shared" si="118"/>
        <v>짝수</v>
      </c>
      <c r="Z139" s="22" t="str">
        <f t="shared" si="119"/>
        <v>짝수</v>
      </c>
      <c r="AA139" s="22" t="str">
        <f t="shared" si="120"/>
        <v>홀수</v>
      </c>
      <c r="AB139" s="22" t="str">
        <f t="shared" si="121"/>
        <v>홀수</v>
      </c>
      <c r="AC139" s="52" t="str">
        <f t="shared" si="122"/>
        <v>2 : 4</v>
      </c>
      <c r="AD139" s="22">
        <f t="shared" si="123"/>
        <v>2</v>
      </c>
      <c r="AE139" s="22">
        <f t="shared" si="124"/>
        <v>4</v>
      </c>
      <c r="AF139" s="22" t="str">
        <f t="shared" si="132"/>
        <v>저수</v>
      </c>
      <c r="AG139" s="22" t="str">
        <f t="shared" si="133"/>
        <v>저수</v>
      </c>
      <c r="AH139" s="22" t="str">
        <f t="shared" si="134"/>
        <v>저수</v>
      </c>
      <c r="AI139" s="22" t="str">
        <f t="shared" si="135"/>
        <v>고수</v>
      </c>
      <c r="AJ139" s="22" t="str">
        <f t="shared" si="136"/>
        <v>고수</v>
      </c>
      <c r="AK139" s="22" t="str">
        <f t="shared" si="137"/>
        <v>고수</v>
      </c>
      <c r="AL139" s="52" t="str">
        <f t="shared" si="138"/>
        <v>3 : 3</v>
      </c>
      <c r="AM139" s="22">
        <f t="shared" si="139"/>
        <v>3</v>
      </c>
      <c r="AN139" s="22">
        <f t="shared" si="140"/>
        <v>3</v>
      </c>
      <c r="AO139" s="22">
        <f t="shared" si="141"/>
        <v>34</v>
      </c>
      <c r="AP139" s="22" t="str">
        <f t="shared" si="142"/>
        <v>X</v>
      </c>
      <c r="AQ139" s="22" t="str">
        <f t="shared" si="143"/>
        <v>X</v>
      </c>
      <c r="AR139" s="22" t="str">
        <f t="shared" si="144"/>
        <v>X</v>
      </c>
      <c r="AS139" s="22" t="str">
        <f t="shared" si="145"/>
        <v>X</v>
      </c>
      <c r="AT139" s="22" t="str">
        <f t="shared" si="146"/>
        <v>X</v>
      </c>
      <c r="AU139" s="22" t="str">
        <f t="shared" si="147"/>
        <v>X</v>
      </c>
      <c r="AV139" s="22" t="str">
        <f t="shared" si="148"/>
        <v>X</v>
      </c>
      <c r="AW139" s="22" t="str">
        <f t="shared" si="149"/>
        <v>X</v>
      </c>
      <c r="AX139" s="22" t="str">
        <f t="shared" si="150"/>
        <v>X</v>
      </c>
      <c r="AY139" s="22" t="str">
        <f t="shared" si="151"/>
        <v>X</v>
      </c>
      <c r="AZ139" s="22" t="str">
        <f t="shared" si="152"/>
        <v>X</v>
      </c>
      <c r="BA139" s="22" t="str">
        <f t="shared" si="153"/>
        <v>X</v>
      </c>
      <c r="BB139" s="22">
        <f t="shared" si="154"/>
        <v>0</v>
      </c>
      <c r="BC139" s="22" t="str">
        <f t="shared" si="125"/>
        <v>1G</v>
      </c>
      <c r="BD139" s="22" t="str">
        <f t="shared" si="126"/>
        <v>1G</v>
      </c>
      <c r="BE139" s="22" t="str">
        <f t="shared" si="127"/>
        <v>2G</v>
      </c>
      <c r="BF139" s="22" t="str">
        <f t="shared" si="128"/>
        <v>2G</v>
      </c>
      <c r="BG139" s="22" t="str">
        <f t="shared" si="129"/>
        <v>3G</v>
      </c>
      <c r="BH139" s="22" t="str">
        <f t="shared" si="130"/>
        <v>3G</v>
      </c>
      <c r="BI139" s="22">
        <f t="shared" si="155"/>
        <v>2</v>
      </c>
      <c r="BJ139" s="22">
        <f t="shared" si="156"/>
        <v>2</v>
      </c>
      <c r="BK139" s="22">
        <f t="shared" si="157"/>
        <v>2</v>
      </c>
      <c r="BL139" s="22" t="str">
        <f t="shared" si="158"/>
        <v>222</v>
      </c>
      <c r="BS139"/>
      <c r="CL139" s="23">
        <v>120</v>
      </c>
      <c r="CM139" s="23">
        <v>120</v>
      </c>
      <c r="CO139"/>
    </row>
    <row r="140" spans="2:93" ht="17" hidden="1">
      <c r="B140" s="15">
        <v>136</v>
      </c>
      <c r="C140" s="23" t="s">
        <v>166</v>
      </c>
      <c r="D140" s="16">
        <v>6</v>
      </c>
      <c r="E140" s="17">
        <v>1997694150</v>
      </c>
      <c r="F140" s="16">
        <v>26</v>
      </c>
      <c r="G140" s="17">
        <v>76834391</v>
      </c>
      <c r="H140" s="17">
        <v>1279</v>
      </c>
      <c r="I140" s="17">
        <v>1561919</v>
      </c>
      <c r="J140" s="17">
        <v>66993</v>
      </c>
      <c r="K140" s="17">
        <v>59639</v>
      </c>
      <c r="L140" s="17">
        <v>1119075</v>
      </c>
      <c r="M140" s="17">
        <v>5000</v>
      </c>
      <c r="N140" s="23">
        <v>2</v>
      </c>
      <c r="O140" s="23">
        <v>16</v>
      </c>
      <c r="P140" s="23">
        <v>30</v>
      </c>
      <c r="Q140" s="23">
        <v>36</v>
      </c>
      <c r="R140" s="23">
        <v>41</v>
      </c>
      <c r="S140" s="23">
        <v>42</v>
      </c>
      <c r="T140" s="23">
        <v>11</v>
      </c>
      <c r="U140" s="23">
        <f t="shared" si="131"/>
        <v>167</v>
      </c>
      <c r="W140" s="22" t="str">
        <f t="shared" si="116"/>
        <v>짝수</v>
      </c>
      <c r="X140" s="22" t="str">
        <f t="shared" si="117"/>
        <v>짝수</v>
      </c>
      <c r="Y140" s="22" t="str">
        <f t="shared" si="118"/>
        <v>짝수</v>
      </c>
      <c r="Z140" s="22" t="str">
        <f t="shared" si="119"/>
        <v>짝수</v>
      </c>
      <c r="AA140" s="22" t="str">
        <f t="shared" si="120"/>
        <v>홀수</v>
      </c>
      <c r="AB140" s="22" t="str">
        <f t="shared" si="121"/>
        <v>짝수</v>
      </c>
      <c r="AC140" s="52" t="str">
        <f t="shared" si="122"/>
        <v>1 : 5</v>
      </c>
      <c r="AD140" s="22">
        <f t="shared" si="123"/>
        <v>1</v>
      </c>
      <c r="AE140" s="22">
        <f t="shared" si="124"/>
        <v>5</v>
      </c>
      <c r="AF140" s="22" t="str">
        <f t="shared" si="132"/>
        <v>저수</v>
      </c>
      <c r="AG140" s="22" t="str">
        <f t="shared" si="133"/>
        <v>저수</v>
      </c>
      <c r="AH140" s="22" t="str">
        <f t="shared" si="134"/>
        <v>고수</v>
      </c>
      <c r="AI140" s="22" t="str">
        <f t="shared" si="135"/>
        <v>고수</v>
      </c>
      <c r="AJ140" s="22" t="str">
        <f t="shared" si="136"/>
        <v>고수</v>
      </c>
      <c r="AK140" s="22" t="str">
        <f t="shared" si="137"/>
        <v>고수</v>
      </c>
      <c r="AL140" s="52" t="str">
        <f t="shared" si="138"/>
        <v>2 : 4</v>
      </c>
      <c r="AM140" s="22">
        <f t="shared" si="139"/>
        <v>2</v>
      </c>
      <c r="AN140" s="22">
        <f t="shared" si="140"/>
        <v>4</v>
      </c>
      <c r="AO140" s="22">
        <f t="shared" si="141"/>
        <v>17</v>
      </c>
      <c r="AP140" s="22" t="str">
        <f t="shared" si="142"/>
        <v>O</v>
      </c>
      <c r="AQ140" s="22" t="str">
        <f t="shared" si="143"/>
        <v>X</v>
      </c>
      <c r="AR140" s="22" t="str">
        <f t="shared" si="144"/>
        <v>X</v>
      </c>
      <c r="AS140" s="22" t="str">
        <f t="shared" si="145"/>
        <v>X</v>
      </c>
      <c r="AT140" s="22" t="str">
        <f t="shared" si="146"/>
        <v>X</v>
      </c>
      <c r="AU140" s="22" t="str">
        <f t="shared" si="147"/>
        <v>X</v>
      </c>
      <c r="AV140" s="22" t="str">
        <f t="shared" si="148"/>
        <v>X</v>
      </c>
      <c r="AW140" s="22" t="str">
        <f t="shared" si="149"/>
        <v>X</v>
      </c>
      <c r="AX140" s="22" t="str">
        <f t="shared" si="150"/>
        <v>X</v>
      </c>
      <c r="AY140" s="22" t="str">
        <f t="shared" si="151"/>
        <v>X</v>
      </c>
      <c r="AZ140" s="22" t="str">
        <f t="shared" si="152"/>
        <v>O</v>
      </c>
      <c r="BA140" s="22" t="str">
        <f t="shared" si="153"/>
        <v>X</v>
      </c>
      <c r="BB140" s="22">
        <f t="shared" si="154"/>
        <v>2</v>
      </c>
      <c r="BC140" s="22" t="str">
        <f t="shared" si="125"/>
        <v>1G</v>
      </c>
      <c r="BD140" s="22" t="str">
        <f t="shared" si="126"/>
        <v>2G</v>
      </c>
      <c r="BE140" s="22" t="str">
        <f t="shared" si="127"/>
        <v>2G</v>
      </c>
      <c r="BF140" s="22" t="str">
        <f t="shared" si="128"/>
        <v>3G</v>
      </c>
      <c r="BG140" s="22" t="str">
        <f t="shared" si="129"/>
        <v>3G</v>
      </c>
      <c r="BH140" s="22" t="str">
        <f t="shared" si="130"/>
        <v>3G</v>
      </c>
      <c r="BI140" s="22">
        <f t="shared" si="155"/>
        <v>1</v>
      </c>
      <c r="BJ140" s="22">
        <f t="shared" si="156"/>
        <v>2</v>
      </c>
      <c r="BK140" s="22">
        <f t="shared" si="157"/>
        <v>3</v>
      </c>
      <c r="BL140" s="22" t="str">
        <f t="shared" si="158"/>
        <v>123</v>
      </c>
      <c r="BS140"/>
      <c r="CL140" s="23">
        <v>121</v>
      </c>
      <c r="CM140" s="23">
        <v>120</v>
      </c>
      <c r="CO140"/>
    </row>
    <row r="141" spans="2:93" ht="17" hidden="1">
      <c r="B141" s="15">
        <v>137</v>
      </c>
      <c r="C141" s="23" t="s">
        <v>167</v>
      </c>
      <c r="D141" s="16">
        <v>9</v>
      </c>
      <c r="E141" s="17">
        <v>1270403467</v>
      </c>
      <c r="F141" s="16">
        <v>40</v>
      </c>
      <c r="G141" s="17">
        <v>47640130</v>
      </c>
      <c r="H141" s="17">
        <v>1578</v>
      </c>
      <c r="I141" s="17">
        <v>1207608</v>
      </c>
      <c r="J141" s="17">
        <v>72935</v>
      </c>
      <c r="K141" s="17">
        <v>52255</v>
      </c>
      <c r="L141" s="17">
        <v>1186655</v>
      </c>
      <c r="M141" s="17">
        <v>5000</v>
      </c>
      <c r="N141" s="23">
        <v>7</v>
      </c>
      <c r="O141" s="23">
        <v>9</v>
      </c>
      <c r="P141" s="23">
        <v>20</v>
      </c>
      <c r="Q141" s="23">
        <v>25</v>
      </c>
      <c r="R141" s="23">
        <v>36</v>
      </c>
      <c r="S141" s="23">
        <v>39</v>
      </c>
      <c r="T141" s="23">
        <v>15</v>
      </c>
      <c r="U141" s="23">
        <f t="shared" si="131"/>
        <v>136</v>
      </c>
      <c r="W141" s="22" t="str">
        <f t="shared" si="116"/>
        <v>홀수</v>
      </c>
      <c r="X141" s="22" t="str">
        <f t="shared" si="117"/>
        <v>홀수</v>
      </c>
      <c r="Y141" s="22" t="str">
        <f t="shared" si="118"/>
        <v>짝수</v>
      </c>
      <c r="Z141" s="22" t="str">
        <f t="shared" si="119"/>
        <v>홀수</v>
      </c>
      <c r="AA141" s="22" t="str">
        <f t="shared" si="120"/>
        <v>짝수</v>
      </c>
      <c r="AB141" s="22" t="str">
        <f t="shared" si="121"/>
        <v>홀수</v>
      </c>
      <c r="AC141" s="52" t="str">
        <f t="shared" si="122"/>
        <v>4 : 2</v>
      </c>
      <c r="AD141" s="22">
        <f t="shared" si="123"/>
        <v>4</v>
      </c>
      <c r="AE141" s="22">
        <f t="shared" si="124"/>
        <v>2</v>
      </c>
      <c r="AF141" s="22" t="str">
        <f t="shared" si="132"/>
        <v>저수</v>
      </c>
      <c r="AG141" s="22" t="str">
        <f t="shared" si="133"/>
        <v>저수</v>
      </c>
      <c r="AH141" s="22" t="str">
        <f t="shared" si="134"/>
        <v>저수</v>
      </c>
      <c r="AI141" s="22" t="str">
        <f t="shared" si="135"/>
        <v>고수</v>
      </c>
      <c r="AJ141" s="22" t="str">
        <f t="shared" si="136"/>
        <v>고수</v>
      </c>
      <c r="AK141" s="22" t="str">
        <f t="shared" si="137"/>
        <v>고수</v>
      </c>
      <c r="AL141" s="52" t="str">
        <f t="shared" si="138"/>
        <v>3 : 3</v>
      </c>
      <c r="AM141" s="22">
        <f t="shared" si="139"/>
        <v>3</v>
      </c>
      <c r="AN141" s="22">
        <f t="shared" si="140"/>
        <v>3</v>
      </c>
      <c r="AO141" s="22">
        <f t="shared" si="141"/>
        <v>36</v>
      </c>
      <c r="AP141" s="22" t="str">
        <f t="shared" si="142"/>
        <v>O</v>
      </c>
      <c r="AQ141" s="22" t="str">
        <f t="shared" si="143"/>
        <v>X</v>
      </c>
      <c r="AR141" s="22" t="str">
        <f t="shared" si="144"/>
        <v>X</v>
      </c>
      <c r="AS141" s="22" t="str">
        <f t="shared" si="145"/>
        <v>X</v>
      </c>
      <c r="AT141" s="22" t="str">
        <f t="shared" si="146"/>
        <v>X</v>
      </c>
      <c r="AU141" s="22" t="str">
        <f t="shared" si="147"/>
        <v>X</v>
      </c>
      <c r="AV141" s="22" t="str">
        <f t="shared" si="148"/>
        <v>X</v>
      </c>
      <c r="AW141" s="22" t="str">
        <f t="shared" si="149"/>
        <v>X</v>
      </c>
      <c r="AX141" s="22" t="str">
        <f t="shared" si="150"/>
        <v>X</v>
      </c>
      <c r="AY141" s="22" t="str">
        <f t="shared" si="151"/>
        <v>X</v>
      </c>
      <c r="AZ141" s="22" t="str">
        <f t="shared" si="152"/>
        <v>X</v>
      </c>
      <c r="BA141" s="22" t="str">
        <f t="shared" si="153"/>
        <v>X</v>
      </c>
      <c r="BB141" s="22">
        <f t="shared" si="154"/>
        <v>1</v>
      </c>
      <c r="BC141" s="22" t="str">
        <f t="shared" si="125"/>
        <v>1G</v>
      </c>
      <c r="BD141" s="22" t="str">
        <f t="shared" si="126"/>
        <v>1G</v>
      </c>
      <c r="BE141" s="22" t="str">
        <f t="shared" si="127"/>
        <v>2G</v>
      </c>
      <c r="BF141" s="22" t="str">
        <f t="shared" si="128"/>
        <v>2G</v>
      </c>
      <c r="BG141" s="22" t="str">
        <f t="shared" si="129"/>
        <v>3G</v>
      </c>
      <c r="BH141" s="22" t="str">
        <f t="shared" si="130"/>
        <v>3G</v>
      </c>
      <c r="BI141" s="22">
        <f t="shared" si="155"/>
        <v>2</v>
      </c>
      <c r="BJ141" s="22">
        <f t="shared" si="156"/>
        <v>2</v>
      </c>
      <c r="BK141" s="22">
        <f t="shared" si="157"/>
        <v>2</v>
      </c>
      <c r="BL141" s="22" t="str">
        <f t="shared" si="158"/>
        <v>222</v>
      </c>
      <c r="BS141"/>
      <c r="CL141" s="23">
        <v>121</v>
      </c>
      <c r="CM141" s="23">
        <v>120</v>
      </c>
      <c r="CO141"/>
    </row>
    <row r="142" spans="2:93" ht="17" hidden="1">
      <c r="B142" s="15">
        <v>138</v>
      </c>
      <c r="C142" s="23" t="s">
        <v>168</v>
      </c>
      <c r="D142" s="16">
        <v>5</v>
      </c>
      <c r="E142" s="17">
        <v>2227152000</v>
      </c>
      <c r="F142" s="16">
        <v>32</v>
      </c>
      <c r="G142" s="17">
        <v>57998750</v>
      </c>
      <c r="H142" s="17">
        <v>1251</v>
      </c>
      <c r="I142" s="17">
        <v>1483582</v>
      </c>
      <c r="J142" s="17">
        <v>61230</v>
      </c>
      <c r="K142" s="17">
        <v>60623</v>
      </c>
      <c r="L142" s="17">
        <v>1056925</v>
      </c>
      <c r="M142" s="17">
        <v>5000</v>
      </c>
      <c r="N142" s="23">
        <v>10</v>
      </c>
      <c r="O142" s="23">
        <v>11</v>
      </c>
      <c r="P142" s="23">
        <v>27</v>
      </c>
      <c r="Q142" s="23">
        <v>28</v>
      </c>
      <c r="R142" s="23">
        <v>37</v>
      </c>
      <c r="S142" s="23">
        <v>39</v>
      </c>
      <c r="T142" s="23">
        <v>19</v>
      </c>
      <c r="U142" s="23">
        <f t="shared" si="131"/>
        <v>152</v>
      </c>
      <c r="W142" s="22" t="str">
        <f t="shared" si="116"/>
        <v>짝수</v>
      </c>
      <c r="X142" s="22" t="str">
        <f t="shared" si="117"/>
        <v>홀수</v>
      </c>
      <c r="Y142" s="22" t="str">
        <f t="shared" si="118"/>
        <v>홀수</v>
      </c>
      <c r="Z142" s="22" t="str">
        <f t="shared" si="119"/>
        <v>짝수</v>
      </c>
      <c r="AA142" s="22" t="str">
        <f t="shared" si="120"/>
        <v>홀수</v>
      </c>
      <c r="AB142" s="22" t="str">
        <f t="shared" si="121"/>
        <v>홀수</v>
      </c>
      <c r="AC142" s="52" t="str">
        <f t="shared" si="122"/>
        <v>4 : 2</v>
      </c>
      <c r="AD142" s="22">
        <f t="shared" si="123"/>
        <v>4</v>
      </c>
      <c r="AE142" s="22">
        <f t="shared" si="124"/>
        <v>2</v>
      </c>
      <c r="AF142" s="22" t="str">
        <f t="shared" si="132"/>
        <v>저수</v>
      </c>
      <c r="AG142" s="22" t="str">
        <f t="shared" si="133"/>
        <v>저수</v>
      </c>
      <c r="AH142" s="22" t="str">
        <f t="shared" si="134"/>
        <v>고수</v>
      </c>
      <c r="AI142" s="22" t="str">
        <f t="shared" si="135"/>
        <v>고수</v>
      </c>
      <c r="AJ142" s="22" t="str">
        <f t="shared" si="136"/>
        <v>고수</v>
      </c>
      <c r="AK142" s="22" t="str">
        <f t="shared" si="137"/>
        <v>고수</v>
      </c>
      <c r="AL142" s="52" t="str">
        <f t="shared" si="138"/>
        <v>2 : 4</v>
      </c>
      <c r="AM142" s="22">
        <f t="shared" si="139"/>
        <v>2</v>
      </c>
      <c r="AN142" s="22">
        <f t="shared" si="140"/>
        <v>4</v>
      </c>
      <c r="AO142" s="22">
        <f t="shared" si="141"/>
        <v>32</v>
      </c>
      <c r="AP142" s="22" t="str">
        <f t="shared" si="142"/>
        <v>X</v>
      </c>
      <c r="AQ142" s="22" t="str">
        <f t="shared" si="143"/>
        <v>O</v>
      </c>
      <c r="AR142" s="22" t="str">
        <f t="shared" si="144"/>
        <v>X</v>
      </c>
      <c r="AS142" s="22" t="str">
        <f t="shared" si="145"/>
        <v>X</v>
      </c>
      <c r="AT142" s="22" t="str">
        <f t="shared" si="146"/>
        <v>X</v>
      </c>
      <c r="AU142" s="22" t="str">
        <f t="shared" si="147"/>
        <v>X</v>
      </c>
      <c r="AV142" s="22" t="str">
        <f t="shared" si="148"/>
        <v>X</v>
      </c>
      <c r="AW142" s="22" t="str">
        <f t="shared" si="149"/>
        <v>X</v>
      </c>
      <c r="AX142" s="22" t="str">
        <f t="shared" si="150"/>
        <v>X</v>
      </c>
      <c r="AY142" s="22" t="str">
        <f t="shared" si="151"/>
        <v>X</v>
      </c>
      <c r="AZ142" s="22" t="str">
        <f t="shared" si="152"/>
        <v>O</v>
      </c>
      <c r="BA142" s="22" t="str">
        <f t="shared" si="153"/>
        <v>X</v>
      </c>
      <c r="BB142" s="22">
        <f t="shared" si="154"/>
        <v>2</v>
      </c>
      <c r="BC142" s="22" t="str">
        <f t="shared" si="125"/>
        <v>1G</v>
      </c>
      <c r="BD142" s="22" t="str">
        <f t="shared" si="126"/>
        <v>1G</v>
      </c>
      <c r="BE142" s="22" t="str">
        <f t="shared" si="127"/>
        <v>2G</v>
      </c>
      <c r="BF142" s="22" t="str">
        <f t="shared" si="128"/>
        <v>2G</v>
      </c>
      <c r="BG142" s="22" t="str">
        <f t="shared" si="129"/>
        <v>3G</v>
      </c>
      <c r="BH142" s="22" t="str">
        <f t="shared" si="130"/>
        <v>3G</v>
      </c>
      <c r="BI142" s="22">
        <f t="shared" si="155"/>
        <v>2</v>
      </c>
      <c r="BJ142" s="22">
        <f t="shared" si="156"/>
        <v>2</v>
      </c>
      <c r="BK142" s="22">
        <f t="shared" si="157"/>
        <v>2</v>
      </c>
      <c r="BL142" s="22" t="str">
        <f t="shared" si="158"/>
        <v>222</v>
      </c>
      <c r="BS142"/>
      <c r="CL142" s="23">
        <v>121</v>
      </c>
      <c r="CM142" s="23">
        <v>120</v>
      </c>
      <c r="CO142"/>
    </row>
    <row r="143" spans="2:93" ht="17" hidden="1">
      <c r="B143" s="15">
        <v>139</v>
      </c>
      <c r="C143" s="23" t="s">
        <v>169</v>
      </c>
      <c r="D143" s="16">
        <v>7</v>
      </c>
      <c r="E143" s="17">
        <v>1650210215</v>
      </c>
      <c r="F143" s="16">
        <v>28</v>
      </c>
      <c r="G143" s="17">
        <v>68758759</v>
      </c>
      <c r="H143" s="17">
        <v>1128</v>
      </c>
      <c r="I143" s="17">
        <v>1706778</v>
      </c>
      <c r="J143" s="17">
        <v>57271</v>
      </c>
      <c r="K143" s="17">
        <v>67233</v>
      </c>
      <c r="L143" s="17">
        <v>986618</v>
      </c>
      <c r="M143" s="17">
        <v>5000</v>
      </c>
      <c r="N143" s="23">
        <v>9</v>
      </c>
      <c r="O143" s="23">
        <v>11</v>
      </c>
      <c r="P143" s="23">
        <v>15</v>
      </c>
      <c r="Q143" s="23">
        <v>20</v>
      </c>
      <c r="R143" s="23">
        <v>28</v>
      </c>
      <c r="S143" s="23">
        <v>43</v>
      </c>
      <c r="T143" s="23">
        <v>13</v>
      </c>
      <c r="U143" s="23">
        <f t="shared" si="131"/>
        <v>126</v>
      </c>
      <c r="W143" s="22" t="str">
        <f t="shared" si="116"/>
        <v>홀수</v>
      </c>
      <c r="X143" s="22" t="str">
        <f t="shared" si="117"/>
        <v>홀수</v>
      </c>
      <c r="Y143" s="22" t="str">
        <f t="shared" si="118"/>
        <v>홀수</v>
      </c>
      <c r="Z143" s="22" t="str">
        <f t="shared" si="119"/>
        <v>짝수</v>
      </c>
      <c r="AA143" s="22" t="str">
        <f t="shared" si="120"/>
        <v>짝수</v>
      </c>
      <c r="AB143" s="22" t="str">
        <f t="shared" si="121"/>
        <v>홀수</v>
      </c>
      <c r="AC143" s="52" t="str">
        <f t="shared" si="122"/>
        <v>4 : 2</v>
      </c>
      <c r="AD143" s="22">
        <f t="shared" si="123"/>
        <v>4</v>
      </c>
      <c r="AE143" s="22">
        <f t="shared" si="124"/>
        <v>2</v>
      </c>
      <c r="AF143" s="22" t="str">
        <f t="shared" si="132"/>
        <v>저수</v>
      </c>
      <c r="AG143" s="22" t="str">
        <f t="shared" si="133"/>
        <v>저수</v>
      </c>
      <c r="AH143" s="22" t="str">
        <f t="shared" si="134"/>
        <v>저수</v>
      </c>
      <c r="AI143" s="22" t="str">
        <f t="shared" si="135"/>
        <v>저수</v>
      </c>
      <c r="AJ143" s="22" t="str">
        <f t="shared" si="136"/>
        <v>고수</v>
      </c>
      <c r="AK143" s="22" t="str">
        <f t="shared" si="137"/>
        <v>고수</v>
      </c>
      <c r="AL143" s="52" t="str">
        <f t="shared" si="138"/>
        <v>4 : 2</v>
      </c>
      <c r="AM143" s="22">
        <f t="shared" si="139"/>
        <v>4</v>
      </c>
      <c r="AN143" s="22">
        <f t="shared" si="140"/>
        <v>2</v>
      </c>
      <c r="AO143" s="22">
        <f t="shared" si="141"/>
        <v>26</v>
      </c>
      <c r="AP143" s="22" t="str">
        <f t="shared" si="142"/>
        <v>X</v>
      </c>
      <c r="AQ143" s="22" t="str">
        <f t="shared" si="143"/>
        <v>O</v>
      </c>
      <c r="AR143" s="22" t="str">
        <f t="shared" si="144"/>
        <v>X</v>
      </c>
      <c r="AS143" s="22" t="str">
        <f t="shared" si="145"/>
        <v>X</v>
      </c>
      <c r="AT143" s="22" t="str">
        <f t="shared" si="146"/>
        <v>X</v>
      </c>
      <c r="AU143" s="22" t="str">
        <f t="shared" si="147"/>
        <v>X</v>
      </c>
      <c r="AV143" s="22" t="str">
        <f t="shared" si="148"/>
        <v>X</v>
      </c>
      <c r="AW143" s="22" t="str">
        <f t="shared" si="149"/>
        <v>X</v>
      </c>
      <c r="AX143" s="22" t="str">
        <f t="shared" si="150"/>
        <v>X</v>
      </c>
      <c r="AY143" s="22" t="str">
        <f t="shared" si="151"/>
        <v>X</v>
      </c>
      <c r="AZ143" s="22" t="str">
        <f t="shared" si="152"/>
        <v>X</v>
      </c>
      <c r="BA143" s="22" t="str">
        <f t="shared" si="153"/>
        <v>O</v>
      </c>
      <c r="BB143" s="22">
        <f t="shared" si="154"/>
        <v>2</v>
      </c>
      <c r="BC143" s="22" t="str">
        <f t="shared" si="125"/>
        <v>1G</v>
      </c>
      <c r="BD143" s="22" t="str">
        <f t="shared" si="126"/>
        <v>1G</v>
      </c>
      <c r="BE143" s="22" t="str">
        <f t="shared" si="127"/>
        <v>1G</v>
      </c>
      <c r="BF143" s="22" t="str">
        <f t="shared" si="128"/>
        <v>2G</v>
      </c>
      <c r="BG143" s="22" t="str">
        <f t="shared" si="129"/>
        <v>2G</v>
      </c>
      <c r="BH143" s="22" t="str">
        <f t="shared" si="130"/>
        <v>3G</v>
      </c>
      <c r="BI143" s="22">
        <f t="shared" si="155"/>
        <v>3</v>
      </c>
      <c r="BJ143" s="22">
        <f t="shared" si="156"/>
        <v>2</v>
      </c>
      <c r="BK143" s="22">
        <f t="shared" si="157"/>
        <v>1</v>
      </c>
      <c r="BL143" s="22" t="str">
        <f t="shared" si="158"/>
        <v>321</v>
      </c>
      <c r="BS143"/>
      <c r="CL143" s="23">
        <v>121</v>
      </c>
      <c r="CM143" s="23">
        <v>120</v>
      </c>
      <c r="CO143"/>
    </row>
    <row r="144" spans="2:93" ht="17" hidden="1">
      <c r="B144" s="15">
        <v>140</v>
      </c>
      <c r="C144" s="23" t="s">
        <v>170</v>
      </c>
      <c r="D144" s="16">
        <v>5</v>
      </c>
      <c r="E144" s="17">
        <v>2109462840</v>
      </c>
      <c r="F144" s="16">
        <v>34</v>
      </c>
      <c r="G144" s="17">
        <v>51702521</v>
      </c>
      <c r="H144" s="17">
        <v>1310</v>
      </c>
      <c r="I144" s="17">
        <v>1341898</v>
      </c>
      <c r="J144" s="17">
        <v>64372</v>
      </c>
      <c r="K144" s="17">
        <v>54617</v>
      </c>
      <c r="L144" s="17">
        <v>1082575</v>
      </c>
      <c r="M144" s="17">
        <v>5000</v>
      </c>
      <c r="N144" s="23">
        <v>3</v>
      </c>
      <c r="O144" s="23">
        <v>13</v>
      </c>
      <c r="P144" s="23">
        <v>17</v>
      </c>
      <c r="Q144" s="23">
        <v>18</v>
      </c>
      <c r="R144" s="23">
        <v>19</v>
      </c>
      <c r="S144" s="23">
        <v>28</v>
      </c>
      <c r="T144" s="23">
        <v>8</v>
      </c>
      <c r="U144" s="23">
        <f t="shared" si="131"/>
        <v>98</v>
      </c>
      <c r="W144" s="22" t="str">
        <f t="shared" si="116"/>
        <v>홀수</v>
      </c>
      <c r="X144" s="22" t="str">
        <f t="shared" si="117"/>
        <v>홀수</v>
      </c>
      <c r="Y144" s="22" t="str">
        <f t="shared" si="118"/>
        <v>홀수</v>
      </c>
      <c r="Z144" s="22" t="str">
        <f t="shared" si="119"/>
        <v>짝수</v>
      </c>
      <c r="AA144" s="22" t="str">
        <f t="shared" si="120"/>
        <v>홀수</v>
      </c>
      <c r="AB144" s="22" t="str">
        <f t="shared" si="121"/>
        <v>짝수</v>
      </c>
      <c r="AC144" s="52" t="str">
        <f t="shared" si="122"/>
        <v>4 : 2</v>
      </c>
      <c r="AD144" s="22">
        <f t="shared" si="123"/>
        <v>4</v>
      </c>
      <c r="AE144" s="22">
        <f t="shared" si="124"/>
        <v>2</v>
      </c>
      <c r="AF144" s="22" t="str">
        <f t="shared" si="132"/>
        <v>저수</v>
      </c>
      <c r="AG144" s="22" t="str">
        <f t="shared" si="133"/>
        <v>저수</v>
      </c>
      <c r="AH144" s="22" t="str">
        <f t="shared" si="134"/>
        <v>저수</v>
      </c>
      <c r="AI144" s="22" t="str">
        <f t="shared" si="135"/>
        <v>저수</v>
      </c>
      <c r="AJ144" s="22" t="str">
        <f t="shared" si="136"/>
        <v>저수</v>
      </c>
      <c r="AK144" s="22" t="str">
        <f t="shared" si="137"/>
        <v>고수</v>
      </c>
      <c r="AL144" s="52" t="str">
        <f t="shared" si="138"/>
        <v>5 : 1</v>
      </c>
      <c r="AM144" s="22">
        <f t="shared" si="139"/>
        <v>5</v>
      </c>
      <c r="AN144" s="22">
        <f t="shared" si="140"/>
        <v>1</v>
      </c>
      <c r="AO144" s="22">
        <f t="shared" si="141"/>
        <v>38</v>
      </c>
      <c r="AP144" s="22" t="str">
        <f t="shared" si="142"/>
        <v>O</v>
      </c>
      <c r="AQ144" s="22" t="str">
        <f t="shared" si="143"/>
        <v>O</v>
      </c>
      <c r="AR144" s="22" t="str">
        <f t="shared" si="144"/>
        <v>O</v>
      </c>
      <c r="AS144" s="22" t="str">
        <f t="shared" si="145"/>
        <v>X</v>
      </c>
      <c r="AT144" s="22" t="str">
        <f t="shared" si="146"/>
        <v>O</v>
      </c>
      <c r="AU144" s="22" t="str">
        <f t="shared" si="147"/>
        <v>X</v>
      </c>
      <c r="AV144" s="22" t="str">
        <f t="shared" si="148"/>
        <v>X</v>
      </c>
      <c r="AW144" s="22" t="str">
        <f t="shared" si="149"/>
        <v>X</v>
      </c>
      <c r="AX144" s="22" t="str">
        <f t="shared" si="150"/>
        <v>X</v>
      </c>
      <c r="AY144" s="22" t="str">
        <f t="shared" si="151"/>
        <v>X</v>
      </c>
      <c r="AZ144" s="22" t="str">
        <f t="shared" si="152"/>
        <v>X</v>
      </c>
      <c r="BA144" s="22" t="str">
        <f t="shared" si="153"/>
        <v>X</v>
      </c>
      <c r="BB144" s="22">
        <f t="shared" si="154"/>
        <v>4</v>
      </c>
      <c r="BC144" s="22" t="str">
        <f t="shared" si="125"/>
        <v>1G</v>
      </c>
      <c r="BD144" s="22" t="str">
        <f t="shared" si="126"/>
        <v>1G</v>
      </c>
      <c r="BE144" s="22" t="str">
        <f t="shared" si="127"/>
        <v>2G</v>
      </c>
      <c r="BF144" s="22" t="str">
        <f t="shared" si="128"/>
        <v>2G</v>
      </c>
      <c r="BG144" s="22" t="str">
        <f t="shared" si="129"/>
        <v>2G</v>
      </c>
      <c r="BH144" s="22" t="str">
        <f t="shared" si="130"/>
        <v>2G</v>
      </c>
      <c r="BI144" s="22">
        <f t="shared" si="155"/>
        <v>2</v>
      </c>
      <c r="BJ144" s="22">
        <f t="shared" si="156"/>
        <v>4</v>
      </c>
      <c r="BK144" s="22">
        <f t="shared" si="157"/>
        <v>0</v>
      </c>
      <c r="BL144" s="22" t="str">
        <f t="shared" si="158"/>
        <v>240</v>
      </c>
      <c r="BS144"/>
      <c r="CL144" s="23">
        <v>121</v>
      </c>
      <c r="CM144" s="23">
        <v>120</v>
      </c>
      <c r="CO144"/>
    </row>
    <row r="145" spans="2:93" ht="17" hidden="1">
      <c r="B145" s="15">
        <v>141</v>
      </c>
      <c r="C145" s="23" t="s">
        <v>171</v>
      </c>
      <c r="D145" s="16">
        <v>6</v>
      </c>
      <c r="E145" s="17">
        <v>1900552400</v>
      </c>
      <c r="F145" s="16">
        <v>29</v>
      </c>
      <c r="G145" s="17">
        <v>65536290</v>
      </c>
      <c r="H145" s="17">
        <v>1144</v>
      </c>
      <c r="I145" s="17">
        <v>1661323</v>
      </c>
      <c r="J145" s="17">
        <v>58203</v>
      </c>
      <c r="K145" s="17">
        <v>65308</v>
      </c>
      <c r="L145" s="17">
        <v>1000591</v>
      </c>
      <c r="M145" s="17">
        <v>5000</v>
      </c>
      <c r="N145" s="23">
        <v>8</v>
      </c>
      <c r="O145" s="23">
        <v>12</v>
      </c>
      <c r="P145" s="23">
        <v>29</v>
      </c>
      <c r="Q145" s="23">
        <v>31</v>
      </c>
      <c r="R145" s="23">
        <v>42</v>
      </c>
      <c r="S145" s="23">
        <v>43</v>
      </c>
      <c r="T145" s="23">
        <v>2</v>
      </c>
      <c r="U145" s="23">
        <f t="shared" si="131"/>
        <v>165</v>
      </c>
      <c r="W145" s="22" t="str">
        <f t="shared" si="116"/>
        <v>짝수</v>
      </c>
      <c r="X145" s="22" t="str">
        <f t="shared" si="117"/>
        <v>짝수</v>
      </c>
      <c r="Y145" s="22" t="str">
        <f t="shared" si="118"/>
        <v>홀수</v>
      </c>
      <c r="Z145" s="22" t="str">
        <f t="shared" si="119"/>
        <v>홀수</v>
      </c>
      <c r="AA145" s="22" t="str">
        <f t="shared" si="120"/>
        <v>짝수</v>
      </c>
      <c r="AB145" s="22" t="str">
        <f t="shared" si="121"/>
        <v>홀수</v>
      </c>
      <c r="AC145" s="52" t="str">
        <f t="shared" si="122"/>
        <v>3 : 3</v>
      </c>
      <c r="AD145" s="22">
        <f t="shared" si="123"/>
        <v>3</v>
      </c>
      <c r="AE145" s="22">
        <f t="shared" si="124"/>
        <v>3</v>
      </c>
      <c r="AF145" s="22" t="str">
        <f t="shared" si="132"/>
        <v>저수</v>
      </c>
      <c r="AG145" s="22" t="str">
        <f t="shared" si="133"/>
        <v>저수</v>
      </c>
      <c r="AH145" s="22" t="str">
        <f t="shared" si="134"/>
        <v>고수</v>
      </c>
      <c r="AI145" s="22" t="str">
        <f t="shared" si="135"/>
        <v>고수</v>
      </c>
      <c r="AJ145" s="22" t="str">
        <f t="shared" si="136"/>
        <v>고수</v>
      </c>
      <c r="AK145" s="22" t="str">
        <f t="shared" si="137"/>
        <v>고수</v>
      </c>
      <c r="AL145" s="52" t="str">
        <f t="shared" si="138"/>
        <v>2 : 4</v>
      </c>
      <c r="AM145" s="22">
        <f t="shared" si="139"/>
        <v>2</v>
      </c>
      <c r="AN145" s="22">
        <f t="shared" si="140"/>
        <v>4</v>
      </c>
      <c r="AO145" s="22">
        <f t="shared" si="141"/>
        <v>25</v>
      </c>
      <c r="AP145" s="22" t="str">
        <f t="shared" si="142"/>
        <v>X</v>
      </c>
      <c r="AQ145" s="22" t="str">
        <f t="shared" si="143"/>
        <v>X</v>
      </c>
      <c r="AR145" s="22" t="str">
        <f t="shared" si="144"/>
        <v>X</v>
      </c>
      <c r="AS145" s="22" t="str">
        <f t="shared" si="145"/>
        <v>X</v>
      </c>
      <c r="AT145" s="22" t="str">
        <f t="shared" si="146"/>
        <v>X</v>
      </c>
      <c r="AU145" s="22" t="str">
        <f t="shared" si="147"/>
        <v>X</v>
      </c>
      <c r="AV145" s="22" t="str">
        <f t="shared" si="148"/>
        <v>X</v>
      </c>
      <c r="AW145" s="22" t="str">
        <f t="shared" si="149"/>
        <v>X</v>
      </c>
      <c r="AX145" s="22" t="str">
        <f t="shared" si="150"/>
        <v>O</v>
      </c>
      <c r="AY145" s="22" t="str">
        <f t="shared" si="151"/>
        <v>O</v>
      </c>
      <c r="AZ145" s="22" t="str">
        <f t="shared" si="152"/>
        <v>X</v>
      </c>
      <c r="BA145" s="22" t="str">
        <f t="shared" si="153"/>
        <v>O</v>
      </c>
      <c r="BB145" s="22">
        <f t="shared" si="154"/>
        <v>3</v>
      </c>
      <c r="BC145" s="22" t="str">
        <f t="shared" si="125"/>
        <v>1G</v>
      </c>
      <c r="BD145" s="22" t="str">
        <f t="shared" si="126"/>
        <v>1G</v>
      </c>
      <c r="BE145" s="22" t="str">
        <f t="shared" si="127"/>
        <v>2G</v>
      </c>
      <c r="BF145" s="22" t="str">
        <f t="shared" si="128"/>
        <v>3G</v>
      </c>
      <c r="BG145" s="22" t="str">
        <f t="shared" si="129"/>
        <v>3G</v>
      </c>
      <c r="BH145" s="22" t="str">
        <f t="shared" si="130"/>
        <v>3G</v>
      </c>
      <c r="BI145" s="22">
        <f t="shared" si="155"/>
        <v>2</v>
      </c>
      <c r="BJ145" s="22">
        <f t="shared" si="156"/>
        <v>1</v>
      </c>
      <c r="BK145" s="22">
        <f t="shared" si="157"/>
        <v>3</v>
      </c>
      <c r="BL145" s="22" t="str">
        <f t="shared" si="158"/>
        <v>213</v>
      </c>
      <c r="BS145"/>
      <c r="CL145" s="23">
        <v>121</v>
      </c>
      <c r="CM145" s="23">
        <v>120</v>
      </c>
      <c r="CO145"/>
    </row>
    <row r="146" spans="2:93" ht="17" hidden="1">
      <c r="B146" s="15">
        <v>142</v>
      </c>
      <c r="C146" s="23" t="s">
        <v>172</v>
      </c>
      <c r="D146" s="16">
        <v>11</v>
      </c>
      <c r="E146" s="17">
        <v>1018265564</v>
      </c>
      <c r="F146" s="16">
        <v>28</v>
      </c>
      <c r="G146" s="17">
        <v>66672150</v>
      </c>
      <c r="H146" s="17">
        <v>1326</v>
      </c>
      <c r="I146" s="17">
        <v>1407859</v>
      </c>
      <c r="J146" s="17">
        <v>64602</v>
      </c>
      <c r="K146" s="17">
        <v>57795</v>
      </c>
      <c r="L146" s="17">
        <v>1067644</v>
      </c>
      <c r="M146" s="17">
        <v>5000</v>
      </c>
      <c r="N146" s="23">
        <v>12</v>
      </c>
      <c r="O146" s="23">
        <v>16</v>
      </c>
      <c r="P146" s="23">
        <v>30</v>
      </c>
      <c r="Q146" s="23">
        <v>34</v>
      </c>
      <c r="R146" s="23">
        <v>40</v>
      </c>
      <c r="S146" s="23">
        <v>44</v>
      </c>
      <c r="T146" s="23">
        <v>19</v>
      </c>
      <c r="U146" s="23">
        <f t="shared" si="131"/>
        <v>176</v>
      </c>
      <c r="W146" s="22" t="str">
        <f t="shared" si="116"/>
        <v>짝수</v>
      </c>
      <c r="X146" s="22" t="str">
        <f t="shared" si="117"/>
        <v>짝수</v>
      </c>
      <c r="Y146" s="22" t="str">
        <f t="shared" si="118"/>
        <v>짝수</v>
      </c>
      <c r="Z146" s="22" t="str">
        <f t="shared" si="119"/>
        <v>짝수</v>
      </c>
      <c r="AA146" s="22" t="str">
        <f t="shared" si="120"/>
        <v>짝수</v>
      </c>
      <c r="AB146" s="22" t="str">
        <f t="shared" si="121"/>
        <v>짝수</v>
      </c>
      <c r="AC146" s="52" t="str">
        <f t="shared" si="122"/>
        <v>0 : 6</v>
      </c>
      <c r="AD146" s="22">
        <f t="shared" si="123"/>
        <v>0</v>
      </c>
      <c r="AE146" s="22">
        <f t="shared" si="124"/>
        <v>6</v>
      </c>
      <c r="AF146" s="22" t="str">
        <f t="shared" si="132"/>
        <v>저수</v>
      </c>
      <c r="AG146" s="22" t="str">
        <f t="shared" si="133"/>
        <v>저수</v>
      </c>
      <c r="AH146" s="22" t="str">
        <f t="shared" si="134"/>
        <v>고수</v>
      </c>
      <c r="AI146" s="22" t="str">
        <f t="shared" si="135"/>
        <v>고수</v>
      </c>
      <c r="AJ146" s="22" t="str">
        <f t="shared" si="136"/>
        <v>고수</v>
      </c>
      <c r="AK146" s="22" t="str">
        <f t="shared" si="137"/>
        <v>고수</v>
      </c>
      <c r="AL146" s="52" t="str">
        <f t="shared" si="138"/>
        <v>2 : 4</v>
      </c>
      <c r="AM146" s="22">
        <f t="shared" si="139"/>
        <v>2</v>
      </c>
      <c r="AN146" s="22">
        <f t="shared" si="140"/>
        <v>4</v>
      </c>
      <c r="AO146" s="22">
        <f t="shared" si="141"/>
        <v>16</v>
      </c>
      <c r="AP146" s="22" t="str">
        <f t="shared" si="142"/>
        <v>X</v>
      </c>
      <c r="AQ146" s="22" t="str">
        <f t="shared" si="143"/>
        <v>X</v>
      </c>
      <c r="AR146" s="22" t="str">
        <f t="shared" si="144"/>
        <v>X</v>
      </c>
      <c r="AS146" s="22" t="str">
        <f t="shared" si="145"/>
        <v>X</v>
      </c>
      <c r="AT146" s="22" t="str">
        <f t="shared" si="146"/>
        <v>X</v>
      </c>
      <c r="AU146" s="22" t="str">
        <f t="shared" si="147"/>
        <v>X</v>
      </c>
      <c r="AV146" s="22" t="str">
        <f t="shared" si="148"/>
        <v>X</v>
      </c>
      <c r="AW146" s="22" t="str">
        <f t="shared" si="149"/>
        <v>X</v>
      </c>
      <c r="AX146" s="22" t="str">
        <f t="shared" si="150"/>
        <v>X</v>
      </c>
      <c r="AY146" s="22" t="str">
        <f t="shared" si="151"/>
        <v>X</v>
      </c>
      <c r="AZ146" s="22" t="str">
        <f t="shared" si="152"/>
        <v>X</v>
      </c>
      <c r="BA146" s="22" t="str">
        <f t="shared" si="153"/>
        <v>X</v>
      </c>
      <c r="BB146" s="22">
        <f t="shared" si="154"/>
        <v>0</v>
      </c>
      <c r="BC146" s="22" t="str">
        <f t="shared" si="125"/>
        <v>1G</v>
      </c>
      <c r="BD146" s="22" t="str">
        <f t="shared" si="126"/>
        <v>2G</v>
      </c>
      <c r="BE146" s="22" t="str">
        <f t="shared" si="127"/>
        <v>2G</v>
      </c>
      <c r="BF146" s="22" t="str">
        <f t="shared" si="128"/>
        <v>3G</v>
      </c>
      <c r="BG146" s="22" t="str">
        <f t="shared" si="129"/>
        <v>3G</v>
      </c>
      <c r="BH146" s="22" t="str">
        <f t="shared" si="130"/>
        <v>3G</v>
      </c>
      <c r="BI146" s="22">
        <f t="shared" si="155"/>
        <v>1</v>
      </c>
      <c r="BJ146" s="22">
        <f t="shared" si="156"/>
        <v>2</v>
      </c>
      <c r="BK146" s="22">
        <f t="shared" si="157"/>
        <v>3</v>
      </c>
      <c r="BL146" s="22" t="str">
        <f t="shared" si="158"/>
        <v>123</v>
      </c>
      <c r="BS146"/>
      <c r="CL146" s="23">
        <v>122</v>
      </c>
      <c r="CM146" s="23">
        <v>120</v>
      </c>
      <c r="CO146"/>
    </row>
    <row r="147" spans="2:93" ht="17" hidden="1">
      <c r="B147" s="15">
        <v>143</v>
      </c>
      <c r="C147" s="23" t="s">
        <v>173</v>
      </c>
      <c r="D147" s="16">
        <v>3</v>
      </c>
      <c r="E147" s="17">
        <v>3954584700</v>
      </c>
      <c r="F147" s="16">
        <v>35</v>
      </c>
      <c r="G147" s="17">
        <v>56494068</v>
      </c>
      <c r="H147" s="17">
        <v>1182</v>
      </c>
      <c r="I147" s="17">
        <v>1672837</v>
      </c>
      <c r="J147" s="17">
        <v>57130</v>
      </c>
      <c r="K147" s="17">
        <v>69221</v>
      </c>
      <c r="L147" s="17">
        <v>986951</v>
      </c>
      <c r="M147" s="17">
        <v>5000</v>
      </c>
      <c r="N147" s="23">
        <v>26</v>
      </c>
      <c r="O147" s="23">
        <v>27</v>
      </c>
      <c r="P147" s="23">
        <v>28</v>
      </c>
      <c r="Q147" s="23">
        <v>42</v>
      </c>
      <c r="R147" s="23">
        <v>43</v>
      </c>
      <c r="S147" s="23">
        <v>45</v>
      </c>
      <c r="T147" s="23">
        <v>8</v>
      </c>
      <c r="U147" s="23">
        <f t="shared" si="131"/>
        <v>211</v>
      </c>
      <c r="W147" s="22" t="str">
        <f t="shared" si="116"/>
        <v>짝수</v>
      </c>
      <c r="X147" s="22" t="str">
        <f t="shared" si="117"/>
        <v>홀수</v>
      </c>
      <c r="Y147" s="22" t="str">
        <f t="shared" si="118"/>
        <v>짝수</v>
      </c>
      <c r="Z147" s="22" t="str">
        <f t="shared" si="119"/>
        <v>짝수</v>
      </c>
      <c r="AA147" s="22" t="str">
        <f t="shared" si="120"/>
        <v>홀수</v>
      </c>
      <c r="AB147" s="22" t="str">
        <f t="shared" si="121"/>
        <v>홀수</v>
      </c>
      <c r="AC147" s="52" t="str">
        <f t="shared" si="122"/>
        <v>3 : 3</v>
      </c>
      <c r="AD147" s="22">
        <f t="shared" si="123"/>
        <v>3</v>
      </c>
      <c r="AE147" s="22">
        <f t="shared" si="124"/>
        <v>3</v>
      </c>
      <c r="AF147" s="22" t="str">
        <f t="shared" si="132"/>
        <v>고수</v>
      </c>
      <c r="AG147" s="22" t="str">
        <f t="shared" si="133"/>
        <v>고수</v>
      </c>
      <c r="AH147" s="22" t="str">
        <f t="shared" si="134"/>
        <v>고수</v>
      </c>
      <c r="AI147" s="22" t="str">
        <f t="shared" si="135"/>
        <v>고수</v>
      </c>
      <c r="AJ147" s="22" t="str">
        <f t="shared" si="136"/>
        <v>고수</v>
      </c>
      <c r="AK147" s="22" t="str">
        <f t="shared" si="137"/>
        <v>고수</v>
      </c>
      <c r="AL147" s="52" t="str">
        <f t="shared" si="138"/>
        <v>0 : 6</v>
      </c>
      <c r="AM147" s="22">
        <f t="shared" si="139"/>
        <v>0</v>
      </c>
      <c r="AN147" s="22">
        <f t="shared" si="140"/>
        <v>6</v>
      </c>
      <c r="AO147" s="22">
        <f t="shared" si="141"/>
        <v>31</v>
      </c>
      <c r="AP147" s="22" t="str">
        <f t="shared" si="142"/>
        <v>X</v>
      </c>
      <c r="AQ147" s="22" t="str">
        <f t="shared" si="143"/>
        <v>X</v>
      </c>
      <c r="AR147" s="22" t="str">
        <f t="shared" si="144"/>
        <v>X</v>
      </c>
      <c r="AS147" s="22" t="str">
        <f t="shared" si="145"/>
        <v>X</v>
      </c>
      <c r="AT147" s="22" t="str">
        <f t="shared" si="146"/>
        <v>X</v>
      </c>
      <c r="AU147" s="22" t="str">
        <f t="shared" si="147"/>
        <v>X</v>
      </c>
      <c r="AV147" s="22" t="str">
        <f t="shared" si="148"/>
        <v>X</v>
      </c>
      <c r="AW147" s="22" t="str">
        <f t="shared" si="149"/>
        <v>X</v>
      </c>
      <c r="AX147" s="22" t="str">
        <f t="shared" si="150"/>
        <v>X</v>
      </c>
      <c r="AY147" s="22" t="str">
        <f t="shared" si="151"/>
        <v>X</v>
      </c>
      <c r="AZ147" s="22" t="str">
        <f t="shared" si="152"/>
        <v>O</v>
      </c>
      <c r="BA147" s="22" t="str">
        <f t="shared" si="153"/>
        <v>X</v>
      </c>
      <c r="BB147" s="22">
        <f t="shared" si="154"/>
        <v>1</v>
      </c>
      <c r="BC147" s="22" t="str">
        <f t="shared" si="125"/>
        <v>2G</v>
      </c>
      <c r="BD147" s="22" t="str">
        <f t="shared" si="126"/>
        <v>2G</v>
      </c>
      <c r="BE147" s="22" t="str">
        <f t="shared" si="127"/>
        <v>2G</v>
      </c>
      <c r="BF147" s="22" t="str">
        <f t="shared" si="128"/>
        <v>3G</v>
      </c>
      <c r="BG147" s="22" t="str">
        <f t="shared" si="129"/>
        <v>3G</v>
      </c>
      <c r="BH147" s="22" t="str">
        <f t="shared" si="130"/>
        <v>3G</v>
      </c>
      <c r="BI147" s="22">
        <f t="shared" si="155"/>
        <v>0</v>
      </c>
      <c r="BJ147" s="22">
        <f t="shared" si="156"/>
        <v>3</v>
      </c>
      <c r="BK147" s="22">
        <f t="shared" si="157"/>
        <v>3</v>
      </c>
      <c r="BL147" s="22" t="str">
        <f t="shared" si="158"/>
        <v>033</v>
      </c>
      <c r="BS147"/>
      <c r="CL147" s="23">
        <v>122</v>
      </c>
      <c r="CM147" s="23">
        <v>120</v>
      </c>
      <c r="CO147"/>
    </row>
    <row r="148" spans="2:93" ht="17" hidden="1">
      <c r="B148" s="15">
        <v>144</v>
      </c>
      <c r="C148" s="23" t="s">
        <v>174</v>
      </c>
      <c r="D148" s="16">
        <v>8</v>
      </c>
      <c r="E148" s="17">
        <v>1402440413</v>
      </c>
      <c r="F148" s="16">
        <v>38</v>
      </c>
      <c r="G148" s="17">
        <v>49208436</v>
      </c>
      <c r="H148" s="17">
        <v>1498</v>
      </c>
      <c r="I148" s="17">
        <v>1248279</v>
      </c>
      <c r="J148" s="17">
        <v>74181</v>
      </c>
      <c r="K148" s="17">
        <v>50416</v>
      </c>
      <c r="L148" s="17">
        <v>1180411</v>
      </c>
      <c r="M148" s="17">
        <v>5000</v>
      </c>
      <c r="N148" s="23">
        <v>4</v>
      </c>
      <c r="O148" s="23">
        <v>15</v>
      </c>
      <c r="P148" s="23">
        <v>17</v>
      </c>
      <c r="Q148" s="23">
        <v>26</v>
      </c>
      <c r="R148" s="23">
        <v>36</v>
      </c>
      <c r="S148" s="23">
        <v>37</v>
      </c>
      <c r="T148" s="23">
        <v>43</v>
      </c>
      <c r="U148" s="23">
        <f t="shared" si="131"/>
        <v>135</v>
      </c>
      <c r="W148" s="22" t="str">
        <f t="shared" si="116"/>
        <v>짝수</v>
      </c>
      <c r="X148" s="22" t="str">
        <f t="shared" si="117"/>
        <v>홀수</v>
      </c>
      <c r="Y148" s="22" t="str">
        <f t="shared" si="118"/>
        <v>홀수</v>
      </c>
      <c r="Z148" s="22" t="str">
        <f t="shared" si="119"/>
        <v>짝수</v>
      </c>
      <c r="AA148" s="22" t="str">
        <f t="shared" si="120"/>
        <v>짝수</v>
      </c>
      <c r="AB148" s="22" t="str">
        <f t="shared" si="121"/>
        <v>홀수</v>
      </c>
      <c r="AC148" s="52" t="str">
        <f t="shared" si="122"/>
        <v>3 : 3</v>
      </c>
      <c r="AD148" s="22">
        <f t="shared" si="123"/>
        <v>3</v>
      </c>
      <c r="AE148" s="22">
        <f t="shared" si="124"/>
        <v>3</v>
      </c>
      <c r="AF148" s="22" t="str">
        <f t="shared" si="132"/>
        <v>저수</v>
      </c>
      <c r="AG148" s="22" t="str">
        <f t="shared" si="133"/>
        <v>저수</v>
      </c>
      <c r="AH148" s="22" t="str">
        <f t="shared" si="134"/>
        <v>저수</v>
      </c>
      <c r="AI148" s="22" t="str">
        <f t="shared" si="135"/>
        <v>고수</v>
      </c>
      <c r="AJ148" s="22" t="str">
        <f t="shared" si="136"/>
        <v>고수</v>
      </c>
      <c r="AK148" s="22" t="str">
        <f t="shared" si="137"/>
        <v>고수</v>
      </c>
      <c r="AL148" s="52" t="str">
        <f t="shared" si="138"/>
        <v>3 : 3</v>
      </c>
      <c r="AM148" s="22">
        <f t="shared" si="139"/>
        <v>3</v>
      </c>
      <c r="AN148" s="22">
        <f t="shared" si="140"/>
        <v>3</v>
      </c>
      <c r="AO148" s="22">
        <f t="shared" si="141"/>
        <v>35</v>
      </c>
      <c r="AP148" s="22" t="str">
        <f t="shared" si="142"/>
        <v>X</v>
      </c>
      <c r="AQ148" s="22" t="str">
        <f t="shared" si="143"/>
        <v>X</v>
      </c>
      <c r="AR148" s="22" t="str">
        <f t="shared" si="144"/>
        <v>O</v>
      </c>
      <c r="AS148" s="22" t="str">
        <f t="shared" si="145"/>
        <v>X</v>
      </c>
      <c r="AT148" s="22" t="str">
        <f t="shared" si="146"/>
        <v>X</v>
      </c>
      <c r="AU148" s="22" t="str">
        <f t="shared" si="147"/>
        <v>X</v>
      </c>
      <c r="AV148" s="22" t="str">
        <f t="shared" si="148"/>
        <v>X</v>
      </c>
      <c r="AW148" s="22" t="str">
        <f t="shared" si="149"/>
        <v>X</v>
      </c>
      <c r="AX148" s="22" t="str">
        <f t="shared" si="150"/>
        <v>X</v>
      </c>
      <c r="AY148" s="22" t="str">
        <f t="shared" si="151"/>
        <v>X</v>
      </c>
      <c r="AZ148" s="22" t="str">
        <f t="shared" si="152"/>
        <v>X</v>
      </c>
      <c r="BA148" s="22" t="str">
        <f t="shared" si="153"/>
        <v>O</v>
      </c>
      <c r="BB148" s="22">
        <f t="shared" si="154"/>
        <v>2</v>
      </c>
      <c r="BC148" s="22" t="str">
        <f t="shared" si="125"/>
        <v>1G</v>
      </c>
      <c r="BD148" s="22" t="str">
        <f t="shared" si="126"/>
        <v>1G</v>
      </c>
      <c r="BE148" s="22" t="str">
        <f t="shared" si="127"/>
        <v>2G</v>
      </c>
      <c r="BF148" s="22" t="str">
        <f t="shared" si="128"/>
        <v>2G</v>
      </c>
      <c r="BG148" s="22" t="str">
        <f t="shared" si="129"/>
        <v>3G</v>
      </c>
      <c r="BH148" s="22" t="str">
        <f t="shared" si="130"/>
        <v>3G</v>
      </c>
      <c r="BI148" s="22">
        <f t="shared" si="155"/>
        <v>2</v>
      </c>
      <c r="BJ148" s="22">
        <f t="shared" si="156"/>
        <v>2</v>
      </c>
      <c r="BK148" s="22">
        <f t="shared" si="157"/>
        <v>2</v>
      </c>
      <c r="BL148" s="22" t="str">
        <f t="shared" si="158"/>
        <v>222</v>
      </c>
      <c r="BS148"/>
      <c r="CL148" s="23">
        <v>122</v>
      </c>
      <c r="CM148" s="23">
        <v>120</v>
      </c>
      <c r="CO148"/>
    </row>
    <row r="149" spans="2:93" ht="17" hidden="1">
      <c r="B149" s="15">
        <v>145</v>
      </c>
      <c r="C149" s="23" t="s">
        <v>175</v>
      </c>
      <c r="D149" s="16">
        <v>3</v>
      </c>
      <c r="E149" s="17">
        <v>3797838200</v>
      </c>
      <c r="F149" s="16">
        <v>38</v>
      </c>
      <c r="G149" s="17">
        <v>49971556</v>
      </c>
      <c r="H149" s="17">
        <v>1217</v>
      </c>
      <c r="I149" s="17">
        <v>1560328</v>
      </c>
      <c r="J149" s="17">
        <v>63120</v>
      </c>
      <c r="K149" s="17">
        <v>60169</v>
      </c>
      <c r="L149" s="17">
        <v>1093545</v>
      </c>
      <c r="M149" s="17">
        <v>5000</v>
      </c>
      <c r="N149" s="23">
        <v>2</v>
      </c>
      <c r="O149" s="23">
        <v>3</v>
      </c>
      <c r="P149" s="23">
        <v>13</v>
      </c>
      <c r="Q149" s="23">
        <v>20</v>
      </c>
      <c r="R149" s="23">
        <v>27</v>
      </c>
      <c r="S149" s="23">
        <v>44</v>
      </c>
      <c r="T149" s="23">
        <v>9</v>
      </c>
      <c r="U149" s="23">
        <f t="shared" si="131"/>
        <v>109</v>
      </c>
      <c r="W149" s="22" t="str">
        <f t="shared" si="116"/>
        <v>짝수</v>
      </c>
      <c r="X149" s="22" t="str">
        <f t="shared" si="117"/>
        <v>홀수</v>
      </c>
      <c r="Y149" s="22" t="str">
        <f t="shared" si="118"/>
        <v>홀수</v>
      </c>
      <c r="Z149" s="22" t="str">
        <f t="shared" si="119"/>
        <v>짝수</v>
      </c>
      <c r="AA149" s="22" t="str">
        <f t="shared" si="120"/>
        <v>홀수</v>
      </c>
      <c r="AB149" s="22" t="str">
        <f t="shared" si="121"/>
        <v>짝수</v>
      </c>
      <c r="AC149" s="52" t="str">
        <f t="shared" si="122"/>
        <v>3 : 3</v>
      </c>
      <c r="AD149" s="22">
        <f t="shared" si="123"/>
        <v>3</v>
      </c>
      <c r="AE149" s="22">
        <f t="shared" si="124"/>
        <v>3</v>
      </c>
      <c r="AF149" s="22" t="str">
        <f t="shared" si="132"/>
        <v>저수</v>
      </c>
      <c r="AG149" s="22" t="str">
        <f t="shared" si="133"/>
        <v>저수</v>
      </c>
      <c r="AH149" s="22" t="str">
        <f t="shared" si="134"/>
        <v>저수</v>
      </c>
      <c r="AI149" s="22" t="str">
        <f t="shared" si="135"/>
        <v>저수</v>
      </c>
      <c r="AJ149" s="22" t="str">
        <f t="shared" si="136"/>
        <v>고수</v>
      </c>
      <c r="AK149" s="22" t="str">
        <f t="shared" si="137"/>
        <v>고수</v>
      </c>
      <c r="AL149" s="52" t="str">
        <f t="shared" si="138"/>
        <v>4 : 2</v>
      </c>
      <c r="AM149" s="22">
        <f t="shared" si="139"/>
        <v>4</v>
      </c>
      <c r="AN149" s="22">
        <f t="shared" si="140"/>
        <v>2</v>
      </c>
      <c r="AO149" s="22">
        <f t="shared" si="141"/>
        <v>19</v>
      </c>
      <c r="AP149" s="22" t="str">
        <f t="shared" si="142"/>
        <v>O</v>
      </c>
      <c r="AQ149" s="22" t="str">
        <f t="shared" si="143"/>
        <v>O</v>
      </c>
      <c r="AR149" s="22" t="str">
        <f t="shared" si="144"/>
        <v>O</v>
      </c>
      <c r="AS149" s="22" t="str">
        <f t="shared" si="145"/>
        <v>X</v>
      </c>
      <c r="AT149" s="22" t="str">
        <f t="shared" si="146"/>
        <v>X</v>
      </c>
      <c r="AU149" s="22" t="str">
        <f t="shared" si="147"/>
        <v>X</v>
      </c>
      <c r="AV149" s="22" t="str">
        <f t="shared" si="148"/>
        <v>X</v>
      </c>
      <c r="AW149" s="22" t="str">
        <f t="shared" si="149"/>
        <v>X</v>
      </c>
      <c r="AX149" s="22" t="str">
        <f t="shared" si="150"/>
        <v>X</v>
      </c>
      <c r="AY149" s="22" t="str">
        <f t="shared" si="151"/>
        <v>X</v>
      </c>
      <c r="AZ149" s="22" t="str">
        <f t="shared" si="152"/>
        <v>X</v>
      </c>
      <c r="BA149" s="22" t="str">
        <f t="shared" si="153"/>
        <v>X</v>
      </c>
      <c r="BB149" s="22">
        <f t="shared" si="154"/>
        <v>3</v>
      </c>
      <c r="BC149" s="22" t="str">
        <f t="shared" si="125"/>
        <v>1G</v>
      </c>
      <c r="BD149" s="22" t="str">
        <f t="shared" si="126"/>
        <v>1G</v>
      </c>
      <c r="BE149" s="22" t="str">
        <f t="shared" si="127"/>
        <v>1G</v>
      </c>
      <c r="BF149" s="22" t="str">
        <f t="shared" si="128"/>
        <v>2G</v>
      </c>
      <c r="BG149" s="22" t="str">
        <f t="shared" si="129"/>
        <v>2G</v>
      </c>
      <c r="BH149" s="22" t="str">
        <f t="shared" si="130"/>
        <v>3G</v>
      </c>
      <c r="BI149" s="22">
        <f t="shared" si="155"/>
        <v>3</v>
      </c>
      <c r="BJ149" s="22">
        <f t="shared" si="156"/>
        <v>2</v>
      </c>
      <c r="BK149" s="22">
        <f t="shared" si="157"/>
        <v>1</v>
      </c>
      <c r="BL149" s="22" t="str">
        <f t="shared" si="158"/>
        <v>321</v>
      </c>
      <c r="BS149"/>
      <c r="CL149" s="23">
        <v>122</v>
      </c>
      <c r="CM149" s="23">
        <v>120</v>
      </c>
      <c r="CO149"/>
    </row>
    <row r="150" spans="2:93" ht="17" hidden="1">
      <c r="B150" s="15">
        <v>146</v>
      </c>
      <c r="C150" s="23" t="s">
        <v>176</v>
      </c>
      <c r="D150" s="16">
        <v>2</v>
      </c>
      <c r="E150" s="17">
        <v>6043415250</v>
      </c>
      <c r="F150" s="16">
        <v>34</v>
      </c>
      <c r="G150" s="17">
        <v>59249170</v>
      </c>
      <c r="H150" s="17">
        <v>1383</v>
      </c>
      <c r="I150" s="17">
        <v>1456596</v>
      </c>
      <c r="J150" s="17">
        <v>62524</v>
      </c>
      <c r="K150" s="17">
        <v>64439</v>
      </c>
      <c r="L150" s="17">
        <v>1038812</v>
      </c>
      <c r="M150" s="17">
        <v>5000</v>
      </c>
      <c r="N150" s="23">
        <v>2</v>
      </c>
      <c r="O150" s="23">
        <v>19</v>
      </c>
      <c r="P150" s="23">
        <v>27</v>
      </c>
      <c r="Q150" s="23">
        <v>35</v>
      </c>
      <c r="R150" s="23">
        <v>41</v>
      </c>
      <c r="S150" s="23">
        <v>42</v>
      </c>
      <c r="T150" s="23">
        <v>25</v>
      </c>
      <c r="U150" s="23">
        <f t="shared" si="131"/>
        <v>166</v>
      </c>
      <c r="W150" s="22" t="str">
        <f t="shared" si="116"/>
        <v>짝수</v>
      </c>
      <c r="X150" s="22" t="str">
        <f t="shared" si="117"/>
        <v>홀수</v>
      </c>
      <c r="Y150" s="22" t="str">
        <f t="shared" si="118"/>
        <v>홀수</v>
      </c>
      <c r="Z150" s="22" t="str">
        <f t="shared" si="119"/>
        <v>홀수</v>
      </c>
      <c r="AA150" s="22" t="str">
        <f t="shared" si="120"/>
        <v>홀수</v>
      </c>
      <c r="AB150" s="22" t="str">
        <f t="shared" si="121"/>
        <v>짝수</v>
      </c>
      <c r="AC150" s="52" t="str">
        <f t="shared" si="122"/>
        <v>4 : 2</v>
      </c>
      <c r="AD150" s="22">
        <f t="shared" si="123"/>
        <v>4</v>
      </c>
      <c r="AE150" s="22">
        <f t="shared" si="124"/>
        <v>2</v>
      </c>
      <c r="AF150" s="22" t="str">
        <f t="shared" si="132"/>
        <v>저수</v>
      </c>
      <c r="AG150" s="22" t="str">
        <f t="shared" si="133"/>
        <v>저수</v>
      </c>
      <c r="AH150" s="22" t="str">
        <f t="shared" si="134"/>
        <v>고수</v>
      </c>
      <c r="AI150" s="22" t="str">
        <f t="shared" si="135"/>
        <v>고수</v>
      </c>
      <c r="AJ150" s="22" t="str">
        <f t="shared" si="136"/>
        <v>고수</v>
      </c>
      <c r="AK150" s="22" t="str">
        <f t="shared" si="137"/>
        <v>고수</v>
      </c>
      <c r="AL150" s="52" t="str">
        <f t="shared" si="138"/>
        <v>2 : 4</v>
      </c>
      <c r="AM150" s="22">
        <f t="shared" si="139"/>
        <v>2</v>
      </c>
      <c r="AN150" s="22">
        <f t="shared" si="140"/>
        <v>4</v>
      </c>
      <c r="AO150" s="22">
        <f t="shared" si="141"/>
        <v>26</v>
      </c>
      <c r="AP150" s="22" t="str">
        <f t="shared" si="142"/>
        <v>O</v>
      </c>
      <c r="AQ150" s="22" t="str">
        <f t="shared" si="143"/>
        <v>O</v>
      </c>
      <c r="AR150" s="22" t="str">
        <f t="shared" si="144"/>
        <v>X</v>
      </c>
      <c r="AS150" s="22" t="str">
        <f t="shared" si="145"/>
        <v>X</v>
      </c>
      <c r="AT150" s="22" t="str">
        <f t="shared" si="146"/>
        <v>X</v>
      </c>
      <c r="AU150" s="22" t="str">
        <f t="shared" si="147"/>
        <v>X</v>
      </c>
      <c r="AV150" s="22" t="str">
        <f t="shared" si="148"/>
        <v>X</v>
      </c>
      <c r="AW150" s="22" t="str">
        <f t="shared" si="149"/>
        <v>X</v>
      </c>
      <c r="AX150" s="22" t="str">
        <f t="shared" si="150"/>
        <v>X</v>
      </c>
      <c r="AY150" s="22" t="str">
        <f t="shared" si="151"/>
        <v>X</v>
      </c>
      <c r="AZ150" s="22" t="str">
        <f t="shared" si="152"/>
        <v>O</v>
      </c>
      <c r="BA150" s="22" t="str">
        <f t="shared" si="153"/>
        <v>X</v>
      </c>
      <c r="BB150" s="22">
        <f t="shared" si="154"/>
        <v>3</v>
      </c>
      <c r="BC150" s="22" t="str">
        <f t="shared" si="125"/>
        <v>1G</v>
      </c>
      <c r="BD150" s="22" t="str">
        <f t="shared" si="126"/>
        <v>2G</v>
      </c>
      <c r="BE150" s="22" t="str">
        <f t="shared" si="127"/>
        <v>2G</v>
      </c>
      <c r="BF150" s="22" t="str">
        <f t="shared" si="128"/>
        <v>3G</v>
      </c>
      <c r="BG150" s="22" t="str">
        <f t="shared" si="129"/>
        <v>3G</v>
      </c>
      <c r="BH150" s="22" t="str">
        <f t="shared" si="130"/>
        <v>3G</v>
      </c>
      <c r="BI150" s="22">
        <f t="shared" si="155"/>
        <v>1</v>
      </c>
      <c r="BJ150" s="22">
        <f t="shared" si="156"/>
        <v>2</v>
      </c>
      <c r="BK150" s="22">
        <f t="shared" si="157"/>
        <v>3</v>
      </c>
      <c r="BL150" s="22" t="str">
        <f t="shared" si="158"/>
        <v>123</v>
      </c>
      <c r="BS150"/>
      <c r="CL150" s="23">
        <v>122</v>
      </c>
      <c r="CM150" s="23">
        <v>120</v>
      </c>
      <c r="CO150"/>
    </row>
    <row r="151" spans="2:93" ht="17" hidden="1">
      <c r="B151" s="15">
        <v>147</v>
      </c>
      <c r="C151" s="23" t="s">
        <v>177</v>
      </c>
      <c r="D151" s="16">
        <v>7</v>
      </c>
      <c r="E151" s="17">
        <v>1700040215</v>
      </c>
      <c r="F151" s="16">
        <v>35</v>
      </c>
      <c r="G151" s="17">
        <v>56668008</v>
      </c>
      <c r="H151" s="17">
        <v>1215</v>
      </c>
      <c r="I151" s="17">
        <v>1632412</v>
      </c>
      <c r="J151" s="17">
        <v>62412</v>
      </c>
      <c r="K151" s="17">
        <v>63558</v>
      </c>
      <c r="L151" s="17">
        <v>1067800</v>
      </c>
      <c r="M151" s="17">
        <v>5000</v>
      </c>
      <c r="N151" s="23">
        <v>4</v>
      </c>
      <c r="O151" s="23">
        <v>6</v>
      </c>
      <c r="P151" s="23">
        <v>13</v>
      </c>
      <c r="Q151" s="23">
        <v>21</v>
      </c>
      <c r="R151" s="23">
        <v>40</v>
      </c>
      <c r="S151" s="23">
        <v>42</v>
      </c>
      <c r="T151" s="23">
        <v>36</v>
      </c>
      <c r="U151" s="23">
        <f t="shared" si="131"/>
        <v>126</v>
      </c>
      <c r="W151" s="22" t="str">
        <f t="shared" si="116"/>
        <v>짝수</v>
      </c>
      <c r="X151" s="22" t="str">
        <f t="shared" si="117"/>
        <v>짝수</v>
      </c>
      <c r="Y151" s="22" t="str">
        <f t="shared" si="118"/>
        <v>홀수</v>
      </c>
      <c r="Z151" s="22" t="str">
        <f t="shared" si="119"/>
        <v>홀수</v>
      </c>
      <c r="AA151" s="22" t="str">
        <f t="shared" si="120"/>
        <v>짝수</v>
      </c>
      <c r="AB151" s="22" t="str">
        <f t="shared" si="121"/>
        <v>짝수</v>
      </c>
      <c r="AC151" s="52" t="str">
        <f t="shared" si="122"/>
        <v>2 : 4</v>
      </c>
      <c r="AD151" s="22">
        <f t="shared" si="123"/>
        <v>2</v>
      </c>
      <c r="AE151" s="22">
        <f t="shared" si="124"/>
        <v>4</v>
      </c>
      <c r="AF151" s="22" t="str">
        <f t="shared" si="132"/>
        <v>저수</v>
      </c>
      <c r="AG151" s="22" t="str">
        <f t="shared" si="133"/>
        <v>저수</v>
      </c>
      <c r="AH151" s="22" t="str">
        <f t="shared" si="134"/>
        <v>저수</v>
      </c>
      <c r="AI151" s="22" t="str">
        <f t="shared" si="135"/>
        <v>저수</v>
      </c>
      <c r="AJ151" s="22" t="str">
        <f t="shared" si="136"/>
        <v>고수</v>
      </c>
      <c r="AK151" s="22" t="str">
        <f t="shared" si="137"/>
        <v>고수</v>
      </c>
      <c r="AL151" s="52" t="str">
        <f t="shared" si="138"/>
        <v>4 : 2</v>
      </c>
      <c r="AM151" s="22">
        <f t="shared" si="139"/>
        <v>4</v>
      </c>
      <c r="AN151" s="22">
        <f t="shared" si="140"/>
        <v>2</v>
      </c>
      <c r="AO151" s="22">
        <f t="shared" si="141"/>
        <v>16</v>
      </c>
      <c r="AP151" s="22" t="str">
        <f t="shared" si="142"/>
        <v>X</v>
      </c>
      <c r="AQ151" s="22" t="str">
        <f t="shared" si="143"/>
        <v>X</v>
      </c>
      <c r="AR151" s="22" t="str">
        <f t="shared" si="144"/>
        <v>O</v>
      </c>
      <c r="AS151" s="22" t="str">
        <f t="shared" si="145"/>
        <v>X</v>
      </c>
      <c r="AT151" s="22" t="str">
        <f t="shared" si="146"/>
        <v>X</v>
      </c>
      <c r="AU151" s="22" t="str">
        <f t="shared" si="147"/>
        <v>X</v>
      </c>
      <c r="AV151" s="22" t="str">
        <f t="shared" si="148"/>
        <v>X</v>
      </c>
      <c r="AW151" s="22" t="str">
        <f t="shared" si="149"/>
        <v>X</v>
      </c>
      <c r="AX151" s="22" t="str">
        <f t="shared" si="150"/>
        <v>X</v>
      </c>
      <c r="AY151" s="22" t="str">
        <f t="shared" si="151"/>
        <v>X</v>
      </c>
      <c r="AZ151" s="22" t="str">
        <f t="shared" si="152"/>
        <v>X</v>
      </c>
      <c r="BA151" s="22" t="str">
        <f t="shared" si="153"/>
        <v>X</v>
      </c>
      <c r="BB151" s="22">
        <f t="shared" si="154"/>
        <v>1</v>
      </c>
      <c r="BC151" s="22" t="str">
        <f t="shared" si="125"/>
        <v>1G</v>
      </c>
      <c r="BD151" s="22" t="str">
        <f t="shared" si="126"/>
        <v>1G</v>
      </c>
      <c r="BE151" s="22" t="str">
        <f t="shared" si="127"/>
        <v>1G</v>
      </c>
      <c r="BF151" s="22" t="str">
        <f t="shared" si="128"/>
        <v>2G</v>
      </c>
      <c r="BG151" s="22" t="str">
        <f t="shared" si="129"/>
        <v>3G</v>
      </c>
      <c r="BH151" s="22" t="str">
        <f t="shared" si="130"/>
        <v>3G</v>
      </c>
      <c r="BI151" s="22">
        <f t="shared" si="155"/>
        <v>3</v>
      </c>
      <c r="BJ151" s="22">
        <f t="shared" si="156"/>
        <v>1</v>
      </c>
      <c r="BK151" s="22">
        <f t="shared" si="157"/>
        <v>2</v>
      </c>
      <c r="BL151" s="22" t="str">
        <f t="shared" si="158"/>
        <v>312</v>
      </c>
      <c r="BS151"/>
      <c r="CL151" s="23">
        <v>122</v>
      </c>
      <c r="CM151" s="23">
        <v>120</v>
      </c>
      <c r="CO151"/>
    </row>
    <row r="152" spans="2:93" ht="17" hidden="1">
      <c r="B152" s="15">
        <v>148</v>
      </c>
      <c r="C152" s="23" t="s">
        <v>178</v>
      </c>
      <c r="D152" s="16">
        <v>5</v>
      </c>
      <c r="E152" s="17">
        <v>2323596420</v>
      </c>
      <c r="F152" s="16">
        <v>35</v>
      </c>
      <c r="G152" s="17">
        <v>55323725</v>
      </c>
      <c r="H152" s="17">
        <v>1185</v>
      </c>
      <c r="I152" s="17">
        <v>1634035</v>
      </c>
      <c r="J152" s="17">
        <v>63358</v>
      </c>
      <c r="K152" s="17">
        <v>61124</v>
      </c>
      <c r="L152" s="17">
        <v>1079664</v>
      </c>
      <c r="M152" s="17">
        <v>5000</v>
      </c>
      <c r="N152" s="23">
        <v>21</v>
      </c>
      <c r="O152" s="23">
        <v>25</v>
      </c>
      <c r="P152" s="23">
        <v>33</v>
      </c>
      <c r="Q152" s="23">
        <v>34</v>
      </c>
      <c r="R152" s="23">
        <v>35</v>
      </c>
      <c r="S152" s="23">
        <v>36</v>
      </c>
      <c r="T152" s="23">
        <v>17</v>
      </c>
      <c r="U152" s="23">
        <f t="shared" si="131"/>
        <v>184</v>
      </c>
      <c r="W152" s="22" t="str">
        <f t="shared" si="116"/>
        <v>홀수</v>
      </c>
      <c r="X152" s="22" t="str">
        <f t="shared" si="117"/>
        <v>홀수</v>
      </c>
      <c r="Y152" s="22" t="str">
        <f t="shared" si="118"/>
        <v>홀수</v>
      </c>
      <c r="Z152" s="22" t="str">
        <f t="shared" si="119"/>
        <v>짝수</v>
      </c>
      <c r="AA152" s="22" t="str">
        <f t="shared" si="120"/>
        <v>홀수</v>
      </c>
      <c r="AB152" s="22" t="str">
        <f t="shared" si="121"/>
        <v>짝수</v>
      </c>
      <c r="AC152" s="52" t="str">
        <f t="shared" si="122"/>
        <v>4 : 2</v>
      </c>
      <c r="AD152" s="22">
        <f t="shared" si="123"/>
        <v>4</v>
      </c>
      <c r="AE152" s="22">
        <f t="shared" si="124"/>
        <v>2</v>
      </c>
      <c r="AF152" s="22" t="str">
        <f t="shared" si="132"/>
        <v>저수</v>
      </c>
      <c r="AG152" s="22" t="str">
        <f t="shared" si="133"/>
        <v>고수</v>
      </c>
      <c r="AH152" s="22" t="str">
        <f t="shared" si="134"/>
        <v>고수</v>
      </c>
      <c r="AI152" s="22" t="str">
        <f t="shared" si="135"/>
        <v>고수</v>
      </c>
      <c r="AJ152" s="22" t="str">
        <f t="shared" si="136"/>
        <v>고수</v>
      </c>
      <c r="AK152" s="22" t="str">
        <f t="shared" si="137"/>
        <v>고수</v>
      </c>
      <c r="AL152" s="52" t="str">
        <f t="shared" si="138"/>
        <v>1 : 5</v>
      </c>
      <c r="AM152" s="22">
        <f t="shared" si="139"/>
        <v>1</v>
      </c>
      <c r="AN152" s="22">
        <f t="shared" si="140"/>
        <v>5</v>
      </c>
      <c r="AO152" s="22">
        <f t="shared" si="141"/>
        <v>24</v>
      </c>
      <c r="AP152" s="22" t="str">
        <f t="shared" si="142"/>
        <v>X</v>
      </c>
      <c r="AQ152" s="22" t="str">
        <f t="shared" si="143"/>
        <v>X</v>
      </c>
      <c r="AR152" s="22" t="str">
        <f t="shared" si="144"/>
        <v>X</v>
      </c>
      <c r="AS152" s="22" t="str">
        <f t="shared" si="145"/>
        <v>X</v>
      </c>
      <c r="AT152" s="22" t="str">
        <f t="shared" si="146"/>
        <v>X</v>
      </c>
      <c r="AU152" s="22" t="str">
        <f t="shared" si="147"/>
        <v>X</v>
      </c>
      <c r="AV152" s="22" t="str">
        <f t="shared" si="148"/>
        <v>X</v>
      </c>
      <c r="AW152" s="22" t="str">
        <f t="shared" si="149"/>
        <v>X</v>
      </c>
      <c r="AX152" s="22" t="str">
        <f t="shared" si="150"/>
        <v>X</v>
      </c>
      <c r="AY152" s="22" t="str">
        <f t="shared" si="151"/>
        <v>X</v>
      </c>
      <c r="AZ152" s="22" t="str">
        <f t="shared" si="152"/>
        <v>X</v>
      </c>
      <c r="BA152" s="22" t="str">
        <f t="shared" si="153"/>
        <v>X</v>
      </c>
      <c r="BB152" s="22">
        <f t="shared" si="154"/>
        <v>0</v>
      </c>
      <c r="BC152" s="22" t="str">
        <f t="shared" si="125"/>
        <v>2G</v>
      </c>
      <c r="BD152" s="22" t="str">
        <f t="shared" si="126"/>
        <v>2G</v>
      </c>
      <c r="BE152" s="22" t="str">
        <f t="shared" si="127"/>
        <v>3G</v>
      </c>
      <c r="BF152" s="22" t="str">
        <f t="shared" si="128"/>
        <v>3G</v>
      </c>
      <c r="BG152" s="22" t="str">
        <f t="shared" si="129"/>
        <v>3G</v>
      </c>
      <c r="BH152" s="22" t="str">
        <f t="shared" si="130"/>
        <v>3G</v>
      </c>
      <c r="BI152" s="22">
        <f t="shared" si="155"/>
        <v>0</v>
      </c>
      <c r="BJ152" s="22">
        <f t="shared" si="156"/>
        <v>2</v>
      </c>
      <c r="BK152" s="22">
        <f t="shared" si="157"/>
        <v>4</v>
      </c>
      <c r="BL152" s="22" t="str">
        <f t="shared" si="158"/>
        <v>024</v>
      </c>
      <c r="BS152"/>
      <c r="CL152" s="23">
        <v>123</v>
      </c>
      <c r="CM152" s="23">
        <v>120</v>
      </c>
      <c r="CO152"/>
    </row>
    <row r="153" spans="2:93" ht="17" hidden="1">
      <c r="B153" s="15">
        <v>149</v>
      </c>
      <c r="C153" s="23" t="s">
        <v>179</v>
      </c>
      <c r="D153" s="16">
        <v>7</v>
      </c>
      <c r="E153" s="17">
        <v>1639052143</v>
      </c>
      <c r="F153" s="16">
        <v>43</v>
      </c>
      <c r="G153" s="17">
        <v>44470407</v>
      </c>
      <c r="H153" s="17">
        <v>1171</v>
      </c>
      <c r="I153" s="17">
        <v>1632987</v>
      </c>
      <c r="J153" s="17">
        <v>60450</v>
      </c>
      <c r="K153" s="17">
        <v>63267</v>
      </c>
      <c r="L153" s="17">
        <v>1016240</v>
      </c>
      <c r="M153" s="17">
        <v>5000</v>
      </c>
      <c r="N153" s="23">
        <v>2</v>
      </c>
      <c r="O153" s="23">
        <v>11</v>
      </c>
      <c r="P153" s="23">
        <v>21</v>
      </c>
      <c r="Q153" s="23">
        <v>34</v>
      </c>
      <c r="R153" s="23">
        <v>41</v>
      </c>
      <c r="S153" s="23">
        <v>42</v>
      </c>
      <c r="T153" s="23">
        <v>27</v>
      </c>
      <c r="U153" s="23">
        <f t="shared" si="131"/>
        <v>151</v>
      </c>
      <c r="W153" s="22" t="str">
        <f t="shared" si="116"/>
        <v>짝수</v>
      </c>
      <c r="X153" s="22" t="str">
        <f t="shared" si="117"/>
        <v>홀수</v>
      </c>
      <c r="Y153" s="22" t="str">
        <f t="shared" si="118"/>
        <v>홀수</v>
      </c>
      <c r="Z153" s="22" t="str">
        <f t="shared" si="119"/>
        <v>짝수</v>
      </c>
      <c r="AA153" s="22" t="str">
        <f t="shared" si="120"/>
        <v>홀수</v>
      </c>
      <c r="AB153" s="22" t="str">
        <f t="shared" si="121"/>
        <v>짝수</v>
      </c>
      <c r="AC153" s="52" t="str">
        <f t="shared" si="122"/>
        <v>3 : 3</v>
      </c>
      <c r="AD153" s="22">
        <f t="shared" si="123"/>
        <v>3</v>
      </c>
      <c r="AE153" s="22">
        <f t="shared" si="124"/>
        <v>3</v>
      </c>
      <c r="AF153" s="22" t="str">
        <f t="shared" si="132"/>
        <v>저수</v>
      </c>
      <c r="AG153" s="22" t="str">
        <f t="shared" si="133"/>
        <v>저수</v>
      </c>
      <c r="AH153" s="22" t="str">
        <f t="shared" si="134"/>
        <v>저수</v>
      </c>
      <c r="AI153" s="22" t="str">
        <f t="shared" si="135"/>
        <v>고수</v>
      </c>
      <c r="AJ153" s="22" t="str">
        <f t="shared" si="136"/>
        <v>고수</v>
      </c>
      <c r="AK153" s="22" t="str">
        <f t="shared" si="137"/>
        <v>고수</v>
      </c>
      <c r="AL153" s="52" t="str">
        <f t="shared" si="138"/>
        <v>3 : 3</v>
      </c>
      <c r="AM153" s="22">
        <f t="shared" si="139"/>
        <v>3</v>
      </c>
      <c r="AN153" s="22">
        <f t="shared" si="140"/>
        <v>3</v>
      </c>
      <c r="AO153" s="22">
        <f t="shared" si="141"/>
        <v>11</v>
      </c>
      <c r="AP153" s="22" t="str">
        <f t="shared" si="142"/>
        <v>O</v>
      </c>
      <c r="AQ153" s="22" t="str">
        <f t="shared" si="143"/>
        <v>O</v>
      </c>
      <c r="AR153" s="22" t="str">
        <f t="shared" si="144"/>
        <v>X</v>
      </c>
      <c r="AS153" s="22" t="str">
        <f t="shared" si="145"/>
        <v>X</v>
      </c>
      <c r="AT153" s="22" t="str">
        <f t="shared" si="146"/>
        <v>X</v>
      </c>
      <c r="AU153" s="22" t="str">
        <f t="shared" si="147"/>
        <v>X</v>
      </c>
      <c r="AV153" s="22" t="str">
        <f t="shared" si="148"/>
        <v>X</v>
      </c>
      <c r="AW153" s="22" t="str">
        <f t="shared" si="149"/>
        <v>X</v>
      </c>
      <c r="AX153" s="22" t="str">
        <f t="shared" si="150"/>
        <v>X</v>
      </c>
      <c r="AY153" s="22" t="str">
        <f t="shared" si="151"/>
        <v>X</v>
      </c>
      <c r="AZ153" s="22" t="str">
        <f t="shared" si="152"/>
        <v>O</v>
      </c>
      <c r="BA153" s="22" t="str">
        <f t="shared" si="153"/>
        <v>X</v>
      </c>
      <c r="BB153" s="22">
        <f t="shared" si="154"/>
        <v>3</v>
      </c>
      <c r="BC153" s="22" t="str">
        <f t="shared" si="125"/>
        <v>1G</v>
      </c>
      <c r="BD153" s="22" t="str">
        <f t="shared" si="126"/>
        <v>1G</v>
      </c>
      <c r="BE153" s="22" t="str">
        <f t="shared" si="127"/>
        <v>2G</v>
      </c>
      <c r="BF153" s="22" t="str">
        <f t="shared" si="128"/>
        <v>3G</v>
      </c>
      <c r="BG153" s="22" t="str">
        <f t="shared" si="129"/>
        <v>3G</v>
      </c>
      <c r="BH153" s="22" t="str">
        <f t="shared" si="130"/>
        <v>3G</v>
      </c>
      <c r="BI153" s="22">
        <f t="shared" si="155"/>
        <v>2</v>
      </c>
      <c r="BJ153" s="22">
        <f t="shared" si="156"/>
        <v>1</v>
      </c>
      <c r="BK153" s="22">
        <f t="shared" si="157"/>
        <v>3</v>
      </c>
      <c r="BL153" s="22" t="str">
        <f t="shared" si="158"/>
        <v>213</v>
      </c>
      <c r="BS153"/>
      <c r="CL153" s="23">
        <v>123</v>
      </c>
      <c r="CM153" s="23">
        <v>120</v>
      </c>
      <c r="CO153"/>
    </row>
    <row r="154" spans="2:93" ht="17" hidden="1">
      <c r="B154" s="15">
        <v>150</v>
      </c>
      <c r="C154" s="23" t="s">
        <v>180</v>
      </c>
      <c r="D154" s="16">
        <v>4</v>
      </c>
      <c r="E154" s="17">
        <v>2831645850</v>
      </c>
      <c r="F154" s="16">
        <v>46</v>
      </c>
      <c r="G154" s="17">
        <v>41038346</v>
      </c>
      <c r="H154" s="17">
        <v>1279</v>
      </c>
      <c r="I154" s="17">
        <v>1475969</v>
      </c>
      <c r="J154" s="17">
        <v>65200</v>
      </c>
      <c r="K154" s="17">
        <v>57907</v>
      </c>
      <c r="L154" s="17">
        <v>1100850</v>
      </c>
      <c r="M154" s="17">
        <v>5000</v>
      </c>
      <c r="N154" s="23">
        <v>2</v>
      </c>
      <c r="O154" s="23">
        <v>18</v>
      </c>
      <c r="P154" s="23">
        <v>25</v>
      </c>
      <c r="Q154" s="23">
        <v>28</v>
      </c>
      <c r="R154" s="23">
        <v>37</v>
      </c>
      <c r="S154" s="23">
        <v>39</v>
      </c>
      <c r="T154" s="23">
        <v>16</v>
      </c>
      <c r="U154" s="23">
        <f t="shared" si="131"/>
        <v>149</v>
      </c>
      <c r="W154" s="22" t="str">
        <f t="shared" si="116"/>
        <v>짝수</v>
      </c>
      <c r="X154" s="22" t="str">
        <f t="shared" si="117"/>
        <v>짝수</v>
      </c>
      <c r="Y154" s="22" t="str">
        <f t="shared" si="118"/>
        <v>홀수</v>
      </c>
      <c r="Z154" s="22" t="str">
        <f t="shared" si="119"/>
        <v>짝수</v>
      </c>
      <c r="AA154" s="22" t="str">
        <f t="shared" si="120"/>
        <v>홀수</v>
      </c>
      <c r="AB154" s="22" t="str">
        <f t="shared" si="121"/>
        <v>홀수</v>
      </c>
      <c r="AC154" s="52" t="str">
        <f t="shared" si="122"/>
        <v>3 : 3</v>
      </c>
      <c r="AD154" s="22">
        <f t="shared" si="123"/>
        <v>3</v>
      </c>
      <c r="AE154" s="22">
        <f t="shared" si="124"/>
        <v>3</v>
      </c>
      <c r="AF154" s="22" t="str">
        <f t="shared" si="132"/>
        <v>저수</v>
      </c>
      <c r="AG154" s="22" t="str">
        <f t="shared" si="133"/>
        <v>저수</v>
      </c>
      <c r="AH154" s="22" t="str">
        <f t="shared" si="134"/>
        <v>고수</v>
      </c>
      <c r="AI154" s="22" t="str">
        <f t="shared" si="135"/>
        <v>고수</v>
      </c>
      <c r="AJ154" s="22" t="str">
        <f t="shared" si="136"/>
        <v>고수</v>
      </c>
      <c r="AK154" s="22" t="str">
        <f t="shared" si="137"/>
        <v>고수</v>
      </c>
      <c r="AL154" s="52" t="str">
        <f t="shared" si="138"/>
        <v>2 : 4</v>
      </c>
      <c r="AM154" s="22">
        <f t="shared" si="139"/>
        <v>2</v>
      </c>
      <c r="AN154" s="22">
        <f t="shared" si="140"/>
        <v>4</v>
      </c>
      <c r="AO154" s="22">
        <f t="shared" si="141"/>
        <v>39</v>
      </c>
      <c r="AP154" s="22" t="str">
        <f t="shared" si="142"/>
        <v>O</v>
      </c>
      <c r="AQ154" s="22" t="str">
        <f t="shared" si="143"/>
        <v>X</v>
      </c>
      <c r="AR154" s="22" t="str">
        <f t="shared" si="144"/>
        <v>X</v>
      </c>
      <c r="AS154" s="22" t="str">
        <f t="shared" si="145"/>
        <v>X</v>
      </c>
      <c r="AT154" s="22" t="str">
        <f t="shared" si="146"/>
        <v>X</v>
      </c>
      <c r="AU154" s="22" t="str">
        <f t="shared" si="147"/>
        <v>X</v>
      </c>
      <c r="AV154" s="22" t="str">
        <f t="shared" si="148"/>
        <v>X</v>
      </c>
      <c r="AW154" s="22" t="str">
        <f t="shared" si="149"/>
        <v>X</v>
      </c>
      <c r="AX154" s="22" t="str">
        <f t="shared" si="150"/>
        <v>X</v>
      </c>
      <c r="AY154" s="22" t="str">
        <f t="shared" si="151"/>
        <v>X</v>
      </c>
      <c r="AZ154" s="22" t="str">
        <f t="shared" si="152"/>
        <v>O</v>
      </c>
      <c r="BA154" s="22" t="str">
        <f t="shared" si="153"/>
        <v>X</v>
      </c>
      <c r="BB154" s="22">
        <f t="shared" si="154"/>
        <v>2</v>
      </c>
      <c r="BC154" s="22" t="str">
        <f t="shared" si="125"/>
        <v>1G</v>
      </c>
      <c r="BD154" s="22" t="str">
        <f t="shared" si="126"/>
        <v>2G</v>
      </c>
      <c r="BE154" s="22" t="str">
        <f t="shared" si="127"/>
        <v>2G</v>
      </c>
      <c r="BF154" s="22" t="str">
        <f t="shared" si="128"/>
        <v>2G</v>
      </c>
      <c r="BG154" s="22" t="str">
        <f t="shared" si="129"/>
        <v>3G</v>
      </c>
      <c r="BH154" s="22" t="str">
        <f t="shared" si="130"/>
        <v>3G</v>
      </c>
      <c r="BI154" s="22">
        <f t="shared" si="155"/>
        <v>1</v>
      </c>
      <c r="BJ154" s="22">
        <f t="shared" si="156"/>
        <v>3</v>
      </c>
      <c r="BK154" s="22">
        <f t="shared" si="157"/>
        <v>2</v>
      </c>
      <c r="BL154" s="22" t="str">
        <f t="shared" si="158"/>
        <v>132</v>
      </c>
      <c r="BS154"/>
      <c r="CL154" s="23">
        <v>123</v>
      </c>
      <c r="CM154" s="23">
        <v>120</v>
      </c>
      <c r="CO154"/>
    </row>
    <row r="155" spans="2:93" ht="17" hidden="1">
      <c r="B155" s="15">
        <v>151</v>
      </c>
      <c r="C155" s="23" t="s">
        <v>181</v>
      </c>
      <c r="D155" s="16">
        <v>4</v>
      </c>
      <c r="E155" s="17">
        <v>2716634025</v>
      </c>
      <c r="F155" s="16">
        <v>45</v>
      </c>
      <c r="G155" s="17">
        <v>40246430</v>
      </c>
      <c r="H155" s="17">
        <v>1491</v>
      </c>
      <c r="I155" s="17">
        <v>1214681</v>
      </c>
      <c r="J155" s="17">
        <v>68250</v>
      </c>
      <c r="K155" s="17">
        <v>53073</v>
      </c>
      <c r="L155" s="17">
        <v>1113528</v>
      </c>
      <c r="M155" s="17">
        <v>5000</v>
      </c>
      <c r="N155" s="23">
        <v>1</v>
      </c>
      <c r="O155" s="23">
        <v>2</v>
      </c>
      <c r="P155" s="23">
        <v>10</v>
      </c>
      <c r="Q155" s="23">
        <v>13</v>
      </c>
      <c r="R155" s="23">
        <v>18</v>
      </c>
      <c r="S155" s="23">
        <v>19</v>
      </c>
      <c r="T155" s="23">
        <v>15</v>
      </c>
      <c r="U155" s="23">
        <f t="shared" si="131"/>
        <v>63</v>
      </c>
      <c r="W155" s="22" t="str">
        <f t="shared" si="116"/>
        <v>홀수</v>
      </c>
      <c r="X155" s="22" t="str">
        <f t="shared" si="117"/>
        <v>짝수</v>
      </c>
      <c r="Y155" s="22" t="str">
        <f t="shared" si="118"/>
        <v>짝수</v>
      </c>
      <c r="Z155" s="22" t="str">
        <f t="shared" si="119"/>
        <v>홀수</v>
      </c>
      <c r="AA155" s="22" t="str">
        <f t="shared" si="120"/>
        <v>짝수</v>
      </c>
      <c r="AB155" s="22" t="str">
        <f t="shared" si="121"/>
        <v>홀수</v>
      </c>
      <c r="AC155" s="52" t="str">
        <f t="shared" si="122"/>
        <v>3 : 3</v>
      </c>
      <c r="AD155" s="22">
        <f t="shared" si="123"/>
        <v>3</v>
      </c>
      <c r="AE155" s="22">
        <f t="shared" si="124"/>
        <v>3</v>
      </c>
      <c r="AF155" s="22" t="str">
        <f t="shared" si="132"/>
        <v>저수</v>
      </c>
      <c r="AG155" s="22" t="str">
        <f t="shared" si="133"/>
        <v>저수</v>
      </c>
      <c r="AH155" s="22" t="str">
        <f t="shared" si="134"/>
        <v>저수</v>
      </c>
      <c r="AI155" s="22" t="str">
        <f t="shared" si="135"/>
        <v>저수</v>
      </c>
      <c r="AJ155" s="22" t="str">
        <f t="shared" si="136"/>
        <v>저수</v>
      </c>
      <c r="AK155" s="22" t="str">
        <f t="shared" si="137"/>
        <v>저수</v>
      </c>
      <c r="AL155" s="52" t="str">
        <f t="shared" si="138"/>
        <v>6 : 0</v>
      </c>
      <c r="AM155" s="22">
        <f t="shared" si="139"/>
        <v>6</v>
      </c>
      <c r="AN155" s="22">
        <f t="shared" si="140"/>
        <v>0</v>
      </c>
      <c r="AO155" s="22">
        <f t="shared" si="141"/>
        <v>23</v>
      </c>
      <c r="AP155" s="22" t="str">
        <f t="shared" si="142"/>
        <v>X</v>
      </c>
      <c r="AQ155" s="22" t="str">
        <f t="shared" si="143"/>
        <v>O</v>
      </c>
      <c r="AR155" s="22" t="str">
        <f t="shared" si="144"/>
        <v>X</v>
      </c>
      <c r="AS155" s="22" t="str">
        <f t="shared" si="145"/>
        <v>O</v>
      </c>
      <c r="AT155" s="22" t="str">
        <f t="shared" si="146"/>
        <v>X</v>
      </c>
      <c r="AU155" s="22" t="str">
        <f t="shared" si="147"/>
        <v>O</v>
      </c>
      <c r="AV155" s="22" t="str">
        <f t="shared" si="148"/>
        <v>X</v>
      </c>
      <c r="AW155" s="22" t="str">
        <f t="shared" si="149"/>
        <v>X</v>
      </c>
      <c r="AX155" s="22" t="str">
        <f t="shared" si="150"/>
        <v>X</v>
      </c>
      <c r="AY155" s="22" t="str">
        <f t="shared" si="151"/>
        <v>X</v>
      </c>
      <c r="AZ155" s="22" t="str">
        <f t="shared" si="152"/>
        <v>X</v>
      </c>
      <c r="BA155" s="22" t="str">
        <f t="shared" si="153"/>
        <v>X</v>
      </c>
      <c r="BB155" s="22">
        <f t="shared" si="154"/>
        <v>3</v>
      </c>
      <c r="BC155" s="22" t="str">
        <f t="shared" si="125"/>
        <v>1G</v>
      </c>
      <c r="BD155" s="22" t="str">
        <f t="shared" si="126"/>
        <v>1G</v>
      </c>
      <c r="BE155" s="22" t="str">
        <f t="shared" si="127"/>
        <v>1G</v>
      </c>
      <c r="BF155" s="22" t="str">
        <f t="shared" si="128"/>
        <v>1G</v>
      </c>
      <c r="BG155" s="22" t="str">
        <f t="shared" si="129"/>
        <v>2G</v>
      </c>
      <c r="BH155" s="22" t="str">
        <f t="shared" si="130"/>
        <v>2G</v>
      </c>
      <c r="BI155" s="22">
        <f t="shared" si="155"/>
        <v>4</v>
      </c>
      <c r="BJ155" s="22">
        <f t="shared" si="156"/>
        <v>2</v>
      </c>
      <c r="BK155" s="22">
        <f t="shared" si="157"/>
        <v>0</v>
      </c>
      <c r="BL155" s="22" t="str">
        <f t="shared" si="158"/>
        <v>420</v>
      </c>
      <c r="BS155"/>
      <c r="CL155" s="23">
        <v>123</v>
      </c>
      <c r="CM155" s="23">
        <v>120</v>
      </c>
      <c r="CO155"/>
    </row>
    <row r="156" spans="2:93" ht="17" hidden="1">
      <c r="B156" s="15">
        <v>152</v>
      </c>
      <c r="C156" s="23" t="s">
        <v>182</v>
      </c>
      <c r="D156" s="16">
        <v>5</v>
      </c>
      <c r="E156" s="17">
        <v>2278131840</v>
      </c>
      <c r="F156" s="16">
        <v>30</v>
      </c>
      <c r="G156" s="17">
        <v>63281440</v>
      </c>
      <c r="H156" s="17">
        <v>1184</v>
      </c>
      <c r="I156" s="17">
        <v>1603415</v>
      </c>
      <c r="J156" s="17">
        <v>60282</v>
      </c>
      <c r="K156" s="17">
        <v>62986</v>
      </c>
      <c r="L156" s="17">
        <v>1021147</v>
      </c>
      <c r="M156" s="17">
        <v>5000</v>
      </c>
      <c r="N156" s="23">
        <v>1</v>
      </c>
      <c r="O156" s="23">
        <v>5</v>
      </c>
      <c r="P156" s="23">
        <v>13</v>
      </c>
      <c r="Q156" s="23">
        <v>26</v>
      </c>
      <c r="R156" s="23">
        <v>29</v>
      </c>
      <c r="S156" s="23">
        <v>34</v>
      </c>
      <c r="T156" s="23">
        <v>43</v>
      </c>
      <c r="U156" s="23">
        <f t="shared" si="131"/>
        <v>108</v>
      </c>
      <c r="W156" s="22" t="str">
        <f t="shared" si="116"/>
        <v>홀수</v>
      </c>
      <c r="X156" s="22" t="str">
        <f t="shared" si="117"/>
        <v>홀수</v>
      </c>
      <c r="Y156" s="22" t="str">
        <f t="shared" si="118"/>
        <v>홀수</v>
      </c>
      <c r="Z156" s="22" t="str">
        <f t="shared" si="119"/>
        <v>짝수</v>
      </c>
      <c r="AA156" s="22" t="str">
        <f t="shared" si="120"/>
        <v>홀수</v>
      </c>
      <c r="AB156" s="22" t="str">
        <f t="shared" si="121"/>
        <v>짝수</v>
      </c>
      <c r="AC156" s="52" t="str">
        <f t="shared" si="122"/>
        <v>4 : 2</v>
      </c>
      <c r="AD156" s="22">
        <f t="shared" si="123"/>
        <v>4</v>
      </c>
      <c r="AE156" s="22">
        <f t="shared" si="124"/>
        <v>2</v>
      </c>
      <c r="AF156" s="22" t="str">
        <f t="shared" si="132"/>
        <v>저수</v>
      </c>
      <c r="AG156" s="22" t="str">
        <f t="shared" si="133"/>
        <v>저수</v>
      </c>
      <c r="AH156" s="22" t="str">
        <f t="shared" si="134"/>
        <v>저수</v>
      </c>
      <c r="AI156" s="22" t="str">
        <f t="shared" si="135"/>
        <v>고수</v>
      </c>
      <c r="AJ156" s="22" t="str">
        <f t="shared" si="136"/>
        <v>고수</v>
      </c>
      <c r="AK156" s="22" t="str">
        <f t="shared" si="137"/>
        <v>고수</v>
      </c>
      <c r="AL156" s="52" t="str">
        <f t="shared" si="138"/>
        <v>3 : 3</v>
      </c>
      <c r="AM156" s="22">
        <f t="shared" si="139"/>
        <v>3</v>
      </c>
      <c r="AN156" s="22">
        <f t="shared" si="140"/>
        <v>3</v>
      </c>
      <c r="AO156" s="22">
        <f t="shared" si="141"/>
        <v>28</v>
      </c>
      <c r="AP156" s="22" t="str">
        <f t="shared" si="142"/>
        <v>X</v>
      </c>
      <c r="AQ156" s="22" t="str">
        <f t="shared" si="143"/>
        <v>O</v>
      </c>
      <c r="AR156" s="22" t="str">
        <f t="shared" si="144"/>
        <v>O</v>
      </c>
      <c r="AS156" s="22" t="str">
        <f t="shared" si="145"/>
        <v>X</v>
      </c>
      <c r="AT156" s="22" t="str">
        <f t="shared" si="146"/>
        <v>X</v>
      </c>
      <c r="AU156" s="22" t="str">
        <f t="shared" si="147"/>
        <v>X</v>
      </c>
      <c r="AV156" s="22" t="str">
        <f t="shared" si="148"/>
        <v>X</v>
      </c>
      <c r="AW156" s="22" t="str">
        <f t="shared" si="149"/>
        <v>X</v>
      </c>
      <c r="AX156" s="22" t="str">
        <f t="shared" si="150"/>
        <v>X</v>
      </c>
      <c r="AY156" s="22" t="str">
        <f t="shared" si="151"/>
        <v>X</v>
      </c>
      <c r="AZ156" s="22" t="str">
        <f t="shared" si="152"/>
        <v>O</v>
      </c>
      <c r="BA156" s="22" t="str">
        <f t="shared" si="153"/>
        <v>X</v>
      </c>
      <c r="BB156" s="22">
        <f t="shared" si="154"/>
        <v>3</v>
      </c>
      <c r="BC156" s="22" t="str">
        <f t="shared" si="125"/>
        <v>1G</v>
      </c>
      <c r="BD156" s="22" t="str">
        <f t="shared" si="126"/>
        <v>1G</v>
      </c>
      <c r="BE156" s="22" t="str">
        <f t="shared" si="127"/>
        <v>1G</v>
      </c>
      <c r="BF156" s="22" t="str">
        <f t="shared" si="128"/>
        <v>2G</v>
      </c>
      <c r="BG156" s="22" t="str">
        <f t="shared" si="129"/>
        <v>2G</v>
      </c>
      <c r="BH156" s="22" t="str">
        <f t="shared" si="130"/>
        <v>3G</v>
      </c>
      <c r="BI156" s="22">
        <f t="shared" si="155"/>
        <v>3</v>
      </c>
      <c r="BJ156" s="22">
        <f t="shared" si="156"/>
        <v>2</v>
      </c>
      <c r="BK156" s="22">
        <f t="shared" si="157"/>
        <v>1</v>
      </c>
      <c r="BL156" s="22" t="str">
        <f t="shared" si="158"/>
        <v>321</v>
      </c>
      <c r="BS156"/>
      <c r="CL156" s="23">
        <v>123</v>
      </c>
      <c r="CM156" s="23">
        <v>120</v>
      </c>
      <c r="CO156"/>
    </row>
    <row r="157" spans="2:93" ht="17" hidden="1">
      <c r="B157" s="15">
        <v>153</v>
      </c>
      <c r="C157" s="23" t="s">
        <v>183</v>
      </c>
      <c r="D157" s="16">
        <v>4</v>
      </c>
      <c r="E157" s="17">
        <v>2730526125</v>
      </c>
      <c r="F157" s="16">
        <v>52</v>
      </c>
      <c r="G157" s="17">
        <v>35006746</v>
      </c>
      <c r="H157" s="17">
        <v>1446</v>
      </c>
      <c r="I157" s="17">
        <v>1258888</v>
      </c>
      <c r="J157" s="17">
        <v>71562</v>
      </c>
      <c r="K157" s="17">
        <v>50875</v>
      </c>
      <c r="L157" s="17">
        <v>1137072</v>
      </c>
      <c r="M157" s="17">
        <v>5000</v>
      </c>
      <c r="N157" s="23">
        <v>3</v>
      </c>
      <c r="O157" s="23">
        <v>8</v>
      </c>
      <c r="P157" s="23">
        <v>11</v>
      </c>
      <c r="Q157" s="23">
        <v>12</v>
      </c>
      <c r="R157" s="23">
        <v>13</v>
      </c>
      <c r="S157" s="23">
        <v>36</v>
      </c>
      <c r="T157" s="23">
        <v>33</v>
      </c>
      <c r="U157" s="23">
        <f t="shared" si="131"/>
        <v>83</v>
      </c>
      <c r="W157" s="22" t="str">
        <f t="shared" si="116"/>
        <v>홀수</v>
      </c>
      <c r="X157" s="22" t="str">
        <f t="shared" si="117"/>
        <v>짝수</v>
      </c>
      <c r="Y157" s="22" t="str">
        <f t="shared" si="118"/>
        <v>홀수</v>
      </c>
      <c r="Z157" s="22" t="str">
        <f t="shared" si="119"/>
        <v>짝수</v>
      </c>
      <c r="AA157" s="22" t="str">
        <f t="shared" si="120"/>
        <v>홀수</v>
      </c>
      <c r="AB157" s="22" t="str">
        <f t="shared" si="121"/>
        <v>짝수</v>
      </c>
      <c r="AC157" s="52" t="str">
        <f t="shared" si="122"/>
        <v>3 : 3</v>
      </c>
      <c r="AD157" s="22">
        <f t="shared" si="123"/>
        <v>3</v>
      </c>
      <c r="AE157" s="22">
        <f t="shared" si="124"/>
        <v>3</v>
      </c>
      <c r="AF157" s="22" t="str">
        <f t="shared" si="132"/>
        <v>저수</v>
      </c>
      <c r="AG157" s="22" t="str">
        <f t="shared" si="133"/>
        <v>저수</v>
      </c>
      <c r="AH157" s="22" t="str">
        <f t="shared" si="134"/>
        <v>저수</v>
      </c>
      <c r="AI157" s="22" t="str">
        <f t="shared" si="135"/>
        <v>저수</v>
      </c>
      <c r="AJ157" s="22" t="str">
        <f t="shared" si="136"/>
        <v>저수</v>
      </c>
      <c r="AK157" s="22" t="str">
        <f t="shared" si="137"/>
        <v>고수</v>
      </c>
      <c r="AL157" s="52" t="str">
        <f t="shared" si="138"/>
        <v>5 : 1</v>
      </c>
      <c r="AM157" s="22">
        <f t="shared" si="139"/>
        <v>5</v>
      </c>
      <c r="AN157" s="22">
        <f t="shared" si="140"/>
        <v>1</v>
      </c>
      <c r="AO157" s="22">
        <f t="shared" si="141"/>
        <v>23</v>
      </c>
      <c r="AP157" s="22" t="str">
        <f t="shared" si="142"/>
        <v>O</v>
      </c>
      <c r="AQ157" s="22" t="str">
        <f t="shared" si="143"/>
        <v>X</v>
      </c>
      <c r="AR157" s="22" t="str">
        <f t="shared" si="144"/>
        <v>O</v>
      </c>
      <c r="AS157" s="22" t="str">
        <f t="shared" si="145"/>
        <v>X</v>
      </c>
      <c r="AT157" s="22" t="str">
        <f t="shared" si="146"/>
        <v>O</v>
      </c>
      <c r="AU157" s="22" t="str">
        <f t="shared" si="147"/>
        <v>X</v>
      </c>
      <c r="AV157" s="22" t="str">
        <f t="shared" si="148"/>
        <v>X</v>
      </c>
      <c r="AW157" s="22" t="str">
        <f t="shared" si="149"/>
        <v>X</v>
      </c>
      <c r="AX157" s="22" t="str">
        <f t="shared" si="150"/>
        <v>X</v>
      </c>
      <c r="AY157" s="22" t="str">
        <f t="shared" si="151"/>
        <v>X</v>
      </c>
      <c r="AZ157" s="22" t="str">
        <f t="shared" si="152"/>
        <v>X</v>
      </c>
      <c r="BA157" s="22" t="str">
        <f t="shared" si="153"/>
        <v>X</v>
      </c>
      <c r="BB157" s="22">
        <f t="shared" si="154"/>
        <v>3</v>
      </c>
      <c r="BC157" s="22" t="str">
        <f t="shared" si="125"/>
        <v>1G</v>
      </c>
      <c r="BD157" s="22" t="str">
        <f t="shared" si="126"/>
        <v>1G</v>
      </c>
      <c r="BE157" s="22" t="str">
        <f t="shared" si="127"/>
        <v>1G</v>
      </c>
      <c r="BF157" s="22" t="str">
        <f t="shared" si="128"/>
        <v>1G</v>
      </c>
      <c r="BG157" s="22" t="str">
        <f t="shared" si="129"/>
        <v>1G</v>
      </c>
      <c r="BH157" s="22" t="str">
        <f t="shared" si="130"/>
        <v>3G</v>
      </c>
      <c r="BI157" s="22">
        <f t="shared" si="155"/>
        <v>5</v>
      </c>
      <c r="BJ157" s="22">
        <f t="shared" si="156"/>
        <v>0</v>
      </c>
      <c r="BK157" s="22">
        <f t="shared" si="157"/>
        <v>1</v>
      </c>
      <c r="BL157" s="22" t="str">
        <f t="shared" si="158"/>
        <v>501</v>
      </c>
      <c r="BS157"/>
      <c r="CL157" s="23">
        <v>124</v>
      </c>
      <c r="CM157" s="23">
        <v>120</v>
      </c>
      <c r="CO157"/>
    </row>
    <row r="158" spans="2:93" ht="17" hidden="1">
      <c r="B158" s="15">
        <v>154</v>
      </c>
      <c r="C158" s="23" t="s">
        <v>184</v>
      </c>
      <c r="D158" s="16">
        <v>4</v>
      </c>
      <c r="E158" s="17">
        <v>2836628700</v>
      </c>
      <c r="F158" s="16">
        <v>32</v>
      </c>
      <c r="G158" s="17">
        <v>59096432</v>
      </c>
      <c r="H158" s="17">
        <v>1189</v>
      </c>
      <c r="I158" s="17">
        <v>1590485</v>
      </c>
      <c r="J158" s="17">
        <v>60181</v>
      </c>
      <c r="K158" s="17">
        <v>62847</v>
      </c>
      <c r="L158" s="17">
        <v>1020067</v>
      </c>
      <c r="M158" s="17">
        <v>5000</v>
      </c>
      <c r="N158" s="23">
        <v>6</v>
      </c>
      <c r="O158" s="23">
        <v>19</v>
      </c>
      <c r="P158" s="23">
        <v>21</v>
      </c>
      <c r="Q158" s="23">
        <v>35</v>
      </c>
      <c r="R158" s="23">
        <v>40</v>
      </c>
      <c r="S158" s="23">
        <v>45</v>
      </c>
      <c r="T158" s="23">
        <v>20</v>
      </c>
      <c r="U158" s="23">
        <f t="shared" si="131"/>
        <v>166</v>
      </c>
      <c r="W158" s="22" t="str">
        <f t="shared" si="116"/>
        <v>짝수</v>
      </c>
      <c r="X158" s="22" t="str">
        <f t="shared" si="117"/>
        <v>홀수</v>
      </c>
      <c r="Y158" s="22" t="str">
        <f t="shared" si="118"/>
        <v>홀수</v>
      </c>
      <c r="Z158" s="22" t="str">
        <f t="shared" si="119"/>
        <v>홀수</v>
      </c>
      <c r="AA158" s="22" t="str">
        <f t="shared" si="120"/>
        <v>짝수</v>
      </c>
      <c r="AB158" s="22" t="str">
        <f t="shared" si="121"/>
        <v>홀수</v>
      </c>
      <c r="AC158" s="52" t="str">
        <f t="shared" si="122"/>
        <v>4 : 2</v>
      </c>
      <c r="AD158" s="22">
        <f t="shared" si="123"/>
        <v>4</v>
      </c>
      <c r="AE158" s="22">
        <f t="shared" si="124"/>
        <v>2</v>
      </c>
      <c r="AF158" s="22" t="str">
        <f t="shared" si="132"/>
        <v>저수</v>
      </c>
      <c r="AG158" s="22" t="str">
        <f t="shared" si="133"/>
        <v>저수</v>
      </c>
      <c r="AH158" s="22" t="str">
        <f t="shared" si="134"/>
        <v>저수</v>
      </c>
      <c r="AI158" s="22" t="str">
        <f t="shared" si="135"/>
        <v>고수</v>
      </c>
      <c r="AJ158" s="22" t="str">
        <f t="shared" si="136"/>
        <v>고수</v>
      </c>
      <c r="AK158" s="22" t="str">
        <f t="shared" si="137"/>
        <v>고수</v>
      </c>
      <c r="AL158" s="52" t="str">
        <f t="shared" si="138"/>
        <v>3 : 3</v>
      </c>
      <c r="AM158" s="22">
        <f t="shared" si="139"/>
        <v>3</v>
      </c>
      <c r="AN158" s="22">
        <f t="shared" si="140"/>
        <v>3</v>
      </c>
      <c r="AO158" s="22">
        <f t="shared" si="141"/>
        <v>26</v>
      </c>
      <c r="AP158" s="22" t="str">
        <f t="shared" si="142"/>
        <v>X</v>
      </c>
      <c r="AQ158" s="22" t="str">
        <f t="shared" si="143"/>
        <v>O</v>
      </c>
      <c r="AR158" s="22" t="str">
        <f t="shared" si="144"/>
        <v>X</v>
      </c>
      <c r="AS158" s="22" t="str">
        <f t="shared" si="145"/>
        <v>X</v>
      </c>
      <c r="AT158" s="22" t="str">
        <f t="shared" si="146"/>
        <v>X</v>
      </c>
      <c r="AU158" s="22" t="str">
        <f t="shared" si="147"/>
        <v>X</v>
      </c>
      <c r="AV158" s="22" t="str">
        <f t="shared" si="148"/>
        <v>X</v>
      </c>
      <c r="AW158" s="22" t="str">
        <f t="shared" si="149"/>
        <v>X</v>
      </c>
      <c r="AX158" s="22" t="str">
        <f t="shared" si="150"/>
        <v>X</v>
      </c>
      <c r="AY158" s="22" t="str">
        <f t="shared" si="151"/>
        <v>X</v>
      </c>
      <c r="AZ158" s="22" t="str">
        <f t="shared" si="152"/>
        <v>X</v>
      </c>
      <c r="BA158" s="22" t="str">
        <f t="shared" si="153"/>
        <v>X</v>
      </c>
      <c r="BB158" s="22">
        <f t="shared" si="154"/>
        <v>1</v>
      </c>
      <c r="BC158" s="22" t="str">
        <f t="shared" si="125"/>
        <v>1G</v>
      </c>
      <c r="BD158" s="22" t="str">
        <f t="shared" si="126"/>
        <v>2G</v>
      </c>
      <c r="BE158" s="22" t="str">
        <f t="shared" si="127"/>
        <v>2G</v>
      </c>
      <c r="BF158" s="22" t="str">
        <f t="shared" si="128"/>
        <v>3G</v>
      </c>
      <c r="BG158" s="22" t="str">
        <f t="shared" si="129"/>
        <v>3G</v>
      </c>
      <c r="BH158" s="22" t="str">
        <f t="shared" si="130"/>
        <v>3G</v>
      </c>
      <c r="BI158" s="22">
        <f t="shared" si="155"/>
        <v>1</v>
      </c>
      <c r="BJ158" s="22">
        <f t="shared" si="156"/>
        <v>2</v>
      </c>
      <c r="BK158" s="22">
        <f t="shared" si="157"/>
        <v>3</v>
      </c>
      <c r="BL158" s="22" t="str">
        <f t="shared" si="158"/>
        <v>123</v>
      </c>
      <c r="BS158"/>
      <c r="CL158" s="23">
        <v>124</v>
      </c>
      <c r="CM158" s="23">
        <v>120</v>
      </c>
      <c r="CO158"/>
    </row>
    <row r="159" spans="2:93" ht="17" hidden="1">
      <c r="B159" s="15">
        <v>155</v>
      </c>
      <c r="C159" s="23" t="s">
        <v>185</v>
      </c>
      <c r="D159" s="16">
        <v>9</v>
      </c>
      <c r="E159" s="17">
        <v>1193005734</v>
      </c>
      <c r="F159" s="16">
        <v>37</v>
      </c>
      <c r="G159" s="17">
        <v>48365098</v>
      </c>
      <c r="H159" s="17">
        <v>1287</v>
      </c>
      <c r="I159" s="17">
        <v>1390450</v>
      </c>
      <c r="J159" s="17">
        <v>62882</v>
      </c>
      <c r="K159" s="17">
        <v>56917</v>
      </c>
      <c r="L159" s="17">
        <v>1035003</v>
      </c>
      <c r="M159" s="17">
        <v>5000</v>
      </c>
      <c r="N159" s="23">
        <v>16</v>
      </c>
      <c r="O159" s="23">
        <v>19</v>
      </c>
      <c r="P159" s="23">
        <v>20</v>
      </c>
      <c r="Q159" s="23">
        <v>32</v>
      </c>
      <c r="R159" s="23">
        <v>33</v>
      </c>
      <c r="S159" s="23">
        <v>41</v>
      </c>
      <c r="T159" s="23">
        <v>4</v>
      </c>
      <c r="U159" s="23">
        <f t="shared" si="131"/>
        <v>161</v>
      </c>
      <c r="W159" s="22" t="str">
        <f t="shared" si="116"/>
        <v>짝수</v>
      </c>
      <c r="X159" s="22" t="str">
        <f t="shared" si="117"/>
        <v>홀수</v>
      </c>
      <c r="Y159" s="22" t="str">
        <f t="shared" si="118"/>
        <v>짝수</v>
      </c>
      <c r="Z159" s="22" t="str">
        <f t="shared" si="119"/>
        <v>짝수</v>
      </c>
      <c r="AA159" s="22" t="str">
        <f t="shared" si="120"/>
        <v>홀수</v>
      </c>
      <c r="AB159" s="22" t="str">
        <f t="shared" si="121"/>
        <v>홀수</v>
      </c>
      <c r="AC159" s="52" t="str">
        <f t="shared" si="122"/>
        <v>3 : 3</v>
      </c>
      <c r="AD159" s="22">
        <f t="shared" si="123"/>
        <v>3</v>
      </c>
      <c r="AE159" s="22">
        <f t="shared" si="124"/>
        <v>3</v>
      </c>
      <c r="AF159" s="22" t="str">
        <f t="shared" si="132"/>
        <v>저수</v>
      </c>
      <c r="AG159" s="22" t="str">
        <f t="shared" si="133"/>
        <v>저수</v>
      </c>
      <c r="AH159" s="22" t="str">
        <f t="shared" si="134"/>
        <v>저수</v>
      </c>
      <c r="AI159" s="22" t="str">
        <f t="shared" si="135"/>
        <v>고수</v>
      </c>
      <c r="AJ159" s="22" t="str">
        <f t="shared" si="136"/>
        <v>고수</v>
      </c>
      <c r="AK159" s="22" t="str">
        <f t="shared" si="137"/>
        <v>고수</v>
      </c>
      <c r="AL159" s="52" t="str">
        <f t="shared" si="138"/>
        <v>3 : 3</v>
      </c>
      <c r="AM159" s="22">
        <f t="shared" si="139"/>
        <v>3</v>
      </c>
      <c r="AN159" s="22">
        <f t="shared" si="140"/>
        <v>3</v>
      </c>
      <c r="AO159" s="22">
        <f t="shared" si="141"/>
        <v>21</v>
      </c>
      <c r="AP159" s="22" t="str">
        <f t="shared" si="142"/>
        <v>X</v>
      </c>
      <c r="AQ159" s="22" t="str">
        <f t="shared" si="143"/>
        <v>O</v>
      </c>
      <c r="AR159" s="22" t="str">
        <f t="shared" si="144"/>
        <v>X</v>
      </c>
      <c r="AS159" s="22" t="str">
        <f t="shared" si="145"/>
        <v>X</v>
      </c>
      <c r="AT159" s="22" t="str">
        <f t="shared" si="146"/>
        <v>X</v>
      </c>
      <c r="AU159" s="22" t="str">
        <f t="shared" si="147"/>
        <v>X</v>
      </c>
      <c r="AV159" s="22" t="str">
        <f t="shared" si="148"/>
        <v>X</v>
      </c>
      <c r="AW159" s="22" t="str">
        <f t="shared" si="149"/>
        <v>X</v>
      </c>
      <c r="AX159" s="22" t="str">
        <f t="shared" si="150"/>
        <v>X</v>
      </c>
      <c r="AY159" s="22" t="str">
        <f t="shared" si="151"/>
        <v>X</v>
      </c>
      <c r="AZ159" s="22" t="str">
        <f t="shared" si="152"/>
        <v>X</v>
      </c>
      <c r="BA159" s="22" t="str">
        <f t="shared" si="153"/>
        <v>O</v>
      </c>
      <c r="BB159" s="22">
        <f t="shared" si="154"/>
        <v>2</v>
      </c>
      <c r="BC159" s="22" t="str">
        <f t="shared" si="125"/>
        <v>2G</v>
      </c>
      <c r="BD159" s="22" t="str">
        <f t="shared" si="126"/>
        <v>2G</v>
      </c>
      <c r="BE159" s="22" t="str">
        <f t="shared" si="127"/>
        <v>2G</v>
      </c>
      <c r="BF159" s="22" t="str">
        <f t="shared" si="128"/>
        <v>3G</v>
      </c>
      <c r="BG159" s="22" t="str">
        <f t="shared" si="129"/>
        <v>3G</v>
      </c>
      <c r="BH159" s="22" t="str">
        <f t="shared" si="130"/>
        <v>3G</v>
      </c>
      <c r="BI159" s="22">
        <f t="shared" si="155"/>
        <v>0</v>
      </c>
      <c r="BJ159" s="22">
        <f t="shared" si="156"/>
        <v>3</v>
      </c>
      <c r="BK159" s="22">
        <f t="shared" si="157"/>
        <v>3</v>
      </c>
      <c r="BL159" s="22" t="str">
        <f t="shared" si="158"/>
        <v>033</v>
      </c>
      <c r="BS159"/>
      <c r="CL159" s="23">
        <v>124</v>
      </c>
      <c r="CM159" s="23">
        <v>120</v>
      </c>
      <c r="CO159"/>
    </row>
    <row r="160" spans="2:93" ht="17" hidden="1">
      <c r="B160" s="15">
        <v>156</v>
      </c>
      <c r="C160" s="23" t="s">
        <v>186</v>
      </c>
      <c r="D160" s="16">
        <v>8</v>
      </c>
      <c r="E160" s="17">
        <v>1401099900</v>
      </c>
      <c r="F160" s="16">
        <v>30</v>
      </c>
      <c r="G160" s="17">
        <v>62271107</v>
      </c>
      <c r="H160" s="17">
        <v>1230</v>
      </c>
      <c r="I160" s="17">
        <v>1518808</v>
      </c>
      <c r="J160" s="17">
        <v>59506</v>
      </c>
      <c r="K160" s="17">
        <v>62789</v>
      </c>
      <c r="L160" s="17">
        <v>998192</v>
      </c>
      <c r="M160" s="17">
        <v>5000</v>
      </c>
      <c r="N160" s="23">
        <v>5</v>
      </c>
      <c r="O160" s="23">
        <v>18</v>
      </c>
      <c r="P160" s="23">
        <v>28</v>
      </c>
      <c r="Q160" s="23">
        <v>30</v>
      </c>
      <c r="R160" s="23">
        <v>42</v>
      </c>
      <c r="S160" s="23">
        <v>45</v>
      </c>
      <c r="T160" s="23">
        <v>2</v>
      </c>
      <c r="U160" s="23">
        <f t="shared" si="131"/>
        <v>168</v>
      </c>
      <c r="W160" s="22" t="str">
        <f t="shared" si="116"/>
        <v>홀수</v>
      </c>
      <c r="X160" s="22" t="str">
        <f t="shared" si="117"/>
        <v>짝수</v>
      </c>
      <c r="Y160" s="22" t="str">
        <f t="shared" si="118"/>
        <v>짝수</v>
      </c>
      <c r="Z160" s="22" t="str">
        <f t="shared" si="119"/>
        <v>짝수</v>
      </c>
      <c r="AA160" s="22" t="str">
        <f t="shared" si="120"/>
        <v>짝수</v>
      </c>
      <c r="AB160" s="22" t="str">
        <f t="shared" si="121"/>
        <v>홀수</v>
      </c>
      <c r="AC160" s="52" t="str">
        <f t="shared" si="122"/>
        <v>2 : 4</v>
      </c>
      <c r="AD160" s="22">
        <f t="shared" si="123"/>
        <v>2</v>
      </c>
      <c r="AE160" s="22">
        <f t="shared" si="124"/>
        <v>4</v>
      </c>
      <c r="AF160" s="22" t="str">
        <f t="shared" si="132"/>
        <v>저수</v>
      </c>
      <c r="AG160" s="22" t="str">
        <f t="shared" si="133"/>
        <v>저수</v>
      </c>
      <c r="AH160" s="22" t="str">
        <f t="shared" si="134"/>
        <v>고수</v>
      </c>
      <c r="AI160" s="22" t="str">
        <f t="shared" si="135"/>
        <v>고수</v>
      </c>
      <c r="AJ160" s="22" t="str">
        <f t="shared" si="136"/>
        <v>고수</v>
      </c>
      <c r="AK160" s="22" t="str">
        <f t="shared" si="137"/>
        <v>고수</v>
      </c>
      <c r="AL160" s="52" t="str">
        <f t="shared" si="138"/>
        <v>2 : 4</v>
      </c>
      <c r="AM160" s="22">
        <f t="shared" si="139"/>
        <v>2</v>
      </c>
      <c r="AN160" s="22">
        <f t="shared" si="140"/>
        <v>4</v>
      </c>
      <c r="AO160" s="22">
        <f t="shared" si="141"/>
        <v>28</v>
      </c>
      <c r="AP160" s="22" t="str">
        <f t="shared" si="142"/>
        <v>O</v>
      </c>
      <c r="AQ160" s="22" t="str">
        <f t="shared" si="143"/>
        <v>X</v>
      </c>
      <c r="AR160" s="22" t="str">
        <f t="shared" si="144"/>
        <v>X</v>
      </c>
      <c r="AS160" s="22" t="str">
        <f t="shared" si="145"/>
        <v>X</v>
      </c>
      <c r="AT160" s="22" t="str">
        <f t="shared" si="146"/>
        <v>X</v>
      </c>
      <c r="AU160" s="22" t="str">
        <f t="shared" si="147"/>
        <v>X</v>
      </c>
      <c r="AV160" s="22" t="str">
        <f t="shared" si="148"/>
        <v>X</v>
      </c>
      <c r="AW160" s="22" t="str">
        <f t="shared" si="149"/>
        <v>X</v>
      </c>
      <c r="AX160" s="22" t="str">
        <f t="shared" si="150"/>
        <v>X</v>
      </c>
      <c r="AY160" s="22" t="str">
        <f t="shared" si="151"/>
        <v>X</v>
      </c>
      <c r="AZ160" s="22" t="str">
        <f t="shared" si="152"/>
        <v>X</v>
      </c>
      <c r="BA160" s="22" t="str">
        <f t="shared" si="153"/>
        <v>X</v>
      </c>
      <c r="BB160" s="22">
        <f t="shared" si="154"/>
        <v>1</v>
      </c>
      <c r="BC160" s="22" t="str">
        <f t="shared" si="125"/>
        <v>1G</v>
      </c>
      <c r="BD160" s="22" t="str">
        <f t="shared" si="126"/>
        <v>2G</v>
      </c>
      <c r="BE160" s="22" t="str">
        <f t="shared" si="127"/>
        <v>2G</v>
      </c>
      <c r="BF160" s="22" t="str">
        <f t="shared" si="128"/>
        <v>2G</v>
      </c>
      <c r="BG160" s="22" t="str">
        <f t="shared" si="129"/>
        <v>3G</v>
      </c>
      <c r="BH160" s="22" t="str">
        <f t="shared" si="130"/>
        <v>3G</v>
      </c>
      <c r="BI160" s="22">
        <f t="shared" si="155"/>
        <v>1</v>
      </c>
      <c r="BJ160" s="22">
        <f t="shared" si="156"/>
        <v>3</v>
      </c>
      <c r="BK160" s="22">
        <f t="shared" si="157"/>
        <v>2</v>
      </c>
      <c r="BL160" s="22" t="str">
        <f t="shared" si="158"/>
        <v>132</v>
      </c>
      <c r="BS160"/>
      <c r="CL160" s="23">
        <v>124</v>
      </c>
      <c r="CM160" s="23">
        <v>120</v>
      </c>
      <c r="CO160"/>
    </row>
    <row r="161" spans="1:93" ht="17" hidden="1">
      <c r="B161" s="15">
        <v>157</v>
      </c>
      <c r="C161" s="23" t="s">
        <v>187</v>
      </c>
      <c r="D161" s="16">
        <v>2</v>
      </c>
      <c r="E161" s="17">
        <v>5484903750</v>
      </c>
      <c r="F161" s="16">
        <v>28</v>
      </c>
      <c r="G161" s="17">
        <v>65296474</v>
      </c>
      <c r="H161" s="17">
        <v>1155</v>
      </c>
      <c r="I161" s="17">
        <v>1582945</v>
      </c>
      <c r="J161" s="17">
        <v>61650</v>
      </c>
      <c r="K161" s="17">
        <v>59313</v>
      </c>
      <c r="L161" s="17">
        <v>1028734</v>
      </c>
      <c r="M161" s="17">
        <v>5000</v>
      </c>
      <c r="N161" s="23">
        <v>19</v>
      </c>
      <c r="O161" s="23">
        <v>26</v>
      </c>
      <c r="P161" s="23">
        <v>30</v>
      </c>
      <c r="Q161" s="23">
        <v>33</v>
      </c>
      <c r="R161" s="23">
        <v>35</v>
      </c>
      <c r="S161" s="23">
        <v>39</v>
      </c>
      <c r="T161" s="23">
        <v>37</v>
      </c>
      <c r="U161" s="23">
        <f t="shared" si="131"/>
        <v>182</v>
      </c>
      <c r="W161" s="22" t="str">
        <f t="shared" si="116"/>
        <v>홀수</v>
      </c>
      <c r="X161" s="22" t="str">
        <f t="shared" si="117"/>
        <v>짝수</v>
      </c>
      <c r="Y161" s="22" t="str">
        <f t="shared" si="118"/>
        <v>짝수</v>
      </c>
      <c r="Z161" s="22" t="str">
        <f t="shared" si="119"/>
        <v>홀수</v>
      </c>
      <c r="AA161" s="22" t="str">
        <f t="shared" si="120"/>
        <v>홀수</v>
      </c>
      <c r="AB161" s="22" t="str">
        <f t="shared" si="121"/>
        <v>홀수</v>
      </c>
      <c r="AC161" s="52" t="str">
        <f t="shared" si="122"/>
        <v>4 : 2</v>
      </c>
      <c r="AD161" s="22">
        <f t="shared" si="123"/>
        <v>4</v>
      </c>
      <c r="AE161" s="22">
        <f t="shared" si="124"/>
        <v>2</v>
      </c>
      <c r="AF161" s="22" t="str">
        <f t="shared" si="132"/>
        <v>저수</v>
      </c>
      <c r="AG161" s="22" t="str">
        <f t="shared" si="133"/>
        <v>고수</v>
      </c>
      <c r="AH161" s="22" t="str">
        <f t="shared" si="134"/>
        <v>고수</v>
      </c>
      <c r="AI161" s="22" t="str">
        <f t="shared" si="135"/>
        <v>고수</v>
      </c>
      <c r="AJ161" s="22" t="str">
        <f t="shared" si="136"/>
        <v>고수</v>
      </c>
      <c r="AK161" s="22" t="str">
        <f t="shared" si="137"/>
        <v>고수</v>
      </c>
      <c r="AL161" s="52" t="str">
        <f t="shared" si="138"/>
        <v>1 : 5</v>
      </c>
      <c r="AM161" s="22">
        <f t="shared" si="139"/>
        <v>1</v>
      </c>
      <c r="AN161" s="22">
        <f t="shared" si="140"/>
        <v>5</v>
      </c>
      <c r="AO161" s="22">
        <f t="shared" si="141"/>
        <v>32</v>
      </c>
      <c r="AP161" s="22" t="str">
        <f t="shared" si="142"/>
        <v>O</v>
      </c>
      <c r="AQ161" s="22" t="str">
        <f t="shared" si="143"/>
        <v>X</v>
      </c>
      <c r="AR161" s="22" t="str">
        <f t="shared" si="144"/>
        <v>X</v>
      </c>
      <c r="AS161" s="22" t="str">
        <f t="shared" si="145"/>
        <v>X</v>
      </c>
      <c r="AT161" s="22" t="str">
        <f t="shared" si="146"/>
        <v>X</v>
      </c>
      <c r="AU161" s="22" t="str">
        <f t="shared" si="147"/>
        <v>X</v>
      </c>
      <c r="AV161" s="22" t="str">
        <f t="shared" si="148"/>
        <v>X</v>
      </c>
      <c r="AW161" s="22" t="str">
        <f t="shared" si="149"/>
        <v>X</v>
      </c>
      <c r="AX161" s="22" t="str">
        <f t="shared" si="150"/>
        <v>X</v>
      </c>
      <c r="AY161" s="22" t="str">
        <f t="shared" si="151"/>
        <v>X</v>
      </c>
      <c r="AZ161" s="22" t="str">
        <f t="shared" si="152"/>
        <v>X</v>
      </c>
      <c r="BA161" s="22" t="str">
        <f t="shared" si="153"/>
        <v>X</v>
      </c>
      <c r="BB161" s="22">
        <f t="shared" si="154"/>
        <v>1</v>
      </c>
      <c r="BC161" s="22" t="str">
        <f t="shared" si="125"/>
        <v>2G</v>
      </c>
      <c r="BD161" s="22" t="str">
        <f t="shared" si="126"/>
        <v>2G</v>
      </c>
      <c r="BE161" s="22" t="str">
        <f t="shared" si="127"/>
        <v>2G</v>
      </c>
      <c r="BF161" s="22" t="str">
        <f t="shared" si="128"/>
        <v>3G</v>
      </c>
      <c r="BG161" s="22" t="str">
        <f t="shared" si="129"/>
        <v>3G</v>
      </c>
      <c r="BH161" s="22" t="str">
        <f t="shared" si="130"/>
        <v>3G</v>
      </c>
      <c r="BI161" s="22">
        <f t="shared" si="155"/>
        <v>0</v>
      </c>
      <c r="BJ161" s="22">
        <f t="shared" si="156"/>
        <v>3</v>
      </c>
      <c r="BK161" s="22">
        <f t="shared" si="157"/>
        <v>3</v>
      </c>
      <c r="BL161" s="22" t="str">
        <f t="shared" si="158"/>
        <v>033</v>
      </c>
      <c r="BS161"/>
      <c r="CL161" s="23">
        <v>124</v>
      </c>
      <c r="CM161" s="23">
        <v>120</v>
      </c>
      <c r="CO161"/>
    </row>
    <row r="162" spans="1:93" ht="17" hidden="1">
      <c r="B162" s="15">
        <v>158</v>
      </c>
      <c r="C162" s="23" t="s">
        <v>188</v>
      </c>
      <c r="D162" s="16">
        <v>10</v>
      </c>
      <c r="E162" s="17">
        <v>1069544340</v>
      </c>
      <c r="F162" s="16">
        <v>45</v>
      </c>
      <c r="G162" s="17">
        <v>39612754</v>
      </c>
      <c r="H162" s="17">
        <v>1516</v>
      </c>
      <c r="I162" s="17">
        <v>1175841</v>
      </c>
      <c r="J162" s="17">
        <v>67910</v>
      </c>
      <c r="K162" s="17">
        <v>52499</v>
      </c>
      <c r="L162" s="17">
        <v>1071741</v>
      </c>
      <c r="M162" s="17">
        <v>5000</v>
      </c>
      <c r="N162" s="23">
        <v>4</v>
      </c>
      <c r="O162" s="23">
        <v>9</v>
      </c>
      <c r="P162" s="23">
        <v>13</v>
      </c>
      <c r="Q162" s="23">
        <v>18</v>
      </c>
      <c r="R162" s="23">
        <v>21</v>
      </c>
      <c r="S162" s="23">
        <v>34</v>
      </c>
      <c r="T162" s="23">
        <v>7</v>
      </c>
      <c r="U162" s="23">
        <f t="shared" si="131"/>
        <v>99</v>
      </c>
      <c r="W162" s="22" t="str">
        <f t="shared" si="116"/>
        <v>짝수</v>
      </c>
      <c r="X162" s="22" t="str">
        <f t="shared" si="117"/>
        <v>홀수</v>
      </c>
      <c r="Y162" s="22" t="str">
        <f t="shared" si="118"/>
        <v>홀수</v>
      </c>
      <c r="Z162" s="22" t="str">
        <f t="shared" si="119"/>
        <v>짝수</v>
      </c>
      <c r="AA162" s="22" t="str">
        <f t="shared" si="120"/>
        <v>홀수</v>
      </c>
      <c r="AB162" s="22" t="str">
        <f t="shared" si="121"/>
        <v>짝수</v>
      </c>
      <c r="AC162" s="52" t="str">
        <f t="shared" si="122"/>
        <v>3 : 3</v>
      </c>
      <c r="AD162" s="22">
        <f t="shared" si="123"/>
        <v>3</v>
      </c>
      <c r="AE162" s="22">
        <f t="shared" si="124"/>
        <v>3</v>
      </c>
      <c r="AF162" s="22" t="str">
        <f t="shared" si="132"/>
        <v>저수</v>
      </c>
      <c r="AG162" s="22" t="str">
        <f t="shared" si="133"/>
        <v>저수</v>
      </c>
      <c r="AH162" s="22" t="str">
        <f t="shared" si="134"/>
        <v>저수</v>
      </c>
      <c r="AI162" s="22" t="str">
        <f t="shared" si="135"/>
        <v>저수</v>
      </c>
      <c r="AJ162" s="22" t="str">
        <f t="shared" si="136"/>
        <v>저수</v>
      </c>
      <c r="AK162" s="22" t="str">
        <f t="shared" si="137"/>
        <v>고수</v>
      </c>
      <c r="AL162" s="52" t="str">
        <f t="shared" si="138"/>
        <v>5 : 1</v>
      </c>
      <c r="AM162" s="22">
        <f t="shared" si="139"/>
        <v>5</v>
      </c>
      <c r="AN162" s="22">
        <f t="shared" si="140"/>
        <v>1</v>
      </c>
      <c r="AO162" s="22">
        <f t="shared" si="141"/>
        <v>29</v>
      </c>
      <c r="AP162" s="22" t="str">
        <f t="shared" si="142"/>
        <v>X</v>
      </c>
      <c r="AQ162" s="22" t="str">
        <f t="shared" si="143"/>
        <v>X</v>
      </c>
      <c r="AR162" s="22" t="str">
        <f t="shared" si="144"/>
        <v>O</v>
      </c>
      <c r="AS162" s="22" t="str">
        <f t="shared" si="145"/>
        <v>X</v>
      </c>
      <c r="AT162" s="22" t="str">
        <f t="shared" si="146"/>
        <v>X</v>
      </c>
      <c r="AU162" s="22" t="str">
        <f t="shared" si="147"/>
        <v>X</v>
      </c>
      <c r="AV162" s="22" t="str">
        <f t="shared" si="148"/>
        <v>X</v>
      </c>
      <c r="AW162" s="22" t="str">
        <f t="shared" si="149"/>
        <v>X</v>
      </c>
      <c r="AX162" s="22" t="str">
        <f t="shared" si="150"/>
        <v>X</v>
      </c>
      <c r="AY162" s="22" t="str">
        <f t="shared" si="151"/>
        <v>X</v>
      </c>
      <c r="AZ162" s="22" t="str">
        <f t="shared" si="152"/>
        <v>X</v>
      </c>
      <c r="BA162" s="22" t="str">
        <f t="shared" si="153"/>
        <v>X</v>
      </c>
      <c r="BB162" s="22">
        <f t="shared" si="154"/>
        <v>1</v>
      </c>
      <c r="BC162" s="22" t="str">
        <f t="shared" si="125"/>
        <v>1G</v>
      </c>
      <c r="BD162" s="22" t="str">
        <f t="shared" si="126"/>
        <v>1G</v>
      </c>
      <c r="BE162" s="22" t="str">
        <f t="shared" si="127"/>
        <v>1G</v>
      </c>
      <c r="BF162" s="22" t="str">
        <f t="shared" si="128"/>
        <v>2G</v>
      </c>
      <c r="BG162" s="22" t="str">
        <f t="shared" si="129"/>
        <v>2G</v>
      </c>
      <c r="BH162" s="22" t="str">
        <f t="shared" si="130"/>
        <v>3G</v>
      </c>
      <c r="BI162" s="22">
        <f t="shared" si="155"/>
        <v>3</v>
      </c>
      <c r="BJ162" s="22">
        <f t="shared" si="156"/>
        <v>2</v>
      </c>
      <c r="BK162" s="22">
        <f t="shared" si="157"/>
        <v>1</v>
      </c>
      <c r="BL162" s="22" t="str">
        <f t="shared" si="158"/>
        <v>321</v>
      </c>
      <c r="BS162"/>
      <c r="CL162" s="23">
        <v>124</v>
      </c>
      <c r="CM162" s="23">
        <v>120</v>
      </c>
      <c r="CO162"/>
    </row>
    <row r="163" spans="1:93" ht="17" hidden="1">
      <c r="B163" s="15">
        <v>159</v>
      </c>
      <c r="C163" s="23" t="s">
        <v>189</v>
      </c>
      <c r="D163" s="16">
        <v>6</v>
      </c>
      <c r="E163" s="17">
        <v>1755407300</v>
      </c>
      <c r="F163" s="16">
        <v>24</v>
      </c>
      <c r="G163" s="17">
        <v>73141971</v>
      </c>
      <c r="H163" s="17">
        <v>1071</v>
      </c>
      <c r="I163" s="17">
        <v>1639036</v>
      </c>
      <c r="J163" s="17">
        <v>54933</v>
      </c>
      <c r="K163" s="17">
        <v>63911</v>
      </c>
      <c r="L163" s="17">
        <v>920378</v>
      </c>
      <c r="M163" s="17">
        <v>5000</v>
      </c>
      <c r="N163" s="23">
        <v>1</v>
      </c>
      <c r="O163" s="23">
        <v>18</v>
      </c>
      <c r="P163" s="23">
        <v>30</v>
      </c>
      <c r="Q163" s="23">
        <v>41</v>
      </c>
      <c r="R163" s="23">
        <v>42</v>
      </c>
      <c r="S163" s="23">
        <v>43</v>
      </c>
      <c r="T163" s="23">
        <v>32</v>
      </c>
      <c r="U163" s="23">
        <f t="shared" si="131"/>
        <v>175</v>
      </c>
      <c r="W163" s="22" t="str">
        <f t="shared" si="116"/>
        <v>홀수</v>
      </c>
      <c r="X163" s="22" t="str">
        <f t="shared" si="117"/>
        <v>짝수</v>
      </c>
      <c r="Y163" s="22" t="str">
        <f t="shared" si="118"/>
        <v>짝수</v>
      </c>
      <c r="Z163" s="22" t="str">
        <f t="shared" si="119"/>
        <v>홀수</v>
      </c>
      <c r="AA163" s="22" t="str">
        <f t="shared" si="120"/>
        <v>짝수</v>
      </c>
      <c r="AB163" s="22" t="str">
        <f t="shared" si="121"/>
        <v>홀수</v>
      </c>
      <c r="AC163" s="52" t="str">
        <f t="shared" si="122"/>
        <v>3 : 3</v>
      </c>
      <c r="AD163" s="22">
        <f t="shared" si="123"/>
        <v>3</v>
      </c>
      <c r="AE163" s="22">
        <f t="shared" si="124"/>
        <v>3</v>
      </c>
      <c r="AF163" s="22" t="str">
        <f t="shared" si="132"/>
        <v>저수</v>
      </c>
      <c r="AG163" s="22" t="str">
        <f t="shared" si="133"/>
        <v>저수</v>
      </c>
      <c r="AH163" s="22" t="str">
        <f t="shared" si="134"/>
        <v>고수</v>
      </c>
      <c r="AI163" s="22" t="str">
        <f t="shared" si="135"/>
        <v>고수</v>
      </c>
      <c r="AJ163" s="22" t="str">
        <f t="shared" si="136"/>
        <v>고수</v>
      </c>
      <c r="AK163" s="22" t="str">
        <f t="shared" si="137"/>
        <v>고수</v>
      </c>
      <c r="AL163" s="52" t="str">
        <f t="shared" si="138"/>
        <v>2 : 4</v>
      </c>
      <c r="AM163" s="22">
        <f t="shared" si="139"/>
        <v>2</v>
      </c>
      <c r="AN163" s="22">
        <f t="shared" si="140"/>
        <v>4</v>
      </c>
      <c r="AO163" s="22">
        <f t="shared" si="141"/>
        <v>15</v>
      </c>
      <c r="AP163" s="22" t="str">
        <f t="shared" si="142"/>
        <v>X</v>
      </c>
      <c r="AQ163" s="22" t="str">
        <f t="shared" si="143"/>
        <v>X</v>
      </c>
      <c r="AR163" s="22" t="str">
        <f t="shared" si="144"/>
        <v>X</v>
      </c>
      <c r="AS163" s="22" t="str">
        <f t="shared" si="145"/>
        <v>X</v>
      </c>
      <c r="AT163" s="22" t="str">
        <f t="shared" si="146"/>
        <v>X</v>
      </c>
      <c r="AU163" s="22" t="str">
        <f t="shared" si="147"/>
        <v>X</v>
      </c>
      <c r="AV163" s="22" t="str">
        <f t="shared" si="148"/>
        <v>X</v>
      </c>
      <c r="AW163" s="22" t="str">
        <f t="shared" si="149"/>
        <v>X</v>
      </c>
      <c r="AX163" s="22" t="str">
        <f t="shared" si="150"/>
        <v>X</v>
      </c>
      <c r="AY163" s="22" t="str">
        <f t="shared" si="151"/>
        <v>O</v>
      </c>
      <c r="AZ163" s="22" t="str">
        <f t="shared" si="152"/>
        <v>X</v>
      </c>
      <c r="BA163" s="22" t="str">
        <f t="shared" si="153"/>
        <v>O</v>
      </c>
      <c r="BB163" s="22">
        <f t="shared" si="154"/>
        <v>2</v>
      </c>
      <c r="BC163" s="22" t="str">
        <f t="shared" si="125"/>
        <v>1G</v>
      </c>
      <c r="BD163" s="22" t="str">
        <f t="shared" si="126"/>
        <v>2G</v>
      </c>
      <c r="BE163" s="22" t="str">
        <f t="shared" si="127"/>
        <v>2G</v>
      </c>
      <c r="BF163" s="22" t="str">
        <f t="shared" si="128"/>
        <v>3G</v>
      </c>
      <c r="BG163" s="22" t="str">
        <f t="shared" si="129"/>
        <v>3G</v>
      </c>
      <c r="BH163" s="22" t="str">
        <f t="shared" si="130"/>
        <v>3G</v>
      </c>
      <c r="BI163" s="22">
        <f t="shared" si="155"/>
        <v>1</v>
      </c>
      <c r="BJ163" s="22">
        <f t="shared" si="156"/>
        <v>2</v>
      </c>
      <c r="BK163" s="22">
        <f t="shared" si="157"/>
        <v>3</v>
      </c>
      <c r="BL163" s="22" t="str">
        <f t="shared" si="158"/>
        <v>123</v>
      </c>
      <c r="BS163"/>
      <c r="CL163" s="23">
        <v>124</v>
      </c>
      <c r="CM163" s="23">
        <v>120</v>
      </c>
      <c r="CO163"/>
    </row>
    <row r="164" spans="1:93" ht="17" hidden="1">
      <c r="B164" s="15">
        <v>160</v>
      </c>
      <c r="C164" s="23" t="s">
        <v>190</v>
      </c>
      <c r="D164" s="16">
        <v>2</v>
      </c>
      <c r="E164" s="17">
        <v>5490805350</v>
      </c>
      <c r="F164" s="16">
        <v>32</v>
      </c>
      <c r="G164" s="17">
        <v>57195890</v>
      </c>
      <c r="H164" s="17">
        <v>1079</v>
      </c>
      <c r="I164" s="17">
        <v>1696264</v>
      </c>
      <c r="J164" s="17">
        <v>58680</v>
      </c>
      <c r="K164" s="17">
        <v>62382</v>
      </c>
      <c r="L164" s="17">
        <v>1022787</v>
      </c>
      <c r="M164" s="17">
        <v>5000</v>
      </c>
      <c r="N164" s="23">
        <v>3</v>
      </c>
      <c r="O164" s="23">
        <v>7</v>
      </c>
      <c r="P164" s="23">
        <v>8</v>
      </c>
      <c r="Q164" s="23">
        <v>34</v>
      </c>
      <c r="R164" s="23">
        <v>39</v>
      </c>
      <c r="S164" s="23">
        <v>41</v>
      </c>
      <c r="T164" s="23">
        <v>1</v>
      </c>
      <c r="U164" s="23">
        <f t="shared" si="131"/>
        <v>132</v>
      </c>
      <c r="W164" s="22" t="str">
        <f t="shared" si="116"/>
        <v>홀수</v>
      </c>
      <c r="X164" s="22" t="str">
        <f t="shared" si="117"/>
        <v>홀수</v>
      </c>
      <c r="Y164" s="22" t="str">
        <f t="shared" si="118"/>
        <v>짝수</v>
      </c>
      <c r="Z164" s="22" t="str">
        <f t="shared" si="119"/>
        <v>짝수</v>
      </c>
      <c r="AA164" s="22" t="str">
        <f t="shared" si="120"/>
        <v>홀수</v>
      </c>
      <c r="AB164" s="22" t="str">
        <f t="shared" si="121"/>
        <v>홀수</v>
      </c>
      <c r="AC164" s="52" t="str">
        <f t="shared" si="122"/>
        <v>4 : 2</v>
      </c>
      <c r="AD164" s="22">
        <f t="shared" si="123"/>
        <v>4</v>
      </c>
      <c r="AE164" s="22">
        <f t="shared" si="124"/>
        <v>2</v>
      </c>
      <c r="AF164" s="22" t="str">
        <f t="shared" si="132"/>
        <v>저수</v>
      </c>
      <c r="AG164" s="22" t="str">
        <f t="shared" si="133"/>
        <v>저수</v>
      </c>
      <c r="AH164" s="22" t="str">
        <f t="shared" si="134"/>
        <v>저수</v>
      </c>
      <c r="AI164" s="22" t="str">
        <f t="shared" si="135"/>
        <v>고수</v>
      </c>
      <c r="AJ164" s="22" t="str">
        <f t="shared" si="136"/>
        <v>고수</v>
      </c>
      <c r="AK164" s="22" t="str">
        <f t="shared" si="137"/>
        <v>고수</v>
      </c>
      <c r="AL164" s="52" t="str">
        <f t="shared" si="138"/>
        <v>3 : 3</v>
      </c>
      <c r="AM164" s="22">
        <f t="shared" si="139"/>
        <v>3</v>
      </c>
      <c r="AN164" s="22">
        <f t="shared" si="140"/>
        <v>3</v>
      </c>
      <c r="AO164" s="22">
        <f t="shared" si="141"/>
        <v>32</v>
      </c>
      <c r="AP164" s="22" t="str">
        <f t="shared" si="142"/>
        <v>O</v>
      </c>
      <c r="AQ164" s="22" t="str">
        <f t="shared" si="143"/>
        <v>O</v>
      </c>
      <c r="AR164" s="22" t="str">
        <f t="shared" si="144"/>
        <v>X</v>
      </c>
      <c r="AS164" s="22" t="str">
        <f t="shared" si="145"/>
        <v>X</v>
      </c>
      <c r="AT164" s="22" t="str">
        <f t="shared" si="146"/>
        <v>X</v>
      </c>
      <c r="AU164" s="22" t="str">
        <f t="shared" si="147"/>
        <v>X</v>
      </c>
      <c r="AV164" s="22" t="str">
        <f t="shared" si="148"/>
        <v>X</v>
      </c>
      <c r="AW164" s="22" t="str">
        <f t="shared" si="149"/>
        <v>X</v>
      </c>
      <c r="AX164" s="22" t="str">
        <f t="shared" si="150"/>
        <v>X</v>
      </c>
      <c r="AY164" s="22" t="str">
        <f t="shared" si="151"/>
        <v>X</v>
      </c>
      <c r="AZ164" s="22" t="str">
        <f t="shared" si="152"/>
        <v>X</v>
      </c>
      <c r="BA164" s="22" t="str">
        <f t="shared" si="153"/>
        <v>O</v>
      </c>
      <c r="BB164" s="22">
        <f t="shared" si="154"/>
        <v>3</v>
      </c>
      <c r="BC164" s="22" t="str">
        <f t="shared" si="125"/>
        <v>1G</v>
      </c>
      <c r="BD164" s="22" t="str">
        <f t="shared" si="126"/>
        <v>1G</v>
      </c>
      <c r="BE164" s="22" t="str">
        <f t="shared" si="127"/>
        <v>1G</v>
      </c>
      <c r="BF164" s="22" t="str">
        <f t="shared" si="128"/>
        <v>3G</v>
      </c>
      <c r="BG164" s="22" t="str">
        <f t="shared" si="129"/>
        <v>3G</v>
      </c>
      <c r="BH164" s="22" t="str">
        <f t="shared" si="130"/>
        <v>3G</v>
      </c>
      <c r="BI164" s="22">
        <f t="shared" si="155"/>
        <v>3</v>
      </c>
      <c r="BJ164" s="22">
        <f t="shared" si="156"/>
        <v>0</v>
      </c>
      <c r="BK164" s="22">
        <f t="shared" si="157"/>
        <v>3</v>
      </c>
      <c r="BL164" s="22" t="str">
        <f t="shared" si="158"/>
        <v>303</v>
      </c>
      <c r="BS164"/>
      <c r="CL164" s="23">
        <v>125</v>
      </c>
      <c r="CM164" s="23">
        <v>120</v>
      </c>
      <c r="CO164"/>
    </row>
    <row r="165" spans="1:93" ht="17" hidden="1">
      <c r="B165" s="15">
        <v>161</v>
      </c>
      <c r="C165" s="23" t="s">
        <v>191</v>
      </c>
      <c r="D165" s="16">
        <v>7</v>
      </c>
      <c r="E165" s="17">
        <v>1996876272</v>
      </c>
      <c r="F165" s="16">
        <v>63</v>
      </c>
      <c r="G165" s="17">
        <v>33275487</v>
      </c>
      <c r="H165" s="17">
        <v>1381</v>
      </c>
      <c r="I165" s="17">
        <v>1517999</v>
      </c>
      <c r="J165" s="17">
        <v>66233</v>
      </c>
      <c r="K165" s="17">
        <v>63303</v>
      </c>
      <c r="L165" s="17">
        <v>1116934</v>
      </c>
      <c r="M165" s="17">
        <v>5000</v>
      </c>
      <c r="N165" s="23">
        <v>22</v>
      </c>
      <c r="O165" s="23">
        <v>34</v>
      </c>
      <c r="P165" s="23">
        <v>36</v>
      </c>
      <c r="Q165" s="23">
        <v>40</v>
      </c>
      <c r="R165" s="23">
        <v>42</v>
      </c>
      <c r="S165" s="23">
        <v>45</v>
      </c>
      <c r="T165" s="23">
        <v>44</v>
      </c>
      <c r="U165" s="23">
        <f t="shared" si="131"/>
        <v>219</v>
      </c>
      <c r="W165" s="22" t="str">
        <f t="shared" si="116"/>
        <v>짝수</v>
      </c>
      <c r="X165" s="22" t="str">
        <f t="shared" si="117"/>
        <v>짝수</v>
      </c>
      <c r="Y165" s="22" t="str">
        <f t="shared" si="118"/>
        <v>짝수</v>
      </c>
      <c r="Z165" s="22" t="str">
        <f t="shared" si="119"/>
        <v>짝수</v>
      </c>
      <c r="AA165" s="22" t="str">
        <f t="shared" si="120"/>
        <v>짝수</v>
      </c>
      <c r="AB165" s="22" t="str">
        <f t="shared" si="121"/>
        <v>홀수</v>
      </c>
      <c r="AC165" s="52" t="str">
        <f t="shared" si="122"/>
        <v>1 : 5</v>
      </c>
      <c r="AD165" s="22">
        <f t="shared" si="123"/>
        <v>1</v>
      </c>
      <c r="AE165" s="22">
        <f t="shared" si="124"/>
        <v>5</v>
      </c>
      <c r="AF165" s="22" t="str">
        <f t="shared" si="132"/>
        <v>저수</v>
      </c>
      <c r="AG165" s="22" t="str">
        <f t="shared" si="133"/>
        <v>고수</v>
      </c>
      <c r="AH165" s="22" t="str">
        <f t="shared" si="134"/>
        <v>고수</v>
      </c>
      <c r="AI165" s="22" t="str">
        <f t="shared" si="135"/>
        <v>고수</v>
      </c>
      <c r="AJ165" s="22" t="str">
        <f t="shared" si="136"/>
        <v>고수</v>
      </c>
      <c r="AK165" s="22" t="str">
        <f t="shared" si="137"/>
        <v>고수</v>
      </c>
      <c r="AL165" s="52" t="str">
        <f t="shared" si="138"/>
        <v>1 : 5</v>
      </c>
      <c r="AM165" s="22">
        <f t="shared" si="139"/>
        <v>1</v>
      </c>
      <c r="AN165" s="22">
        <f t="shared" si="140"/>
        <v>5</v>
      </c>
      <c r="AO165" s="22">
        <f t="shared" si="141"/>
        <v>19</v>
      </c>
      <c r="AP165" s="22" t="str">
        <f t="shared" si="142"/>
        <v>X</v>
      </c>
      <c r="AQ165" s="22" t="str">
        <f t="shared" si="143"/>
        <v>X</v>
      </c>
      <c r="AR165" s="22" t="str">
        <f t="shared" si="144"/>
        <v>X</v>
      </c>
      <c r="AS165" s="22" t="str">
        <f t="shared" si="145"/>
        <v>X</v>
      </c>
      <c r="AT165" s="22" t="str">
        <f t="shared" si="146"/>
        <v>X</v>
      </c>
      <c r="AU165" s="22" t="str">
        <f t="shared" si="147"/>
        <v>X</v>
      </c>
      <c r="AV165" s="22" t="str">
        <f t="shared" si="148"/>
        <v>X</v>
      </c>
      <c r="AW165" s="22" t="str">
        <f t="shared" si="149"/>
        <v>X</v>
      </c>
      <c r="AX165" s="22" t="str">
        <f t="shared" si="150"/>
        <v>X</v>
      </c>
      <c r="AY165" s="22" t="str">
        <f t="shared" si="151"/>
        <v>X</v>
      </c>
      <c r="AZ165" s="22" t="str">
        <f t="shared" si="152"/>
        <v>X</v>
      </c>
      <c r="BA165" s="22" t="str">
        <f t="shared" si="153"/>
        <v>X</v>
      </c>
      <c r="BB165" s="22">
        <f t="shared" si="154"/>
        <v>0</v>
      </c>
      <c r="BC165" s="22" t="str">
        <f t="shared" si="125"/>
        <v>2G</v>
      </c>
      <c r="BD165" s="22" t="str">
        <f t="shared" si="126"/>
        <v>3G</v>
      </c>
      <c r="BE165" s="22" t="str">
        <f t="shared" si="127"/>
        <v>3G</v>
      </c>
      <c r="BF165" s="22" t="str">
        <f t="shared" si="128"/>
        <v>3G</v>
      </c>
      <c r="BG165" s="22" t="str">
        <f t="shared" si="129"/>
        <v>3G</v>
      </c>
      <c r="BH165" s="22" t="str">
        <f t="shared" si="130"/>
        <v>3G</v>
      </c>
      <c r="BI165" s="22">
        <f t="shared" si="155"/>
        <v>0</v>
      </c>
      <c r="BJ165" s="22">
        <f t="shared" si="156"/>
        <v>1</v>
      </c>
      <c r="BK165" s="22">
        <f t="shared" si="157"/>
        <v>5</v>
      </c>
      <c r="BL165" s="22" t="str">
        <f t="shared" si="158"/>
        <v>015</v>
      </c>
      <c r="BS165"/>
      <c r="CL165" s="23">
        <v>125</v>
      </c>
      <c r="CM165" s="23">
        <v>120</v>
      </c>
      <c r="CO165"/>
    </row>
    <row r="166" spans="1:93" ht="17" hidden="1">
      <c r="A166" s="16">
        <v>2006</v>
      </c>
      <c r="B166" s="15">
        <v>162</v>
      </c>
      <c r="C166" s="23" t="s">
        <v>192</v>
      </c>
      <c r="D166" s="16">
        <v>5</v>
      </c>
      <c r="E166" s="17">
        <v>2308265760</v>
      </c>
      <c r="F166" s="16">
        <v>33</v>
      </c>
      <c r="G166" s="17">
        <v>58289540</v>
      </c>
      <c r="H166" s="17">
        <v>1172</v>
      </c>
      <c r="I166" s="17">
        <v>1641259</v>
      </c>
      <c r="J166" s="17">
        <v>61205</v>
      </c>
      <c r="K166" s="17">
        <v>62857</v>
      </c>
      <c r="L166" s="17">
        <v>1057899</v>
      </c>
      <c r="M166" s="17">
        <v>5000</v>
      </c>
      <c r="N166" s="23">
        <v>1</v>
      </c>
      <c r="O166" s="23">
        <v>5</v>
      </c>
      <c r="P166" s="23">
        <v>21</v>
      </c>
      <c r="Q166" s="23">
        <v>25</v>
      </c>
      <c r="R166" s="23">
        <v>38</v>
      </c>
      <c r="S166" s="23">
        <v>41</v>
      </c>
      <c r="T166" s="23">
        <v>24</v>
      </c>
      <c r="U166" s="23">
        <f t="shared" si="131"/>
        <v>131</v>
      </c>
      <c r="W166" s="22" t="str">
        <f t="shared" si="116"/>
        <v>홀수</v>
      </c>
      <c r="X166" s="22" t="str">
        <f t="shared" si="117"/>
        <v>홀수</v>
      </c>
      <c r="Y166" s="22" t="str">
        <f t="shared" si="118"/>
        <v>홀수</v>
      </c>
      <c r="Z166" s="22" t="str">
        <f t="shared" si="119"/>
        <v>홀수</v>
      </c>
      <c r="AA166" s="22" t="str">
        <f t="shared" si="120"/>
        <v>짝수</v>
      </c>
      <c r="AB166" s="22" t="str">
        <f t="shared" si="121"/>
        <v>홀수</v>
      </c>
      <c r="AC166" s="52" t="str">
        <f t="shared" si="122"/>
        <v>5 : 1</v>
      </c>
      <c r="AD166" s="22">
        <f t="shared" si="123"/>
        <v>5</v>
      </c>
      <c r="AE166" s="22">
        <f t="shared" si="124"/>
        <v>1</v>
      </c>
      <c r="AF166" s="22" t="str">
        <f t="shared" si="132"/>
        <v>저수</v>
      </c>
      <c r="AG166" s="22" t="str">
        <f t="shared" si="133"/>
        <v>저수</v>
      </c>
      <c r="AH166" s="22" t="str">
        <f t="shared" si="134"/>
        <v>저수</v>
      </c>
      <c r="AI166" s="22" t="str">
        <f t="shared" si="135"/>
        <v>고수</v>
      </c>
      <c r="AJ166" s="22" t="str">
        <f t="shared" si="136"/>
        <v>고수</v>
      </c>
      <c r="AK166" s="22" t="str">
        <f t="shared" si="137"/>
        <v>고수</v>
      </c>
      <c r="AL166" s="52" t="str">
        <f t="shared" si="138"/>
        <v>3 : 3</v>
      </c>
      <c r="AM166" s="22">
        <f t="shared" si="139"/>
        <v>3</v>
      </c>
      <c r="AN166" s="22">
        <f t="shared" si="140"/>
        <v>3</v>
      </c>
      <c r="AO166" s="22">
        <f t="shared" si="141"/>
        <v>21</v>
      </c>
      <c r="AP166" s="22" t="str">
        <f t="shared" si="142"/>
        <v>X</v>
      </c>
      <c r="AQ166" s="22" t="str">
        <f t="shared" si="143"/>
        <v>O</v>
      </c>
      <c r="AR166" s="22" t="str">
        <f t="shared" si="144"/>
        <v>X</v>
      </c>
      <c r="AS166" s="22" t="str">
        <f t="shared" si="145"/>
        <v>X</v>
      </c>
      <c r="AT166" s="22" t="str">
        <f t="shared" si="146"/>
        <v>X</v>
      </c>
      <c r="AU166" s="22" t="str">
        <f t="shared" si="147"/>
        <v>X</v>
      </c>
      <c r="AV166" s="22" t="str">
        <f t="shared" si="148"/>
        <v>X</v>
      </c>
      <c r="AW166" s="22" t="str">
        <f t="shared" si="149"/>
        <v>X</v>
      </c>
      <c r="AX166" s="22" t="str">
        <f t="shared" si="150"/>
        <v>X</v>
      </c>
      <c r="AY166" s="22" t="str">
        <f t="shared" si="151"/>
        <v>X</v>
      </c>
      <c r="AZ166" s="22" t="str">
        <f t="shared" si="152"/>
        <v>X</v>
      </c>
      <c r="BA166" s="22" t="str">
        <f t="shared" si="153"/>
        <v>O</v>
      </c>
      <c r="BB166" s="22">
        <f t="shared" si="154"/>
        <v>2</v>
      </c>
      <c r="BC166" s="22" t="str">
        <f t="shared" si="125"/>
        <v>1G</v>
      </c>
      <c r="BD166" s="22" t="str">
        <f t="shared" si="126"/>
        <v>1G</v>
      </c>
      <c r="BE166" s="22" t="str">
        <f t="shared" si="127"/>
        <v>2G</v>
      </c>
      <c r="BF166" s="22" t="str">
        <f t="shared" si="128"/>
        <v>2G</v>
      </c>
      <c r="BG166" s="22" t="str">
        <f t="shared" si="129"/>
        <v>3G</v>
      </c>
      <c r="BH166" s="22" t="str">
        <f t="shared" si="130"/>
        <v>3G</v>
      </c>
      <c r="BI166" s="22">
        <f t="shared" si="155"/>
        <v>2</v>
      </c>
      <c r="BJ166" s="22">
        <f t="shared" si="156"/>
        <v>2</v>
      </c>
      <c r="BK166" s="22">
        <f t="shared" si="157"/>
        <v>2</v>
      </c>
      <c r="BL166" s="22" t="str">
        <f t="shared" si="158"/>
        <v>222</v>
      </c>
      <c r="BS166"/>
      <c r="CL166" s="23">
        <v>125</v>
      </c>
      <c r="CM166" s="23">
        <v>120</v>
      </c>
      <c r="CO166"/>
    </row>
    <row r="167" spans="1:93" ht="17" hidden="1">
      <c r="B167" s="15">
        <v>163</v>
      </c>
      <c r="C167" s="23" t="s">
        <v>193</v>
      </c>
      <c r="D167" s="16">
        <v>7</v>
      </c>
      <c r="E167" s="17">
        <v>1629726515</v>
      </c>
      <c r="F167" s="16">
        <v>47</v>
      </c>
      <c r="G167" s="17">
        <v>40454205</v>
      </c>
      <c r="H167" s="17">
        <v>1390</v>
      </c>
      <c r="I167" s="17">
        <v>1367876</v>
      </c>
      <c r="J167" s="17">
        <v>66604</v>
      </c>
      <c r="K167" s="17">
        <v>57095</v>
      </c>
      <c r="L167" s="17">
        <v>1099200</v>
      </c>
      <c r="M167" s="17">
        <v>5000</v>
      </c>
      <c r="N167" s="23">
        <v>7</v>
      </c>
      <c r="O167" s="23">
        <v>11</v>
      </c>
      <c r="P167" s="23">
        <v>26</v>
      </c>
      <c r="Q167" s="23">
        <v>28</v>
      </c>
      <c r="R167" s="23">
        <v>29</v>
      </c>
      <c r="S167" s="23">
        <v>44</v>
      </c>
      <c r="T167" s="23">
        <v>16</v>
      </c>
      <c r="U167" s="23">
        <f t="shared" si="131"/>
        <v>145</v>
      </c>
      <c r="W167" s="22" t="str">
        <f t="shared" si="116"/>
        <v>홀수</v>
      </c>
      <c r="X167" s="22" t="str">
        <f t="shared" si="117"/>
        <v>홀수</v>
      </c>
      <c r="Y167" s="22" t="str">
        <f t="shared" si="118"/>
        <v>짝수</v>
      </c>
      <c r="Z167" s="22" t="str">
        <f t="shared" si="119"/>
        <v>짝수</v>
      </c>
      <c r="AA167" s="22" t="str">
        <f t="shared" si="120"/>
        <v>홀수</v>
      </c>
      <c r="AB167" s="22" t="str">
        <f t="shared" si="121"/>
        <v>짝수</v>
      </c>
      <c r="AC167" s="52" t="str">
        <f t="shared" si="122"/>
        <v>3 : 3</v>
      </c>
      <c r="AD167" s="22">
        <f t="shared" si="123"/>
        <v>3</v>
      </c>
      <c r="AE167" s="22">
        <f t="shared" si="124"/>
        <v>3</v>
      </c>
      <c r="AF167" s="22" t="str">
        <f t="shared" si="132"/>
        <v>저수</v>
      </c>
      <c r="AG167" s="22" t="str">
        <f t="shared" si="133"/>
        <v>저수</v>
      </c>
      <c r="AH167" s="22" t="str">
        <f t="shared" si="134"/>
        <v>고수</v>
      </c>
      <c r="AI167" s="22" t="str">
        <f t="shared" si="135"/>
        <v>고수</v>
      </c>
      <c r="AJ167" s="22" t="str">
        <f t="shared" si="136"/>
        <v>고수</v>
      </c>
      <c r="AK167" s="22" t="str">
        <f t="shared" si="137"/>
        <v>고수</v>
      </c>
      <c r="AL167" s="52" t="str">
        <f t="shared" si="138"/>
        <v>2 : 4</v>
      </c>
      <c r="AM167" s="22">
        <f t="shared" si="139"/>
        <v>2</v>
      </c>
      <c r="AN167" s="22">
        <f t="shared" si="140"/>
        <v>4</v>
      </c>
      <c r="AO167" s="22">
        <f t="shared" si="141"/>
        <v>35</v>
      </c>
      <c r="AP167" s="22" t="str">
        <f t="shared" si="142"/>
        <v>O</v>
      </c>
      <c r="AQ167" s="22" t="str">
        <f t="shared" si="143"/>
        <v>O</v>
      </c>
      <c r="AR167" s="22" t="str">
        <f t="shared" si="144"/>
        <v>X</v>
      </c>
      <c r="AS167" s="22" t="str">
        <f t="shared" si="145"/>
        <v>X</v>
      </c>
      <c r="AT167" s="22" t="str">
        <f t="shared" si="146"/>
        <v>X</v>
      </c>
      <c r="AU167" s="22" t="str">
        <f t="shared" si="147"/>
        <v>X</v>
      </c>
      <c r="AV167" s="22" t="str">
        <f t="shared" si="148"/>
        <v>X</v>
      </c>
      <c r="AW167" s="22" t="str">
        <f t="shared" si="149"/>
        <v>X</v>
      </c>
      <c r="AX167" s="22" t="str">
        <f t="shared" si="150"/>
        <v>X</v>
      </c>
      <c r="AY167" s="22" t="str">
        <f t="shared" si="151"/>
        <v>X</v>
      </c>
      <c r="AZ167" s="22" t="str">
        <f t="shared" si="152"/>
        <v>O</v>
      </c>
      <c r="BA167" s="22" t="str">
        <f t="shared" si="153"/>
        <v>X</v>
      </c>
      <c r="BB167" s="22">
        <f t="shared" si="154"/>
        <v>3</v>
      </c>
      <c r="BC167" s="22" t="str">
        <f t="shared" si="125"/>
        <v>1G</v>
      </c>
      <c r="BD167" s="22" t="str">
        <f t="shared" si="126"/>
        <v>1G</v>
      </c>
      <c r="BE167" s="22" t="str">
        <f t="shared" si="127"/>
        <v>2G</v>
      </c>
      <c r="BF167" s="22" t="str">
        <f t="shared" si="128"/>
        <v>2G</v>
      </c>
      <c r="BG167" s="22" t="str">
        <f t="shared" si="129"/>
        <v>2G</v>
      </c>
      <c r="BH167" s="22" t="str">
        <f t="shared" si="130"/>
        <v>3G</v>
      </c>
      <c r="BI167" s="22">
        <f t="shared" si="155"/>
        <v>2</v>
      </c>
      <c r="BJ167" s="22">
        <f t="shared" si="156"/>
        <v>3</v>
      </c>
      <c r="BK167" s="22">
        <f t="shared" si="157"/>
        <v>1</v>
      </c>
      <c r="BL167" s="22" t="str">
        <f t="shared" si="158"/>
        <v>231</v>
      </c>
      <c r="BS167"/>
      <c r="CL167" s="23">
        <v>125</v>
      </c>
      <c r="CM167" s="23">
        <v>120</v>
      </c>
      <c r="CO167"/>
    </row>
    <row r="168" spans="1:93" ht="17" hidden="1">
      <c r="B168" s="15">
        <v>164</v>
      </c>
      <c r="C168" s="23" t="s">
        <v>194</v>
      </c>
      <c r="D168" s="16">
        <v>3</v>
      </c>
      <c r="E168" s="17">
        <v>4054937900</v>
      </c>
      <c r="F168" s="16">
        <v>39</v>
      </c>
      <c r="G168" s="17">
        <v>51986384</v>
      </c>
      <c r="H168" s="17">
        <v>1626</v>
      </c>
      <c r="I168" s="17">
        <v>1246906</v>
      </c>
      <c r="J168" s="17">
        <v>74835</v>
      </c>
      <c r="K168" s="17">
        <v>54186</v>
      </c>
      <c r="L168" s="17">
        <v>1250274</v>
      </c>
      <c r="M168" s="17">
        <v>5000</v>
      </c>
      <c r="N168" s="23">
        <v>6</v>
      </c>
      <c r="O168" s="23">
        <v>9</v>
      </c>
      <c r="P168" s="23">
        <v>10</v>
      </c>
      <c r="Q168" s="23">
        <v>11</v>
      </c>
      <c r="R168" s="23">
        <v>39</v>
      </c>
      <c r="S168" s="23">
        <v>41</v>
      </c>
      <c r="T168" s="23">
        <v>27</v>
      </c>
      <c r="U168" s="23">
        <f t="shared" si="131"/>
        <v>116</v>
      </c>
      <c r="W168" s="22" t="str">
        <f t="shared" si="116"/>
        <v>짝수</v>
      </c>
      <c r="X168" s="22" t="str">
        <f t="shared" si="117"/>
        <v>홀수</v>
      </c>
      <c r="Y168" s="22" t="str">
        <f t="shared" si="118"/>
        <v>짝수</v>
      </c>
      <c r="Z168" s="22" t="str">
        <f t="shared" si="119"/>
        <v>홀수</v>
      </c>
      <c r="AA168" s="22" t="str">
        <f t="shared" si="120"/>
        <v>홀수</v>
      </c>
      <c r="AB168" s="22" t="str">
        <f t="shared" si="121"/>
        <v>홀수</v>
      </c>
      <c r="AC168" s="52" t="str">
        <f t="shared" si="122"/>
        <v>4 : 2</v>
      </c>
      <c r="AD168" s="22">
        <f t="shared" si="123"/>
        <v>4</v>
      </c>
      <c r="AE168" s="22">
        <f t="shared" si="124"/>
        <v>2</v>
      </c>
      <c r="AF168" s="22" t="str">
        <f t="shared" si="132"/>
        <v>저수</v>
      </c>
      <c r="AG168" s="22" t="str">
        <f t="shared" si="133"/>
        <v>저수</v>
      </c>
      <c r="AH168" s="22" t="str">
        <f t="shared" si="134"/>
        <v>저수</v>
      </c>
      <c r="AI168" s="22" t="str">
        <f t="shared" si="135"/>
        <v>저수</v>
      </c>
      <c r="AJ168" s="22" t="str">
        <f t="shared" si="136"/>
        <v>고수</v>
      </c>
      <c r="AK168" s="22" t="str">
        <f t="shared" si="137"/>
        <v>고수</v>
      </c>
      <c r="AL168" s="52" t="str">
        <f t="shared" si="138"/>
        <v>4 : 2</v>
      </c>
      <c r="AM168" s="22">
        <f t="shared" si="139"/>
        <v>4</v>
      </c>
      <c r="AN168" s="22">
        <f t="shared" si="140"/>
        <v>2</v>
      </c>
      <c r="AO168" s="22">
        <f t="shared" si="141"/>
        <v>26</v>
      </c>
      <c r="AP168" s="22" t="str">
        <f t="shared" si="142"/>
        <v>X</v>
      </c>
      <c r="AQ168" s="22" t="str">
        <f t="shared" si="143"/>
        <v>X</v>
      </c>
      <c r="AR168" s="22" t="str">
        <f t="shared" si="144"/>
        <v>X</v>
      </c>
      <c r="AS168" s="22" t="str">
        <f t="shared" si="145"/>
        <v>O</v>
      </c>
      <c r="AT168" s="22" t="str">
        <f t="shared" si="146"/>
        <v>X</v>
      </c>
      <c r="AU168" s="22" t="str">
        <f t="shared" si="147"/>
        <v>X</v>
      </c>
      <c r="AV168" s="22" t="str">
        <f t="shared" si="148"/>
        <v>X</v>
      </c>
      <c r="AW168" s="22" t="str">
        <f t="shared" si="149"/>
        <v>X</v>
      </c>
      <c r="AX168" s="22" t="str">
        <f t="shared" si="150"/>
        <v>X</v>
      </c>
      <c r="AY168" s="22" t="str">
        <f t="shared" si="151"/>
        <v>X</v>
      </c>
      <c r="AZ168" s="22" t="str">
        <f t="shared" si="152"/>
        <v>X</v>
      </c>
      <c r="BA168" s="22" t="str">
        <f t="shared" si="153"/>
        <v>O</v>
      </c>
      <c r="BB168" s="22">
        <f t="shared" si="154"/>
        <v>2</v>
      </c>
      <c r="BC168" s="22" t="str">
        <f t="shared" si="125"/>
        <v>1G</v>
      </c>
      <c r="BD168" s="22" t="str">
        <f t="shared" si="126"/>
        <v>1G</v>
      </c>
      <c r="BE168" s="22" t="str">
        <f t="shared" si="127"/>
        <v>1G</v>
      </c>
      <c r="BF168" s="22" t="str">
        <f t="shared" si="128"/>
        <v>1G</v>
      </c>
      <c r="BG168" s="22" t="str">
        <f t="shared" si="129"/>
        <v>3G</v>
      </c>
      <c r="BH168" s="22" t="str">
        <f t="shared" si="130"/>
        <v>3G</v>
      </c>
      <c r="BI168" s="22">
        <f t="shared" si="155"/>
        <v>4</v>
      </c>
      <c r="BJ168" s="22">
        <f t="shared" si="156"/>
        <v>0</v>
      </c>
      <c r="BK168" s="22">
        <f t="shared" si="157"/>
        <v>2</v>
      </c>
      <c r="BL168" s="22" t="str">
        <f t="shared" si="158"/>
        <v>402</v>
      </c>
      <c r="BS168"/>
      <c r="CL168" s="23">
        <v>125</v>
      </c>
      <c r="CM168" s="23">
        <v>120</v>
      </c>
      <c r="CO168"/>
    </row>
    <row r="169" spans="1:93" ht="17" hidden="1">
      <c r="B169" s="15">
        <v>165</v>
      </c>
      <c r="C169" s="23" t="s">
        <v>195</v>
      </c>
      <c r="D169" s="16">
        <v>2</v>
      </c>
      <c r="E169" s="17">
        <v>6767426700</v>
      </c>
      <c r="F169" s="16">
        <v>40</v>
      </c>
      <c r="G169" s="17">
        <v>56395223</v>
      </c>
      <c r="H169" s="17">
        <v>1535</v>
      </c>
      <c r="I169" s="17">
        <v>1469583</v>
      </c>
      <c r="J169" s="17">
        <v>78820</v>
      </c>
      <c r="K169" s="17">
        <v>57240</v>
      </c>
      <c r="L169" s="17">
        <v>1297194</v>
      </c>
      <c r="M169" s="17">
        <v>5000</v>
      </c>
      <c r="N169" s="23">
        <v>5</v>
      </c>
      <c r="O169" s="23">
        <v>13</v>
      </c>
      <c r="P169" s="23">
        <v>18</v>
      </c>
      <c r="Q169" s="23">
        <v>19</v>
      </c>
      <c r="R169" s="23">
        <v>22</v>
      </c>
      <c r="S169" s="23">
        <v>42</v>
      </c>
      <c r="T169" s="23">
        <v>31</v>
      </c>
      <c r="U169" s="23">
        <f t="shared" si="131"/>
        <v>119</v>
      </c>
      <c r="W169" s="22" t="str">
        <f t="shared" si="116"/>
        <v>홀수</v>
      </c>
      <c r="X169" s="22" t="str">
        <f t="shared" si="117"/>
        <v>홀수</v>
      </c>
      <c r="Y169" s="22" t="str">
        <f t="shared" si="118"/>
        <v>짝수</v>
      </c>
      <c r="Z169" s="22" t="str">
        <f t="shared" si="119"/>
        <v>홀수</v>
      </c>
      <c r="AA169" s="22" t="str">
        <f t="shared" si="120"/>
        <v>짝수</v>
      </c>
      <c r="AB169" s="22" t="str">
        <f t="shared" si="121"/>
        <v>짝수</v>
      </c>
      <c r="AC169" s="52" t="str">
        <f t="shared" si="122"/>
        <v>3 : 3</v>
      </c>
      <c r="AD169" s="22">
        <f t="shared" si="123"/>
        <v>3</v>
      </c>
      <c r="AE169" s="22">
        <f t="shared" si="124"/>
        <v>3</v>
      </c>
      <c r="AF169" s="22" t="str">
        <f t="shared" si="132"/>
        <v>저수</v>
      </c>
      <c r="AG169" s="22" t="str">
        <f t="shared" si="133"/>
        <v>저수</v>
      </c>
      <c r="AH169" s="22" t="str">
        <f t="shared" si="134"/>
        <v>저수</v>
      </c>
      <c r="AI169" s="22" t="str">
        <f t="shared" si="135"/>
        <v>저수</v>
      </c>
      <c r="AJ169" s="22" t="str">
        <f t="shared" si="136"/>
        <v>저수</v>
      </c>
      <c r="AK169" s="22" t="str">
        <f t="shared" si="137"/>
        <v>고수</v>
      </c>
      <c r="AL169" s="52" t="str">
        <f t="shared" si="138"/>
        <v>5 : 1</v>
      </c>
      <c r="AM169" s="22">
        <f t="shared" si="139"/>
        <v>5</v>
      </c>
      <c r="AN169" s="22">
        <f t="shared" si="140"/>
        <v>1</v>
      </c>
      <c r="AO169" s="22">
        <f t="shared" si="141"/>
        <v>29</v>
      </c>
      <c r="AP169" s="22" t="str">
        <f t="shared" si="142"/>
        <v>O</v>
      </c>
      <c r="AQ169" s="22" t="str">
        <f t="shared" si="143"/>
        <v>O</v>
      </c>
      <c r="AR169" s="22" t="str">
        <f t="shared" si="144"/>
        <v>X</v>
      </c>
      <c r="AS169" s="22" t="str">
        <f t="shared" si="145"/>
        <v>O</v>
      </c>
      <c r="AT169" s="22" t="str">
        <f t="shared" si="146"/>
        <v>X</v>
      </c>
      <c r="AU169" s="22" t="str">
        <f t="shared" si="147"/>
        <v>X</v>
      </c>
      <c r="AV169" s="22" t="str">
        <f t="shared" si="148"/>
        <v>X</v>
      </c>
      <c r="AW169" s="22" t="str">
        <f t="shared" si="149"/>
        <v>X</v>
      </c>
      <c r="AX169" s="22" t="str">
        <f t="shared" si="150"/>
        <v>X</v>
      </c>
      <c r="AY169" s="22" t="str">
        <f t="shared" si="151"/>
        <v>X</v>
      </c>
      <c r="AZ169" s="22" t="str">
        <f t="shared" si="152"/>
        <v>X</v>
      </c>
      <c r="BA169" s="22" t="str">
        <f t="shared" si="153"/>
        <v>X</v>
      </c>
      <c r="BB169" s="22">
        <f t="shared" si="154"/>
        <v>3</v>
      </c>
      <c r="BC169" s="22" t="str">
        <f t="shared" si="125"/>
        <v>1G</v>
      </c>
      <c r="BD169" s="22" t="str">
        <f t="shared" si="126"/>
        <v>1G</v>
      </c>
      <c r="BE169" s="22" t="str">
        <f t="shared" si="127"/>
        <v>2G</v>
      </c>
      <c r="BF169" s="22" t="str">
        <f t="shared" si="128"/>
        <v>2G</v>
      </c>
      <c r="BG169" s="22" t="str">
        <f t="shared" si="129"/>
        <v>2G</v>
      </c>
      <c r="BH169" s="22" t="str">
        <f t="shared" si="130"/>
        <v>3G</v>
      </c>
      <c r="BI169" s="22">
        <f t="shared" si="155"/>
        <v>2</v>
      </c>
      <c r="BJ169" s="22">
        <f t="shared" si="156"/>
        <v>3</v>
      </c>
      <c r="BK169" s="22">
        <f t="shared" si="157"/>
        <v>1</v>
      </c>
      <c r="BL169" s="22" t="str">
        <f t="shared" si="158"/>
        <v>231</v>
      </c>
      <c r="BS169"/>
      <c r="CL169" s="23">
        <v>126</v>
      </c>
      <c r="CM169" s="23">
        <v>120</v>
      </c>
      <c r="CO169"/>
    </row>
    <row r="170" spans="1:93" ht="17" hidden="1">
      <c r="B170" s="15">
        <v>166</v>
      </c>
      <c r="C170" s="23" t="s">
        <v>196</v>
      </c>
      <c r="D170" s="16">
        <v>11</v>
      </c>
      <c r="E170" s="17">
        <v>1111299982</v>
      </c>
      <c r="F170" s="16">
        <v>28</v>
      </c>
      <c r="G170" s="17">
        <v>72763690</v>
      </c>
      <c r="H170" s="17">
        <v>1507</v>
      </c>
      <c r="I170" s="17">
        <v>1351947</v>
      </c>
      <c r="J170" s="17">
        <v>70751</v>
      </c>
      <c r="K170" s="17">
        <v>57594</v>
      </c>
      <c r="L170" s="17">
        <v>1140980</v>
      </c>
      <c r="M170" s="17">
        <v>5000</v>
      </c>
      <c r="N170" s="23">
        <v>9</v>
      </c>
      <c r="O170" s="23">
        <v>12</v>
      </c>
      <c r="P170" s="23">
        <v>27</v>
      </c>
      <c r="Q170" s="23">
        <v>36</v>
      </c>
      <c r="R170" s="23">
        <v>39</v>
      </c>
      <c r="S170" s="23">
        <v>45</v>
      </c>
      <c r="T170" s="23">
        <v>14</v>
      </c>
      <c r="U170" s="23">
        <f t="shared" si="131"/>
        <v>168</v>
      </c>
      <c r="W170" s="22" t="str">
        <f t="shared" si="116"/>
        <v>홀수</v>
      </c>
      <c r="X170" s="22" t="str">
        <f t="shared" si="117"/>
        <v>짝수</v>
      </c>
      <c r="Y170" s="22" t="str">
        <f t="shared" si="118"/>
        <v>홀수</v>
      </c>
      <c r="Z170" s="22" t="str">
        <f t="shared" si="119"/>
        <v>짝수</v>
      </c>
      <c r="AA170" s="22" t="str">
        <f t="shared" si="120"/>
        <v>홀수</v>
      </c>
      <c r="AB170" s="22" t="str">
        <f t="shared" si="121"/>
        <v>홀수</v>
      </c>
      <c r="AC170" s="52" t="str">
        <f t="shared" si="122"/>
        <v>4 : 2</v>
      </c>
      <c r="AD170" s="22">
        <f t="shared" si="123"/>
        <v>4</v>
      </c>
      <c r="AE170" s="22">
        <f t="shared" si="124"/>
        <v>2</v>
      </c>
      <c r="AF170" s="22" t="str">
        <f t="shared" si="132"/>
        <v>저수</v>
      </c>
      <c r="AG170" s="22" t="str">
        <f t="shared" si="133"/>
        <v>저수</v>
      </c>
      <c r="AH170" s="22" t="str">
        <f t="shared" si="134"/>
        <v>고수</v>
      </c>
      <c r="AI170" s="22" t="str">
        <f t="shared" si="135"/>
        <v>고수</v>
      </c>
      <c r="AJ170" s="22" t="str">
        <f t="shared" si="136"/>
        <v>고수</v>
      </c>
      <c r="AK170" s="22" t="str">
        <f t="shared" si="137"/>
        <v>고수</v>
      </c>
      <c r="AL170" s="52" t="str">
        <f t="shared" si="138"/>
        <v>2 : 4</v>
      </c>
      <c r="AM170" s="22">
        <f t="shared" si="139"/>
        <v>2</v>
      </c>
      <c r="AN170" s="22">
        <f t="shared" si="140"/>
        <v>4</v>
      </c>
      <c r="AO170" s="22">
        <f t="shared" si="141"/>
        <v>38</v>
      </c>
      <c r="AP170" s="22" t="str">
        <f t="shared" si="142"/>
        <v>X</v>
      </c>
      <c r="AQ170" s="22" t="str">
        <f t="shared" si="143"/>
        <v>X</v>
      </c>
      <c r="AR170" s="22" t="str">
        <f t="shared" si="144"/>
        <v>X</v>
      </c>
      <c r="AS170" s="22" t="str">
        <f t="shared" si="145"/>
        <v>X</v>
      </c>
      <c r="AT170" s="22" t="str">
        <f t="shared" si="146"/>
        <v>X</v>
      </c>
      <c r="AU170" s="22" t="str">
        <f t="shared" si="147"/>
        <v>X</v>
      </c>
      <c r="AV170" s="22" t="str">
        <f t="shared" si="148"/>
        <v>X</v>
      </c>
      <c r="AW170" s="22" t="str">
        <f t="shared" si="149"/>
        <v>X</v>
      </c>
      <c r="AX170" s="22" t="str">
        <f t="shared" si="150"/>
        <v>X</v>
      </c>
      <c r="AY170" s="22" t="str">
        <f t="shared" si="151"/>
        <v>X</v>
      </c>
      <c r="AZ170" s="22" t="str">
        <f t="shared" si="152"/>
        <v>X</v>
      </c>
      <c r="BA170" s="22" t="str">
        <f t="shared" si="153"/>
        <v>X</v>
      </c>
      <c r="BB170" s="22">
        <f t="shared" si="154"/>
        <v>0</v>
      </c>
      <c r="BC170" s="22" t="str">
        <f t="shared" si="125"/>
        <v>1G</v>
      </c>
      <c r="BD170" s="22" t="str">
        <f t="shared" si="126"/>
        <v>1G</v>
      </c>
      <c r="BE170" s="22" t="str">
        <f t="shared" si="127"/>
        <v>2G</v>
      </c>
      <c r="BF170" s="22" t="str">
        <f t="shared" si="128"/>
        <v>3G</v>
      </c>
      <c r="BG170" s="22" t="str">
        <f t="shared" si="129"/>
        <v>3G</v>
      </c>
      <c r="BH170" s="22" t="str">
        <f t="shared" si="130"/>
        <v>3G</v>
      </c>
      <c r="BI170" s="22">
        <f t="shared" si="155"/>
        <v>2</v>
      </c>
      <c r="BJ170" s="22">
        <f t="shared" si="156"/>
        <v>1</v>
      </c>
      <c r="BK170" s="22">
        <f t="shared" si="157"/>
        <v>3</v>
      </c>
      <c r="BL170" s="22" t="str">
        <f t="shared" si="158"/>
        <v>213</v>
      </c>
      <c r="BS170"/>
      <c r="CL170" s="23">
        <v>126</v>
      </c>
      <c r="CM170" s="23">
        <v>120</v>
      </c>
      <c r="CO170"/>
    </row>
    <row r="171" spans="1:93" ht="17" hidden="1">
      <c r="B171" s="15">
        <v>167</v>
      </c>
      <c r="C171" s="23" t="s">
        <v>197</v>
      </c>
      <c r="D171" s="16">
        <v>5</v>
      </c>
      <c r="E171" s="17">
        <v>2491222920</v>
      </c>
      <c r="F171" s="16">
        <v>36</v>
      </c>
      <c r="G171" s="17">
        <v>57667198</v>
      </c>
      <c r="H171" s="17">
        <v>1313</v>
      </c>
      <c r="I171" s="17">
        <v>1581127</v>
      </c>
      <c r="J171" s="17">
        <v>64208</v>
      </c>
      <c r="K171" s="17">
        <v>64666</v>
      </c>
      <c r="L171" s="17">
        <v>1122401</v>
      </c>
      <c r="M171" s="17">
        <v>5000</v>
      </c>
      <c r="N171" s="23">
        <v>24</v>
      </c>
      <c r="O171" s="23">
        <v>27</v>
      </c>
      <c r="P171" s="23">
        <v>28</v>
      </c>
      <c r="Q171" s="23">
        <v>30</v>
      </c>
      <c r="R171" s="23">
        <v>36</v>
      </c>
      <c r="S171" s="23">
        <v>39</v>
      </c>
      <c r="T171" s="23">
        <v>4</v>
      </c>
      <c r="U171" s="23">
        <f t="shared" si="131"/>
        <v>184</v>
      </c>
      <c r="W171" s="22" t="str">
        <f t="shared" si="116"/>
        <v>짝수</v>
      </c>
      <c r="X171" s="22" t="str">
        <f t="shared" si="117"/>
        <v>홀수</v>
      </c>
      <c r="Y171" s="22" t="str">
        <f t="shared" si="118"/>
        <v>짝수</v>
      </c>
      <c r="Z171" s="22" t="str">
        <f t="shared" si="119"/>
        <v>짝수</v>
      </c>
      <c r="AA171" s="22" t="str">
        <f t="shared" si="120"/>
        <v>짝수</v>
      </c>
      <c r="AB171" s="22" t="str">
        <f t="shared" si="121"/>
        <v>홀수</v>
      </c>
      <c r="AC171" s="52" t="str">
        <f t="shared" si="122"/>
        <v>2 : 4</v>
      </c>
      <c r="AD171" s="22">
        <f t="shared" si="123"/>
        <v>2</v>
      </c>
      <c r="AE171" s="22">
        <f t="shared" si="124"/>
        <v>4</v>
      </c>
      <c r="AF171" s="22" t="str">
        <f t="shared" si="132"/>
        <v>고수</v>
      </c>
      <c r="AG171" s="22" t="str">
        <f t="shared" si="133"/>
        <v>고수</v>
      </c>
      <c r="AH171" s="22" t="str">
        <f t="shared" si="134"/>
        <v>고수</v>
      </c>
      <c r="AI171" s="22" t="str">
        <f t="shared" si="135"/>
        <v>고수</v>
      </c>
      <c r="AJ171" s="22" t="str">
        <f t="shared" si="136"/>
        <v>고수</v>
      </c>
      <c r="AK171" s="22" t="str">
        <f t="shared" si="137"/>
        <v>고수</v>
      </c>
      <c r="AL171" s="52" t="str">
        <f t="shared" si="138"/>
        <v>0 : 6</v>
      </c>
      <c r="AM171" s="22">
        <f t="shared" si="139"/>
        <v>0</v>
      </c>
      <c r="AN171" s="22">
        <f t="shared" si="140"/>
        <v>6</v>
      </c>
      <c r="AO171" s="22">
        <f t="shared" si="141"/>
        <v>34</v>
      </c>
      <c r="AP171" s="22" t="str">
        <f t="shared" si="142"/>
        <v>X</v>
      </c>
      <c r="AQ171" s="22" t="str">
        <f t="shared" si="143"/>
        <v>X</v>
      </c>
      <c r="AR171" s="22" t="str">
        <f t="shared" si="144"/>
        <v>X</v>
      </c>
      <c r="AS171" s="22" t="str">
        <f t="shared" si="145"/>
        <v>X</v>
      </c>
      <c r="AT171" s="22" t="str">
        <f t="shared" si="146"/>
        <v>X</v>
      </c>
      <c r="AU171" s="22" t="str">
        <f t="shared" si="147"/>
        <v>X</v>
      </c>
      <c r="AV171" s="22" t="str">
        <f t="shared" si="148"/>
        <v>X</v>
      </c>
      <c r="AW171" s="22" t="str">
        <f t="shared" si="149"/>
        <v>X</v>
      </c>
      <c r="AX171" s="22" t="str">
        <f t="shared" si="150"/>
        <v>X</v>
      </c>
      <c r="AY171" s="22" t="str">
        <f t="shared" si="151"/>
        <v>X</v>
      </c>
      <c r="AZ171" s="22" t="str">
        <f t="shared" si="152"/>
        <v>X</v>
      </c>
      <c r="BA171" s="22" t="str">
        <f t="shared" si="153"/>
        <v>X</v>
      </c>
      <c r="BB171" s="22">
        <f t="shared" si="154"/>
        <v>0</v>
      </c>
      <c r="BC171" s="22" t="str">
        <f t="shared" si="125"/>
        <v>2G</v>
      </c>
      <c r="BD171" s="22" t="str">
        <f t="shared" si="126"/>
        <v>2G</v>
      </c>
      <c r="BE171" s="22" t="str">
        <f t="shared" si="127"/>
        <v>2G</v>
      </c>
      <c r="BF171" s="22" t="str">
        <f t="shared" si="128"/>
        <v>2G</v>
      </c>
      <c r="BG171" s="22" t="str">
        <f t="shared" si="129"/>
        <v>3G</v>
      </c>
      <c r="BH171" s="22" t="str">
        <f t="shared" si="130"/>
        <v>3G</v>
      </c>
      <c r="BI171" s="22">
        <f t="shared" si="155"/>
        <v>0</v>
      </c>
      <c r="BJ171" s="22">
        <f t="shared" si="156"/>
        <v>4</v>
      </c>
      <c r="BK171" s="22">
        <f t="shared" si="157"/>
        <v>2</v>
      </c>
      <c r="BL171" s="22" t="str">
        <f t="shared" si="158"/>
        <v>042</v>
      </c>
      <c r="BS171"/>
      <c r="CL171" s="23">
        <v>126</v>
      </c>
      <c r="CM171" s="23">
        <v>120</v>
      </c>
      <c r="CO171"/>
    </row>
    <row r="172" spans="1:93" ht="17" hidden="1">
      <c r="B172" s="15">
        <v>168</v>
      </c>
      <c r="C172" s="23" t="s">
        <v>198</v>
      </c>
      <c r="D172" s="16">
        <v>5</v>
      </c>
      <c r="E172" s="17">
        <v>2349946920</v>
      </c>
      <c r="F172" s="16">
        <v>54</v>
      </c>
      <c r="G172" s="17">
        <v>36264613</v>
      </c>
      <c r="H172" s="17">
        <v>1544</v>
      </c>
      <c r="I172" s="17">
        <v>1268322</v>
      </c>
      <c r="J172" s="17">
        <v>74504</v>
      </c>
      <c r="K172" s="17">
        <v>52569</v>
      </c>
      <c r="L172" s="17">
        <v>1233043</v>
      </c>
      <c r="M172" s="17">
        <v>5000</v>
      </c>
      <c r="N172" s="23">
        <v>3</v>
      </c>
      <c r="O172" s="23">
        <v>10</v>
      </c>
      <c r="P172" s="23">
        <v>31</v>
      </c>
      <c r="Q172" s="23">
        <v>40</v>
      </c>
      <c r="R172" s="23">
        <v>42</v>
      </c>
      <c r="S172" s="23">
        <v>43</v>
      </c>
      <c r="T172" s="23">
        <v>30</v>
      </c>
      <c r="U172" s="23">
        <f t="shared" si="131"/>
        <v>169</v>
      </c>
      <c r="W172" s="22" t="str">
        <f t="shared" si="116"/>
        <v>홀수</v>
      </c>
      <c r="X172" s="22" t="str">
        <f t="shared" si="117"/>
        <v>짝수</v>
      </c>
      <c r="Y172" s="22" t="str">
        <f t="shared" si="118"/>
        <v>홀수</v>
      </c>
      <c r="Z172" s="22" t="str">
        <f t="shared" si="119"/>
        <v>짝수</v>
      </c>
      <c r="AA172" s="22" t="str">
        <f t="shared" si="120"/>
        <v>짝수</v>
      </c>
      <c r="AB172" s="22" t="str">
        <f t="shared" si="121"/>
        <v>홀수</v>
      </c>
      <c r="AC172" s="52" t="str">
        <f t="shared" si="122"/>
        <v>3 : 3</v>
      </c>
      <c r="AD172" s="22">
        <f t="shared" si="123"/>
        <v>3</v>
      </c>
      <c r="AE172" s="22">
        <f t="shared" si="124"/>
        <v>3</v>
      </c>
      <c r="AF172" s="22" t="str">
        <f t="shared" si="132"/>
        <v>저수</v>
      </c>
      <c r="AG172" s="22" t="str">
        <f t="shared" si="133"/>
        <v>저수</v>
      </c>
      <c r="AH172" s="22" t="str">
        <f t="shared" si="134"/>
        <v>고수</v>
      </c>
      <c r="AI172" s="22" t="str">
        <f t="shared" si="135"/>
        <v>고수</v>
      </c>
      <c r="AJ172" s="22" t="str">
        <f t="shared" si="136"/>
        <v>고수</v>
      </c>
      <c r="AK172" s="22" t="str">
        <f t="shared" si="137"/>
        <v>고수</v>
      </c>
      <c r="AL172" s="52" t="str">
        <f t="shared" si="138"/>
        <v>2 : 4</v>
      </c>
      <c r="AM172" s="22">
        <f t="shared" si="139"/>
        <v>2</v>
      </c>
      <c r="AN172" s="22">
        <f t="shared" si="140"/>
        <v>4</v>
      </c>
      <c r="AO172" s="22">
        <f t="shared" si="141"/>
        <v>9</v>
      </c>
      <c r="AP172" s="22" t="str">
        <f t="shared" si="142"/>
        <v>O</v>
      </c>
      <c r="AQ172" s="22" t="str">
        <f t="shared" si="143"/>
        <v>X</v>
      </c>
      <c r="AR172" s="22" t="str">
        <f t="shared" si="144"/>
        <v>X</v>
      </c>
      <c r="AS172" s="22" t="str">
        <f t="shared" si="145"/>
        <v>X</v>
      </c>
      <c r="AT172" s="22" t="str">
        <f t="shared" si="146"/>
        <v>X</v>
      </c>
      <c r="AU172" s="22" t="str">
        <f t="shared" si="147"/>
        <v>X</v>
      </c>
      <c r="AV172" s="22" t="str">
        <f t="shared" si="148"/>
        <v>X</v>
      </c>
      <c r="AW172" s="22" t="str">
        <f t="shared" si="149"/>
        <v>X</v>
      </c>
      <c r="AX172" s="22" t="str">
        <f t="shared" si="150"/>
        <v>O</v>
      </c>
      <c r="AY172" s="22" t="str">
        <f t="shared" si="151"/>
        <v>X</v>
      </c>
      <c r="AZ172" s="22" t="str">
        <f t="shared" si="152"/>
        <v>X</v>
      </c>
      <c r="BA172" s="22" t="str">
        <f t="shared" si="153"/>
        <v>O</v>
      </c>
      <c r="BB172" s="22">
        <f t="shared" si="154"/>
        <v>3</v>
      </c>
      <c r="BC172" s="22" t="str">
        <f t="shared" si="125"/>
        <v>1G</v>
      </c>
      <c r="BD172" s="22" t="str">
        <f t="shared" si="126"/>
        <v>1G</v>
      </c>
      <c r="BE172" s="22" t="str">
        <f t="shared" si="127"/>
        <v>3G</v>
      </c>
      <c r="BF172" s="22" t="str">
        <f t="shared" si="128"/>
        <v>3G</v>
      </c>
      <c r="BG172" s="22" t="str">
        <f t="shared" si="129"/>
        <v>3G</v>
      </c>
      <c r="BH172" s="22" t="str">
        <f t="shared" si="130"/>
        <v>3G</v>
      </c>
      <c r="BI172" s="22">
        <f t="shared" si="155"/>
        <v>2</v>
      </c>
      <c r="BJ172" s="22">
        <f t="shared" si="156"/>
        <v>0</v>
      </c>
      <c r="BK172" s="22">
        <f t="shared" si="157"/>
        <v>4</v>
      </c>
      <c r="BL172" s="22" t="str">
        <f t="shared" si="158"/>
        <v>204</v>
      </c>
      <c r="BS172"/>
      <c r="CL172" s="23">
        <v>126</v>
      </c>
      <c r="CM172" s="23">
        <v>120</v>
      </c>
      <c r="CO172"/>
    </row>
    <row r="173" spans="1:93" ht="17" hidden="1">
      <c r="B173" s="15">
        <v>169</v>
      </c>
      <c r="C173" s="23" t="s">
        <v>199</v>
      </c>
      <c r="D173" s="16">
        <v>5</v>
      </c>
      <c r="E173" s="17">
        <v>2482888380</v>
      </c>
      <c r="F173" s="16">
        <v>31</v>
      </c>
      <c r="G173" s="17">
        <v>66744312</v>
      </c>
      <c r="H173" s="17">
        <v>1171</v>
      </c>
      <c r="I173" s="17">
        <v>1766929</v>
      </c>
      <c r="J173" s="17">
        <v>62705</v>
      </c>
      <c r="K173" s="17">
        <v>65994</v>
      </c>
      <c r="L173" s="17">
        <v>1069471</v>
      </c>
      <c r="M173" s="17">
        <v>5000</v>
      </c>
      <c r="N173" s="23">
        <v>16</v>
      </c>
      <c r="O173" s="23">
        <v>27</v>
      </c>
      <c r="P173" s="23">
        <v>35</v>
      </c>
      <c r="Q173" s="23">
        <v>37</v>
      </c>
      <c r="R173" s="23">
        <v>43</v>
      </c>
      <c r="S173" s="23">
        <v>45</v>
      </c>
      <c r="T173" s="23">
        <v>19</v>
      </c>
      <c r="U173" s="23">
        <f t="shared" si="131"/>
        <v>203</v>
      </c>
      <c r="W173" s="22" t="str">
        <f t="shared" si="116"/>
        <v>짝수</v>
      </c>
      <c r="X173" s="22" t="str">
        <f t="shared" si="117"/>
        <v>홀수</v>
      </c>
      <c r="Y173" s="22" t="str">
        <f t="shared" si="118"/>
        <v>홀수</v>
      </c>
      <c r="Z173" s="22" t="str">
        <f t="shared" si="119"/>
        <v>홀수</v>
      </c>
      <c r="AA173" s="22" t="str">
        <f t="shared" si="120"/>
        <v>홀수</v>
      </c>
      <c r="AB173" s="22" t="str">
        <f t="shared" si="121"/>
        <v>홀수</v>
      </c>
      <c r="AC173" s="52" t="str">
        <f t="shared" si="122"/>
        <v>5 : 1</v>
      </c>
      <c r="AD173" s="22">
        <f t="shared" si="123"/>
        <v>5</v>
      </c>
      <c r="AE173" s="22">
        <f t="shared" si="124"/>
        <v>1</v>
      </c>
      <c r="AF173" s="22" t="str">
        <f t="shared" si="132"/>
        <v>저수</v>
      </c>
      <c r="AG173" s="22" t="str">
        <f t="shared" si="133"/>
        <v>고수</v>
      </c>
      <c r="AH173" s="22" t="str">
        <f t="shared" si="134"/>
        <v>고수</v>
      </c>
      <c r="AI173" s="22" t="str">
        <f t="shared" si="135"/>
        <v>고수</v>
      </c>
      <c r="AJ173" s="22" t="str">
        <f t="shared" si="136"/>
        <v>고수</v>
      </c>
      <c r="AK173" s="22" t="str">
        <f t="shared" si="137"/>
        <v>고수</v>
      </c>
      <c r="AL173" s="52" t="str">
        <f t="shared" si="138"/>
        <v>1 : 5</v>
      </c>
      <c r="AM173" s="22">
        <f t="shared" si="139"/>
        <v>1</v>
      </c>
      <c r="AN173" s="22">
        <f t="shared" si="140"/>
        <v>5</v>
      </c>
      <c r="AO173" s="22">
        <f t="shared" si="141"/>
        <v>33</v>
      </c>
      <c r="AP173" s="22" t="str">
        <f t="shared" si="142"/>
        <v>X</v>
      </c>
      <c r="AQ173" s="22" t="str">
        <f t="shared" si="143"/>
        <v>X</v>
      </c>
      <c r="AR173" s="22" t="str">
        <f t="shared" si="144"/>
        <v>X</v>
      </c>
      <c r="AS173" s="22" t="str">
        <f t="shared" si="145"/>
        <v>X</v>
      </c>
      <c r="AT173" s="22" t="str">
        <f t="shared" si="146"/>
        <v>X</v>
      </c>
      <c r="AU173" s="22" t="str">
        <f t="shared" si="147"/>
        <v>X</v>
      </c>
      <c r="AV173" s="22" t="str">
        <f t="shared" si="148"/>
        <v>X</v>
      </c>
      <c r="AW173" s="22" t="str">
        <f t="shared" si="149"/>
        <v>X</v>
      </c>
      <c r="AX173" s="22" t="str">
        <f t="shared" si="150"/>
        <v>X</v>
      </c>
      <c r="AY173" s="22" t="str">
        <f t="shared" si="151"/>
        <v>O</v>
      </c>
      <c r="AZ173" s="22" t="str">
        <f t="shared" si="152"/>
        <v>O</v>
      </c>
      <c r="BA173" s="22" t="str">
        <f t="shared" si="153"/>
        <v>X</v>
      </c>
      <c r="BB173" s="22">
        <f t="shared" si="154"/>
        <v>2</v>
      </c>
      <c r="BC173" s="22" t="str">
        <f t="shared" si="125"/>
        <v>2G</v>
      </c>
      <c r="BD173" s="22" t="str">
        <f t="shared" si="126"/>
        <v>2G</v>
      </c>
      <c r="BE173" s="22" t="str">
        <f t="shared" si="127"/>
        <v>3G</v>
      </c>
      <c r="BF173" s="22" t="str">
        <f t="shared" si="128"/>
        <v>3G</v>
      </c>
      <c r="BG173" s="22" t="str">
        <f t="shared" si="129"/>
        <v>3G</v>
      </c>
      <c r="BH173" s="22" t="str">
        <f t="shared" si="130"/>
        <v>3G</v>
      </c>
      <c r="BI173" s="22">
        <f t="shared" si="155"/>
        <v>0</v>
      </c>
      <c r="BJ173" s="22">
        <f t="shared" si="156"/>
        <v>2</v>
      </c>
      <c r="BK173" s="22">
        <f t="shared" si="157"/>
        <v>4</v>
      </c>
      <c r="BL173" s="22" t="str">
        <f t="shared" si="158"/>
        <v>024</v>
      </c>
      <c r="BS173"/>
      <c r="CL173" s="23">
        <v>126</v>
      </c>
      <c r="CM173" s="23">
        <v>120</v>
      </c>
      <c r="CO173"/>
    </row>
    <row r="174" spans="1:93" ht="17" hidden="1">
      <c r="B174" s="15">
        <v>170</v>
      </c>
      <c r="C174" s="23" t="s">
        <v>200</v>
      </c>
      <c r="D174" s="16">
        <v>6</v>
      </c>
      <c r="E174" s="17">
        <v>1923108250</v>
      </c>
      <c r="F174" s="16">
        <v>27</v>
      </c>
      <c r="G174" s="17">
        <v>71226232</v>
      </c>
      <c r="H174" s="17">
        <v>1309</v>
      </c>
      <c r="I174" s="17">
        <v>1469144</v>
      </c>
      <c r="J174" s="17">
        <v>67030</v>
      </c>
      <c r="K174" s="17">
        <v>57381</v>
      </c>
      <c r="L174" s="17">
        <v>1125608</v>
      </c>
      <c r="M174" s="17">
        <v>5000</v>
      </c>
      <c r="N174" s="23">
        <v>2</v>
      </c>
      <c r="O174" s="23">
        <v>11</v>
      </c>
      <c r="P174" s="23">
        <v>13</v>
      </c>
      <c r="Q174" s="23">
        <v>15</v>
      </c>
      <c r="R174" s="23">
        <v>31</v>
      </c>
      <c r="S174" s="23">
        <v>42</v>
      </c>
      <c r="T174" s="23">
        <v>10</v>
      </c>
      <c r="U174" s="23">
        <f t="shared" si="131"/>
        <v>114</v>
      </c>
      <c r="W174" s="22" t="str">
        <f t="shared" si="116"/>
        <v>짝수</v>
      </c>
      <c r="X174" s="22" t="str">
        <f t="shared" si="117"/>
        <v>홀수</v>
      </c>
      <c r="Y174" s="22" t="str">
        <f t="shared" si="118"/>
        <v>홀수</v>
      </c>
      <c r="Z174" s="22" t="str">
        <f t="shared" si="119"/>
        <v>홀수</v>
      </c>
      <c r="AA174" s="22" t="str">
        <f t="shared" si="120"/>
        <v>홀수</v>
      </c>
      <c r="AB174" s="22" t="str">
        <f t="shared" si="121"/>
        <v>짝수</v>
      </c>
      <c r="AC174" s="52" t="str">
        <f t="shared" si="122"/>
        <v>4 : 2</v>
      </c>
      <c r="AD174" s="22">
        <f t="shared" si="123"/>
        <v>4</v>
      </c>
      <c r="AE174" s="22">
        <f t="shared" si="124"/>
        <v>2</v>
      </c>
      <c r="AF174" s="22" t="str">
        <f t="shared" si="132"/>
        <v>저수</v>
      </c>
      <c r="AG174" s="22" t="str">
        <f t="shared" si="133"/>
        <v>저수</v>
      </c>
      <c r="AH174" s="22" t="str">
        <f t="shared" si="134"/>
        <v>저수</v>
      </c>
      <c r="AI174" s="22" t="str">
        <f t="shared" si="135"/>
        <v>저수</v>
      </c>
      <c r="AJ174" s="22" t="str">
        <f t="shared" si="136"/>
        <v>고수</v>
      </c>
      <c r="AK174" s="22" t="str">
        <f t="shared" si="137"/>
        <v>고수</v>
      </c>
      <c r="AL174" s="52" t="str">
        <f t="shared" si="138"/>
        <v>4 : 2</v>
      </c>
      <c r="AM174" s="22">
        <f t="shared" si="139"/>
        <v>4</v>
      </c>
      <c r="AN174" s="22">
        <f t="shared" si="140"/>
        <v>2</v>
      </c>
      <c r="AO174" s="22">
        <f t="shared" si="141"/>
        <v>14</v>
      </c>
      <c r="AP174" s="22" t="str">
        <f t="shared" si="142"/>
        <v>O</v>
      </c>
      <c r="AQ174" s="22" t="str">
        <f t="shared" si="143"/>
        <v>O</v>
      </c>
      <c r="AR174" s="22" t="str">
        <f t="shared" si="144"/>
        <v>O</v>
      </c>
      <c r="AS174" s="22" t="str">
        <f t="shared" si="145"/>
        <v>X</v>
      </c>
      <c r="AT174" s="22" t="str">
        <f t="shared" si="146"/>
        <v>X</v>
      </c>
      <c r="AU174" s="22" t="str">
        <f t="shared" si="147"/>
        <v>X</v>
      </c>
      <c r="AV174" s="22" t="str">
        <f t="shared" si="148"/>
        <v>X</v>
      </c>
      <c r="AW174" s="22" t="str">
        <f t="shared" si="149"/>
        <v>X</v>
      </c>
      <c r="AX174" s="22" t="str">
        <f t="shared" si="150"/>
        <v>X</v>
      </c>
      <c r="AY174" s="22" t="str">
        <f t="shared" si="151"/>
        <v>X</v>
      </c>
      <c r="AZ174" s="22" t="str">
        <f t="shared" si="152"/>
        <v>O</v>
      </c>
      <c r="BA174" s="22" t="str">
        <f t="shared" si="153"/>
        <v>X</v>
      </c>
      <c r="BB174" s="22">
        <f t="shared" si="154"/>
        <v>4</v>
      </c>
      <c r="BC174" s="22" t="str">
        <f t="shared" si="125"/>
        <v>1G</v>
      </c>
      <c r="BD174" s="22" t="str">
        <f t="shared" si="126"/>
        <v>1G</v>
      </c>
      <c r="BE174" s="22" t="str">
        <f t="shared" si="127"/>
        <v>1G</v>
      </c>
      <c r="BF174" s="22" t="str">
        <f t="shared" si="128"/>
        <v>1G</v>
      </c>
      <c r="BG174" s="22" t="str">
        <f t="shared" si="129"/>
        <v>3G</v>
      </c>
      <c r="BH174" s="22" t="str">
        <f t="shared" si="130"/>
        <v>3G</v>
      </c>
      <c r="BI174" s="22">
        <f t="shared" si="155"/>
        <v>4</v>
      </c>
      <c r="BJ174" s="22">
        <f t="shared" si="156"/>
        <v>0</v>
      </c>
      <c r="BK174" s="22">
        <f t="shared" si="157"/>
        <v>2</v>
      </c>
      <c r="BL174" s="22" t="str">
        <f t="shared" si="158"/>
        <v>402</v>
      </c>
      <c r="BS174"/>
      <c r="CL174" s="23">
        <v>126</v>
      </c>
      <c r="CM174" s="23">
        <v>120</v>
      </c>
      <c r="CO174"/>
    </row>
    <row r="175" spans="1:93" ht="17" hidden="1">
      <c r="B175" s="15">
        <v>171</v>
      </c>
      <c r="C175" s="23" t="s">
        <v>201</v>
      </c>
      <c r="D175" s="16">
        <v>6</v>
      </c>
      <c r="E175" s="17">
        <v>1961339700</v>
      </c>
      <c r="F175" s="16">
        <v>19</v>
      </c>
      <c r="G175" s="17">
        <v>103228406</v>
      </c>
      <c r="H175" s="17">
        <v>1381</v>
      </c>
      <c r="I175" s="17">
        <v>1420232</v>
      </c>
      <c r="J175" s="17">
        <v>71461</v>
      </c>
      <c r="K175" s="17">
        <v>54893</v>
      </c>
      <c r="L175" s="17">
        <v>1113068</v>
      </c>
      <c r="M175" s="17">
        <v>5000</v>
      </c>
      <c r="N175" s="23">
        <v>4</v>
      </c>
      <c r="O175" s="23">
        <v>16</v>
      </c>
      <c r="P175" s="23">
        <v>25</v>
      </c>
      <c r="Q175" s="23">
        <v>29</v>
      </c>
      <c r="R175" s="23">
        <v>34</v>
      </c>
      <c r="S175" s="23">
        <v>35</v>
      </c>
      <c r="T175" s="23">
        <v>1</v>
      </c>
      <c r="U175" s="23">
        <f t="shared" si="131"/>
        <v>143</v>
      </c>
      <c r="W175" s="22" t="str">
        <f t="shared" si="116"/>
        <v>짝수</v>
      </c>
      <c r="X175" s="22" t="str">
        <f t="shared" si="117"/>
        <v>짝수</v>
      </c>
      <c r="Y175" s="22" t="str">
        <f t="shared" si="118"/>
        <v>홀수</v>
      </c>
      <c r="Z175" s="22" t="str">
        <f t="shared" si="119"/>
        <v>홀수</v>
      </c>
      <c r="AA175" s="22" t="str">
        <f t="shared" si="120"/>
        <v>짝수</v>
      </c>
      <c r="AB175" s="22" t="str">
        <f t="shared" si="121"/>
        <v>홀수</v>
      </c>
      <c r="AC175" s="52" t="str">
        <f t="shared" si="122"/>
        <v>3 : 3</v>
      </c>
      <c r="AD175" s="22">
        <f t="shared" si="123"/>
        <v>3</v>
      </c>
      <c r="AE175" s="22">
        <f t="shared" si="124"/>
        <v>3</v>
      </c>
      <c r="AF175" s="22" t="str">
        <f t="shared" si="132"/>
        <v>저수</v>
      </c>
      <c r="AG175" s="22" t="str">
        <f t="shared" si="133"/>
        <v>저수</v>
      </c>
      <c r="AH175" s="22" t="str">
        <f t="shared" si="134"/>
        <v>고수</v>
      </c>
      <c r="AI175" s="22" t="str">
        <f t="shared" si="135"/>
        <v>고수</v>
      </c>
      <c r="AJ175" s="22" t="str">
        <f t="shared" si="136"/>
        <v>고수</v>
      </c>
      <c r="AK175" s="22" t="str">
        <f t="shared" si="137"/>
        <v>고수</v>
      </c>
      <c r="AL175" s="52" t="str">
        <f t="shared" si="138"/>
        <v>2 : 4</v>
      </c>
      <c r="AM175" s="22">
        <f t="shared" si="139"/>
        <v>2</v>
      </c>
      <c r="AN175" s="22">
        <f t="shared" si="140"/>
        <v>4</v>
      </c>
      <c r="AO175" s="22">
        <f t="shared" si="141"/>
        <v>33</v>
      </c>
      <c r="AP175" s="22" t="str">
        <f t="shared" si="142"/>
        <v>X</v>
      </c>
      <c r="AQ175" s="22" t="str">
        <f t="shared" si="143"/>
        <v>X</v>
      </c>
      <c r="AR175" s="22" t="str">
        <f t="shared" si="144"/>
        <v>X</v>
      </c>
      <c r="AS175" s="22" t="str">
        <f t="shared" si="145"/>
        <v>X</v>
      </c>
      <c r="AT175" s="22" t="str">
        <f t="shared" si="146"/>
        <v>X</v>
      </c>
      <c r="AU175" s="22" t="str">
        <f t="shared" si="147"/>
        <v>X</v>
      </c>
      <c r="AV175" s="22" t="str">
        <f t="shared" si="148"/>
        <v>X</v>
      </c>
      <c r="AW175" s="22" t="str">
        <f t="shared" si="149"/>
        <v>X</v>
      </c>
      <c r="AX175" s="22" t="str">
        <f t="shared" si="150"/>
        <v>X</v>
      </c>
      <c r="AY175" s="22" t="str">
        <f t="shared" si="151"/>
        <v>O</v>
      </c>
      <c r="AZ175" s="22" t="str">
        <f t="shared" si="152"/>
        <v>X</v>
      </c>
      <c r="BA175" s="22" t="str">
        <f t="shared" si="153"/>
        <v>X</v>
      </c>
      <c r="BB175" s="22">
        <f t="shared" si="154"/>
        <v>1</v>
      </c>
      <c r="BC175" s="22" t="str">
        <f t="shared" si="125"/>
        <v>1G</v>
      </c>
      <c r="BD175" s="22" t="str">
        <f t="shared" si="126"/>
        <v>2G</v>
      </c>
      <c r="BE175" s="22" t="str">
        <f t="shared" si="127"/>
        <v>2G</v>
      </c>
      <c r="BF175" s="22" t="str">
        <f t="shared" si="128"/>
        <v>2G</v>
      </c>
      <c r="BG175" s="22" t="str">
        <f t="shared" si="129"/>
        <v>3G</v>
      </c>
      <c r="BH175" s="22" t="str">
        <f t="shared" si="130"/>
        <v>3G</v>
      </c>
      <c r="BI175" s="22">
        <f t="shared" si="155"/>
        <v>1</v>
      </c>
      <c r="BJ175" s="22">
        <f t="shared" si="156"/>
        <v>3</v>
      </c>
      <c r="BK175" s="22">
        <f t="shared" si="157"/>
        <v>2</v>
      </c>
      <c r="BL175" s="22" t="str">
        <f t="shared" si="158"/>
        <v>132</v>
      </c>
      <c r="BS175"/>
      <c r="CL175" s="23">
        <v>126</v>
      </c>
      <c r="CM175" s="23">
        <v>120</v>
      </c>
      <c r="CO175"/>
    </row>
    <row r="176" spans="1:93" ht="17" hidden="1">
      <c r="B176" s="15">
        <v>172</v>
      </c>
      <c r="C176" s="23" t="s">
        <v>202</v>
      </c>
      <c r="D176" s="16">
        <v>11</v>
      </c>
      <c r="E176" s="17">
        <v>1081154073</v>
      </c>
      <c r="F176" s="16">
        <v>19</v>
      </c>
      <c r="G176" s="17">
        <v>104321885</v>
      </c>
      <c r="H176" s="17">
        <v>1276</v>
      </c>
      <c r="I176" s="17">
        <v>1553383</v>
      </c>
      <c r="J176" s="17">
        <v>65456</v>
      </c>
      <c r="K176" s="17">
        <v>60564</v>
      </c>
      <c r="L176" s="17">
        <v>1111595</v>
      </c>
      <c r="M176" s="17">
        <v>5000</v>
      </c>
      <c r="N176" s="23">
        <v>4</v>
      </c>
      <c r="O176" s="23">
        <v>19</v>
      </c>
      <c r="P176" s="23">
        <v>21</v>
      </c>
      <c r="Q176" s="23">
        <v>24</v>
      </c>
      <c r="R176" s="23">
        <v>26</v>
      </c>
      <c r="S176" s="23">
        <v>41</v>
      </c>
      <c r="T176" s="23">
        <v>35</v>
      </c>
      <c r="U176" s="23">
        <f t="shared" si="131"/>
        <v>135</v>
      </c>
      <c r="W176" s="22" t="str">
        <f t="shared" si="116"/>
        <v>짝수</v>
      </c>
      <c r="X176" s="22" t="str">
        <f t="shared" si="117"/>
        <v>홀수</v>
      </c>
      <c r="Y176" s="22" t="str">
        <f t="shared" si="118"/>
        <v>홀수</v>
      </c>
      <c r="Z176" s="22" t="str">
        <f t="shared" si="119"/>
        <v>짝수</v>
      </c>
      <c r="AA176" s="22" t="str">
        <f t="shared" si="120"/>
        <v>짝수</v>
      </c>
      <c r="AB176" s="22" t="str">
        <f t="shared" si="121"/>
        <v>홀수</v>
      </c>
      <c r="AC176" s="52" t="str">
        <f t="shared" si="122"/>
        <v>3 : 3</v>
      </c>
      <c r="AD176" s="22">
        <f t="shared" si="123"/>
        <v>3</v>
      </c>
      <c r="AE176" s="22">
        <f t="shared" si="124"/>
        <v>3</v>
      </c>
      <c r="AF176" s="22" t="str">
        <f t="shared" si="132"/>
        <v>저수</v>
      </c>
      <c r="AG176" s="22" t="str">
        <f t="shared" si="133"/>
        <v>저수</v>
      </c>
      <c r="AH176" s="22" t="str">
        <f t="shared" si="134"/>
        <v>저수</v>
      </c>
      <c r="AI176" s="22" t="str">
        <f t="shared" si="135"/>
        <v>고수</v>
      </c>
      <c r="AJ176" s="22" t="str">
        <f t="shared" si="136"/>
        <v>고수</v>
      </c>
      <c r="AK176" s="22" t="str">
        <f t="shared" si="137"/>
        <v>고수</v>
      </c>
      <c r="AL176" s="52" t="str">
        <f t="shared" si="138"/>
        <v>3 : 3</v>
      </c>
      <c r="AM176" s="22">
        <f t="shared" si="139"/>
        <v>3</v>
      </c>
      <c r="AN176" s="22">
        <f t="shared" si="140"/>
        <v>3</v>
      </c>
      <c r="AO176" s="22">
        <f t="shared" si="141"/>
        <v>25</v>
      </c>
      <c r="AP176" s="22" t="str">
        <f t="shared" si="142"/>
        <v>X</v>
      </c>
      <c r="AQ176" s="22" t="str">
        <f t="shared" si="143"/>
        <v>O</v>
      </c>
      <c r="AR176" s="22" t="str">
        <f t="shared" si="144"/>
        <v>X</v>
      </c>
      <c r="AS176" s="22" t="str">
        <f t="shared" si="145"/>
        <v>X</v>
      </c>
      <c r="AT176" s="22" t="str">
        <f t="shared" si="146"/>
        <v>X</v>
      </c>
      <c r="AU176" s="22" t="str">
        <f t="shared" si="147"/>
        <v>X</v>
      </c>
      <c r="AV176" s="22" t="str">
        <f t="shared" si="148"/>
        <v>X</v>
      </c>
      <c r="AW176" s="22" t="str">
        <f t="shared" si="149"/>
        <v>X</v>
      </c>
      <c r="AX176" s="22" t="str">
        <f t="shared" si="150"/>
        <v>X</v>
      </c>
      <c r="AY176" s="22" t="str">
        <f t="shared" si="151"/>
        <v>X</v>
      </c>
      <c r="AZ176" s="22" t="str">
        <f t="shared" si="152"/>
        <v>X</v>
      </c>
      <c r="BA176" s="22" t="str">
        <f t="shared" si="153"/>
        <v>O</v>
      </c>
      <c r="BB176" s="22">
        <f t="shared" si="154"/>
        <v>2</v>
      </c>
      <c r="BC176" s="22" t="str">
        <f t="shared" si="125"/>
        <v>1G</v>
      </c>
      <c r="BD176" s="22" t="str">
        <f t="shared" si="126"/>
        <v>2G</v>
      </c>
      <c r="BE176" s="22" t="str">
        <f t="shared" si="127"/>
        <v>2G</v>
      </c>
      <c r="BF176" s="22" t="str">
        <f t="shared" si="128"/>
        <v>2G</v>
      </c>
      <c r="BG176" s="22" t="str">
        <f t="shared" si="129"/>
        <v>2G</v>
      </c>
      <c r="BH176" s="22" t="str">
        <f t="shared" si="130"/>
        <v>3G</v>
      </c>
      <c r="BI176" s="22">
        <f t="shared" si="155"/>
        <v>1</v>
      </c>
      <c r="BJ176" s="22">
        <f t="shared" si="156"/>
        <v>4</v>
      </c>
      <c r="BK176" s="22">
        <f t="shared" si="157"/>
        <v>1</v>
      </c>
      <c r="BL176" s="22" t="str">
        <f t="shared" si="158"/>
        <v>141</v>
      </c>
      <c r="BS176"/>
      <c r="CL176" s="23">
        <v>127</v>
      </c>
      <c r="CM176" s="23">
        <v>120</v>
      </c>
      <c r="CO176"/>
    </row>
    <row r="177" spans="2:93" ht="17" hidden="1">
      <c r="B177" s="15">
        <v>173</v>
      </c>
      <c r="C177" s="23" t="s">
        <v>203</v>
      </c>
      <c r="D177" s="16">
        <v>8</v>
      </c>
      <c r="E177" s="17">
        <v>1487736788</v>
      </c>
      <c r="F177" s="16">
        <v>63</v>
      </c>
      <c r="G177" s="17">
        <v>31486493</v>
      </c>
      <c r="H177" s="17">
        <v>1448</v>
      </c>
      <c r="I177" s="17">
        <v>1369924</v>
      </c>
      <c r="J177" s="17">
        <v>78349</v>
      </c>
      <c r="K177" s="17">
        <v>50637</v>
      </c>
      <c r="L177" s="17">
        <v>1261354</v>
      </c>
      <c r="M177" s="17">
        <v>5000</v>
      </c>
      <c r="N177" s="23">
        <v>3</v>
      </c>
      <c r="O177" s="23">
        <v>9</v>
      </c>
      <c r="P177" s="23">
        <v>24</v>
      </c>
      <c r="Q177" s="23">
        <v>30</v>
      </c>
      <c r="R177" s="23">
        <v>33</v>
      </c>
      <c r="S177" s="23">
        <v>34</v>
      </c>
      <c r="T177" s="23">
        <v>18</v>
      </c>
      <c r="U177" s="23">
        <f t="shared" si="131"/>
        <v>133</v>
      </c>
      <c r="W177" s="22" t="str">
        <f t="shared" si="116"/>
        <v>홀수</v>
      </c>
      <c r="X177" s="22" t="str">
        <f t="shared" si="117"/>
        <v>홀수</v>
      </c>
      <c r="Y177" s="22" t="str">
        <f t="shared" si="118"/>
        <v>짝수</v>
      </c>
      <c r="Z177" s="22" t="str">
        <f t="shared" si="119"/>
        <v>짝수</v>
      </c>
      <c r="AA177" s="22" t="str">
        <f t="shared" si="120"/>
        <v>홀수</v>
      </c>
      <c r="AB177" s="22" t="str">
        <f t="shared" si="121"/>
        <v>짝수</v>
      </c>
      <c r="AC177" s="52" t="str">
        <f t="shared" si="122"/>
        <v>3 : 3</v>
      </c>
      <c r="AD177" s="22">
        <f t="shared" si="123"/>
        <v>3</v>
      </c>
      <c r="AE177" s="22">
        <f t="shared" si="124"/>
        <v>3</v>
      </c>
      <c r="AF177" s="22" t="str">
        <f t="shared" si="132"/>
        <v>저수</v>
      </c>
      <c r="AG177" s="22" t="str">
        <f t="shared" si="133"/>
        <v>저수</v>
      </c>
      <c r="AH177" s="22" t="str">
        <f t="shared" si="134"/>
        <v>고수</v>
      </c>
      <c r="AI177" s="22" t="str">
        <f t="shared" si="135"/>
        <v>고수</v>
      </c>
      <c r="AJ177" s="22" t="str">
        <f t="shared" si="136"/>
        <v>고수</v>
      </c>
      <c r="AK177" s="22" t="str">
        <f t="shared" si="137"/>
        <v>고수</v>
      </c>
      <c r="AL177" s="52" t="str">
        <f t="shared" si="138"/>
        <v>2 : 4</v>
      </c>
      <c r="AM177" s="22">
        <f t="shared" si="139"/>
        <v>2</v>
      </c>
      <c r="AN177" s="22">
        <f t="shared" si="140"/>
        <v>4</v>
      </c>
      <c r="AO177" s="22">
        <f t="shared" si="141"/>
        <v>23</v>
      </c>
      <c r="AP177" s="22" t="str">
        <f t="shared" si="142"/>
        <v>O</v>
      </c>
      <c r="AQ177" s="22" t="str">
        <f t="shared" si="143"/>
        <v>X</v>
      </c>
      <c r="AR177" s="22" t="str">
        <f t="shared" si="144"/>
        <v>X</v>
      </c>
      <c r="AS177" s="22" t="str">
        <f t="shared" si="145"/>
        <v>X</v>
      </c>
      <c r="AT177" s="22" t="str">
        <f t="shared" si="146"/>
        <v>X</v>
      </c>
      <c r="AU177" s="22" t="str">
        <f t="shared" si="147"/>
        <v>X</v>
      </c>
      <c r="AV177" s="22" t="str">
        <f t="shared" si="148"/>
        <v>X</v>
      </c>
      <c r="AW177" s="22" t="str">
        <f t="shared" si="149"/>
        <v>X</v>
      </c>
      <c r="AX177" s="22" t="str">
        <f t="shared" si="150"/>
        <v>X</v>
      </c>
      <c r="AY177" s="22" t="str">
        <f t="shared" si="151"/>
        <v>X</v>
      </c>
      <c r="AZ177" s="22" t="str">
        <f t="shared" si="152"/>
        <v>X</v>
      </c>
      <c r="BA177" s="22" t="str">
        <f t="shared" si="153"/>
        <v>X</v>
      </c>
      <c r="BB177" s="22">
        <f t="shared" si="154"/>
        <v>1</v>
      </c>
      <c r="BC177" s="22" t="str">
        <f t="shared" si="125"/>
        <v>1G</v>
      </c>
      <c r="BD177" s="22" t="str">
        <f t="shared" si="126"/>
        <v>1G</v>
      </c>
      <c r="BE177" s="22" t="str">
        <f t="shared" si="127"/>
        <v>2G</v>
      </c>
      <c r="BF177" s="22" t="str">
        <f t="shared" si="128"/>
        <v>2G</v>
      </c>
      <c r="BG177" s="22" t="str">
        <f t="shared" si="129"/>
        <v>3G</v>
      </c>
      <c r="BH177" s="22" t="str">
        <f t="shared" si="130"/>
        <v>3G</v>
      </c>
      <c r="BI177" s="22">
        <f t="shared" si="155"/>
        <v>2</v>
      </c>
      <c r="BJ177" s="22">
        <f t="shared" si="156"/>
        <v>2</v>
      </c>
      <c r="BK177" s="22">
        <f t="shared" si="157"/>
        <v>2</v>
      </c>
      <c r="BL177" s="22" t="str">
        <f t="shared" si="158"/>
        <v>222</v>
      </c>
      <c r="BS177"/>
      <c r="CL177" s="23">
        <v>127</v>
      </c>
      <c r="CM177" s="23">
        <v>120</v>
      </c>
      <c r="CO177"/>
    </row>
    <row r="178" spans="2:93" ht="17" hidden="1">
      <c r="B178" s="15">
        <v>174</v>
      </c>
      <c r="C178" s="23" t="s">
        <v>204</v>
      </c>
      <c r="D178" s="16">
        <v>7</v>
      </c>
      <c r="E178" s="17">
        <v>1771103058</v>
      </c>
      <c r="F178" s="16">
        <v>26</v>
      </c>
      <c r="G178" s="17">
        <v>79472574</v>
      </c>
      <c r="H178" s="17">
        <v>1325</v>
      </c>
      <c r="I178" s="17">
        <v>1559462</v>
      </c>
      <c r="J178" s="17">
        <v>64999</v>
      </c>
      <c r="K178" s="17">
        <v>63580</v>
      </c>
      <c r="L178" s="17">
        <v>1101483</v>
      </c>
      <c r="M178" s="17">
        <v>5000</v>
      </c>
      <c r="N178" s="23">
        <v>13</v>
      </c>
      <c r="O178" s="23">
        <v>14</v>
      </c>
      <c r="P178" s="23">
        <v>18</v>
      </c>
      <c r="Q178" s="23">
        <v>22</v>
      </c>
      <c r="R178" s="23">
        <v>35</v>
      </c>
      <c r="S178" s="23">
        <v>39</v>
      </c>
      <c r="T178" s="23">
        <v>16</v>
      </c>
      <c r="U178" s="23">
        <f t="shared" si="131"/>
        <v>141</v>
      </c>
      <c r="W178" s="22" t="str">
        <f t="shared" si="116"/>
        <v>홀수</v>
      </c>
      <c r="X178" s="22" t="str">
        <f t="shared" si="117"/>
        <v>짝수</v>
      </c>
      <c r="Y178" s="22" t="str">
        <f t="shared" si="118"/>
        <v>짝수</v>
      </c>
      <c r="Z178" s="22" t="str">
        <f t="shared" si="119"/>
        <v>짝수</v>
      </c>
      <c r="AA178" s="22" t="str">
        <f t="shared" si="120"/>
        <v>홀수</v>
      </c>
      <c r="AB178" s="22" t="str">
        <f t="shared" si="121"/>
        <v>홀수</v>
      </c>
      <c r="AC178" s="52" t="str">
        <f t="shared" si="122"/>
        <v>3 : 3</v>
      </c>
      <c r="AD178" s="22">
        <f t="shared" si="123"/>
        <v>3</v>
      </c>
      <c r="AE178" s="22">
        <f t="shared" si="124"/>
        <v>3</v>
      </c>
      <c r="AF178" s="22" t="str">
        <f t="shared" si="132"/>
        <v>저수</v>
      </c>
      <c r="AG178" s="22" t="str">
        <f t="shared" si="133"/>
        <v>저수</v>
      </c>
      <c r="AH178" s="22" t="str">
        <f t="shared" si="134"/>
        <v>저수</v>
      </c>
      <c r="AI178" s="22" t="str">
        <f t="shared" si="135"/>
        <v>저수</v>
      </c>
      <c r="AJ178" s="22" t="str">
        <f t="shared" si="136"/>
        <v>고수</v>
      </c>
      <c r="AK178" s="22" t="str">
        <f t="shared" si="137"/>
        <v>고수</v>
      </c>
      <c r="AL178" s="52" t="str">
        <f t="shared" si="138"/>
        <v>4 : 2</v>
      </c>
      <c r="AM178" s="22">
        <f t="shared" si="139"/>
        <v>4</v>
      </c>
      <c r="AN178" s="22">
        <f t="shared" si="140"/>
        <v>2</v>
      </c>
      <c r="AO178" s="22">
        <f t="shared" si="141"/>
        <v>31</v>
      </c>
      <c r="AP178" s="22" t="str">
        <f t="shared" si="142"/>
        <v>O</v>
      </c>
      <c r="AQ178" s="22" t="str">
        <f t="shared" si="143"/>
        <v>X</v>
      </c>
      <c r="AR178" s="22" t="str">
        <f t="shared" si="144"/>
        <v>X</v>
      </c>
      <c r="AS178" s="22" t="str">
        <f t="shared" si="145"/>
        <v>X</v>
      </c>
      <c r="AT178" s="22" t="str">
        <f t="shared" si="146"/>
        <v>X</v>
      </c>
      <c r="AU178" s="22" t="str">
        <f t="shared" si="147"/>
        <v>X</v>
      </c>
      <c r="AV178" s="22" t="str">
        <f t="shared" si="148"/>
        <v>X</v>
      </c>
      <c r="AW178" s="22" t="str">
        <f t="shared" si="149"/>
        <v>X</v>
      </c>
      <c r="AX178" s="22" t="str">
        <f t="shared" si="150"/>
        <v>X</v>
      </c>
      <c r="AY178" s="22" t="str">
        <f t="shared" si="151"/>
        <v>X</v>
      </c>
      <c r="AZ178" s="22" t="str">
        <f t="shared" si="152"/>
        <v>X</v>
      </c>
      <c r="BA178" s="22" t="str">
        <f t="shared" si="153"/>
        <v>X</v>
      </c>
      <c r="BB178" s="22">
        <f t="shared" si="154"/>
        <v>1</v>
      </c>
      <c r="BC178" s="22" t="str">
        <f t="shared" si="125"/>
        <v>1G</v>
      </c>
      <c r="BD178" s="22" t="str">
        <f t="shared" si="126"/>
        <v>1G</v>
      </c>
      <c r="BE178" s="22" t="str">
        <f t="shared" si="127"/>
        <v>2G</v>
      </c>
      <c r="BF178" s="22" t="str">
        <f t="shared" si="128"/>
        <v>2G</v>
      </c>
      <c r="BG178" s="22" t="str">
        <f t="shared" si="129"/>
        <v>3G</v>
      </c>
      <c r="BH178" s="22" t="str">
        <f t="shared" si="130"/>
        <v>3G</v>
      </c>
      <c r="BI178" s="22">
        <f t="shared" si="155"/>
        <v>2</v>
      </c>
      <c r="BJ178" s="22">
        <f t="shared" si="156"/>
        <v>2</v>
      </c>
      <c r="BK178" s="22">
        <f t="shared" si="157"/>
        <v>2</v>
      </c>
      <c r="BL178" s="22" t="str">
        <f t="shared" si="158"/>
        <v>222</v>
      </c>
      <c r="BS178"/>
      <c r="CL178" s="23">
        <v>127</v>
      </c>
      <c r="CM178" s="23">
        <v>120</v>
      </c>
      <c r="CO178"/>
    </row>
    <row r="179" spans="2:93" ht="17" hidden="1">
      <c r="B179" s="15">
        <v>175</v>
      </c>
      <c r="C179" s="23" t="s">
        <v>205</v>
      </c>
      <c r="D179" s="16">
        <v>5</v>
      </c>
      <c r="E179" s="17">
        <v>2371132620</v>
      </c>
      <c r="F179" s="16">
        <v>48</v>
      </c>
      <c r="G179" s="17">
        <v>41165497</v>
      </c>
      <c r="H179" s="17">
        <v>1347</v>
      </c>
      <c r="I179" s="17">
        <v>1466922</v>
      </c>
      <c r="J179" s="17">
        <v>67585</v>
      </c>
      <c r="K179" s="17">
        <v>58473</v>
      </c>
      <c r="L179" s="17">
        <v>1137627</v>
      </c>
      <c r="M179" s="17">
        <v>5000</v>
      </c>
      <c r="N179" s="23">
        <v>19</v>
      </c>
      <c r="O179" s="23">
        <v>26</v>
      </c>
      <c r="P179" s="23">
        <v>28</v>
      </c>
      <c r="Q179" s="23">
        <v>31</v>
      </c>
      <c r="R179" s="23">
        <v>33</v>
      </c>
      <c r="S179" s="23">
        <v>36</v>
      </c>
      <c r="T179" s="23">
        <v>17</v>
      </c>
      <c r="U179" s="23">
        <f t="shared" si="131"/>
        <v>173</v>
      </c>
      <c r="W179" s="22" t="str">
        <f t="shared" si="116"/>
        <v>홀수</v>
      </c>
      <c r="X179" s="22" t="str">
        <f t="shared" si="117"/>
        <v>짝수</v>
      </c>
      <c r="Y179" s="22" t="str">
        <f t="shared" si="118"/>
        <v>짝수</v>
      </c>
      <c r="Z179" s="22" t="str">
        <f t="shared" si="119"/>
        <v>홀수</v>
      </c>
      <c r="AA179" s="22" t="str">
        <f t="shared" si="120"/>
        <v>홀수</v>
      </c>
      <c r="AB179" s="22" t="str">
        <f t="shared" si="121"/>
        <v>짝수</v>
      </c>
      <c r="AC179" s="52" t="str">
        <f t="shared" si="122"/>
        <v>3 : 3</v>
      </c>
      <c r="AD179" s="22">
        <f t="shared" si="123"/>
        <v>3</v>
      </c>
      <c r="AE179" s="22">
        <f t="shared" si="124"/>
        <v>3</v>
      </c>
      <c r="AF179" s="22" t="str">
        <f t="shared" si="132"/>
        <v>저수</v>
      </c>
      <c r="AG179" s="22" t="str">
        <f t="shared" si="133"/>
        <v>고수</v>
      </c>
      <c r="AH179" s="22" t="str">
        <f t="shared" si="134"/>
        <v>고수</v>
      </c>
      <c r="AI179" s="22" t="str">
        <f t="shared" si="135"/>
        <v>고수</v>
      </c>
      <c r="AJ179" s="22" t="str">
        <f t="shared" si="136"/>
        <v>고수</v>
      </c>
      <c r="AK179" s="22" t="str">
        <f t="shared" si="137"/>
        <v>고수</v>
      </c>
      <c r="AL179" s="52" t="str">
        <f t="shared" si="138"/>
        <v>1 : 5</v>
      </c>
      <c r="AM179" s="22">
        <f t="shared" si="139"/>
        <v>1</v>
      </c>
      <c r="AN179" s="22">
        <f t="shared" si="140"/>
        <v>5</v>
      </c>
      <c r="AO179" s="22">
        <f t="shared" si="141"/>
        <v>33</v>
      </c>
      <c r="AP179" s="22" t="str">
        <f t="shared" si="142"/>
        <v>O</v>
      </c>
      <c r="AQ179" s="22" t="str">
        <f t="shared" si="143"/>
        <v>X</v>
      </c>
      <c r="AR179" s="22" t="str">
        <f t="shared" si="144"/>
        <v>X</v>
      </c>
      <c r="AS179" s="22" t="str">
        <f t="shared" si="145"/>
        <v>X</v>
      </c>
      <c r="AT179" s="22" t="str">
        <f t="shared" si="146"/>
        <v>X</v>
      </c>
      <c r="AU179" s="22" t="str">
        <f t="shared" si="147"/>
        <v>X</v>
      </c>
      <c r="AV179" s="22" t="str">
        <f t="shared" si="148"/>
        <v>X</v>
      </c>
      <c r="AW179" s="22" t="str">
        <f t="shared" si="149"/>
        <v>X</v>
      </c>
      <c r="AX179" s="22" t="str">
        <f t="shared" si="150"/>
        <v>X</v>
      </c>
      <c r="AY179" s="22" t="str">
        <f t="shared" si="151"/>
        <v>O</v>
      </c>
      <c r="AZ179" s="22" t="str">
        <f t="shared" si="152"/>
        <v>X</v>
      </c>
      <c r="BA179" s="22" t="str">
        <f t="shared" si="153"/>
        <v>X</v>
      </c>
      <c r="BB179" s="22">
        <f t="shared" si="154"/>
        <v>2</v>
      </c>
      <c r="BC179" s="22" t="str">
        <f t="shared" si="125"/>
        <v>2G</v>
      </c>
      <c r="BD179" s="22" t="str">
        <f t="shared" si="126"/>
        <v>2G</v>
      </c>
      <c r="BE179" s="22" t="str">
        <f t="shared" si="127"/>
        <v>2G</v>
      </c>
      <c r="BF179" s="22" t="str">
        <f t="shared" si="128"/>
        <v>3G</v>
      </c>
      <c r="BG179" s="22" t="str">
        <f t="shared" si="129"/>
        <v>3G</v>
      </c>
      <c r="BH179" s="22" t="str">
        <f t="shared" si="130"/>
        <v>3G</v>
      </c>
      <c r="BI179" s="22">
        <f t="shared" si="155"/>
        <v>0</v>
      </c>
      <c r="BJ179" s="22">
        <f t="shared" si="156"/>
        <v>3</v>
      </c>
      <c r="BK179" s="22">
        <f t="shared" si="157"/>
        <v>3</v>
      </c>
      <c r="BL179" s="22" t="str">
        <f t="shared" si="158"/>
        <v>033</v>
      </c>
      <c r="BS179"/>
      <c r="CL179" s="23">
        <v>128</v>
      </c>
      <c r="CM179" s="23">
        <v>120</v>
      </c>
      <c r="CO179"/>
    </row>
    <row r="180" spans="2:93" ht="17" hidden="1">
      <c r="B180" s="15">
        <v>176</v>
      </c>
      <c r="C180" s="23" t="s">
        <v>206</v>
      </c>
      <c r="D180" s="16">
        <v>5</v>
      </c>
      <c r="E180" s="17">
        <v>2314663080</v>
      </c>
      <c r="F180" s="16">
        <v>40</v>
      </c>
      <c r="G180" s="17">
        <v>48222148</v>
      </c>
      <c r="H180" s="17">
        <v>1535</v>
      </c>
      <c r="I180" s="17">
        <v>1256604</v>
      </c>
      <c r="J180" s="17">
        <v>76689</v>
      </c>
      <c r="K180" s="17">
        <v>50305</v>
      </c>
      <c r="L180" s="17">
        <v>1191081</v>
      </c>
      <c r="M180" s="17">
        <v>5000</v>
      </c>
      <c r="N180" s="23">
        <v>4</v>
      </c>
      <c r="O180" s="23">
        <v>17</v>
      </c>
      <c r="P180" s="23">
        <v>30</v>
      </c>
      <c r="Q180" s="23">
        <v>32</v>
      </c>
      <c r="R180" s="23">
        <v>33</v>
      </c>
      <c r="S180" s="23">
        <v>34</v>
      </c>
      <c r="T180" s="23">
        <v>15</v>
      </c>
      <c r="U180" s="23">
        <f t="shared" si="131"/>
        <v>150</v>
      </c>
      <c r="W180" s="22" t="str">
        <f t="shared" si="116"/>
        <v>짝수</v>
      </c>
      <c r="X180" s="22" t="str">
        <f t="shared" si="117"/>
        <v>홀수</v>
      </c>
      <c r="Y180" s="22" t="str">
        <f t="shared" si="118"/>
        <v>짝수</v>
      </c>
      <c r="Z180" s="22" t="str">
        <f t="shared" si="119"/>
        <v>짝수</v>
      </c>
      <c r="AA180" s="22" t="str">
        <f t="shared" si="120"/>
        <v>홀수</v>
      </c>
      <c r="AB180" s="22" t="str">
        <f t="shared" si="121"/>
        <v>짝수</v>
      </c>
      <c r="AC180" s="52" t="str">
        <f t="shared" si="122"/>
        <v>2 : 4</v>
      </c>
      <c r="AD180" s="22">
        <f t="shared" si="123"/>
        <v>2</v>
      </c>
      <c r="AE180" s="22">
        <f t="shared" si="124"/>
        <v>4</v>
      </c>
      <c r="AF180" s="22" t="str">
        <f t="shared" si="132"/>
        <v>저수</v>
      </c>
      <c r="AG180" s="22" t="str">
        <f t="shared" si="133"/>
        <v>저수</v>
      </c>
      <c r="AH180" s="22" t="str">
        <f t="shared" si="134"/>
        <v>고수</v>
      </c>
      <c r="AI180" s="22" t="str">
        <f t="shared" si="135"/>
        <v>고수</v>
      </c>
      <c r="AJ180" s="22" t="str">
        <f t="shared" si="136"/>
        <v>고수</v>
      </c>
      <c r="AK180" s="22" t="str">
        <f t="shared" si="137"/>
        <v>고수</v>
      </c>
      <c r="AL180" s="52" t="str">
        <f t="shared" si="138"/>
        <v>2 : 4</v>
      </c>
      <c r="AM180" s="22">
        <f t="shared" si="139"/>
        <v>2</v>
      </c>
      <c r="AN180" s="22">
        <f t="shared" si="140"/>
        <v>4</v>
      </c>
      <c r="AO180" s="22">
        <f t="shared" si="141"/>
        <v>20</v>
      </c>
      <c r="AP180" s="22" t="str">
        <f t="shared" si="142"/>
        <v>X</v>
      </c>
      <c r="AQ180" s="22" t="str">
        <f t="shared" si="143"/>
        <v>O</v>
      </c>
      <c r="AR180" s="22" t="str">
        <f t="shared" si="144"/>
        <v>X</v>
      </c>
      <c r="AS180" s="22" t="str">
        <f t="shared" si="145"/>
        <v>X</v>
      </c>
      <c r="AT180" s="22" t="str">
        <f t="shared" si="146"/>
        <v>X</v>
      </c>
      <c r="AU180" s="22" t="str">
        <f t="shared" si="147"/>
        <v>X</v>
      </c>
      <c r="AV180" s="22" t="str">
        <f t="shared" si="148"/>
        <v>X</v>
      </c>
      <c r="AW180" s="22" t="str">
        <f t="shared" si="149"/>
        <v>X</v>
      </c>
      <c r="AX180" s="22" t="str">
        <f t="shared" si="150"/>
        <v>X</v>
      </c>
      <c r="AY180" s="22" t="str">
        <f t="shared" si="151"/>
        <v>X</v>
      </c>
      <c r="AZ180" s="22" t="str">
        <f t="shared" si="152"/>
        <v>X</v>
      </c>
      <c r="BA180" s="22" t="str">
        <f t="shared" si="153"/>
        <v>X</v>
      </c>
      <c r="BB180" s="22">
        <f t="shared" si="154"/>
        <v>1</v>
      </c>
      <c r="BC180" s="22" t="str">
        <f t="shared" si="125"/>
        <v>1G</v>
      </c>
      <c r="BD180" s="22" t="str">
        <f t="shared" si="126"/>
        <v>2G</v>
      </c>
      <c r="BE180" s="22" t="str">
        <f t="shared" si="127"/>
        <v>2G</v>
      </c>
      <c r="BF180" s="22" t="str">
        <f t="shared" si="128"/>
        <v>3G</v>
      </c>
      <c r="BG180" s="22" t="str">
        <f t="shared" si="129"/>
        <v>3G</v>
      </c>
      <c r="BH180" s="22" t="str">
        <f t="shared" si="130"/>
        <v>3G</v>
      </c>
      <c r="BI180" s="22">
        <f t="shared" si="155"/>
        <v>1</v>
      </c>
      <c r="BJ180" s="22">
        <f t="shared" si="156"/>
        <v>2</v>
      </c>
      <c r="BK180" s="22">
        <f t="shared" si="157"/>
        <v>3</v>
      </c>
      <c r="BL180" s="22" t="str">
        <f t="shared" si="158"/>
        <v>123</v>
      </c>
      <c r="BS180"/>
      <c r="CL180" s="23">
        <v>128</v>
      </c>
      <c r="CM180" s="23">
        <v>120</v>
      </c>
      <c r="CO180"/>
    </row>
    <row r="181" spans="2:93" ht="17" hidden="1">
      <c r="B181" s="15">
        <v>177</v>
      </c>
      <c r="C181" s="23" t="s">
        <v>207</v>
      </c>
      <c r="D181" s="16">
        <v>7</v>
      </c>
      <c r="E181" s="17">
        <v>1693285500</v>
      </c>
      <c r="F181" s="16">
        <v>30</v>
      </c>
      <c r="G181" s="17">
        <v>65849992</v>
      </c>
      <c r="H181" s="17">
        <v>1260</v>
      </c>
      <c r="I181" s="17">
        <v>1567857</v>
      </c>
      <c r="J181" s="17">
        <v>64437</v>
      </c>
      <c r="K181" s="17">
        <v>61316</v>
      </c>
      <c r="L181" s="17">
        <v>1097033</v>
      </c>
      <c r="M181" s="17">
        <v>5000</v>
      </c>
      <c r="N181" s="23">
        <v>1</v>
      </c>
      <c r="O181" s="23">
        <v>10</v>
      </c>
      <c r="P181" s="23">
        <v>13</v>
      </c>
      <c r="Q181" s="23">
        <v>16</v>
      </c>
      <c r="R181" s="23">
        <v>37</v>
      </c>
      <c r="S181" s="23">
        <v>43</v>
      </c>
      <c r="T181" s="23">
        <v>6</v>
      </c>
      <c r="U181" s="23">
        <f t="shared" si="131"/>
        <v>120</v>
      </c>
      <c r="W181" s="22" t="str">
        <f t="shared" si="116"/>
        <v>홀수</v>
      </c>
      <c r="X181" s="22" t="str">
        <f t="shared" si="117"/>
        <v>짝수</v>
      </c>
      <c r="Y181" s="22" t="str">
        <f t="shared" si="118"/>
        <v>홀수</v>
      </c>
      <c r="Z181" s="22" t="str">
        <f t="shared" si="119"/>
        <v>짝수</v>
      </c>
      <c r="AA181" s="22" t="str">
        <f t="shared" si="120"/>
        <v>홀수</v>
      </c>
      <c r="AB181" s="22" t="str">
        <f t="shared" si="121"/>
        <v>홀수</v>
      </c>
      <c r="AC181" s="52" t="str">
        <f t="shared" si="122"/>
        <v>4 : 2</v>
      </c>
      <c r="AD181" s="22">
        <f t="shared" si="123"/>
        <v>4</v>
      </c>
      <c r="AE181" s="22">
        <f t="shared" si="124"/>
        <v>2</v>
      </c>
      <c r="AF181" s="22" t="str">
        <f t="shared" si="132"/>
        <v>저수</v>
      </c>
      <c r="AG181" s="22" t="str">
        <f t="shared" si="133"/>
        <v>저수</v>
      </c>
      <c r="AH181" s="22" t="str">
        <f t="shared" si="134"/>
        <v>저수</v>
      </c>
      <c r="AI181" s="22" t="str">
        <f t="shared" si="135"/>
        <v>저수</v>
      </c>
      <c r="AJ181" s="22" t="str">
        <f t="shared" si="136"/>
        <v>고수</v>
      </c>
      <c r="AK181" s="22" t="str">
        <f t="shared" si="137"/>
        <v>고수</v>
      </c>
      <c r="AL181" s="52" t="str">
        <f t="shared" si="138"/>
        <v>4 : 2</v>
      </c>
      <c r="AM181" s="22">
        <f t="shared" si="139"/>
        <v>4</v>
      </c>
      <c r="AN181" s="22">
        <f t="shared" si="140"/>
        <v>2</v>
      </c>
      <c r="AO181" s="22">
        <f t="shared" si="141"/>
        <v>20</v>
      </c>
      <c r="AP181" s="22" t="str">
        <f t="shared" si="142"/>
        <v>X</v>
      </c>
      <c r="AQ181" s="22" t="str">
        <f t="shared" si="143"/>
        <v>X</v>
      </c>
      <c r="AR181" s="22" t="str">
        <f t="shared" si="144"/>
        <v>O</v>
      </c>
      <c r="AS181" s="22" t="str">
        <f t="shared" si="145"/>
        <v>X</v>
      </c>
      <c r="AT181" s="22" t="str">
        <f t="shared" si="146"/>
        <v>X</v>
      </c>
      <c r="AU181" s="22" t="str">
        <f t="shared" si="147"/>
        <v>X</v>
      </c>
      <c r="AV181" s="22" t="str">
        <f t="shared" si="148"/>
        <v>X</v>
      </c>
      <c r="AW181" s="22" t="str">
        <f t="shared" si="149"/>
        <v>X</v>
      </c>
      <c r="AX181" s="22" t="str">
        <f t="shared" si="150"/>
        <v>X</v>
      </c>
      <c r="AY181" s="22" t="str">
        <f t="shared" si="151"/>
        <v>X</v>
      </c>
      <c r="AZ181" s="22" t="str">
        <f t="shared" si="152"/>
        <v>O</v>
      </c>
      <c r="BA181" s="22" t="str">
        <f t="shared" si="153"/>
        <v>O</v>
      </c>
      <c r="BB181" s="22">
        <f t="shared" si="154"/>
        <v>3</v>
      </c>
      <c r="BC181" s="22" t="str">
        <f t="shared" si="125"/>
        <v>1G</v>
      </c>
      <c r="BD181" s="22" t="str">
        <f t="shared" si="126"/>
        <v>1G</v>
      </c>
      <c r="BE181" s="22" t="str">
        <f t="shared" si="127"/>
        <v>1G</v>
      </c>
      <c r="BF181" s="22" t="str">
        <f t="shared" si="128"/>
        <v>2G</v>
      </c>
      <c r="BG181" s="22" t="str">
        <f t="shared" si="129"/>
        <v>3G</v>
      </c>
      <c r="BH181" s="22" t="str">
        <f t="shared" si="130"/>
        <v>3G</v>
      </c>
      <c r="BI181" s="22">
        <f t="shared" si="155"/>
        <v>3</v>
      </c>
      <c r="BJ181" s="22">
        <f t="shared" si="156"/>
        <v>1</v>
      </c>
      <c r="BK181" s="22">
        <f t="shared" si="157"/>
        <v>2</v>
      </c>
      <c r="BL181" s="22" t="str">
        <f t="shared" si="158"/>
        <v>312</v>
      </c>
      <c r="BS181"/>
      <c r="CL181" s="23">
        <v>128</v>
      </c>
      <c r="CM181" s="23">
        <v>120</v>
      </c>
      <c r="CO181"/>
    </row>
    <row r="182" spans="2:93" ht="17" hidden="1">
      <c r="B182" s="15">
        <v>178</v>
      </c>
      <c r="C182" s="23" t="s">
        <v>208</v>
      </c>
      <c r="D182" s="16">
        <v>5</v>
      </c>
      <c r="E182" s="17">
        <v>2254621080</v>
      </c>
      <c r="F182" s="16">
        <v>44</v>
      </c>
      <c r="G182" s="17">
        <v>42701157</v>
      </c>
      <c r="H182" s="17">
        <v>1566</v>
      </c>
      <c r="I182" s="17">
        <v>1199778</v>
      </c>
      <c r="J182" s="17">
        <v>74612</v>
      </c>
      <c r="K182" s="17">
        <v>50364</v>
      </c>
      <c r="L182" s="17">
        <v>1200574</v>
      </c>
      <c r="M182" s="17">
        <v>5000</v>
      </c>
      <c r="N182" s="23">
        <v>1</v>
      </c>
      <c r="O182" s="23">
        <v>5</v>
      </c>
      <c r="P182" s="23">
        <v>11</v>
      </c>
      <c r="Q182" s="23">
        <v>12</v>
      </c>
      <c r="R182" s="23">
        <v>18</v>
      </c>
      <c r="S182" s="23">
        <v>23</v>
      </c>
      <c r="T182" s="23">
        <v>9</v>
      </c>
      <c r="U182" s="23">
        <f t="shared" si="131"/>
        <v>70</v>
      </c>
      <c r="W182" s="22" t="str">
        <f t="shared" ref="W182:W245" si="159">IF(RIGHT(N182,1)="1","홀수",IF(RIGHT(N182,1)="3","홀수",IF(RIGHT(N182,1)="5","홀수",IF(RIGHT(N182,1)="7","홀수",IF(RIGHT(N182,1)="9","홀수","짝수")))))</f>
        <v>홀수</v>
      </c>
      <c r="X182" s="22" t="str">
        <f t="shared" ref="X182:X245" si="160">IF(RIGHT(O182,1)="1","홀수",IF(RIGHT(O182,1)="3","홀수",IF(RIGHT(O182,1)="5","홀수",IF(RIGHT(O182,1)="7","홀수",IF(RIGHT(O182,1)="9","홀수","짝수")))))</f>
        <v>홀수</v>
      </c>
      <c r="Y182" s="22" t="str">
        <f t="shared" ref="Y182:Y245" si="161">IF(RIGHT(P182,1)="1","홀수",IF(RIGHT(P182,1)="3","홀수",IF(RIGHT(P182,1)="5","홀수",IF(RIGHT(P182,1)="7","홀수",IF(RIGHT(P182,1)="9","홀수","짝수")))))</f>
        <v>홀수</v>
      </c>
      <c r="Z182" s="22" t="str">
        <f t="shared" ref="Z182:Z245" si="162">IF(RIGHT(Q182,1)="1","홀수",IF(RIGHT(Q182,1)="3","홀수",IF(RIGHT(Q182,1)="5","홀수",IF(RIGHT(Q182,1)="7","홀수",IF(RIGHT(Q182,1)="9","홀수","짝수")))))</f>
        <v>짝수</v>
      </c>
      <c r="AA182" s="22" t="str">
        <f t="shared" ref="AA182:AA245" si="163">IF(RIGHT(R182,1)="1","홀수",IF(RIGHT(R182,1)="3","홀수",IF(RIGHT(R182,1)="5","홀수",IF(RIGHT(R182,1)="7","홀수",IF(RIGHT(R182,1)="9","홀수","짝수")))))</f>
        <v>짝수</v>
      </c>
      <c r="AB182" s="22" t="str">
        <f t="shared" ref="AB182:AB245" si="164">IF(RIGHT(S182,1)="1","홀수",IF(RIGHT(S182,1)="3","홀수",IF(RIGHT(S182,1)="5","홀수",IF(RIGHT(S182,1)="7","홀수",IF(RIGHT(S182,1)="9","홀수","짝수")))))</f>
        <v>홀수</v>
      </c>
      <c r="AC182" s="52" t="str">
        <f t="shared" ref="AC182:AC245" si="165">AD182&amp;" : "&amp;AE182</f>
        <v>4 : 2</v>
      </c>
      <c r="AD182" s="22">
        <f t="shared" ref="AD182:AD245" si="166">COUNTIF(W182:AB182,"홀수")</f>
        <v>4</v>
      </c>
      <c r="AE182" s="22">
        <f t="shared" ref="AE182:AE245" si="167">COUNTIF(W182:AB182,"짝수")</f>
        <v>2</v>
      </c>
      <c r="AF182" s="22" t="str">
        <f t="shared" si="132"/>
        <v>저수</v>
      </c>
      <c r="AG182" s="22" t="str">
        <f t="shared" si="133"/>
        <v>저수</v>
      </c>
      <c r="AH182" s="22" t="str">
        <f t="shared" si="134"/>
        <v>저수</v>
      </c>
      <c r="AI182" s="22" t="str">
        <f t="shared" si="135"/>
        <v>저수</v>
      </c>
      <c r="AJ182" s="22" t="str">
        <f t="shared" si="136"/>
        <v>저수</v>
      </c>
      <c r="AK182" s="22" t="str">
        <f t="shared" si="137"/>
        <v>고수</v>
      </c>
      <c r="AL182" s="52" t="str">
        <f t="shared" si="138"/>
        <v>5 : 1</v>
      </c>
      <c r="AM182" s="22">
        <f t="shared" si="139"/>
        <v>5</v>
      </c>
      <c r="AN182" s="22">
        <f t="shared" si="140"/>
        <v>1</v>
      </c>
      <c r="AO182" s="22">
        <f t="shared" si="141"/>
        <v>20</v>
      </c>
      <c r="AP182" s="22" t="str">
        <f t="shared" si="142"/>
        <v>X</v>
      </c>
      <c r="AQ182" s="22" t="str">
        <f t="shared" si="143"/>
        <v>O</v>
      </c>
      <c r="AR182" s="22" t="str">
        <f t="shared" si="144"/>
        <v>O</v>
      </c>
      <c r="AS182" s="22" t="str">
        <f t="shared" si="145"/>
        <v>X</v>
      </c>
      <c r="AT182" s="22" t="str">
        <f t="shared" si="146"/>
        <v>X</v>
      </c>
      <c r="AU182" s="22" t="str">
        <f t="shared" si="147"/>
        <v>X</v>
      </c>
      <c r="AV182" s="22" t="str">
        <f t="shared" si="148"/>
        <v>X</v>
      </c>
      <c r="AW182" s="22" t="str">
        <f t="shared" si="149"/>
        <v>X</v>
      </c>
      <c r="AX182" s="22" t="str">
        <f t="shared" si="150"/>
        <v>X</v>
      </c>
      <c r="AY182" s="22" t="str">
        <f t="shared" si="151"/>
        <v>X</v>
      </c>
      <c r="AZ182" s="22" t="str">
        <f t="shared" si="152"/>
        <v>X</v>
      </c>
      <c r="BA182" s="22" t="str">
        <f t="shared" si="153"/>
        <v>O</v>
      </c>
      <c r="BB182" s="22">
        <f t="shared" si="154"/>
        <v>3</v>
      </c>
      <c r="BC182" s="22" t="str">
        <f t="shared" si="125"/>
        <v>1G</v>
      </c>
      <c r="BD182" s="22" t="str">
        <f t="shared" si="126"/>
        <v>1G</v>
      </c>
      <c r="BE182" s="22" t="str">
        <f t="shared" si="127"/>
        <v>1G</v>
      </c>
      <c r="BF182" s="22" t="str">
        <f t="shared" si="128"/>
        <v>1G</v>
      </c>
      <c r="BG182" s="22" t="str">
        <f t="shared" si="129"/>
        <v>2G</v>
      </c>
      <c r="BH182" s="22" t="str">
        <f t="shared" si="130"/>
        <v>2G</v>
      </c>
      <c r="BI182" s="22">
        <f t="shared" si="155"/>
        <v>4</v>
      </c>
      <c r="BJ182" s="22">
        <f t="shared" si="156"/>
        <v>2</v>
      </c>
      <c r="BK182" s="22">
        <f t="shared" si="157"/>
        <v>0</v>
      </c>
      <c r="BL182" s="22" t="str">
        <f t="shared" si="158"/>
        <v>420</v>
      </c>
      <c r="BS182"/>
      <c r="CL182" s="23">
        <v>128</v>
      </c>
      <c r="CM182" s="23">
        <v>120</v>
      </c>
      <c r="CO182"/>
    </row>
    <row r="183" spans="2:93" ht="17" hidden="1">
      <c r="B183" s="15">
        <v>179</v>
      </c>
      <c r="C183" s="23" t="s">
        <v>209</v>
      </c>
      <c r="D183" s="16">
        <v>10</v>
      </c>
      <c r="E183" s="17">
        <v>1081093920</v>
      </c>
      <c r="F183" s="16">
        <v>53</v>
      </c>
      <c r="G183" s="17">
        <v>33996665</v>
      </c>
      <c r="H183" s="17">
        <v>1540</v>
      </c>
      <c r="I183" s="17">
        <v>1170016</v>
      </c>
      <c r="J183" s="17">
        <v>69956</v>
      </c>
      <c r="K183" s="17">
        <v>51514</v>
      </c>
      <c r="L183" s="17">
        <v>1125523</v>
      </c>
      <c r="M183" s="17">
        <v>5000</v>
      </c>
      <c r="N183" s="23">
        <v>5</v>
      </c>
      <c r="O183" s="23">
        <v>9</v>
      </c>
      <c r="P183" s="23">
        <v>17</v>
      </c>
      <c r="Q183" s="23">
        <v>25</v>
      </c>
      <c r="R183" s="23">
        <v>39</v>
      </c>
      <c r="S183" s="23">
        <v>43</v>
      </c>
      <c r="T183" s="23">
        <v>32</v>
      </c>
      <c r="U183" s="23">
        <f t="shared" si="131"/>
        <v>138</v>
      </c>
      <c r="W183" s="22" t="str">
        <f t="shared" si="159"/>
        <v>홀수</v>
      </c>
      <c r="X183" s="22" t="str">
        <f t="shared" si="160"/>
        <v>홀수</v>
      </c>
      <c r="Y183" s="22" t="str">
        <f t="shared" si="161"/>
        <v>홀수</v>
      </c>
      <c r="Z183" s="22" t="str">
        <f t="shared" si="162"/>
        <v>홀수</v>
      </c>
      <c r="AA183" s="22" t="str">
        <f t="shared" si="163"/>
        <v>홀수</v>
      </c>
      <c r="AB183" s="22" t="str">
        <f t="shared" si="164"/>
        <v>홀수</v>
      </c>
      <c r="AC183" s="52" t="str">
        <f t="shared" si="165"/>
        <v>6 : 0</v>
      </c>
      <c r="AD183" s="22">
        <f t="shared" si="166"/>
        <v>6</v>
      </c>
      <c r="AE183" s="22">
        <f t="shared" si="167"/>
        <v>0</v>
      </c>
      <c r="AF183" s="22" t="str">
        <f t="shared" si="132"/>
        <v>저수</v>
      </c>
      <c r="AG183" s="22" t="str">
        <f t="shared" si="133"/>
        <v>저수</v>
      </c>
      <c r="AH183" s="22" t="str">
        <f t="shared" si="134"/>
        <v>저수</v>
      </c>
      <c r="AI183" s="22" t="str">
        <f t="shared" si="135"/>
        <v>고수</v>
      </c>
      <c r="AJ183" s="22" t="str">
        <f t="shared" si="136"/>
        <v>고수</v>
      </c>
      <c r="AK183" s="22" t="str">
        <f t="shared" si="137"/>
        <v>고수</v>
      </c>
      <c r="AL183" s="52" t="str">
        <f t="shared" si="138"/>
        <v>3 : 3</v>
      </c>
      <c r="AM183" s="22">
        <f t="shared" si="139"/>
        <v>3</v>
      </c>
      <c r="AN183" s="22">
        <f t="shared" si="140"/>
        <v>3</v>
      </c>
      <c r="AO183" s="22">
        <f t="shared" si="141"/>
        <v>38</v>
      </c>
      <c r="AP183" s="22" t="str">
        <f t="shared" si="142"/>
        <v>O</v>
      </c>
      <c r="AQ183" s="22" t="str">
        <f t="shared" si="143"/>
        <v>X</v>
      </c>
      <c r="AR183" s="22" t="str">
        <f t="shared" si="144"/>
        <v>O</v>
      </c>
      <c r="AS183" s="22" t="str">
        <f t="shared" si="145"/>
        <v>X</v>
      </c>
      <c r="AT183" s="22" t="str">
        <f t="shared" si="146"/>
        <v>X</v>
      </c>
      <c r="AU183" s="22" t="str">
        <f t="shared" si="147"/>
        <v>X</v>
      </c>
      <c r="AV183" s="22" t="str">
        <f t="shared" si="148"/>
        <v>X</v>
      </c>
      <c r="AW183" s="22" t="str">
        <f t="shared" si="149"/>
        <v>X</v>
      </c>
      <c r="AX183" s="22" t="str">
        <f t="shared" si="150"/>
        <v>X</v>
      </c>
      <c r="AY183" s="22" t="str">
        <f t="shared" si="151"/>
        <v>X</v>
      </c>
      <c r="AZ183" s="22" t="str">
        <f t="shared" si="152"/>
        <v>X</v>
      </c>
      <c r="BA183" s="22" t="str">
        <f t="shared" si="153"/>
        <v>O</v>
      </c>
      <c r="BB183" s="22">
        <f t="shared" si="154"/>
        <v>3</v>
      </c>
      <c r="BC183" s="22" t="str">
        <f t="shared" si="125"/>
        <v>1G</v>
      </c>
      <c r="BD183" s="22" t="str">
        <f t="shared" si="126"/>
        <v>1G</v>
      </c>
      <c r="BE183" s="22" t="str">
        <f t="shared" si="127"/>
        <v>2G</v>
      </c>
      <c r="BF183" s="22" t="str">
        <f t="shared" si="128"/>
        <v>2G</v>
      </c>
      <c r="BG183" s="22" t="str">
        <f t="shared" si="129"/>
        <v>3G</v>
      </c>
      <c r="BH183" s="22" t="str">
        <f t="shared" si="130"/>
        <v>3G</v>
      </c>
      <c r="BI183" s="22">
        <f t="shared" si="155"/>
        <v>2</v>
      </c>
      <c r="BJ183" s="22">
        <f t="shared" si="156"/>
        <v>2</v>
      </c>
      <c r="BK183" s="22">
        <f t="shared" si="157"/>
        <v>2</v>
      </c>
      <c r="BL183" s="22" t="str">
        <f t="shared" si="158"/>
        <v>222</v>
      </c>
      <c r="BS183"/>
      <c r="CL183" s="23">
        <v>128</v>
      </c>
      <c r="CM183" s="23">
        <v>120</v>
      </c>
      <c r="CO183"/>
    </row>
    <row r="184" spans="2:93" ht="17" hidden="1">
      <c r="B184" s="15">
        <v>180</v>
      </c>
      <c r="C184" s="23" t="s">
        <v>210</v>
      </c>
      <c r="D184" s="16">
        <v>2</v>
      </c>
      <c r="E184" s="17">
        <v>5763371550</v>
      </c>
      <c r="F184" s="16">
        <v>35</v>
      </c>
      <c r="G184" s="17">
        <v>54889253</v>
      </c>
      <c r="H184" s="17">
        <v>1284</v>
      </c>
      <c r="I184" s="17">
        <v>1496203</v>
      </c>
      <c r="J184" s="17">
        <v>62876</v>
      </c>
      <c r="K184" s="17">
        <v>61109</v>
      </c>
      <c r="L184" s="17">
        <v>1047300</v>
      </c>
      <c r="M184" s="17">
        <v>5000</v>
      </c>
      <c r="N184" s="23">
        <v>2</v>
      </c>
      <c r="O184" s="23">
        <v>15</v>
      </c>
      <c r="P184" s="23">
        <v>20</v>
      </c>
      <c r="Q184" s="23">
        <v>21</v>
      </c>
      <c r="R184" s="23">
        <v>29</v>
      </c>
      <c r="S184" s="23">
        <v>34</v>
      </c>
      <c r="T184" s="23">
        <v>22</v>
      </c>
      <c r="U184" s="23">
        <f t="shared" si="131"/>
        <v>121</v>
      </c>
      <c r="W184" s="22" t="str">
        <f t="shared" si="159"/>
        <v>짝수</v>
      </c>
      <c r="X184" s="22" t="str">
        <f t="shared" si="160"/>
        <v>홀수</v>
      </c>
      <c r="Y184" s="22" t="str">
        <f t="shared" si="161"/>
        <v>짝수</v>
      </c>
      <c r="Z184" s="22" t="str">
        <f t="shared" si="162"/>
        <v>홀수</v>
      </c>
      <c r="AA184" s="22" t="str">
        <f t="shared" si="163"/>
        <v>홀수</v>
      </c>
      <c r="AB184" s="22" t="str">
        <f t="shared" si="164"/>
        <v>짝수</v>
      </c>
      <c r="AC184" s="52" t="str">
        <f t="shared" si="165"/>
        <v>3 : 3</v>
      </c>
      <c r="AD184" s="22">
        <f t="shared" si="166"/>
        <v>3</v>
      </c>
      <c r="AE184" s="22">
        <f t="shared" si="167"/>
        <v>3</v>
      </c>
      <c r="AF184" s="22" t="str">
        <f t="shared" si="132"/>
        <v>저수</v>
      </c>
      <c r="AG184" s="22" t="str">
        <f t="shared" si="133"/>
        <v>저수</v>
      </c>
      <c r="AH184" s="22" t="str">
        <f t="shared" si="134"/>
        <v>저수</v>
      </c>
      <c r="AI184" s="22" t="str">
        <f t="shared" si="135"/>
        <v>저수</v>
      </c>
      <c r="AJ184" s="22" t="str">
        <f t="shared" si="136"/>
        <v>고수</v>
      </c>
      <c r="AK184" s="22" t="str">
        <f t="shared" si="137"/>
        <v>고수</v>
      </c>
      <c r="AL184" s="52" t="str">
        <f t="shared" si="138"/>
        <v>4 : 2</v>
      </c>
      <c r="AM184" s="22">
        <f t="shared" si="139"/>
        <v>4</v>
      </c>
      <c r="AN184" s="22">
        <f t="shared" si="140"/>
        <v>2</v>
      </c>
      <c r="AO184" s="22">
        <f t="shared" si="141"/>
        <v>21</v>
      </c>
      <c r="AP184" s="22" t="str">
        <f t="shared" si="142"/>
        <v>O</v>
      </c>
      <c r="AQ184" s="22" t="str">
        <f t="shared" si="143"/>
        <v>X</v>
      </c>
      <c r="AR184" s="22" t="str">
        <f t="shared" si="144"/>
        <v>X</v>
      </c>
      <c r="AS184" s="22" t="str">
        <f t="shared" si="145"/>
        <v>X</v>
      </c>
      <c r="AT184" s="22" t="str">
        <f t="shared" si="146"/>
        <v>X</v>
      </c>
      <c r="AU184" s="22" t="str">
        <f t="shared" si="147"/>
        <v>X</v>
      </c>
      <c r="AV184" s="22" t="str">
        <f t="shared" si="148"/>
        <v>X</v>
      </c>
      <c r="AW184" s="22" t="str">
        <f t="shared" si="149"/>
        <v>X</v>
      </c>
      <c r="AX184" s="22" t="str">
        <f t="shared" si="150"/>
        <v>X</v>
      </c>
      <c r="AY184" s="22" t="str">
        <f t="shared" si="151"/>
        <v>X</v>
      </c>
      <c r="AZ184" s="22" t="str">
        <f t="shared" si="152"/>
        <v>O</v>
      </c>
      <c r="BA184" s="22" t="str">
        <f t="shared" si="153"/>
        <v>X</v>
      </c>
      <c r="BB184" s="22">
        <f t="shared" si="154"/>
        <v>2</v>
      </c>
      <c r="BC184" s="22" t="str">
        <f t="shared" si="125"/>
        <v>1G</v>
      </c>
      <c r="BD184" s="22" t="str">
        <f t="shared" si="126"/>
        <v>1G</v>
      </c>
      <c r="BE184" s="22" t="str">
        <f t="shared" si="127"/>
        <v>2G</v>
      </c>
      <c r="BF184" s="22" t="str">
        <f t="shared" si="128"/>
        <v>2G</v>
      </c>
      <c r="BG184" s="22" t="str">
        <f t="shared" si="129"/>
        <v>2G</v>
      </c>
      <c r="BH184" s="22" t="str">
        <f t="shared" si="130"/>
        <v>3G</v>
      </c>
      <c r="BI184" s="22">
        <f t="shared" si="155"/>
        <v>2</v>
      </c>
      <c r="BJ184" s="22">
        <f t="shared" si="156"/>
        <v>3</v>
      </c>
      <c r="BK184" s="22">
        <f t="shared" si="157"/>
        <v>1</v>
      </c>
      <c r="BL184" s="22" t="str">
        <f t="shared" si="158"/>
        <v>231</v>
      </c>
      <c r="BS184"/>
      <c r="CL184" s="23">
        <v>128</v>
      </c>
      <c r="CM184" s="23">
        <v>120</v>
      </c>
      <c r="CO184"/>
    </row>
    <row r="185" spans="2:93" ht="17" hidden="1">
      <c r="B185" s="15">
        <v>181</v>
      </c>
      <c r="C185" s="23" t="s">
        <v>211</v>
      </c>
      <c r="D185" s="16">
        <v>6</v>
      </c>
      <c r="E185" s="17">
        <v>1941763300</v>
      </c>
      <c r="F185" s="16">
        <v>24</v>
      </c>
      <c r="G185" s="17">
        <v>80906805</v>
      </c>
      <c r="H185" s="17">
        <v>1233</v>
      </c>
      <c r="I185" s="17">
        <v>1574829</v>
      </c>
      <c r="J185" s="17">
        <v>60637</v>
      </c>
      <c r="K185" s="17">
        <v>64046</v>
      </c>
      <c r="L185" s="17">
        <v>1028918</v>
      </c>
      <c r="M185" s="17">
        <v>5000</v>
      </c>
      <c r="N185" s="23">
        <v>14</v>
      </c>
      <c r="O185" s="23">
        <v>21</v>
      </c>
      <c r="P185" s="23">
        <v>23</v>
      </c>
      <c r="Q185" s="23">
        <v>32</v>
      </c>
      <c r="R185" s="23">
        <v>40</v>
      </c>
      <c r="S185" s="23">
        <v>45</v>
      </c>
      <c r="T185" s="23">
        <v>44</v>
      </c>
      <c r="U185" s="23">
        <f t="shared" si="131"/>
        <v>175</v>
      </c>
      <c r="W185" s="22" t="str">
        <f t="shared" si="159"/>
        <v>짝수</v>
      </c>
      <c r="X185" s="22" t="str">
        <f t="shared" si="160"/>
        <v>홀수</v>
      </c>
      <c r="Y185" s="22" t="str">
        <f t="shared" si="161"/>
        <v>홀수</v>
      </c>
      <c r="Z185" s="22" t="str">
        <f t="shared" si="162"/>
        <v>짝수</v>
      </c>
      <c r="AA185" s="22" t="str">
        <f t="shared" si="163"/>
        <v>짝수</v>
      </c>
      <c r="AB185" s="22" t="str">
        <f t="shared" si="164"/>
        <v>홀수</v>
      </c>
      <c r="AC185" s="52" t="str">
        <f t="shared" si="165"/>
        <v>3 : 3</v>
      </c>
      <c r="AD185" s="22">
        <f t="shared" si="166"/>
        <v>3</v>
      </c>
      <c r="AE185" s="22">
        <f t="shared" si="167"/>
        <v>3</v>
      </c>
      <c r="AF185" s="22" t="str">
        <f t="shared" si="132"/>
        <v>저수</v>
      </c>
      <c r="AG185" s="22" t="str">
        <f t="shared" si="133"/>
        <v>저수</v>
      </c>
      <c r="AH185" s="22" t="str">
        <f t="shared" si="134"/>
        <v>고수</v>
      </c>
      <c r="AI185" s="22" t="str">
        <f t="shared" si="135"/>
        <v>고수</v>
      </c>
      <c r="AJ185" s="22" t="str">
        <f t="shared" si="136"/>
        <v>고수</v>
      </c>
      <c r="AK185" s="22" t="str">
        <f t="shared" si="137"/>
        <v>고수</v>
      </c>
      <c r="AL185" s="52" t="str">
        <f t="shared" si="138"/>
        <v>2 : 4</v>
      </c>
      <c r="AM185" s="22">
        <f t="shared" si="139"/>
        <v>2</v>
      </c>
      <c r="AN185" s="22">
        <f t="shared" si="140"/>
        <v>4</v>
      </c>
      <c r="AO185" s="22">
        <f t="shared" si="141"/>
        <v>15</v>
      </c>
      <c r="AP185" s="22" t="str">
        <f t="shared" si="142"/>
        <v>X</v>
      </c>
      <c r="AQ185" s="22" t="str">
        <f t="shared" si="143"/>
        <v>X</v>
      </c>
      <c r="AR185" s="22" t="str">
        <f t="shared" si="144"/>
        <v>X</v>
      </c>
      <c r="AS185" s="22" t="str">
        <f t="shared" si="145"/>
        <v>X</v>
      </c>
      <c r="AT185" s="22" t="str">
        <f t="shared" si="146"/>
        <v>X</v>
      </c>
      <c r="AU185" s="22" t="str">
        <f t="shared" si="147"/>
        <v>X</v>
      </c>
      <c r="AV185" s="22" t="str">
        <f t="shared" si="148"/>
        <v>X</v>
      </c>
      <c r="AW185" s="22" t="str">
        <f t="shared" si="149"/>
        <v>X</v>
      </c>
      <c r="AX185" s="22" t="str">
        <f t="shared" si="150"/>
        <v>O</v>
      </c>
      <c r="AY185" s="22" t="str">
        <f t="shared" si="151"/>
        <v>X</v>
      </c>
      <c r="AZ185" s="22" t="str">
        <f t="shared" si="152"/>
        <v>X</v>
      </c>
      <c r="BA185" s="22" t="str">
        <f t="shared" si="153"/>
        <v>X</v>
      </c>
      <c r="BB185" s="22">
        <f t="shared" si="154"/>
        <v>1</v>
      </c>
      <c r="BC185" s="22" t="str">
        <f t="shared" si="125"/>
        <v>1G</v>
      </c>
      <c r="BD185" s="22" t="str">
        <f t="shared" si="126"/>
        <v>2G</v>
      </c>
      <c r="BE185" s="22" t="str">
        <f t="shared" si="127"/>
        <v>2G</v>
      </c>
      <c r="BF185" s="22" t="str">
        <f t="shared" si="128"/>
        <v>3G</v>
      </c>
      <c r="BG185" s="22" t="str">
        <f t="shared" si="129"/>
        <v>3G</v>
      </c>
      <c r="BH185" s="22" t="str">
        <f t="shared" si="130"/>
        <v>3G</v>
      </c>
      <c r="BI185" s="22">
        <f t="shared" si="155"/>
        <v>1</v>
      </c>
      <c r="BJ185" s="22">
        <f t="shared" si="156"/>
        <v>2</v>
      </c>
      <c r="BK185" s="22">
        <f t="shared" si="157"/>
        <v>3</v>
      </c>
      <c r="BL185" s="22" t="str">
        <f t="shared" si="158"/>
        <v>123</v>
      </c>
      <c r="BS185"/>
      <c r="CL185" s="23">
        <v>128</v>
      </c>
      <c r="CM185" s="23">
        <v>120</v>
      </c>
      <c r="CO185"/>
    </row>
    <row r="186" spans="2:93" ht="17" hidden="1">
      <c r="B186" s="15">
        <v>182</v>
      </c>
      <c r="C186" s="23" t="s">
        <v>212</v>
      </c>
      <c r="D186" s="16">
        <v>3</v>
      </c>
      <c r="E186" s="17">
        <v>3721439400</v>
      </c>
      <c r="F186" s="16">
        <v>44</v>
      </c>
      <c r="G186" s="17">
        <v>42289085</v>
      </c>
      <c r="H186" s="17">
        <v>1228</v>
      </c>
      <c r="I186" s="17">
        <v>1515245</v>
      </c>
      <c r="J186" s="17">
        <v>59004</v>
      </c>
      <c r="K186" s="17">
        <v>63071</v>
      </c>
      <c r="L186" s="17">
        <v>1000820</v>
      </c>
      <c r="M186" s="17">
        <v>5000</v>
      </c>
      <c r="N186" s="23">
        <v>13</v>
      </c>
      <c r="O186" s="23">
        <v>15</v>
      </c>
      <c r="P186" s="23">
        <v>27</v>
      </c>
      <c r="Q186" s="23">
        <v>29</v>
      </c>
      <c r="R186" s="23">
        <v>34</v>
      </c>
      <c r="S186" s="23">
        <v>40</v>
      </c>
      <c r="T186" s="23">
        <v>35</v>
      </c>
      <c r="U186" s="23">
        <f t="shared" si="131"/>
        <v>158</v>
      </c>
      <c r="W186" s="22" t="str">
        <f t="shared" si="159"/>
        <v>홀수</v>
      </c>
      <c r="X186" s="22" t="str">
        <f t="shared" si="160"/>
        <v>홀수</v>
      </c>
      <c r="Y186" s="22" t="str">
        <f t="shared" si="161"/>
        <v>홀수</v>
      </c>
      <c r="Z186" s="22" t="str">
        <f t="shared" si="162"/>
        <v>홀수</v>
      </c>
      <c r="AA186" s="22" t="str">
        <f t="shared" si="163"/>
        <v>짝수</v>
      </c>
      <c r="AB186" s="22" t="str">
        <f t="shared" si="164"/>
        <v>짝수</v>
      </c>
      <c r="AC186" s="52" t="str">
        <f t="shared" si="165"/>
        <v>4 : 2</v>
      </c>
      <c r="AD186" s="22">
        <f t="shared" si="166"/>
        <v>4</v>
      </c>
      <c r="AE186" s="22">
        <f t="shared" si="167"/>
        <v>2</v>
      </c>
      <c r="AF186" s="22" t="str">
        <f t="shared" si="132"/>
        <v>저수</v>
      </c>
      <c r="AG186" s="22" t="str">
        <f t="shared" si="133"/>
        <v>저수</v>
      </c>
      <c r="AH186" s="22" t="str">
        <f t="shared" si="134"/>
        <v>고수</v>
      </c>
      <c r="AI186" s="22" t="str">
        <f t="shared" si="135"/>
        <v>고수</v>
      </c>
      <c r="AJ186" s="22" t="str">
        <f t="shared" si="136"/>
        <v>고수</v>
      </c>
      <c r="AK186" s="22" t="str">
        <f t="shared" si="137"/>
        <v>고수</v>
      </c>
      <c r="AL186" s="52" t="str">
        <f t="shared" si="138"/>
        <v>2 : 4</v>
      </c>
      <c r="AM186" s="22">
        <f t="shared" si="139"/>
        <v>2</v>
      </c>
      <c r="AN186" s="22">
        <f t="shared" si="140"/>
        <v>4</v>
      </c>
      <c r="AO186" s="22">
        <f t="shared" si="141"/>
        <v>28</v>
      </c>
      <c r="AP186" s="22" t="str">
        <f t="shared" si="142"/>
        <v>O</v>
      </c>
      <c r="AQ186" s="22" t="str">
        <f t="shared" si="143"/>
        <v>X</v>
      </c>
      <c r="AR186" s="22" t="str">
        <f t="shared" si="144"/>
        <v>X</v>
      </c>
      <c r="AS186" s="22" t="str">
        <f t="shared" si="145"/>
        <v>X</v>
      </c>
      <c r="AT186" s="22" t="str">
        <f t="shared" si="146"/>
        <v>X</v>
      </c>
      <c r="AU186" s="22" t="str">
        <f t="shared" si="147"/>
        <v>X</v>
      </c>
      <c r="AV186" s="22" t="str">
        <f t="shared" si="148"/>
        <v>X</v>
      </c>
      <c r="AW186" s="22" t="str">
        <f t="shared" si="149"/>
        <v>X</v>
      </c>
      <c r="AX186" s="22" t="str">
        <f t="shared" si="150"/>
        <v>X</v>
      </c>
      <c r="AY186" s="22" t="str">
        <f t="shared" si="151"/>
        <v>O</v>
      </c>
      <c r="AZ186" s="22" t="str">
        <f t="shared" si="152"/>
        <v>X</v>
      </c>
      <c r="BA186" s="22" t="str">
        <f t="shared" si="153"/>
        <v>X</v>
      </c>
      <c r="BB186" s="22">
        <f t="shared" si="154"/>
        <v>2</v>
      </c>
      <c r="BC186" s="22" t="str">
        <f t="shared" si="125"/>
        <v>1G</v>
      </c>
      <c r="BD186" s="22" t="str">
        <f t="shared" si="126"/>
        <v>1G</v>
      </c>
      <c r="BE186" s="22" t="str">
        <f t="shared" si="127"/>
        <v>2G</v>
      </c>
      <c r="BF186" s="22" t="str">
        <f t="shared" si="128"/>
        <v>2G</v>
      </c>
      <c r="BG186" s="22" t="str">
        <f t="shared" si="129"/>
        <v>3G</v>
      </c>
      <c r="BH186" s="22" t="str">
        <f t="shared" si="130"/>
        <v>3G</v>
      </c>
      <c r="BI186" s="22">
        <f t="shared" si="155"/>
        <v>2</v>
      </c>
      <c r="BJ186" s="22">
        <f t="shared" si="156"/>
        <v>2</v>
      </c>
      <c r="BK186" s="22">
        <f t="shared" si="157"/>
        <v>2</v>
      </c>
      <c r="BL186" s="22" t="str">
        <f t="shared" si="158"/>
        <v>222</v>
      </c>
      <c r="BS186"/>
      <c r="CL186" s="23">
        <v>128</v>
      </c>
      <c r="CM186" s="23">
        <v>120</v>
      </c>
      <c r="CO186"/>
    </row>
    <row r="187" spans="2:93" ht="17" hidden="1">
      <c r="B187" s="15">
        <v>183</v>
      </c>
      <c r="C187" s="23" t="s">
        <v>213</v>
      </c>
      <c r="D187" s="16">
        <v>6</v>
      </c>
      <c r="E187" s="17">
        <v>1777221500</v>
      </c>
      <c r="F187" s="16">
        <v>25</v>
      </c>
      <c r="G187" s="17">
        <v>71088860</v>
      </c>
      <c r="H187" s="17">
        <v>1294</v>
      </c>
      <c r="I187" s="17">
        <v>1373433</v>
      </c>
      <c r="J187" s="17">
        <v>67137</v>
      </c>
      <c r="K187" s="17">
        <v>52944</v>
      </c>
      <c r="L187" s="17">
        <v>1039403</v>
      </c>
      <c r="M187" s="17">
        <v>5000</v>
      </c>
      <c r="N187" s="23">
        <v>2</v>
      </c>
      <c r="O187" s="23">
        <v>18</v>
      </c>
      <c r="P187" s="23">
        <v>24</v>
      </c>
      <c r="Q187" s="23">
        <v>34</v>
      </c>
      <c r="R187" s="23">
        <v>40</v>
      </c>
      <c r="S187" s="23">
        <v>42</v>
      </c>
      <c r="T187" s="23">
        <v>5</v>
      </c>
      <c r="U187" s="23">
        <f t="shared" si="131"/>
        <v>160</v>
      </c>
      <c r="W187" s="22" t="str">
        <f t="shared" si="159"/>
        <v>짝수</v>
      </c>
      <c r="X187" s="22" t="str">
        <f t="shared" si="160"/>
        <v>짝수</v>
      </c>
      <c r="Y187" s="22" t="str">
        <f t="shared" si="161"/>
        <v>짝수</v>
      </c>
      <c r="Z187" s="22" t="str">
        <f t="shared" si="162"/>
        <v>짝수</v>
      </c>
      <c r="AA187" s="22" t="str">
        <f t="shared" si="163"/>
        <v>짝수</v>
      </c>
      <c r="AB187" s="22" t="str">
        <f t="shared" si="164"/>
        <v>짝수</v>
      </c>
      <c r="AC187" s="52" t="str">
        <f t="shared" si="165"/>
        <v>0 : 6</v>
      </c>
      <c r="AD187" s="22">
        <f t="shared" si="166"/>
        <v>0</v>
      </c>
      <c r="AE187" s="22">
        <f t="shared" si="167"/>
        <v>6</v>
      </c>
      <c r="AF187" s="22" t="str">
        <f t="shared" si="132"/>
        <v>저수</v>
      </c>
      <c r="AG187" s="22" t="str">
        <f t="shared" si="133"/>
        <v>저수</v>
      </c>
      <c r="AH187" s="22" t="str">
        <f t="shared" si="134"/>
        <v>고수</v>
      </c>
      <c r="AI187" s="22" t="str">
        <f t="shared" si="135"/>
        <v>고수</v>
      </c>
      <c r="AJ187" s="22" t="str">
        <f t="shared" si="136"/>
        <v>고수</v>
      </c>
      <c r="AK187" s="22" t="str">
        <f t="shared" si="137"/>
        <v>고수</v>
      </c>
      <c r="AL187" s="52" t="str">
        <f t="shared" si="138"/>
        <v>2 : 4</v>
      </c>
      <c r="AM187" s="22">
        <f t="shared" si="139"/>
        <v>2</v>
      </c>
      <c r="AN187" s="22">
        <f t="shared" si="140"/>
        <v>4</v>
      </c>
      <c r="AO187" s="22">
        <f t="shared" si="141"/>
        <v>20</v>
      </c>
      <c r="AP187" s="22" t="str">
        <f t="shared" si="142"/>
        <v>O</v>
      </c>
      <c r="AQ187" s="22" t="str">
        <f t="shared" si="143"/>
        <v>X</v>
      </c>
      <c r="AR187" s="22" t="str">
        <f t="shared" si="144"/>
        <v>X</v>
      </c>
      <c r="AS187" s="22" t="str">
        <f t="shared" si="145"/>
        <v>X</v>
      </c>
      <c r="AT187" s="22" t="str">
        <f t="shared" si="146"/>
        <v>X</v>
      </c>
      <c r="AU187" s="22" t="str">
        <f t="shared" si="147"/>
        <v>X</v>
      </c>
      <c r="AV187" s="22" t="str">
        <f t="shared" si="148"/>
        <v>X</v>
      </c>
      <c r="AW187" s="22" t="str">
        <f t="shared" si="149"/>
        <v>X</v>
      </c>
      <c r="AX187" s="22" t="str">
        <f t="shared" si="150"/>
        <v>X</v>
      </c>
      <c r="AY187" s="22" t="str">
        <f t="shared" si="151"/>
        <v>X</v>
      </c>
      <c r="AZ187" s="22" t="str">
        <f t="shared" si="152"/>
        <v>X</v>
      </c>
      <c r="BA187" s="22" t="str">
        <f t="shared" si="153"/>
        <v>X</v>
      </c>
      <c r="BB187" s="22">
        <f t="shared" si="154"/>
        <v>1</v>
      </c>
      <c r="BC187" s="22" t="str">
        <f t="shared" si="125"/>
        <v>1G</v>
      </c>
      <c r="BD187" s="22" t="str">
        <f t="shared" si="126"/>
        <v>2G</v>
      </c>
      <c r="BE187" s="22" t="str">
        <f t="shared" si="127"/>
        <v>2G</v>
      </c>
      <c r="BF187" s="22" t="str">
        <f t="shared" si="128"/>
        <v>3G</v>
      </c>
      <c r="BG187" s="22" t="str">
        <f t="shared" si="129"/>
        <v>3G</v>
      </c>
      <c r="BH187" s="22" t="str">
        <f t="shared" si="130"/>
        <v>3G</v>
      </c>
      <c r="BI187" s="22">
        <f t="shared" si="155"/>
        <v>1</v>
      </c>
      <c r="BJ187" s="22">
        <f t="shared" si="156"/>
        <v>2</v>
      </c>
      <c r="BK187" s="22">
        <f t="shared" si="157"/>
        <v>3</v>
      </c>
      <c r="BL187" s="22" t="str">
        <f t="shared" si="158"/>
        <v>123</v>
      </c>
      <c r="BS187"/>
      <c r="CL187" s="23">
        <v>128</v>
      </c>
      <c r="CM187" s="23">
        <v>120</v>
      </c>
      <c r="CO187"/>
    </row>
    <row r="188" spans="2:93" ht="17" hidden="1">
      <c r="B188" s="15">
        <v>184</v>
      </c>
      <c r="C188" s="23" t="s">
        <v>214</v>
      </c>
      <c r="D188" s="16">
        <v>6</v>
      </c>
      <c r="E188" s="17">
        <v>1747753050</v>
      </c>
      <c r="F188" s="16">
        <v>31</v>
      </c>
      <c r="G188" s="17">
        <v>56379131</v>
      </c>
      <c r="H188" s="17">
        <v>1331</v>
      </c>
      <c r="I188" s="17">
        <v>1313113</v>
      </c>
      <c r="J188" s="17">
        <v>63344</v>
      </c>
      <c r="K188" s="17">
        <v>55183</v>
      </c>
      <c r="L188" s="17">
        <v>1054829</v>
      </c>
      <c r="M188" s="17">
        <v>5000</v>
      </c>
      <c r="N188" s="23">
        <v>1</v>
      </c>
      <c r="O188" s="23">
        <v>2</v>
      </c>
      <c r="P188" s="23">
        <v>6</v>
      </c>
      <c r="Q188" s="23">
        <v>16</v>
      </c>
      <c r="R188" s="23">
        <v>20</v>
      </c>
      <c r="S188" s="23">
        <v>33</v>
      </c>
      <c r="T188" s="23">
        <v>41</v>
      </c>
      <c r="U188" s="23">
        <f t="shared" si="131"/>
        <v>78</v>
      </c>
      <c r="W188" s="22" t="str">
        <f t="shared" si="159"/>
        <v>홀수</v>
      </c>
      <c r="X188" s="22" t="str">
        <f t="shared" si="160"/>
        <v>짝수</v>
      </c>
      <c r="Y188" s="22" t="str">
        <f t="shared" si="161"/>
        <v>짝수</v>
      </c>
      <c r="Z188" s="22" t="str">
        <f t="shared" si="162"/>
        <v>짝수</v>
      </c>
      <c r="AA188" s="22" t="str">
        <f t="shared" si="163"/>
        <v>짝수</v>
      </c>
      <c r="AB188" s="22" t="str">
        <f t="shared" si="164"/>
        <v>홀수</v>
      </c>
      <c r="AC188" s="52" t="str">
        <f t="shared" si="165"/>
        <v>2 : 4</v>
      </c>
      <c r="AD188" s="22">
        <f t="shared" si="166"/>
        <v>2</v>
      </c>
      <c r="AE188" s="22">
        <f t="shared" si="167"/>
        <v>4</v>
      </c>
      <c r="AF188" s="22" t="str">
        <f t="shared" si="132"/>
        <v>저수</v>
      </c>
      <c r="AG188" s="22" t="str">
        <f t="shared" si="133"/>
        <v>저수</v>
      </c>
      <c r="AH188" s="22" t="str">
        <f t="shared" si="134"/>
        <v>저수</v>
      </c>
      <c r="AI188" s="22" t="str">
        <f t="shared" si="135"/>
        <v>저수</v>
      </c>
      <c r="AJ188" s="22" t="str">
        <f t="shared" si="136"/>
        <v>저수</v>
      </c>
      <c r="AK188" s="22" t="str">
        <f t="shared" si="137"/>
        <v>고수</v>
      </c>
      <c r="AL188" s="52" t="str">
        <f t="shared" si="138"/>
        <v>5 : 1</v>
      </c>
      <c r="AM188" s="22">
        <f t="shared" si="139"/>
        <v>5</v>
      </c>
      <c r="AN188" s="22">
        <f t="shared" si="140"/>
        <v>1</v>
      </c>
      <c r="AO188" s="22">
        <f t="shared" si="141"/>
        <v>18</v>
      </c>
      <c r="AP188" s="22" t="str">
        <f t="shared" si="142"/>
        <v>X</v>
      </c>
      <c r="AQ188" s="22" t="str">
        <f t="shared" si="143"/>
        <v>O</v>
      </c>
      <c r="AR188" s="22" t="str">
        <f t="shared" si="144"/>
        <v>X</v>
      </c>
      <c r="AS188" s="22" t="str">
        <f t="shared" si="145"/>
        <v>X</v>
      </c>
      <c r="AT188" s="22" t="str">
        <f t="shared" si="146"/>
        <v>X</v>
      </c>
      <c r="AU188" s="22" t="str">
        <f t="shared" si="147"/>
        <v>X</v>
      </c>
      <c r="AV188" s="22" t="str">
        <f t="shared" si="148"/>
        <v>X</v>
      </c>
      <c r="AW188" s="22" t="str">
        <f t="shared" si="149"/>
        <v>X</v>
      </c>
      <c r="AX188" s="22" t="str">
        <f t="shared" si="150"/>
        <v>X</v>
      </c>
      <c r="AY188" s="22" t="str">
        <f t="shared" si="151"/>
        <v>X</v>
      </c>
      <c r="AZ188" s="22" t="str">
        <f t="shared" si="152"/>
        <v>X</v>
      </c>
      <c r="BA188" s="22" t="str">
        <f t="shared" si="153"/>
        <v>X</v>
      </c>
      <c r="BB188" s="22">
        <f t="shared" si="154"/>
        <v>1</v>
      </c>
      <c r="BC188" s="22" t="str">
        <f t="shared" si="125"/>
        <v>1G</v>
      </c>
      <c r="BD188" s="22" t="str">
        <f t="shared" si="126"/>
        <v>1G</v>
      </c>
      <c r="BE188" s="22" t="str">
        <f t="shared" si="127"/>
        <v>1G</v>
      </c>
      <c r="BF188" s="22" t="str">
        <f t="shared" si="128"/>
        <v>2G</v>
      </c>
      <c r="BG188" s="22" t="str">
        <f t="shared" si="129"/>
        <v>2G</v>
      </c>
      <c r="BH188" s="22" t="str">
        <f t="shared" si="130"/>
        <v>3G</v>
      </c>
      <c r="BI188" s="22">
        <f t="shared" si="155"/>
        <v>3</v>
      </c>
      <c r="BJ188" s="22">
        <f t="shared" si="156"/>
        <v>2</v>
      </c>
      <c r="BK188" s="22">
        <f t="shared" si="157"/>
        <v>1</v>
      </c>
      <c r="BL188" s="22" t="str">
        <f t="shared" si="158"/>
        <v>321</v>
      </c>
      <c r="BS188"/>
      <c r="CL188" s="23">
        <v>128</v>
      </c>
      <c r="CM188" s="23">
        <v>120</v>
      </c>
      <c r="CO188"/>
    </row>
    <row r="189" spans="2:93" ht="17" hidden="1">
      <c r="B189" s="15">
        <v>185</v>
      </c>
      <c r="C189" s="23" t="s">
        <v>215</v>
      </c>
      <c r="D189" s="16">
        <v>3</v>
      </c>
      <c r="E189" s="17">
        <v>3522485800</v>
      </c>
      <c r="F189" s="16">
        <v>34</v>
      </c>
      <c r="G189" s="17">
        <v>51801262</v>
      </c>
      <c r="H189" s="17">
        <v>1228</v>
      </c>
      <c r="I189" s="17">
        <v>1434237</v>
      </c>
      <c r="J189" s="17">
        <v>65938</v>
      </c>
      <c r="K189" s="17">
        <v>53422</v>
      </c>
      <c r="L189" s="17">
        <v>1055823</v>
      </c>
      <c r="M189" s="17">
        <v>5000</v>
      </c>
      <c r="N189" s="23">
        <v>1</v>
      </c>
      <c r="O189" s="23">
        <v>2</v>
      </c>
      <c r="P189" s="23">
        <v>4</v>
      </c>
      <c r="Q189" s="23">
        <v>8</v>
      </c>
      <c r="R189" s="23">
        <v>19</v>
      </c>
      <c r="S189" s="23">
        <v>38</v>
      </c>
      <c r="T189" s="23">
        <v>14</v>
      </c>
      <c r="U189" s="23">
        <f t="shared" si="131"/>
        <v>72</v>
      </c>
      <c r="W189" s="22" t="str">
        <f t="shared" si="159"/>
        <v>홀수</v>
      </c>
      <c r="X189" s="22" t="str">
        <f t="shared" si="160"/>
        <v>짝수</v>
      </c>
      <c r="Y189" s="22" t="str">
        <f t="shared" si="161"/>
        <v>짝수</v>
      </c>
      <c r="Z189" s="22" t="str">
        <f t="shared" si="162"/>
        <v>짝수</v>
      </c>
      <c r="AA189" s="22" t="str">
        <f t="shared" si="163"/>
        <v>홀수</v>
      </c>
      <c r="AB189" s="22" t="str">
        <f t="shared" si="164"/>
        <v>짝수</v>
      </c>
      <c r="AC189" s="52" t="str">
        <f t="shared" si="165"/>
        <v>2 : 4</v>
      </c>
      <c r="AD189" s="22">
        <f t="shared" si="166"/>
        <v>2</v>
      </c>
      <c r="AE189" s="22">
        <f t="shared" si="167"/>
        <v>4</v>
      </c>
      <c r="AF189" s="22" t="str">
        <f t="shared" si="132"/>
        <v>저수</v>
      </c>
      <c r="AG189" s="22" t="str">
        <f t="shared" si="133"/>
        <v>저수</v>
      </c>
      <c r="AH189" s="22" t="str">
        <f t="shared" si="134"/>
        <v>저수</v>
      </c>
      <c r="AI189" s="22" t="str">
        <f t="shared" si="135"/>
        <v>저수</v>
      </c>
      <c r="AJ189" s="22" t="str">
        <f t="shared" si="136"/>
        <v>저수</v>
      </c>
      <c r="AK189" s="22" t="str">
        <f t="shared" si="137"/>
        <v>고수</v>
      </c>
      <c r="AL189" s="52" t="str">
        <f t="shared" si="138"/>
        <v>5 : 1</v>
      </c>
      <c r="AM189" s="22">
        <f t="shared" si="139"/>
        <v>5</v>
      </c>
      <c r="AN189" s="22">
        <f t="shared" si="140"/>
        <v>1</v>
      </c>
      <c r="AO189" s="22">
        <f t="shared" si="141"/>
        <v>32</v>
      </c>
      <c r="AP189" s="22" t="str">
        <f t="shared" si="142"/>
        <v>X</v>
      </c>
      <c r="AQ189" s="22" t="str">
        <f t="shared" si="143"/>
        <v>O</v>
      </c>
      <c r="AR189" s="22" t="str">
        <f t="shared" si="144"/>
        <v>X</v>
      </c>
      <c r="AS189" s="22" t="str">
        <f t="shared" si="145"/>
        <v>X</v>
      </c>
      <c r="AT189" s="22" t="str">
        <f t="shared" si="146"/>
        <v>O</v>
      </c>
      <c r="AU189" s="22" t="str">
        <f t="shared" si="147"/>
        <v>X</v>
      </c>
      <c r="AV189" s="22" t="str">
        <f t="shared" si="148"/>
        <v>X</v>
      </c>
      <c r="AW189" s="22" t="str">
        <f t="shared" si="149"/>
        <v>X</v>
      </c>
      <c r="AX189" s="22" t="str">
        <f t="shared" si="150"/>
        <v>X</v>
      </c>
      <c r="AY189" s="22" t="str">
        <f t="shared" si="151"/>
        <v>X</v>
      </c>
      <c r="AZ189" s="22" t="str">
        <f t="shared" si="152"/>
        <v>X</v>
      </c>
      <c r="BA189" s="22" t="str">
        <f t="shared" si="153"/>
        <v>X</v>
      </c>
      <c r="BB189" s="22">
        <f t="shared" si="154"/>
        <v>2</v>
      </c>
      <c r="BC189" s="22" t="str">
        <f t="shared" si="125"/>
        <v>1G</v>
      </c>
      <c r="BD189" s="22" t="str">
        <f t="shared" si="126"/>
        <v>1G</v>
      </c>
      <c r="BE189" s="22" t="str">
        <f t="shared" si="127"/>
        <v>1G</v>
      </c>
      <c r="BF189" s="22" t="str">
        <f t="shared" si="128"/>
        <v>1G</v>
      </c>
      <c r="BG189" s="22" t="str">
        <f t="shared" si="129"/>
        <v>2G</v>
      </c>
      <c r="BH189" s="22" t="str">
        <f t="shared" si="130"/>
        <v>3G</v>
      </c>
      <c r="BI189" s="22">
        <f t="shared" si="155"/>
        <v>4</v>
      </c>
      <c r="BJ189" s="22">
        <f t="shared" si="156"/>
        <v>1</v>
      </c>
      <c r="BK189" s="22">
        <f t="shared" si="157"/>
        <v>1</v>
      </c>
      <c r="BL189" s="22" t="str">
        <f t="shared" si="158"/>
        <v>411</v>
      </c>
      <c r="BS189"/>
      <c r="CL189" s="23">
        <v>128</v>
      </c>
      <c r="CM189" s="23">
        <v>120</v>
      </c>
      <c r="CO189"/>
    </row>
    <row r="190" spans="2:93" ht="17" hidden="1">
      <c r="B190" s="15">
        <v>186</v>
      </c>
      <c r="C190" s="23" t="s">
        <v>216</v>
      </c>
      <c r="D190" s="16">
        <v>9</v>
      </c>
      <c r="E190" s="17">
        <v>1187882600</v>
      </c>
      <c r="F190" s="16">
        <v>46</v>
      </c>
      <c r="G190" s="17">
        <v>38735303</v>
      </c>
      <c r="H190" s="17">
        <v>1169</v>
      </c>
      <c r="I190" s="17">
        <v>1524230</v>
      </c>
      <c r="J190" s="17">
        <v>58566</v>
      </c>
      <c r="K190" s="17">
        <v>60849</v>
      </c>
      <c r="L190" s="17">
        <v>984795</v>
      </c>
      <c r="M190" s="17">
        <v>5000</v>
      </c>
      <c r="N190" s="23">
        <v>4</v>
      </c>
      <c r="O190" s="23">
        <v>10</v>
      </c>
      <c r="P190" s="23">
        <v>14</v>
      </c>
      <c r="Q190" s="23">
        <v>19</v>
      </c>
      <c r="R190" s="23">
        <v>21</v>
      </c>
      <c r="S190" s="23">
        <v>45</v>
      </c>
      <c r="T190" s="23">
        <v>9</v>
      </c>
      <c r="U190" s="23">
        <f t="shared" si="131"/>
        <v>113</v>
      </c>
      <c r="W190" s="22" t="str">
        <f t="shared" si="159"/>
        <v>짝수</v>
      </c>
      <c r="X190" s="22" t="str">
        <f t="shared" si="160"/>
        <v>짝수</v>
      </c>
      <c r="Y190" s="22" t="str">
        <f t="shared" si="161"/>
        <v>짝수</v>
      </c>
      <c r="Z190" s="22" t="str">
        <f t="shared" si="162"/>
        <v>홀수</v>
      </c>
      <c r="AA190" s="22" t="str">
        <f t="shared" si="163"/>
        <v>홀수</v>
      </c>
      <c r="AB190" s="22" t="str">
        <f t="shared" si="164"/>
        <v>홀수</v>
      </c>
      <c r="AC190" s="52" t="str">
        <f t="shared" si="165"/>
        <v>3 : 3</v>
      </c>
      <c r="AD190" s="22">
        <f t="shared" si="166"/>
        <v>3</v>
      </c>
      <c r="AE190" s="22">
        <f t="shared" si="167"/>
        <v>3</v>
      </c>
      <c r="AF190" s="22" t="str">
        <f t="shared" si="132"/>
        <v>저수</v>
      </c>
      <c r="AG190" s="22" t="str">
        <f t="shared" si="133"/>
        <v>저수</v>
      </c>
      <c r="AH190" s="22" t="str">
        <f t="shared" si="134"/>
        <v>저수</v>
      </c>
      <c r="AI190" s="22" t="str">
        <f t="shared" si="135"/>
        <v>저수</v>
      </c>
      <c r="AJ190" s="22" t="str">
        <f t="shared" si="136"/>
        <v>저수</v>
      </c>
      <c r="AK190" s="22" t="str">
        <f t="shared" si="137"/>
        <v>고수</v>
      </c>
      <c r="AL190" s="52" t="str">
        <f t="shared" si="138"/>
        <v>5 : 1</v>
      </c>
      <c r="AM190" s="22">
        <f t="shared" si="139"/>
        <v>5</v>
      </c>
      <c r="AN190" s="22">
        <f t="shared" si="140"/>
        <v>1</v>
      </c>
      <c r="AO190" s="22">
        <f t="shared" si="141"/>
        <v>23</v>
      </c>
      <c r="AP190" s="22" t="str">
        <f t="shared" si="142"/>
        <v>X</v>
      </c>
      <c r="AQ190" s="22" t="str">
        <f t="shared" si="143"/>
        <v>X</v>
      </c>
      <c r="AR190" s="22" t="str">
        <f t="shared" si="144"/>
        <v>X</v>
      </c>
      <c r="AS190" s="22" t="str">
        <f t="shared" si="145"/>
        <v>O</v>
      </c>
      <c r="AT190" s="22" t="str">
        <f t="shared" si="146"/>
        <v>X</v>
      </c>
      <c r="AU190" s="22" t="str">
        <f t="shared" si="147"/>
        <v>X</v>
      </c>
      <c r="AV190" s="22" t="str">
        <f t="shared" si="148"/>
        <v>X</v>
      </c>
      <c r="AW190" s="22" t="str">
        <f t="shared" si="149"/>
        <v>X</v>
      </c>
      <c r="AX190" s="22" t="str">
        <f t="shared" si="150"/>
        <v>X</v>
      </c>
      <c r="AY190" s="22" t="str">
        <f t="shared" si="151"/>
        <v>X</v>
      </c>
      <c r="AZ190" s="22" t="str">
        <f t="shared" si="152"/>
        <v>X</v>
      </c>
      <c r="BA190" s="22" t="str">
        <f t="shared" si="153"/>
        <v>X</v>
      </c>
      <c r="BB190" s="22">
        <f t="shared" si="154"/>
        <v>1</v>
      </c>
      <c r="BC190" s="22" t="str">
        <f t="shared" si="125"/>
        <v>1G</v>
      </c>
      <c r="BD190" s="22" t="str">
        <f t="shared" si="126"/>
        <v>1G</v>
      </c>
      <c r="BE190" s="22" t="str">
        <f t="shared" si="127"/>
        <v>1G</v>
      </c>
      <c r="BF190" s="22" t="str">
        <f t="shared" si="128"/>
        <v>2G</v>
      </c>
      <c r="BG190" s="22" t="str">
        <f t="shared" si="129"/>
        <v>2G</v>
      </c>
      <c r="BH190" s="22" t="str">
        <f t="shared" si="130"/>
        <v>3G</v>
      </c>
      <c r="BI190" s="22">
        <f t="shared" si="155"/>
        <v>3</v>
      </c>
      <c r="BJ190" s="22">
        <f t="shared" si="156"/>
        <v>2</v>
      </c>
      <c r="BK190" s="22">
        <f t="shared" si="157"/>
        <v>1</v>
      </c>
      <c r="BL190" s="22" t="str">
        <f t="shared" si="158"/>
        <v>321</v>
      </c>
      <c r="BS190"/>
      <c r="CL190" s="23">
        <v>129</v>
      </c>
      <c r="CM190" s="23">
        <v>120</v>
      </c>
      <c r="CO190"/>
    </row>
    <row r="191" spans="2:93" ht="17" hidden="1">
      <c r="B191" s="15">
        <v>187</v>
      </c>
      <c r="C191" s="23" t="s">
        <v>217</v>
      </c>
      <c r="D191" s="16">
        <v>7</v>
      </c>
      <c r="E191" s="17">
        <v>1544733900</v>
      </c>
      <c r="F191" s="16">
        <v>19</v>
      </c>
      <c r="G191" s="17">
        <v>94852082</v>
      </c>
      <c r="H191" s="17">
        <v>1253</v>
      </c>
      <c r="I191" s="17">
        <v>1438300</v>
      </c>
      <c r="J191" s="17">
        <v>59780</v>
      </c>
      <c r="K191" s="17">
        <v>60295</v>
      </c>
      <c r="L191" s="17">
        <v>981217</v>
      </c>
      <c r="M191" s="17">
        <v>5000</v>
      </c>
      <c r="N191" s="23">
        <v>1</v>
      </c>
      <c r="O191" s="23">
        <v>2</v>
      </c>
      <c r="P191" s="23">
        <v>8</v>
      </c>
      <c r="Q191" s="23">
        <v>18</v>
      </c>
      <c r="R191" s="23">
        <v>29</v>
      </c>
      <c r="S191" s="23">
        <v>38</v>
      </c>
      <c r="T191" s="23">
        <v>42</v>
      </c>
      <c r="U191" s="23">
        <f t="shared" si="131"/>
        <v>96</v>
      </c>
      <c r="W191" s="22" t="str">
        <f t="shared" si="159"/>
        <v>홀수</v>
      </c>
      <c r="X191" s="22" t="str">
        <f t="shared" si="160"/>
        <v>짝수</v>
      </c>
      <c r="Y191" s="22" t="str">
        <f t="shared" si="161"/>
        <v>짝수</v>
      </c>
      <c r="Z191" s="22" t="str">
        <f t="shared" si="162"/>
        <v>짝수</v>
      </c>
      <c r="AA191" s="22" t="str">
        <f t="shared" si="163"/>
        <v>홀수</v>
      </c>
      <c r="AB191" s="22" t="str">
        <f t="shared" si="164"/>
        <v>짝수</v>
      </c>
      <c r="AC191" s="52" t="str">
        <f t="shared" si="165"/>
        <v>2 : 4</v>
      </c>
      <c r="AD191" s="22">
        <f t="shared" si="166"/>
        <v>2</v>
      </c>
      <c r="AE191" s="22">
        <f t="shared" si="167"/>
        <v>4</v>
      </c>
      <c r="AF191" s="22" t="str">
        <f t="shared" si="132"/>
        <v>저수</v>
      </c>
      <c r="AG191" s="22" t="str">
        <f t="shared" si="133"/>
        <v>저수</v>
      </c>
      <c r="AH191" s="22" t="str">
        <f t="shared" si="134"/>
        <v>저수</v>
      </c>
      <c r="AI191" s="22" t="str">
        <f t="shared" si="135"/>
        <v>저수</v>
      </c>
      <c r="AJ191" s="22" t="str">
        <f t="shared" si="136"/>
        <v>고수</v>
      </c>
      <c r="AK191" s="22" t="str">
        <f t="shared" si="137"/>
        <v>고수</v>
      </c>
      <c r="AL191" s="52" t="str">
        <f t="shared" si="138"/>
        <v>4 : 2</v>
      </c>
      <c r="AM191" s="22">
        <f t="shared" si="139"/>
        <v>4</v>
      </c>
      <c r="AN191" s="22">
        <f t="shared" si="140"/>
        <v>2</v>
      </c>
      <c r="AO191" s="22">
        <f t="shared" si="141"/>
        <v>36</v>
      </c>
      <c r="AP191" s="22" t="str">
        <f t="shared" si="142"/>
        <v>X</v>
      </c>
      <c r="AQ191" s="22" t="str">
        <f t="shared" si="143"/>
        <v>O</v>
      </c>
      <c r="AR191" s="22" t="str">
        <f t="shared" si="144"/>
        <v>X</v>
      </c>
      <c r="AS191" s="22" t="str">
        <f t="shared" si="145"/>
        <v>X</v>
      </c>
      <c r="AT191" s="22" t="str">
        <f t="shared" si="146"/>
        <v>X</v>
      </c>
      <c r="AU191" s="22" t="str">
        <f t="shared" si="147"/>
        <v>X</v>
      </c>
      <c r="AV191" s="22" t="str">
        <f t="shared" si="148"/>
        <v>X</v>
      </c>
      <c r="AW191" s="22" t="str">
        <f t="shared" si="149"/>
        <v>X</v>
      </c>
      <c r="AX191" s="22" t="str">
        <f t="shared" si="150"/>
        <v>X</v>
      </c>
      <c r="AY191" s="22" t="str">
        <f t="shared" si="151"/>
        <v>X</v>
      </c>
      <c r="AZ191" s="22" t="str">
        <f t="shared" si="152"/>
        <v>O</v>
      </c>
      <c r="BA191" s="22" t="str">
        <f t="shared" si="153"/>
        <v>X</v>
      </c>
      <c r="BB191" s="22">
        <f t="shared" si="154"/>
        <v>2</v>
      </c>
      <c r="BC191" s="22" t="str">
        <f t="shared" si="125"/>
        <v>1G</v>
      </c>
      <c r="BD191" s="22" t="str">
        <f t="shared" si="126"/>
        <v>1G</v>
      </c>
      <c r="BE191" s="22" t="str">
        <f t="shared" si="127"/>
        <v>1G</v>
      </c>
      <c r="BF191" s="22" t="str">
        <f t="shared" si="128"/>
        <v>2G</v>
      </c>
      <c r="BG191" s="22" t="str">
        <f t="shared" si="129"/>
        <v>2G</v>
      </c>
      <c r="BH191" s="22" t="str">
        <f t="shared" si="130"/>
        <v>3G</v>
      </c>
      <c r="BI191" s="22">
        <f t="shared" si="155"/>
        <v>3</v>
      </c>
      <c r="BJ191" s="22">
        <f t="shared" si="156"/>
        <v>2</v>
      </c>
      <c r="BK191" s="22">
        <f t="shared" si="157"/>
        <v>1</v>
      </c>
      <c r="BL191" s="22" t="str">
        <f t="shared" si="158"/>
        <v>321</v>
      </c>
      <c r="BS191"/>
      <c r="CL191" s="23">
        <v>130</v>
      </c>
      <c r="CM191" s="23">
        <v>130</v>
      </c>
      <c r="CO191"/>
    </row>
    <row r="192" spans="2:93" ht="17" hidden="1">
      <c r="B192" s="15">
        <v>188</v>
      </c>
      <c r="C192" s="23" t="s">
        <v>218</v>
      </c>
      <c r="D192" s="16">
        <v>3</v>
      </c>
      <c r="E192" s="17">
        <v>3501405200</v>
      </c>
      <c r="F192" s="16">
        <v>33</v>
      </c>
      <c r="G192" s="17">
        <v>53051594</v>
      </c>
      <c r="H192" s="17">
        <v>1320</v>
      </c>
      <c r="I192" s="17">
        <v>1326290</v>
      </c>
      <c r="J192" s="17">
        <v>61227</v>
      </c>
      <c r="K192" s="17">
        <v>57188</v>
      </c>
      <c r="L192" s="17">
        <v>1016219</v>
      </c>
      <c r="M192" s="17">
        <v>5000</v>
      </c>
      <c r="N192" s="23">
        <v>19</v>
      </c>
      <c r="O192" s="23">
        <v>24</v>
      </c>
      <c r="P192" s="23">
        <v>27</v>
      </c>
      <c r="Q192" s="23">
        <v>30</v>
      </c>
      <c r="R192" s="23">
        <v>31</v>
      </c>
      <c r="S192" s="23">
        <v>34</v>
      </c>
      <c r="T192" s="23">
        <v>36</v>
      </c>
      <c r="U192" s="23">
        <f t="shared" si="131"/>
        <v>165</v>
      </c>
      <c r="W192" s="22" t="str">
        <f t="shared" si="159"/>
        <v>홀수</v>
      </c>
      <c r="X192" s="22" t="str">
        <f t="shared" si="160"/>
        <v>짝수</v>
      </c>
      <c r="Y192" s="22" t="str">
        <f t="shared" si="161"/>
        <v>홀수</v>
      </c>
      <c r="Z192" s="22" t="str">
        <f t="shared" si="162"/>
        <v>짝수</v>
      </c>
      <c r="AA192" s="22" t="str">
        <f t="shared" si="163"/>
        <v>홀수</v>
      </c>
      <c r="AB192" s="22" t="str">
        <f t="shared" si="164"/>
        <v>짝수</v>
      </c>
      <c r="AC192" s="52" t="str">
        <f t="shared" si="165"/>
        <v>3 : 3</v>
      </c>
      <c r="AD192" s="22">
        <f t="shared" si="166"/>
        <v>3</v>
      </c>
      <c r="AE192" s="22">
        <f t="shared" si="167"/>
        <v>3</v>
      </c>
      <c r="AF192" s="22" t="str">
        <f t="shared" si="132"/>
        <v>저수</v>
      </c>
      <c r="AG192" s="22" t="str">
        <f t="shared" si="133"/>
        <v>고수</v>
      </c>
      <c r="AH192" s="22" t="str">
        <f t="shared" si="134"/>
        <v>고수</v>
      </c>
      <c r="AI192" s="22" t="str">
        <f t="shared" si="135"/>
        <v>고수</v>
      </c>
      <c r="AJ192" s="22" t="str">
        <f t="shared" si="136"/>
        <v>고수</v>
      </c>
      <c r="AK192" s="22" t="str">
        <f t="shared" si="137"/>
        <v>고수</v>
      </c>
      <c r="AL192" s="52" t="str">
        <f t="shared" si="138"/>
        <v>1 : 5</v>
      </c>
      <c r="AM192" s="22">
        <f t="shared" si="139"/>
        <v>1</v>
      </c>
      <c r="AN192" s="22">
        <f t="shared" si="140"/>
        <v>5</v>
      </c>
      <c r="AO192" s="22">
        <f t="shared" si="141"/>
        <v>25</v>
      </c>
      <c r="AP192" s="22" t="str">
        <f t="shared" si="142"/>
        <v>O</v>
      </c>
      <c r="AQ192" s="22" t="str">
        <f t="shared" si="143"/>
        <v>X</v>
      </c>
      <c r="AR192" s="22" t="str">
        <f t="shared" si="144"/>
        <v>X</v>
      </c>
      <c r="AS192" s="22" t="str">
        <f t="shared" si="145"/>
        <v>X</v>
      </c>
      <c r="AT192" s="22" t="str">
        <f t="shared" si="146"/>
        <v>X</v>
      </c>
      <c r="AU192" s="22" t="str">
        <f t="shared" si="147"/>
        <v>X</v>
      </c>
      <c r="AV192" s="22" t="str">
        <f t="shared" si="148"/>
        <v>X</v>
      </c>
      <c r="AW192" s="22" t="str">
        <f t="shared" si="149"/>
        <v>X</v>
      </c>
      <c r="AX192" s="22" t="str">
        <f t="shared" si="150"/>
        <v>X</v>
      </c>
      <c r="AY192" s="22" t="str">
        <f t="shared" si="151"/>
        <v>X</v>
      </c>
      <c r="AZ192" s="22" t="str">
        <f t="shared" si="152"/>
        <v>O</v>
      </c>
      <c r="BA192" s="22" t="str">
        <f t="shared" si="153"/>
        <v>X</v>
      </c>
      <c r="BB192" s="22">
        <f t="shared" si="154"/>
        <v>2</v>
      </c>
      <c r="BC192" s="22" t="str">
        <f t="shared" si="125"/>
        <v>2G</v>
      </c>
      <c r="BD192" s="22" t="str">
        <f t="shared" si="126"/>
        <v>2G</v>
      </c>
      <c r="BE192" s="22" t="str">
        <f t="shared" si="127"/>
        <v>2G</v>
      </c>
      <c r="BF192" s="22" t="str">
        <f t="shared" si="128"/>
        <v>2G</v>
      </c>
      <c r="BG192" s="22" t="str">
        <f t="shared" si="129"/>
        <v>3G</v>
      </c>
      <c r="BH192" s="22" t="str">
        <f t="shared" si="130"/>
        <v>3G</v>
      </c>
      <c r="BI192" s="22">
        <f t="shared" si="155"/>
        <v>0</v>
      </c>
      <c r="BJ192" s="22">
        <f t="shared" si="156"/>
        <v>4</v>
      </c>
      <c r="BK192" s="22">
        <f t="shared" si="157"/>
        <v>2</v>
      </c>
      <c r="BL192" s="22" t="str">
        <f t="shared" si="158"/>
        <v>042</v>
      </c>
      <c r="BS192"/>
      <c r="CL192" s="23">
        <v>130</v>
      </c>
      <c r="CM192" s="23">
        <v>130</v>
      </c>
      <c r="CO192"/>
    </row>
    <row r="193" spans="2:93" ht="17" hidden="1">
      <c r="B193" s="15">
        <v>189</v>
      </c>
      <c r="C193" s="23" t="s">
        <v>219</v>
      </c>
      <c r="D193" s="16">
        <v>3</v>
      </c>
      <c r="E193" s="17">
        <v>3461775100</v>
      </c>
      <c r="F193" s="16">
        <v>33</v>
      </c>
      <c r="G193" s="17">
        <v>52451138</v>
      </c>
      <c r="H193" s="17">
        <v>1085</v>
      </c>
      <c r="I193" s="17">
        <v>1595289</v>
      </c>
      <c r="J193" s="17">
        <v>52193</v>
      </c>
      <c r="K193" s="17">
        <v>66327</v>
      </c>
      <c r="L193" s="17">
        <v>903280</v>
      </c>
      <c r="M193" s="17">
        <v>5000</v>
      </c>
      <c r="N193" s="23">
        <v>8</v>
      </c>
      <c r="O193" s="23">
        <v>14</v>
      </c>
      <c r="P193" s="23">
        <v>32</v>
      </c>
      <c r="Q193" s="23">
        <v>35</v>
      </c>
      <c r="R193" s="23">
        <v>37</v>
      </c>
      <c r="S193" s="23">
        <v>45</v>
      </c>
      <c r="T193" s="23">
        <v>28</v>
      </c>
      <c r="U193" s="23">
        <f t="shared" si="131"/>
        <v>171</v>
      </c>
      <c r="W193" s="22" t="str">
        <f t="shared" si="159"/>
        <v>짝수</v>
      </c>
      <c r="X193" s="22" t="str">
        <f t="shared" si="160"/>
        <v>짝수</v>
      </c>
      <c r="Y193" s="22" t="str">
        <f t="shared" si="161"/>
        <v>짝수</v>
      </c>
      <c r="Z193" s="22" t="str">
        <f t="shared" si="162"/>
        <v>홀수</v>
      </c>
      <c r="AA193" s="22" t="str">
        <f t="shared" si="163"/>
        <v>홀수</v>
      </c>
      <c r="AB193" s="22" t="str">
        <f t="shared" si="164"/>
        <v>홀수</v>
      </c>
      <c r="AC193" s="52" t="str">
        <f t="shared" si="165"/>
        <v>3 : 3</v>
      </c>
      <c r="AD193" s="22">
        <f t="shared" si="166"/>
        <v>3</v>
      </c>
      <c r="AE193" s="22">
        <f t="shared" si="167"/>
        <v>3</v>
      </c>
      <c r="AF193" s="22" t="str">
        <f t="shared" si="132"/>
        <v>저수</v>
      </c>
      <c r="AG193" s="22" t="str">
        <f t="shared" si="133"/>
        <v>저수</v>
      </c>
      <c r="AH193" s="22" t="str">
        <f t="shared" si="134"/>
        <v>고수</v>
      </c>
      <c r="AI193" s="22" t="str">
        <f t="shared" si="135"/>
        <v>고수</v>
      </c>
      <c r="AJ193" s="22" t="str">
        <f t="shared" si="136"/>
        <v>고수</v>
      </c>
      <c r="AK193" s="22" t="str">
        <f t="shared" si="137"/>
        <v>고수</v>
      </c>
      <c r="AL193" s="52" t="str">
        <f t="shared" si="138"/>
        <v>2 : 4</v>
      </c>
      <c r="AM193" s="22">
        <f t="shared" si="139"/>
        <v>2</v>
      </c>
      <c r="AN193" s="22">
        <f t="shared" si="140"/>
        <v>4</v>
      </c>
      <c r="AO193" s="22">
        <f t="shared" si="141"/>
        <v>31</v>
      </c>
      <c r="AP193" s="22" t="str">
        <f t="shared" si="142"/>
        <v>X</v>
      </c>
      <c r="AQ193" s="22" t="str">
        <f t="shared" si="143"/>
        <v>X</v>
      </c>
      <c r="AR193" s="22" t="str">
        <f t="shared" si="144"/>
        <v>X</v>
      </c>
      <c r="AS193" s="22" t="str">
        <f t="shared" si="145"/>
        <v>X</v>
      </c>
      <c r="AT193" s="22" t="str">
        <f t="shared" si="146"/>
        <v>X</v>
      </c>
      <c r="AU193" s="22" t="str">
        <f t="shared" si="147"/>
        <v>X</v>
      </c>
      <c r="AV193" s="22" t="str">
        <f t="shared" si="148"/>
        <v>X</v>
      </c>
      <c r="AW193" s="22" t="str">
        <f t="shared" si="149"/>
        <v>X</v>
      </c>
      <c r="AX193" s="22" t="str">
        <f t="shared" si="150"/>
        <v>X</v>
      </c>
      <c r="AY193" s="22" t="str">
        <f t="shared" si="151"/>
        <v>X</v>
      </c>
      <c r="AZ193" s="22" t="str">
        <f t="shared" si="152"/>
        <v>O</v>
      </c>
      <c r="BA193" s="22" t="str">
        <f t="shared" si="153"/>
        <v>X</v>
      </c>
      <c r="BB193" s="22">
        <f t="shared" si="154"/>
        <v>1</v>
      </c>
      <c r="BC193" s="22" t="str">
        <f t="shared" si="125"/>
        <v>1G</v>
      </c>
      <c r="BD193" s="22" t="str">
        <f t="shared" si="126"/>
        <v>1G</v>
      </c>
      <c r="BE193" s="22" t="str">
        <f t="shared" si="127"/>
        <v>3G</v>
      </c>
      <c r="BF193" s="22" t="str">
        <f t="shared" si="128"/>
        <v>3G</v>
      </c>
      <c r="BG193" s="22" t="str">
        <f t="shared" si="129"/>
        <v>3G</v>
      </c>
      <c r="BH193" s="22" t="str">
        <f t="shared" si="130"/>
        <v>3G</v>
      </c>
      <c r="BI193" s="22">
        <f t="shared" si="155"/>
        <v>2</v>
      </c>
      <c r="BJ193" s="22">
        <f t="shared" si="156"/>
        <v>0</v>
      </c>
      <c r="BK193" s="22">
        <f t="shared" si="157"/>
        <v>4</v>
      </c>
      <c r="BL193" s="22" t="str">
        <f t="shared" si="158"/>
        <v>204</v>
      </c>
      <c r="BS193"/>
      <c r="CL193" s="23">
        <v>130</v>
      </c>
      <c r="CM193" s="23">
        <v>130</v>
      </c>
      <c r="CO193"/>
    </row>
    <row r="194" spans="2:93" ht="17" hidden="1">
      <c r="B194" s="15">
        <v>190</v>
      </c>
      <c r="C194" s="23" t="s">
        <v>220</v>
      </c>
      <c r="D194" s="16">
        <v>6</v>
      </c>
      <c r="E194" s="17">
        <v>1784159450</v>
      </c>
      <c r="F194" s="16">
        <v>33</v>
      </c>
      <c r="G194" s="17">
        <v>54065438</v>
      </c>
      <c r="H194" s="17">
        <v>1016</v>
      </c>
      <c r="I194" s="17">
        <v>1756063</v>
      </c>
      <c r="J194" s="17">
        <v>53791</v>
      </c>
      <c r="K194" s="17">
        <v>66337</v>
      </c>
      <c r="L194" s="17">
        <v>918127</v>
      </c>
      <c r="M194" s="17">
        <v>5000</v>
      </c>
      <c r="N194" s="23">
        <v>8</v>
      </c>
      <c r="O194" s="23">
        <v>14</v>
      </c>
      <c r="P194" s="23">
        <v>18</v>
      </c>
      <c r="Q194" s="23">
        <v>30</v>
      </c>
      <c r="R194" s="23">
        <v>31</v>
      </c>
      <c r="S194" s="23">
        <v>44</v>
      </c>
      <c r="T194" s="23">
        <v>15</v>
      </c>
      <c r="U194" s="23">
        <f t="shared" si="131"/>
        <v>145</v>
      </c>
      <c r="W194" s="22" t="str">
        <f t="shared" si="159"/>
        <v>짝수</v>
      </c>
      <c r="X194" s="22" t="str">
        <f t="shared" si="160"/>
        <v>짝수</v>
      </c>
      <c r="Y194" s="22" t="str">
        <f t="shared" si="161"/>
        <v>짝수</v>
      </c>
      <c r="Z194" s="22" t="str">
        <f t="shared" si="162"/>
        <v>짝수</v>
      </c>
      <c r="AA194" s="22" t="str">
        <f t="shared" si="163"/>
        <v>홀수</v>
      </c>
      <c r="AB194" s="22" t="str">
        <f t="shared" si="164"/>
        <v>짝수</v>
      </c>
      <c r="AC194" s="52" t="str">
        <f t="shared" si="165"/>
        <v>1 : 5</v>
      </c>
      <c r="AD194" s="22">
        <f t="shared" si="166"/>
        <v>1</v>
      </c>
      <c r="AE194" s="22">
        <f t="shared" si="167"/>
        <v>5</v>
      </c>
      <c r="AF194" s="22" t="str">
        <f t="shared" si="132"/>
        <v>저수</v>
      </c>
      <c r="AG194" s="22" t="str">
        <f t="shared" si="133"/>
        <v>저수</v>
      </c>
      <c r="AH194" s="22" t="str">
        <f t="shared" si="134"/>
        <v>저수</v>
      </c>
      <c r="AI194" s="22" t="str">
        <f t="shared" si="135"/>
        <v>고수</v>
      </c>
      <c r="AJ194" s="22" t="str">
        <f t="shared" si="136"/>
        <v>고수</v>
      </c>
      <c r="AK194" s="22" t="str">
        <f t="shared" si="137"/>
        <v>고수</v>
      </c>
      <c r="AL194" s="52" t="str">
        <f t="shared" si="138"/>
        <v>3 : 3</v>
      </c>
      <c r="AM194" s="22">
        <f t="shared" si="139"/>
        <v>3</v>
      </c>
      <c r="AN194" s="22">
        <f t="shared" si="140"/>
        <v>3</v>
      </c>
      <c r="AO194" s="22">
        <f t="shared" si="141"/>
        <v>25</v>
      </c>
      <c r="AP194" s="22" t="str">
        <f t="shared" si="142"/>
        <v>X</v>
      </c>
      <c r="AQ194" s="22" t="str">
        <f t="shared" si="143"/>
        <v>X</v>
      </c>
      <c r="AR194" s="22" t="str">
        <f t="shared" si="144"/>
        <v>X</v>
      </c>
      <c r="AS194" s="22" t="str">
        <f t="shared" si="145"/>
        <v>X</v>
      </c>
      <c r="AT194" s="22" t="str">
        <f t="shared" si="146"/>
        <v>X</v>
      </c>
      <c r="AU194" s="22" t="str">
        <f t="shared" si="147"/>
        <v>X</v>
      </c>
      <c r="AV194" s="22" t="str">
        <f t="shared" si="148"/>
        <v>X</v>
      </c>
      <c r="AW194" s="22" t="str">
        <f t="shared" si="149"/>
        <v>X</v>
      </c>
      <c r="AX194" s="22" t="str">
        <f t="shared" si="150"/>
        <v>X</v>
      </c>
      <c r="AY194" s="22" t="str">
        <f t="shared" si="151"/>
        <v>X</v>
      </c>
      <c r="AZ194" s="22" t="str">
        <f t="shared" si="152"/>
        <v>O</v>
      </c>
      <c r="BA194" s="22" t="str">
        <f t="shared" si="153"/>
        <v>X</v>
      </c>
      <c r="BB194" s="22">
        <f t="shared" si="154"/>
        <v>1</v>
      </c>
      <c r="BC194" s="22" t="str">
        <f>VLOOKUP(N194,삼그룹,6,FALSE)</f>
        <v>1G</v>
      </c>
      <c r="BD194" s="22" t="str">
        <f t="shared" si="126"/>
        <v>1G</v>
      </c>
      <c r="BE194" s="22" t="str">
        <f t="shared" si="127"/>
        <v>2G</v>
      </c>
      <c r="BF194" s="22" t="str">
        <f t="shared" si="128"/>
        <v>2G</v>
      </c>
      <c r="BG194" s="22" t="str">
        <f t="shared" si="129"/>
        <v>3G</v>
      </c>
      <c r="BH194" s="22" t="str">
        <f t="shared" si="130"/>
        <v>3G</v>
      </c>
      <c r="BI194" s="22">
        <f t="shared" si="155"/>
        <v>2</v>
      </c>
      <c r="BJ194" s="22">
        <f t="shared" si="156"/>
        <v>2</v>
      </c>
      <c r="BK194" s="22">
        <f t="shared" si="157"/>
        <v>2</v>
      </c>
      <c r="BL194" s="22" t="str">
        <f t="shared" si="158"/>
        <v>222</v>
      </c>
      <c r="BS194"/>
      <c r="CL194" s="23">
        <v>130</v>
      </c>
      <c r="CM194" s="23">
        <v>130</v>
      </c>
      <c r="CO194"/>
    </row>
    <row r="195" spans="2:93" ht="17" hidden="1">
      <c r="B195" s="15">
        <v>191</v>
      </c>
      <c r="C195" s="23" t="s">
        <v>221</v>
      </c>
      <c r="D195" s="16">
        <v>4</v>
      </c>
      <c r="E195" s="17">
        <v>2577114675</v>
      </c>
      <c r="F195" s="16">
        <v>23</v>
      </c>
      <c r="G195" s="17">
        <v>74698977</v>
      </c>
      <c r="H195" s="17">
        <v>1145</v>
      </c>
      <c r="I195" s="17">
        <v>1500504</v>
      </c>
      <c r="J195" s="17">
        <v>59650</v>
      </c>
      <c r="K195" s="17">
        <v>57606</v>
      </c>
      <c r="L195" s="17">
        <v>1017334</v>
      </c>
      <c r="M195" s="17">
        <v>5000</v>
      </c>
      <c r="N195" s="23">
        <v>5</v>
      </c>
      <c r="O195" s="23">
        <v>6</v>
      </c>
      <c r="P195" s="23">
        <v>24</v>
      </c>
      <c r="Q195" s="23">
        <v>25</v>
      </c>
      <c r="R195" s="23">
        <v>32</v>
      </c>
      <c r="S195" s="23">
        <v>37</v>
      </c>
      <c r="T195" s="23">
        <v>8</v>
      </c>
      <c r="U195" s="23">
        <f t="shared" si="131"/>
        <v>129</v>
      </c>
      <c r="W195" s="22" t="str">
        <f t="shared" si="159"/>
        <v>홀수</v>
      </c>
      <c r="X195" s="22" t="str">
        <f t="shared" si="160"/>
        <v>짝수</v>
      </c>
      <c r="Y195" s="22" t="str">
        <f t="shared" si="161"/>
        <v>짝수</v>
      </c>
      <c r="Z195" s="22" t="str">
        <f t="shared" si="162"/>
        <v>홀수</v>
      </c>
      <c r="AA195" s="22" t="str">
        <f t="shared" si="163"/>
        <v>짝수</v>
      </c>
      <c r="AB195" s="22" t="str">
        <f t="shared" si="164"/>
        <v>홀수</v>
      </c>
      <c r="AC195" s="52" t="str">
        <f t="shared" si="165"/>
        <v>3 : 3</v>
      </c>
      <c r="AD195" s="22">
        <f t="shared" si="166"/>
        <v>3</v>
      </c>
      <c r="AE195" s="22">
        <f t="shared" si="167"/>
        <v>3</v>
      </c>
      <c r="AF195" s="22" t="str">
        <f t="shared" si="132"/>
        <v>저수</v>
      </c>
      <c r="AG195" s="22" t="str">
        <f t="shared" si="133"/>
        <v>저수</v>
      </c>
      <c r="AH195" s="22" t="str">
        <f t="shared" si="134"/>
        <v>고수</v>
      </c>
      <c r="AI195" s="22" t="str">
        <f t="shared" si="135"/>
        <v>고수</v>
      </c>
      <c r="AJ195" s="22" t="str">
        <f t="shared" si="136"/>
        <v>고수</v>
      </c>
      <c r="AK195" s="22" t="str">
        <f t="shared" si="137"/>
        <v>고수</v>
      </c>
      <c r="AL195" s="52" t="str">
        <f t="shared" si="138"/>
        <v>2 : 4</v>
      </c>
      <c r="AM195" s="22">
        <f t="shared" si="139"/>
        <v>2</v>
      </c>
      <c r="AN195" s="22">
        <f t="shared" si="140"/>
        <v>4</v>
      </c>
      <c r="AO195" s="22">
        <f t="shared" si="141"/>
        <v>29</v>
      </c>
      <c r="AP195" s="22" t="str">
        <f t="shared" si="142"/>
        <v>O</v>
      </c>
      <c r="AQ195" s="22" t="str">
        <f t="shared" si="143"/>
        <v>X</v>
      </c>
      <c r="AR195" s="22" t="str">
        <f t="shared" si="144"/>
        <v>X</v>
      </c>
      <c r="AS195" s="22" t="str">
        <f t="shared" si="145"/>
        <v>X</v>
      </c>
      <c r="AT195" s="22" t="str">
        <f t="shared" si="146"/>
        <v>X</v>
      </c>
      <c r="AU195" s="22" t="str">
        <f t="shared" si="147"/>
        <v>X</v>
      </c>
      <c r="AV195" s="22" t="str">
        <f t="shared" si="148"/>
        <v>X</v>
      </c>
      <c r="AW195" s="22" t="str">
        <f t="shared" si="149"/>
        <v>X</v>
      </c>
      <c r="AX195" s="22" t="str">
        <f t="shared" si="150"/>
        <v>X</v>
      </c>
      <c r="AY195" s="22" t="str">
        <f t="shared" si="151"/>
        <v>X</v>
      </c>
      <c r="AZ195" s="22" t="str">
        <f t="shared" si="152"/>
        <v>X</v>
      </c>
      <c r="BA195" s="22" t="str">
        <f t="shared" si="153"/>
        <v>O</v>
      </c>
      <c r="BB195" s="22">
        <f t="shared" si="154"/>
        <v>2</v>
      </c>
      <c r="BC195" s="22" t="str">
        <f t="shared" si="125"/>
        <v>1G</v>
      </c>
      <c r="BD195" s="22" t="str">
        <f t="shared" si="126"/>
        <v>1G</v>
      </c>
      <c r="BE195" s="22" t="str">
        <f t="shared" si="127"/>
        <v>2G</v>
      </c>
      <c r="BF195" s="22" t="str">
        <f t="shared" si="128"/>
        <v>2G</v>
      </c>
      <c r="BG195" s="22" t="str">
        <f t="shared" si="129"/>
        <v>3G</v>
      </c>
      <c r="BH195" s="22" t="str">
        <f t="shared" si="130"/>
        <v>3G</v>
      </c>
      <c r="BI195" s="22">
        <f t="shared" si="155"/>
        <v>2</v>
      </c>
      <c r="BJ195" s="22">
        <f t="shared" si="156"/>
        <v>2</v>
      </c>
      <c r="BK195" s="22">
        <f t="shared" si="157"/>
        <v>2</v>
      </c>
      <c r="BL195" s="22" t="str">
        <f t="shared" si="158"/>
        <v>222</v>
      </c>
      <c r="BS195"/>
      <c r="CL195" s="23">
        <v>130</v>
      </c>
      <c r="CM195" s="23">
        <v>130</v>
      </c>
      <c r="CO195"/>
    </row>
    <row r="196" spans="2:93" ht="17" hidden="1">
      <c r="B196" s="15">
        <v>192</v>
      </c>
      <c r="C196" s="23" t="s">
        <v>222</v>
      </c>
      <c r="D196" s="16">
        <v>4</v>
      </c>
      <c r="E196" s="17">
        <v>2445348375</v>
      </c>
      <c r="F196" s="16">
        <v>38</v>
      </c>
      <c r="G196" s="17">
        <v>42900849</v>
      </c>
      <c r="H196" s="17">
        <v>1098</v>
      </c>
      <c r="I196" s="17">
        <v>1484729</v>
      </c>
      <c r="J196" s="17">
        <v>55766</v>
      </c>
      <c r="K196" s="17">
        <v>58467</v>
      </c>
      <c r="L196" s="17">
        <v>943042</v>
      </c>
      <c r="M196" s="17">
        <v>5000</v>
      </c>
      <c r="N196" s="23">
        <v>4</v>
      </c>
      <c r="O196" s="23">
        <v>8</v>
      </c>
      <c r="P196" s="23">
        <v>11</v>
      </c>
      <c r="Q196" s="23">
        <v>18</v>
      </c>
      <c r="R196" s="23">
        <v>37</v>
      </c>
      <c r="S196" s="23">
        <v>45</v>
      </c>
      <c r="T196" s="23">
        <v>33</v>
      </c>
      <c r="U196" s="23">
        <f t="shared" si="131"/>
        <v>123</v>
      </c>
      <c r="W196" s="22" t="str">
        <f t="shared" si="159"/>
        <v>짝수</v>
      </c>
      <c r="X196" s="22" t="str">
        <f t="shared" si="160"/>
        <v>짝수</v>
      </c>
      <c r="Y196" s="22" t="str">
        <f t="shared" si="161"/>
        <v>홀수</v>
      </c>
      <c r="Z196" s="22" t="str">
        <f t="shared" si="162"/>
        <v>짝수</v>
      </c>
      <c r="AA196" s="22" t="str">
        <f t="shared" si="163"/>
        <v>홀수</v>
      </c>
      <c r="AB196" s="22" t="str">
        <f t="shared" si="164"/>
        <v>홀수</v>
      </c>
      <c r="AC196" s="52" t="str">
        <f t="shared" si="165"/>
        <v>3 : 3</v>
      </c>
      <c r="AD196" s="22">
        <f t="shared" si="166"/>
        <v>3</v>
      </c>
      <c r="AE196" s="22">
        <f t="shared" si="167"/>
        <v>3</v>
      </c>
      <c r="AF196" s="22" t="str">
        <f t="shared" si="132"/>
        <v>저수</v>
      </c>
      <c r="AG196" s="22" t="str">
        <f t="shared" si="133"/>
        <v>저수</v>
      </c>
      <c r="AH196" s="22" t="str">
        <f t="shared" si="134"/>
        <v>저수</v>
      </c>
      <c r="AI196" s="22" t="str">
        <f t="shared" si="135"/>
        <v>저수</v>
      </c>
      <c r="AJ196" s="22" t="str">
        <f t="shared" si="136"/>
        <v>고수</v>
      </c>
      <c r="AK196" s="22" t="str">
        <f t="shared" si="137"/>
        <v>고수</v>
      </c>
      <c r="AL196" s="52" t="str">
        <f t="shared" si="138"/>
        <v>4 : 2</v>
      </c>
      <c r="AM196" s="22">
        <f t="shared" si="139"/>
        <v>4</v>
      </c>
      <c r="AN196" s="22">
        <f t="shared" si="140"/>
        <v>2</v>
      </c>
      <c r="AO196" s="22">
        <f t="shared" si="141"/>
        <v>33</v>
      </c>
      <c r="AP196" s="22" t="str">
        <f t="shared" si="142"/>
        <v>X</v>
      </c>
      <c r="AQ196" s="22" t="str">
        <f t="shared" si="143"/>
        <v>X</v>
      </c>
      <c r="AR196" s="22" t="str">
        <f t="shared" si="144"/>
        <v>O</v>
      </c>
      <c r="AS196" s="22" t="str">
        <f t="shared" si="145"/>
        <v>X</v>
      </c>
      <c r="AT196" s="22" t="str">
        <f t="shared" si="146"/>
        <v>X</v>
      </c>
      <c r="AU196" s="22" t="str">
        <f t="shared" si="147"/>
        <v>X</v>
      </c>
      <c r="AV196" s="22" t="str">
        <f t="shared" si="148"/>
        <v>X</v>
      </c>
      <c r="AW196" s="22" t="str">
        <f t="shared" si="149"/>
        <v>X</v>
      </c>
      <c r="AX196" s="22" t="str">
        <f t="shared" si="150"/>
        <v>X</v>
      </c>
      <c r="AY196" s="22" t="str">
        <f t="shared" si="151"/>
        <v>X</v>
      </c>
      <c r="AZ196" s="22" t="str">
        <f t="shared" si="152"/>
        <v>O</v>
      </c>
      <c r="BA196" s="22" t="str">
        <f t="shared" si="153"/>
        <v>X</v>
      </c>
      <c r="BB196" s="22">
        <f t="shared" si="154"/>
        <v>2</v>
      </c>
      <c r="BC196" s="22" t="str">
        <f t="shared" si="125"/>
        <v>1G</v>
      </c>
      <c r="BD196" s="22" t="str">
        <f t="shared" si="126"/>
        <v>1G</v>
      </c>
      <c r="BE196" s="22" t="str">
        <f t="shared" si="127"/>
        <v>1G</v>
      </c>
      <c r="BF196" s="22" t="str">
        <f t="shared" si="128"/>
        <v>2G</v>
      </c>
      <c r="BG196" s="22" t="str">
        <f t="shared" si="129"/>
        <v>3G</v>
      </c>
      <c r="BH196" s="22" t="str">
        <f t="shared" si="130"/>
        <v>3G</v>
      </c>
      <c r="BI196" s="22">
        <f t="shared" si="155"/>
        <v>3</v>
      </c>
      <c r="BJ196" s="22">
        <f t="shared" si="156"/>
        <v>1</v>
      </c>
      <c r="BK196" s="22">
        <f t="shared" si="157"/>
        <v>2</v>
      </c>
      <c r="BL196" s="22" t="str">
        <f t="shared" si="158"/>
        <v>312</v>
      </c>
      <c r="BS196"/>
      <c r="CL196" s="23">
        <v>130</v>
      </c>
      <c r="CM196" s="23">
        <v>130</v>
      </c>
      <c r="CO196"/>
    </row>
    <row r="197" spans="2:93" ht="17" hidden="1">
      <c r="B197" s="15">
        <v>193</v>
      </c>
      <c r="C197" s="23" t="s">
        <v>223</v>
      </c>
      <c r="D197" s="16">
        <v>3</v>
      </c>
      <c r="E197" s="17">
        <v>3404449700</v>
      </c>
      <c r="F197" s="16">
        <v>20</v>
      </c>
      <c r="G197" s="17">
        <v>85111243</v>
      </c>
      <c r="H197" s="17">
        <v>1135</v>
      </c>
      <c r="I197" s="17">
        <v>1499758</v>
      </c>
      <c r="J197" s="17">
        <v>58638</v>
      </c>
      <c r="K197" s="17">
        <v>58059</v>
      </c>
      <c r="L197" s="17">
        <v>974398</v>
      </c>
      <c r="M197" s="17">
        <v>5000</v>
      </c>
      <c r="N197" s="23">
        <v>6</v>
      </c>
      <c r="O197" s="23">
        <v>14</v>
      </c>
      <c r="P197" s="23">
        <v>18</v>
      </c>
      <c r="Q197" s="23">
        <v>26</v>
      </c>
      <c r="R197" s="23">
        <v>36</v>
      </c>
      <c r="S197" s="23">
        <v>39</v>
      </c>
      <c r="T197" s="23">
        <v>13</v>
      </c>
      <c r="U197" s="23">
        <f t="shared" si="131"/>
        <v>139</v>
      </c>
      <c r="W197" s="22" t="str">
        <f t="shared" si="159"/>
        <v>짝수</v>
      </c>
      <c r="X197" s="22" t="str">
        <f t="shared" si="160"/>
        <v>짝수</v>
      </c>
      <c r="Y197" s="22" t="str">
        <f t="shared" si="161"/>
        <v>짝수</v>
      </c>
      <c r="Z197" s="22" t="str">
        <f t="shared" si="162"/>
        <v>짝수</v>
      </c>
      <c r="AA197" s="22" t="str">
        <f t="shared" si="163"/>
        <v>짝수</v>
      </c>
      <c r="AB197" s="22" t="str">
        <f t="shared" si="164"/>
        <v>홀수</v>
      </c>
      <c r="AC197" s="52" t="str">
        <f t="shared" si="165"/>
        <v>1 : 5</v>
      </c>
      <c r="AD197" s="22">
        <f t="shared" si="166"/>
        <v>1</v>
      </c>
      <c r="AE197" s="22">
        <f t="shared" si="167"/>
        <v>5</v>
      </c>
      <c r="AF197" s="22" t="str">
        <f t="shared" si="132"/>
        <v>저수</v>
      </c>
      <c r="AG197" s="22" t="str">
        <f t="shared" si="133"/>
        <v>저수</v>
      </c>
      <c r="AH197" s="22" t="str">
        <f t="shared" si="134"/>
        <v>저수</v>
      </c>
      <c r="AI197" s="22" t="str">
        <f t="shared" si="135"/>
        <v>고수</v>
      </c>
      <c r="AJ197" s="22" t="str">
        <f t="shared" si="136"/>
        <v>고수</v>
      </c>
      <c r="AK197" s="22" t="str">
        <f t="shared" si="137"/>
        <v>고수</v>
      </c>
      <c r="AL197" s="52" t="str">
        <f t="shared" si="138"/>
        <v>3 : 3</v>
      </c>
      <c r="AM197" s="22">
        <f t="shared" si="139"/>
        <v>3</v>
      </c>
      <c r="AN197" s="22">
        <f t="shared" si="140"/>
        <v>3</v>
      </c>
      <c r="AO197" s="22">
        <f t="shared" si="141"/>
        <v>39</v>
      </c>
      <c r="AP197" s="22" t="str">
        <f t="shared" si="142"/>
        <v>X</v>
      </c>
      <c r="AQ197" s="22" t="str">
        <f t="shared" si="143"/>
        <v>X</v>
      </c>
      <c r="AR197" s="22" t="str">
        <f t="shared" si="144"/>
        <v>X</v>
      </c>
      <c r="AS197" s="22" t="str">
        <f t="shared" si="145"/>
        <v>X</v>
      </c>
      <c r="AT197" s="22" t="str">
        <f t="shared" si="146"/>
        <v>X</v>
      </c>
      <c r="AU197" s="22" t="str">
        <f t="shared" si="147"/>
        <v>X</v>
      </c>
      <c r="AV197" s="22" t="str">
        <f t="shared" si="148"/>
        <v>X</v>
      </c>
      <c r="AW197" s="22" t="str">
        <f t="shared" si="149"/>
        <v>X</v>
      </c>
      <c r="AX197" s="22" t="str">
        <f t="shared" si="150"/>
        <v>X</v>
      </c>
      <c r="AY197" s="22" t="str">
        <f t="shared" si="151"/>
        <v>X</v>
      </c>
      <c r="AZ197" s="22" t="str">
        <f t="shared" si="152"/>
        <v>X</v>
      </c>
      <c r="BA197" s="22" t="str">
        <f t="shared" si="153"/>
        <v>X</v>
      </c>
      <c r="BB197" s="22">
        <f t="shared" si="154"/>
        <v>0</v>
      </c>
      <c r="BC197" s="22" t="str">
        <f t="shared" ref="BC197:BC260" si="168">VLOOKUP(N197,삼그룹,6,FALSE)</f>
        <v>1G</v>
      </c>
      <c r="BD197" s="22" t="str">
        <f t="shared" ref="BD197:BD260" si="169">VLOOKUP(O197,삼그룹,6,FALSE)</f>
        <v>1G</v>
      </c>
      <c r="BE197" s="22" t="str">
        <f t="shared" ref="BE197:BE260" si="170">VLOOKUP(P197,삼그룹,6,FALSE)</f>
        <v>2G</v>
      </c>
      <c r="BF197" s="22" t="str">
        <f t="shared" ref="BF197:BF260" si="171">VLOOKUP(Q197,삼그룹,6,FALSE)</f>
        <v>2G</v>
      </c>
      <c r="BG197" s="22" t="str">
        <f t="shared" ref="BG197:BG260" si="172">VLOOKUP(R197,삼그룹,6,FALSE)</f>
        <v>3G</v>
      </c>
      <c r="BH197" s="22" t="str">
        <f t="shared" ref="BH197:BH260" si="173">VLOOKUP(S197,삼그룹,6,FALSE)</f>
        <v>3G</v>
      </c>
      <c r="BI197" s="22">
        <f t="shared" si="155"/>
        <v>2</v>
      </c>
      <c r="BJ197" s="22">
        <f t="shared" si="156"/>
        <v>2</v>
      </c>
      <c r="BK197" s="22">
        <f t="shared" si="157"/>
        <v>2</v>
      </c>
      <c r="BL197" s="22" t="str">
        <f t="shared" si="158"/>
        <v>222</v>
      </c>
      <c r="BS197"/>
      <c r="CL197" s="23">
        <v>130</v>
      </c>
      <c r="CM197" s="23">
        <v>130</v>
      </c>
      <c r="CO197"/>
    </row>
    <row r="198" spans="2:93" ht="17" hidden="1">
      <c r="B198" s="15">
        <v>194</v>
      </c>
      <c r="C198" s="23" t="s">
        <v>224</v>
      </c>
      <c r="D198" s="16">
        <v>4</v>
      </c>
      <c r="E198" s="17">
        <v>2650567875</v>
      </c>
      <c r="F198" s="16">
        <v>21</v>
      </c>
      <c r="G198" s="17">
        <v>84145012</v>
      </c>
      <c r="H198" s="17">
        <v>1072</v>
      </c>
      <c r="I198" s="17">
        <v>1648364</v>
      </c>
      <c r="J198" s="17">
        <v>53559</v>
      </c>
      <c r="K198" s="17">
        <v>65985</v>
      </c>
      <c r="L198" s="17">
        <v>917061</v>
      </c>
      <c r="M198" s="17">
        <v>5000</v>
      </c>
      <c r="N198" s="23">
        <v>15</v>
      </c>
      <c r="O198" s="23">
        <v>20</v>
      </c>
      <c r="P198" s="23">
        <v>23</v>
      </c>
      <c r="Q198" s="23">
        <v>26</v>
      </c>
      <c r="R198" s="23">
        <v>39</v>
      </c>
      <c r="S198" s="23">
        <v>44</v>
      </c>
      <c r="T198" s="23">
        <v>28</v>
      </c>
      <c r="U198" s="23">
        <f t="shared" ref="U198:U239" si="174">SUM(N198:S198)</f>
        <v>167</v>
      </c>
      <c r="W198" s="22" t="str">
        <f t="shared" si="159"/>
        <v>홀수</v>
      </c>
      <c r="X198" s="22" t="str">
        <f t="shared" si="160"/>
        <v>짝수</v>
      </c>
      <c r="Y198" s="22" t="str">
        <f t="shared" si="161"/>
        <v>홀수</v>
      </c>
      <c r="Z198" s="22" t="str">
        <f t="shared" si="162"/>
        <v>짝수</v>
      </c>
      <c r="AA198" s="22" t="str">
        <f t="shared" si="163"/>
        <v>홀수</v>
      </c>
      <c r="AB198" s="22" t="str">
        <f t="shared" si="164"/>
        <v>짝수</v>
      </c>
      <c r="AC198" s="52" t="str">
        <f t="shared" si="165"/>
        <v>3 : 3</v>
      </c>
      <c r="AD198" s="22">
        <f t="shared" si="166"/>
        <v>3</v>
      </c>
      <c r="AE198" s="22">
        <f t="shared" si="167"/>
        <v>3</v>
      </c>
      <c r="AF198" s="22" t="str">
        <f t="shared" ref="AF198:AF261" si="175">IF(N198&lt;23,"저수","고수")</f>
        <v>저수</v>
      </c>
      <c r="AG198" s="22" t="str">
        <f t="shared" ref="AG198:AG261" si="176">IF(O198&lt;23,"저수","고수")</f>
        <v>저수</v>
      </c>
      <c r="AH198" s="22" t="str">
        <f t="shared" ref="AH198:AH261" si="177">IF(P198&lt;23,"저수","고수")</f>
        <v>고수</v>
      </c>
      <c r="AI198" s="22" t="str">
        <f t="shared" ref="AI198:AI261" si="178">IF(Q198&lt;23,"저수","고수")</f>
        <v>고수</v>
      </c>
      <c r="AJ198" s="22" t="str">
        <f t="shared" ref="AJ198:AJ261" si="179">IF(R198&lt;23,"저수","고수")</f>
        <v>고수</v>
      </c>
      <c r="AK198" s="22" t="str">
        <f t="shared" ref="AK198:AK261" si="180">IF(S198&lt;23,"저수","고수")</f>
        <v>고수</v>
      </c>
      <c r="AL198" s="52" t="str">
        <f t="shared" ref="AL198:AL261" si="181">AM198&amp;" : "&amp;AN198</f>
        <v>2 : 4</v>
      </c>
      <c r="AM198" s="22">
        <f t="shared" ref="AM198:AM261" si="182">COUNTIF(AF198:AK198,"저수")</f>
        <v>2</v>
      </c>
      <c r="AN198" s="22">
        <f t="shared" ref="AN198:AN261" si="183">COUNTIF(AF198:AK198,"고수")</f>
        <v>4</v>
      </c>
      <c r="AO198" s="22">
        <f t="shared" ref="AO198:AO261" si="184">RIGHT(N198,1)+RIGHT(O198,1)+RIGHT(P198,1)+RIGHT(Q198,1)+RIGHT(R198,1)+RIGHT(S198,1)</f>
        <v>27</v>
      </c>
      <c r="AP198" s="22" t="str">
        <f t="shared" ref="AP198:AP261" si="185">IF(N198=2,"O",IF(N198=3,"O",IF(N198=5,"O",IF(N198=7,"O",IF(N198=11,"O",IF(N198=13,"O",IF(N198=17,"O",IF(N198=19,"O","X"))))))))</f>
        <v>X</v>
      </c>
      <c r="AQ198" s="22" t="str">
        <f t="shared" ref="AQ198:AQ261" si="186">IF(O198=2,"O",IF(O198=3,"O",IF(O198=5,"O",IF(O198=7,"O",IF(O198=11,"O",IF(O198=13,"O",IF(O198=17,"O",IF(O198=19,"O","X"))))))))</f>
        <v>X</v>
      </c>
      <c r="AR198" s="22" t="str">
        <f t="shared" ref="AR198:AR261" si="187">IF(P198=2,"O",IF(P198=3,"O",IF(P198=5,"O",IF(P198=7,"O",IF(P198=11,"O",IF(P198=13,"O",IF(P198=17,"O",IF(P198=19,"O","X"))))))))</f>
        <v>X</v>
      </c>
      <c r="AS198" s="22" t="str">
        <f t="shared" ref="AS198:AS261" si="188">IF(Q198=2,"O",IF(Q198=3,"O",IF(Q198=5,"O",IF(Q198=7,"O",IF(Q198=11,"O",IF(Q198=13,"O",IF(Q198=17,"O",IF(Q198=19,"O","X"))))))))</f>
        <v>X</v>
      </c>
      <c r="AT198" s="22" t="str">
        <f t="shared" ref="AT198:AT261" si="189">IF(R198=2,"O",IF(R198=3,"O",IF(R198=5,"O",IF(R198=7,"O",IF(R198=11,"O",IF(R198=13,"O",IF(R198=17,"O",IF(R198=19,"O","X"))))))))</f>
        <v>X</v>
      </c>
      <c r="AU198" s="22" t="str">
        <f t="shared" ref="AU198:AU261" si="190">IF(S198=2,"O",IF(S198=3,"O",IF(S198=5,"O",IF(S198=7,"O",IF(S198=11,"O",IF(S198=13,"O",IF(S198=17,"O",IF(S198=19,"O","X"))))))))</f>
        <v>X</v>
      </c>
      <c r="AV198" s="22" t="str">
        <f t="shared" ref="AV198:AV261" si="191">IF(N198=23,"O",IF(N198=29,"O",IF(N198=31,"O",IF(N198=37,"O",IF(N198=41,"O",IF(N198=43,"O","X"))))))</f>
        <v>X</v>
      </c>
      <c r="AW198" s="22" t="str">
        <f t="shared" ref="AW198:AW261" si="192">IF(O198=23,"O",IF(O198=29,"O",IF(O198=31,"O",IF(O198=37,"O",IF(O198=41,"O",IF(O198=43,"O","X"))))))</f>
        <v>X</v>
      </c>
      <c r="AX198" s="22" t="str">
        <f t="shared" ref="AX198:AX261" si="193">IF(P198=23,"O",IF(P198=29,"O",IF(P198=31,"O",IF(P198=37,"O",IF(P198=41,"O",IF(P198=43,"O","X"))))))</f>
        <v>O</v>
      </c>
      <c r="AY198" s="22" t="str">
        <f t="shared" ref="AY198:AY261" si="194">IF(Q198=23,"O",IF(Q198=29,"O",IF(Q198=31,"O",IF(Q198=37,"O",IF(Q198=41,"O",IF(Q198=43,"O","X"))))))</f>
        <v>X</v>
      </c>
      <c r="AZ198" s="22" t="str">
        <f t="shared" ref="AZ198:AZ261" si="195">IF(R198=23,"O",IF(R198=29,"O",IF(R198=31,"O",IF(R198=37,"O",IF(R198=41,"O",IF(R198=43,"O","X"))))))</f>
        <v>X</v>
      </c>
      <c r="BA198" s="22" t="str">
        <f t="shared" ref="BA198:BA261" si="196">IF(S198=23,"O",IF(S198=29,"O",IF(S198=31,"O",IF(S198=37,"O",IF(S198=41,"O",IF(S198=43,"O","X"))))))</f>
        <v>X</v>
      </c>
      <c r="BB198" s="22">
        <f t="shared" ref="BB198:BB261" si="197">COUNTIF(AP198:BA198,"O")</f>
        <v>1</v>
      </c>
      <c r="BC198" s="22" t="str">
        <f t="shared" si="168"/>
        <v>1G</v>
      </c>
      <c r="BD198" s="22" t="str">
        <f t="shared" si="169"/>
        <v>2G</v>
      </c>
      <c r="BE198" s="22" t="str">
        <f t="shared" si="170"/>
        <v>2G</v>
      </c>
      <c r="BF198" s="22" t="str">
        <f t="shared" si="171"/>
        <v>2G</v>
      </c>
      <c r="BG198" s="22" t="str">
        <f t="shared" si="172"/>
        <v>3G</v>
      </c>
      <c r="BH198" s="22" t="str">
        <f t="shared" si="173"/>
        <v>3G</v>
      </c>
      <c r="BI198" s="22">
        <f t="shared" ref="BI198:BI261" si="198">COUNTIF($BC198:$BH198,"1G")</f>
        <v>1</v>
      </c>
      <c r="BJ198" s="22">
        <f t="shared" ref="BJ198:BJ261" si="199">COUNTIF($BC198:$BH198,"2G")</f>
        <v>3</v>
      </c>
      <c r="BK198" s="22">
        <f t="shared" ref="BK198:BK261" si="200">COUNTIF($BC198:$BH198,"3G")</f>
        <v>2</v>
      </c>
      <c r="BL198" s="22" t="str">
        <f t="shared" ref="BL198:BL261" si="201">BI198&amp;BJ198&amp;BK198</f>
        <v>132</v>
      </c>
      <c r="BS198"/>
      <c r="CL198" s="23">
        <v>130</v>
      </c>
      <c r="CM198" s="23">
        <v>130</v>
      </c>
      <c r="CO198"/>
    </row>
    <row r="199" spans="2:93" ht="17" hidden="1">
      <c r="B199" s="15">
        <v>195</v>
      </c>
      <c r="C199" s="23" t="s">
        <v>225</v>
      </c>
      <c r="D199" s="16">
        <v>11</v>
      </c>
      <c r="E199" s="17">
        <v>918992591</v>
      </c>
      <c r="F199" s="16">
        <v>66</v>
      </c>
      <c r="G199" s="17">
        <v>25527572</v>
      </c>
      <c r="H199" s="17">
        <v>1691</v>
      </c>
      <c r="I199" s="17">
        <v>996346</v>
      </c>
      <c r="J199" s="17">
        <v>70324</v>
      </c>
      <c r="K199" s="17">
        <v>47916</v>
      </c>
      <c r="L199" s="17">
        <v>1067833</v>
      </c>
      <c r="M199" s="17">
        <v>5000</v>
      </c>
      <c r="N199" s="23">
        <v>7</v>
      </c>
      <c r="O199" s="23">
        <v>10</v>
      </c>
      <c r="P199" s="23">
        <v>19</v>
      </c>
      <c r="Q199" s="23">
        <v>22</v>
      </c>
      <c r="R199" s="23">
        <v>35</v>
      </c>
      <c r="S199" s="23">
        <v>40</v>
      </c>
      <c r="T199" s="23">
        <v>31</v>
      </c>
      <c r="U199" s="23">
        <f t="shared" si="174"/>
        <v>133</v>
      </c>
      <c r="W199" s="22" t="str">
        <f t="shared" si="159"/>
        <v>홀수</v>
      </c>
      <c r="X199" s="22" t="str">
        <f t="shared" si="160"/>
        <v>짝수</v>
      </c>
      <c r="Y199" s="22" t="str">
        <f t="shared" si="161"/>
        <v>홀수</v>
      </c>
      <c r="Z199" s="22" t="str">
        <f t="shared" si="162"/>
        <v>짝수</v>
      </c>
      <c r="AA199" s="22" t="str">
        <f t="shared" si="163"/>
        <v>홀수</v>
      </c>
      <c r="AB199" s="22" t="str">
        <f t="shared" si="164"/>
        <v>짝수</v>
      </c>
      <c r="AC199" s="52" t="str">
        <f t="shared" si="165"/>
        <v>3 : 3</v>
      </c>
      <c r="AD199" s="22">
        <f t="shared" si="166"/>
        <v>3</v>
      </c>
      <c r="AE199" s="22">
        <f t="shared" si="167"/>
        <v>3</v>
      </c>
      <c r="AF199" s="22" t="str">
        <f t="shared" si="175"/>
        <v>저수</v>
      </c>
      <c r="AG199" s="22" t="str">
        <f t="shared" si="176"/>
        <v>저수</v>
      </c>
      <c r="AH199" s="22" t="str">
        <f t="shared" si="177"/>
        <v>저수</v>
      </c>
      <c r="AI199" s="22" t="str">
        <f t="shared" si="178"/>
        <v>저수</v>
      </c>
      <c r="AJ199" s="22" t="str">
        <f t="shared" si="179"/>
        <v>고수</v>
      </c>
      <c r="AK199" s="22" t="str">
        <f t="shared" si="180"/>
        <v>고수</v>
      </c>
      <c r="AL199" s="52" t="str">
        <f t="shared" si="181"/>
        <v>4 : 2</v>
      </c>
      <c r="AM199" s="22">
        <f t="shared" si="182"/>
        <v>4</v>
      </c>
      <c r="AN199" s="22">
        <f t="shared" si="183"/>
        <v>2</v>
      </c>
      <c r="AO199" s="22">
        <f t="shared" si="184"/>
        <v>23</v>
      </c>
      <c r="AP199" s="22" t="str">
        <f t="shared" si="185"/>
        <v>O</v>
      </c>
      <c r="AQ199" s="22" t="str">
        <f t="shared" si="186"/>
        <v>X</v>
      </c>
      <c r="AR199" s="22" t="str">
        <f t="shared" si="187"/>
        <v>O</v>
      </c>
      <c r="AS199" s="22" t="str">
        <f t="shared" si="188"/>
        <v>X</v>
      </c>
      <c r="AT199" s="22" t="str">
        <f t="shared" si="189"/>
        <v>X</v>
      </c>
      <c r="AU199" s="22" t="str">
        <f t="shared" si="190"/>
        <v>X</v>
      </c>
      <c r="AV199" s="22" t="str">
        <f t="shared" si="191"/>
        <v>X</v>
      </c>
      <c r="AW199" s="22" t="str">
        <f t="shared" si="192"/>
        <v>X</v>
      </c>
      <c r="AX199" s="22" t="str">
        <f t="shared" si="193"/>
        <v>X</v>
      </c>
      <c r="AY199" s="22" t="str">
        <f t="shared" si="194"/>
        <v>X</v>
      </c>
      <c r="AZ199" s="22" t="str">
        <f t="shared" si="195"/>
        <v>X</v>
      </c>
      <c r="BA199" s="22" t="str">
        <f t="shared" si="196"/>
        <v>X</v>
      </c>
      <c r="BB199" s="22">
        <f t="shared" si="197"/>
        <v>2</v>
      </c>
      <c r="BC199" s="22" t="str">
        <f t="shared" si="168"/>
        <v>1G</v>
      </c>
      <c r="BD199" s="22" t="str">
        <f t="shared" si="169"/>
        <v>1G</v>
      </c>
      <c r="BE199" s="22" t="str">
        <f t="shared" si="170"/>
        <v>2G</v>
      </c>
      <c r="BF199" s="22" t="str">
        <f t="shared" si="171"/>
        <v>2G</v>
      </c>
      <c r="BG199" s="22" t="str">
        <f t="shared" si="172"/>
        <v>3G</v>
      </c>
      <c r="BH199" s="22" t="str">
        <f t="shared" si="173"/>
        <v>3G</v>
      </c>
      <c r="BI199" s="22">
        <f t="shared" si="198"/>
        <v>2</v>
      </c>
      <c r="BJ199" s="22">
        <f t="shared" si="199"/>
        <v>2</v>
      </c>
      <c r="BK199" s="22">
        <f t="shared" si="200"/>
        <v>2</v>
      </c>
      <c r="BL199" s="22" t="str">
        <f t="shared" si="201"/>
        <v>222</v>
      </c>
      <c r="BS199"/>
      <c r="CL199" s="23">
        <v>130</v>
      </c>
      <c r="CM199" s="23">
        <v>130</v>
      </c>
      <c r="CO199"/>
    </row>
    <row r="200" spans="2:93" ht="17" hidden="1">
      <c r="B200" s="15">
        <v>196</v>
      </c>
      <c r="C200" s="23" t="s">
        <v>226</v>
      </c>
      <c r="D200" s="16">
        <v>15</v>
      </c>
      <c r="E200" s="17">
        <v>727876520</v>
      </c>
      <c r="F200" s="16">
        <v>27</v>
      </c>
      <c r="G200" s="17">
        <v>67395975</v>
      </c>
      <c r="H200" s="17">
        <v>1518</v>
      </c>
      <c r="I200" s="17">
        <v>1198743</v>
      </c>
      <c r="J200" s="17">
        <v>58079</v>
      </c>
      <c r="K200" s="17">
        <v>62663</v>
      </c>
      <c r="L200" s="17">
        <v>937967</v>
      </c>
      <c r="M200" s="17">
        <v>5000</v>
      </c>
      <c r="N200" s="23">
        <v>35</v>
      </c>
      <c r="O200" s="23">
        <v>36</v>
      </c>
      <c r="P200" s="23">
        <v>37</v>
      </c>
      <c r="Q200" s="23">
        <v>41</v>
      </c>
      <c r="R200" s="23">
        <v>44</v>
      </c>
      <c r="S200" s="23">
        <v>45</v>
      </c>
      <c r="T200" s="23">
        <v>30</v>
      </c>
      <c r="U200" s="23">
        <f t="shared" si="174"/>
        <v>238</v>
      </c>
      <c r="W200" s="22" t="str">
        <f t="shared" si="159"/>
        <v>홀수</v>
      </c>
      <c r="X200" s="22" t="str">
        <f t="shared" si="160"/>
        <v>짝수</v>
      </c>
      <c r="Y200" s="22" t="str">
        <f t="shared" si="161"/>
        <v>홀수</v>
      </c>
      <c r="Z200" s="22" t="str">
        <f t="shared" si="162"/>
        <v>홀수</v>
      </c>
      <c r="AA200" s="22" t="str">
        <f t="shared" si="163"/>
        <v>짝수</v>
      </c>
      <c r="AB200" s="22" t="str">
        <f t="shared" si="164"/>
        <v>홀수</v>
      </c>
      <c r="AC200" s="52" t="str">
        <f t="shared" si="165"/>
        <v>4 : 2</v>
      </c>
      <c r="AD200" s="22">
        <f t="shared" si="166"/>
        <v>4</v>
      </c>
      <c r="AE200" s="22">
        <f t="shared" si="167"/>
        <v>2</v>
      </c>
      <c r="AF200" s="22" t="str">
        <f t="shared" si="175"/>
        <v>고수</v>
      </c>
      <c r="AG200" s="22" t="str">
        <f t="shared" si="176"/>
        <v>고수</v>
      </c>
      <c r="AH200" s="22" t="str">
        <f t="shared" si="177"/>
        <v>고수</v>
      </c>
      <c r="AI200" s="22" t="str">
        <f t="shared" si="178"/>
        <v>고수</v>
      </c>
      <c r="AJ200" s="22" t="str">
        <f t="shared" si="179"/>
        <v>고수</v>
      </c>
      <c r="AK200" s="22" t="str">
        <f t="shared" si="180"/>
        <v>고수</v>
      </c>
      <c r="AL200" s="52" t="str">
        <f t="shared" si="181"/>
        <v>0 : 6</v>
      </c>
      <c r="AM200" s="22">
        <f t="shared" si="182"/>
        <v>0</v>
      </c>
      <c r="AN200" s="22">
        <f t="shared" si="183"/>
        <v>6</v>
      </c>
      <c r="AO200" s="22">
        <f t="shared" si="184"/>
        <v>28</v>
      </c>
      <c r="AP200" s="22" t="str">
        <f t="shared" si="185"/>
        <v>X</v>
      </c>
      <c r="AQ200" s="22" t="str">
        <f t="shared" si="186"/>
        <v>X</v>
      </c>
      <c r="AR200" s="22" t="str">
        <f t="shared" si="187"/>
        <v>X</v>
      </c>
      <c r="AS200" s="22" t="str">
        <f t="shared" si="188"/>
        <v>X</v>
      </c>
      <c r="AT200" s="22" t="str">
        <f t="shared" si="189"/>
        <v>X</v>
      </c>
      <c r="AU200" s="22" t="str">
        <f t="shared" si="190"/>
        <v>X</v>
      </c>
      <c r="AV200" s="22" t="str">
        <f t="shared" si="191"/>
        <v>X</v>
      </c>
      <c r="AW200" s="22" t="str">
        <f t="shared" si="192"/>
        <v>X</v>
      </c>
      <c r="AX200" s="22" t="str">
        <f t="shared" si="193"/>
        <v>O</v>
      </c>
      <c r="AY200" s="22" t="str">
        <f t="shared" si="194"/>
        <v>O</v>
      </c>
      <c r="AZ200" s="22" t="str">
        <f t="shared" si="195"/>
        <v>X</v>
      </c>
      <c r="BA200" s="22" t="str">
        <f t="shared" si="196"/>
        <v>X</v>
      </c>
      <c r="BB200" s="22">
        <f t="shared" si="197"/>
        <v>2</v>
      </c>
      <c r="BC200" s="22" t="str">
        <f t="shared" si="168"/>
        <v>3G</v>
      </c>
      <c r="BD200" s="22" t="str">
        <f t="shared" si="169"/>
        <v>3G</v>
      </c>
      <c r="BE200" s="22" t="str">
        <f t="shared" si="170"/>
        <v>3G</v>
      </c>
      <c r="BF200" s="22" t="str">
        <f t="shared" si="171"/>
        <v>3G</v>
      </c>
      <c r="BG200" s="22" t="str">
        <f t="shared" si="172"/>
        <v>3G</v>
      </c>
      <c r="BH200" s="22" t="str">
        <f t="shared" si="173"/>
        <v>3G</v>
      </c>
      <c r="BI200" s="22">
        <f t="shared" si="198"/>
        <v>0</v>
      </c>
      <c r="BJ200" s="22">
        <f t="shared" si="199"/>
        <v>0</v>
      </c>
      <c r="BK200" s="22">
        <f t="shared" si="200"/>
        <v>6</v>
      </c>
      <c r="BL200" s="22" t="str">
        <f t="shared" si="201"/>
        <v>006</v>
      </c>
      <c r="BS200"/>
      <c r="CL200" s="23">
        <v>130</v>
      </c>
      <c r="CM200" s="23">
        <v>130</v>
      </c>
      <c r="CO200"/>
    </row>
    <row r="201" spans="2:93" ht="17" hidden="1">
      <c r="B201" s="15">
        <v>197</v>
      </c>
      <c r="C201" s="23" t="s">
        <v>227</v>
      </c>
      <c r="D201" s="16">
        <v>6</v>
      </c>
      <c r="E201" s="17">
        <v>1803018300</v>
      </c>
      <c r="F201" s="16">
        <v>42</v>
      </c>
      <c r="G201" s="17">
        <v>42929008</v>
      </c>
      <c r="H201" s="17">
        <v>1229</v>
      </c>
      <c r="I201" s="17">
        <v>1467062</v>
      </c>
      <c r="J201" s="17">
        <v>58551</v>
      </c>
      <c r="K201" s="17">
        <v>61588</v>
      </c>
      <c r="L201" s="17">
        <v>993294</v>
      </c>
      <c r="M201" s="17">
        <v>5000</v>
      </c>
      <c r="N201" s="23">
        <v>7</v>
      </c>
      <c r="O201" s="23">
        <v>12</v>
      </c>
      <c r="P201" s="23">
        <v>16</v>
      </c>
      <c r="Q201" s="23">
        <v>34</v>
      </c>
      <c r="R201" s="23">
        <v>42</v>
      </c>
      <c r="S201" s="23">
        <v>45</v>
      </c>
      <c r="T201" s="23">
        <v>4</v>
      </c>
      <c r="U201" s="23">
        <f t="shared" si="174"/>
        <v>156</v>
      </c>
      <c r="W201" s="22" t="str">
        <f t="shared" si="159"/>
        <v>홀수</v>
      </c>
      <c r="X201" s="22" t="str">
        <f t="shared" si="160"/>
        <v>짝수</v>
      </c>
      <c r="Y201" s="22" t="str">
        <f t="shared" si="161"/>
        <v>짝수</v>
      </c>
      <c r="Z201" s="22" t="str">
        <f t="shared" si="162"/>
        <v>짝수</v>
      </c>
      <c r="AA201" s="22" t="str">
        <f t="shared" si="163"/>
        <v>짝수</v>
      </c>
      <c r="AB201" s="22" t="str">
        <f t="shared" si="164"/>
        <v>홀수</v>
      </c>
      <c r="AC201" s="52" t="str">
        <f t="shared" si="165"/>
        <v>2 : 4</v>
      </c>
      <c r="AD201" s="22">
        <f t="shared" si="166"/>
        <v>2</v>
      </c>
      <c r="AE201" s="22">
        <f t="shared" si="167"/>
        <v>4</v>
      </c>
      <c r="AF201" s="22" t="str">
        <f t="shared" si="175"/>
        <v>저수</v>
      </c>
      <c r="AG201" s="22" t="str">
        <f t="shared" si="176"/>
        <v>저수</v>
      </c>
      <c r="AH201" s="22" t="str">
        <f t="shared" si="177"/>
        <v>저수</v>
      </c>
      <c r="AI201" s="22" t="str">
        <f t="shared" si="178"/>
        <v>고수</v>
      </c>
      <c r="AJ201" s="22" t="str">
        <f t="shared" si="179"/>
        <v>고수</v>
      </c>
      <c r="AK201" s="22" t="str">
        <f t="shared" si="180"/>
        <v>고수</v>
      </c>
      <c r="AL201" s="52" t="str">
        <f t="shared" si="181"/>
        <v>3 : 3</v>
      </c>
      <c r="AM201" s="22">
        <f t="shared" si="182"/>
        <v>3</v>
      </c>
      <c r="AN201" s="22">
        <f t="shared" si="183"/>
        <v>3</v>
      </c>
      <c r="AO201" s="22">
        <f t="shared" si="184"/>
        <v>26</v>
      </c>
      <c r="AP201" s="22" t="str">
        <f t="shared" si="185"/>
        <v>O</v>
      </c>
      <c r="AQ201" s="22" t="str">
        <f t="shared" si="186"/>
        <v>X</v>
      </c>
      <c r="AR201" s="22" t="str">
        <f t="shared" si="187"/>
        <v>X</v>
      </c>
      <c r="AS201" s="22" t="str">
        <f t="shared" si="188"/>
        <v>X</v>
      </c>
      <c r="AT201" s="22" t="str">
        <f t="shared" si="189"/>
        <v>X</v>
      </c>
      <c r="AU201" s="22" t="str">
        <f t="shared" si="190"/>
        <v>X</v>
      </c>
      <c r="AV201" s="22" t="str">
        <f t="shared" si="191"/>
        <v>X</v>
      </c>
      <c r="AW201" s="22" t="str">
        <f t="shared" si="192"/>
        <v>X</v>
      </c>
      <c r="AX201" s="22" t="str">
        <f t="shared" si="193"/>
        <v>X</v>
      </c>
      <c r="AY201" s="22" t="str">
        <f t="shared" si="194"/>
        <v>X</v>
      </c>
      <c r="AZ201" s="22" t="str">
        <f t="shared" si="195"/>
        <v>X</v>
      </c>
      <c r="BA201" s="22" t="str">
        <f t="shared" si="196"/>
        <v>X</v>
      </c>
      <c r="BB201" s="22">
        <f t="shared" si="197"/>
        <v>1</v>
      </c>
      <c r="BC201" s="22" t="str">
        <f t="shared" si="168"/>
        <v>1G</v>
      </c>
      <c r="BD201" s="22" t="str">
        <f t="shared" si="169"/>
        <v>1G</v>
      </c>
      <c r="BE201" s="22" t="str">
        <f t="shared" si="170"/>
        <v>2G</v>
      </c>
      <c r="BF201" s="22" t="str">
        <f t="shared" si="171"/>
        <v>3G</v>
      </c>
      <c r="BG201" s="22" t="str">
        <f t="shared" si="172"/>
        <v>3G</v>
      </c>
      <c r="BH201" s="22" t="str">
        <f t="shared" si="173"/>
        <v>3G</v>
      </c>
      <c r="BI201" s="22">
        <f t="shared" si="198"/>
        <v>2</v>
      </c>
      <c r="BJ201" s="22">
        <f t="shared" si="199"/>
        <v>1</v>
      </c>
      <c r="BK201" s="22">
        <f t="shared" si="200"/>
        <v>3</v>
      </c>
      <c r="BL201" s="22" t="str">
        <f t="shared" si="201"/>
        <v>213</v>
      </c>
      <c r="BS201"/>
      <c r="CL201" s="23">
        <v>130</v>
      </c>
      <c r="CM201" s="23">
        <v>130</v>
      </c>
      <c r="CO201"/>
    </row>
    <row r="202" spans="2:93" ht="17" hidden="1">
      <c r="B202" s="15">
        <v>198</v>
      </c>
      <c r="C202" s="23" t="s">
        <v>228</v>
      </c>
      <c r="D202" s="16">
        <v>6</v>
      </c>
      <c r="E202" s="17">
        <v>1797855050</v>
      </c>
      <c r="F202" s="16">
        <v>25</v>
      </c>
      <c r="G202" s="17">
        <v>71914202</v>
      </c>
      <c r="H202" s="17">
        <v>1050</v>
      </c>
      <c r="I202" s="17">
        <v>1712243</v>
      </c>
      <c r="J202" s="17">
        <v>55693</v>
      </c>
      <c r="K202" s="17">
        <v>64564</v>
      </c>
      <c r="L202" s="17">
        <v>965692</v>
      </c>
      <c r="M202" s="17">
        <v>5000</v>
      </c>
      <c r="N202" s="23">
        <v>12</v>
      </c>
      <c r="O202" s="23">
        <v>19</v>
      </c>
      <c r="P202" s="23">
        <v>20</v>
      </c>
      <c r="Q202" s="23">
        <v>25</v>
      </c>
      <c r="R202" s="23">
        <v>41</v>
      </c>
      <c r="S202" s="23">
        <v>45</v>
      </c>
      <c r="T202" s="23">
        <v>2</v>
      </c>
      <c r="U202" s="23">
        <f t="shared" si="174"/>
        <v>162</v>
      </c>
      <c r="W202" s="22" t="str">
        <f t="shared" si="159"/>
        <v>짝수</v>
      </c>
      <c r="X202" s="22" t="str">
        <f t="shared" si="160"/>
        <v>홀수</v>
      </c>
      <c r="Y202" s="22" t="str">
        <f t="shared" si="161"/>
        <v>짝수</v>
      </c>
      <c r="Z202" s="22" t="str">
        <f t="shared" si="162"/>
        <v>홀수</v>
      </c>
      <c r="AA202" s="22" t="str">
        <f t="shared" si="163"/>
        <v>홀수</v>
      </c>
      <c r="AB202" s="22" t="str">
        <f t="shared" si="164"/>
        <v>홀수</v>
      </c>
      <c r="AC202" s="52" t="str">
        <f t="shared" si="165"/>
        <v>4 : 2</v>
      </c>
      <c r="AD202" s="22">
        <f t="shared" si="166"/>
        <v>4</v>
      </c>
      <c r="AE202" s="22">
        <f t="shared" si="167"/>
        <v>2</v>
      </c>
      <c r="AF202" s="22" t="str">
        <f t="shared" si="175"/>
        <v>저수</v>
      </c>
      <c r="AG202" s="22" t="str">
        <f t="shared" si="176"/>
        <v>저수</v>
      </c>
      <c r="AH202" s="22" t="str">
        <f t="shared" si="177"/>
        <v>저수</v>
      </c>
      <c r="AI202" s="22" t="str">
        <f t="shared" si="178"/>
        <v>고수</v>
      </c>
      <c r="AJ202" s="22" t="str">
        <f t="shared" si="179"/>
        <v>고수</v>
      </c>
      <c r="AK202" s="22" t="str">
        <f t="shared" si="180"/>
        <v>고수</v>
      </c>
      <c r="AL202" s="52" t="str">
        <f t="shared" si="181"/>
        <v>3 : 3</v>
      </c>
      <c r="AM202" s="22">
        <f t="shared" si="182"/>
        <v>3</v>
      </c>
      <c r="AN202" s="22">
        <f t="shared" si="183"/>
        <v>3</v>
      </c>
      <c r="AO202" s="22">
        <f t="shared" si="184"/>
        <v>22</v>
      </c>
      <c r="AP202" s="22" t="str">
        <f t="shared" si="185"/>
        <v>X</v>
      </c>
      <c r="AQ202" s="22" t="str">
        <f t="shared" si="186"/>
        <v>O</v>
      </c>
      <c r="AR202" s="22" t="str">
        <f t="shared" si="187"/>
        <v>X</v>
      </c>
      <c r="AS202" s="22" t="str">
        <f t="shared" si="188"/>
        <v>X</v>
      </c>
      <c r="AT202" s="22" t="str">
        <f t="shared" si="189"/>
        <v>X</v>
      </c>
      <c r="AU202" s="22" t="str">
        <f t="shared" si="190"/>
        <v>X</v>
      </c>
      <c r="AV202" s="22" t="str">
        <f t="shared" si="191"/>
        <v>X</v>
      </c>
      <c r="AW202" s="22" t="str">
        <f t="shared" si="192"/>
        <v>X</v>
      </c>
      <c r="AX202" s="22" t="str">
        <f t="shared" si="193"/>
        <v>X</v>
      </c>
      <c r="AY202" s="22" t="str">
        <f t="shared" si="194"/>
        <v>X</v>
      </c>
      <c r="AZ202" s="22" t="str">
        <f t="shared" si="195"/>
        <v>O</v>
      </c>
      <c r="BA202" s="22" t="str">
        <f t="shared" si="196"/>
        <v>X</v>
      </c>
      <c r="BB202" s="22">
        <f t="shared" si="197"/>
        <v>2</v>
      </c>
      <c r="BC202" s="22" t="str">
        <f t="shared" si="168"/>
        <v>1G</v>
      </c>
      <c r="BD202" s="22" t="str">
        <f t="shared" si="169"/>
        <v>2G</v>
      </c>
      <c r="BE202" s="22" t="str">
        <f t="shared" si="170"/>
        <v>2G</v>
      </c>
      <c r="BF202" s="22" t="str">
        <f t="shared" si="171"/>
        <v>2G</v>
      </c>
      <c r="BG202" s="22" t="str">
        <f t="shared" si="172"/>
        <v>3G</v>
      </c>
      <c r="BH202" s="22" t="str">
        <f t="shared" si="173"/>
        <v>3G</v>
      </c>
      <c r="BI202" s="22">
        <f t="shared" si="198"/>
        <v>1</v>
      </c>
      <c r="BJ202" s="22">
        <f t="shared" si="199"/>
        <v>3</v>
      </c>
      <c r="BK202" s="22">
        <f t="shared" si="200"/>
        <v>2</v>
      </c>
      <c r="BL202" s="22" t="str">
        <f t="shared" si="201"/>
        <v>132</v>
      </c>
      <c r="BS202"/>
      <c r="CL202" s="23">
        <v>131</v>
      </c>
      <c r="CM202" s="23">
        <v>130</v>
      </c>
      <c r="CO202"/>
    </row>
    <row r="203" spans="2:93" ht="17" hidden="1">
      <c r="B203" s="15">
        <v>199</v>
      </c>
      <c r="C203" s="23" t="s">
        <v>229</v>
      </c>
      <c r="D203" s="16">
        <v>2</v>
      </c>
      <c r="E203" s="17">
        <v>5344252200</v>
      </c>
      <c r="F203" s="16">
        <v>23</v>
      </c>
      <c r="G203" s="17">
        <v>77452931</v>
      </c>
      <c r="H203" s="17">
        <v>1049</v>
      </c>
      <c r="I203" s="17">
        <v>1698206</v>
      </c>
      <c r="J203" s="17">
        <v>55426</v>
      </c>
      <c r="K203" s="17">
        <v>64281</v>
      </c>
      <c r="L203" s="17">
        <v>939272</v>
      </c>
      <c r="M203" s="17">
        <v>5000</v>
      </c>
      <c r="N203" s="23">
        <v>14</v>
      </c>
      <c r="O203" s="23">
        <v>21</v>
      </c>
      <c r="P203" s="23">
        <v>22</v>
      </c>
      <c r="Q203" s="23">
        <v>25</v>
      </c>
      <c r="R203" s="23">
        <v>30</v>
      </c>
      <c r="S203" s="23">
        <v>36</v>
      </c>
      <c r="T203" s="23">
        <v>43</v>
      </c>
      <c r="U203" s="23">
        <f t="shared" si="174"/>
        <v>148</v>
      </c>
      <c r="W203" s="22" t="str">
        <f t="shared" si="159"/>
        <v>짝수</v>
      </c>
      <c r="X203" s="22" t="str">
        <f t="shared" si="160"/>
        <v>홀수</v>
      </c>
      <c r="Y203" s="22" t="str">
        <f t="shared" si="161"/>
        <v>짝수</v>
      </c>
      <c r="Z203" s="22" t="str">
        <f t="shared" si="162"/>
        <v>홀수</v>
      </c>
      <c r="AA203" s="22" t="str">
        <f t="shared" si="163"/>
        <v>짝수</v>
      </c>
      <c r="AB203" s="22" t="str">
        <f t="shared" si="164"/>
        <v>짝수</v>
      </c>
      <c r="AC203" s="52" t="str">
        <f t="shared" si="165"/>
        <v>2 : 4</v>
      </c>
      <c r="AD203" s="22">
        <f t="shared" si="166"/>
        <v>2</v>
      </c>
      <c r="AE203" s="22">
        <f t="shared" si="167"/>
        <v>4</v>
      </c>
      <c r="AF203" s="22" t="str">
        <f t="shared" si="175"/>
        <v>저수</v>
      </c>
      <c r="AG203" s="22" t="str">
        <f t="shared" si="176"/>
        <v>저수</v>
      </c>
      <c r="AH203" s="22" t="str">
        <f t="shared" si="177"/>
        <v>저수</v>
      </c>
      <c r="AI203" s="22" t="str">
        <f t="shared" si="178"/>
        <v>고수</v>
      </c>
      <c r="AJ203" s="22" t="str">
        <f t="shared" si="179"/>
        <v>고수</v>
      </c>
      <c r="AK203" s="22" t="str">
        <f t="shared" si="180"/>
        <v>고수</v>
      </c>
      <c r="AL203" s="52" t="str">
        <f t="shared" si="181"/>
        <v>3 : 3</v>
      </c>
      <c r="AM203" s="22">
        <f t="shared" si="182"/>
        <v>3</v>
      </c>
      <c r="AN203" s="22">
        <f t="shared" si="183"/>
        <v>3</v>
      </c>
      <c r="AO203" s="22">
        <f t="shared" si="184"/>
        <v>18</v>
      </c>
      <c r="AP203" s="22" t="str">
        <f t="shared" si="185"/>
        <v>X</v>
      </c>
      <c r="AQ203" s="22" t="str">
        <f t="shared" si="186"/>
        <v>X</v>
      </c>
      <c r="AR203" s="22" t="str">
        <f t="shared" si="187"/>
        <v>X</v>
      </c>
      <c r="AS203" s="22" t="str">
        <f t="shared" si="188"/>
        <v>X</v>
      </c>
      <c r="AT203" s="22" t="str">
        <f t="shared" si="189"/>
        <v>X</v>
      </c>
      <c r="AU203" s="22" t="str">
        <f t="shared" si="190"/>
        <v>X</v>
      </c>
      <c r="AV203" s="22" t="str">
        <f t="shared" si="191"/>
        <v>X</v>
      </c>
      <c r="AW203" s="22" t="str">
        <f t="shared" si="192"/>
        <v>X</v>
      </c>
      <c r="AX203" s="22" t="str">
        <f t="shared" si="193"/>
        <v>X</v>
      </c>
      <c r="AY203" s="22" t="str">
        <f t="shared" si="194"/>
        <v>X</v>
      </c>
      <c r="AZ203" s="22" t="str">
        <f t="shared" si="195"/>
        <v>X</v>
      </c>
      <c r="BA203" s="22" t="str">
        <f t="shared" si="196"/>
        <v>X</v>
      </c>
      <c r="BB203" s="22">
        <f t="shared" si="197"/>
        <v>0</v>
      </c>
      <c r="BC203" s="22" t="str">
        <f t="shared" si="168"/>
        <v>1G</v>
      </c>
      <c r="BD203" s="22" t="str">
        <f t="shared" si="169"/>
        <v>2G</v>
      </c>
      <c r="BE203" s="22" t="str">
        <f t="shared" si="170"/>
        <v>2G</v>
      </c>
      <c r="BF203" s="22" t="str">
        <f t="shared" si="171"/>
        <v>2G</v>
      </c>
      <c r="BG203" s="22" t="str">
        <f t="shared" si="172"/>
        <v>2G</v>
      </c>
      <c r="BH203" s="22" t="str">
        <f t="shared" si="173"/>
        <v>3G</v>
      </c>
      <c r="BI203" s="22">
        <f t="shared" si="198"/>
        <v>1</v>
      </c>
      <c r="BJ203" s="22">
        <f t="shared" si="199"/>
        <v>4</v>
      </c>
      <c r="BK203" s="22">
        <f t="shared" si="200"/>
        <v>1</v>
      </c>
      <c r="BL203" s="22" t="str">
        <f t="shared" si="201"/>
        <v>141</v>
      </c>
      <c r="BS203"/>
      <c r="CL203" s="23">
        <v>131</v>
      </c>
      <c r="CM203" s="23">
        <v>130</v>
      </c>
      <c r="CO203"/>
    </row>
    <row r="204" spans="2:93" ht="17" hidden="1">
      <c r="B204" s="15">
        <v>200</v>
      </c>
      <c r="C204" s="23" t="s">
        <v>230</v>
      </c>
      <c r="D204" s="16">
        <v>8</v>
      </c>
      <c r="E204" s="17">
        <v>1344616613</v>
      </c>
      <c r="F204" s="16">
        <v>58</v>
      </c>
      <c r="G204" s="17">
        <v>30910727</v>
      </c>
      <c r="H204" s="17">
        <v>1387</v>
      </c>
      <c r="I204" s="17">
        <v>1292590</v>
      </c>
      <c r="J204" s="17">
        <v>66233</v>
      </c>
      <c r="K204" s="17">
        <v>54137</v>
      </c>
      <c r="L204" s="17">
        <v>1078398</v>
      </c>
      <c r="M204" s="17">
        <v>5000</v>
      </c>
      <c r="N204" s="23">
        <v>5</v>
      </c>
      <c r="O204" s="23">
        <v>6</v>
      </c>
      <c r="P204" s="23">
        <v>13</v>
      </c>
      <c r="Q204" s="23">
        <v>14</v>
      </c>
      <c r="R204" s="23">
        <v>17</v>
      </c>
      <c r="S204" s="23">
        <v>20</v>
      </c>
      <c r="T204" s="23">
        <v>7</v>
      </c>
      <c r="U204" s="23">
        <f t="shared" si="174"/>
        <v>75</v>
      </c>
      <c r="W204" s="22" t="str">
        <f t="shared" si="159"/>
        <v>홀수</v>
      </c>
      <c r="X204" s="22" t="str">
        <f t="shared" si="160"/>
        <v>짝수</v>
      </c>
      <c r="Y204" s="22" t="str">
        <f t="shared" si="161"/>
        <v>홀수</v>
      </c>
      <c r="Z204" s="22" t="str">
        <f t="shared" si="162"/>
        <v>짝수</v>
      </c>
      <c r="AA204" s="22" t="str">
        <f t="shared" si="163"/>
        <v>홀수</v>
      </c>
      <c r="AB204" s="22" t="str">
        <f t="shared" si="164"/>
        <v>짝수</v>
      </c>
      <c r="AC204" s="52" t="str">
        <f t="shared" si="165"/>
        <v>3 : 3</v>
      </c>
      <c r="AD204" s="22">
        <f t="shared" si="166"/>
        <v>3</v>
      </c>
      <c r="AE204" s="22">
        <f t="shared" si="167"/>
        <v>3</v>
      </c>
      <c r="AF204" s="22" t="str">
        <f t="shared" si="175"/>
        <v>저수</v>
      </c>
      <c r="AG204" s="22" t="str">
        <f t="shared" si="176"/>
        <v>저수</v>
      </c>
      <c r="AH204" s="22" t="str">
        <f t="shared" si="177"/>
        <v>저수</v>
      </c>
      <c r="AI204" s="22" t="str">
        <f t="shared" si="178"/>
        <v>저수</v>
      </c>
      <c r="AJ204" s="22" t="str">
        <f t="shared" si="179"/>
        <v>저수</v>
      </c>
      <c r="AK204" s="22" t="str">
        <f t="shared" si="180"/>
        <v>저수</v>
      </c>
      <c r="AL204" s="52" t="str">
        <f t="shared" si="181"/>
        <v>6 : 0</v>
      </c>
      <c r="AM204" s="22">
        <f t="shared" si="182"/>
        <v>6</v>
      </c>
      <c r="AN204" s="22">
        <f t="shared" si="183"/>
        <v>0</v>
      </c>
      <c r="AO204" s="22">
        <f t="shared" si="184"/>
        <v>25</v>
      </c>
      <c r="AP204" s="22" t="str">
        <f t="shared" si="185"/>
        <v>O</v>
      </c>
      <c r="AQ204" s="22" t="str">
        <f t="shared" si="186"/>
        <v>X</v>
      </c>
      <c r="AR204" s="22" t="str">
        <f t="shared" si="187"/>
        <v>O</v>
      </c>
      <c r="AS204" s="22" t="str">
        <f t="shared" si="188"/>
        <v>X</v>
      </c>
      <c r="AT204" s="22" t="str">
        <f t="shared" si="189"/>
        <v>O</v>
      </c>
      <c r="AU204" s="22" t="str">
        <f t="shared" si="190"/>
        <v>X</v>
      </c>
      <c r="AV204" s="22" t="str">
        <f t="shared" si="191"/>
        <v>X</v>
      </c>
      <c r="AW204" s="22" t="str">
        <f t="shared" si="192"/>
        <v>X</v>
      </c>
      <c r="AX204" s="22" t="str">
        <f t="shared" si="193"/>
        <v>X</v>
      </c>
      <c r="AY204" s="22" t="str">
        <f t="shared" si="194"/>
        <v>X</v>
      </c>
      <c r="AZ204" s="22" t="str">
        <f t="shared" si="195"/>
        <v>X</v>
      </c>
      <c r="BA204" s="22" t="str">
        <f t="shared" si="196"/>
        <v>X</v>
      </c>
      <c r="BB204" s="22">
        <f t="shared" si="197"/>
        <v>3</v>
      </c>
      <c r="BC204" s="22" t="str">
        <f t="shared" si="168"/>
        <v>1G</v>
      </c>
      <c r="BD204" s="22" t="str">
        <f t="shared" si="169"/>
        <v>1G</v>
      </c>
      <c r="BE204" s="22" t="str">
        <f t="shared" si="170"/>
        <v>1G</v>
      </c>
      <c r="BF204" s="22" t="str">
        <f t="shared" si="171"/>
        <v>1G</v>
      </c>
      <c r="BG204" s="22" t="str">
        <f t="shared" si="172"/>
        <v>2G</v>
      </c>
      <c r="BH204" s="22" t="str">
        <f t="shared" si="173"/>
        <v>2G</v>
      </c>
      <c r="BI204" s="22">
        <f t="shared" si="198"/>
        <v>4</v>
      </c>
      <c r="BJ204" s="22">
        <f t="shared" si="199"/>
        <v>2</v>
      </c>
      <c r="BK204" s="22">
        <f t="shared" si="200"/>
        <v>0</v>
      </c>
      <c r="BL204" s="22" t="str">
        <f t="shared" si="201"/>
        <v>420</v>
      </c>
      <c r="BS204"/>
      <c r="CL204" s="23">
        <v>131</v>
      </c>
      <c r="CM204" s="23">
        <v>130</v>
      </c>
      <c r="CO204"/>
    </row>
    <row r="205" spans="2:93" ht="17" hidden="1">
      <c r="B205" s="15">
        <v>201</v>
      </c>
      <c r="C205" s="23" t="s">
        <v>231</v>
      </c>
      <c r="D205" s="16">
        <v>1</v>
      </c>
      <c r="E205" s="17">
        <v>9719465400</v>
      </c>
      <c r="F205" s="16">
        <v>37</v>
      </c>
      <c r="G205" s="17">
        <v>43781376</v>
      </c>
      <c r="H205" s="17">
        <v>1347</v>
      </c>
      <c r="I205" s="17">
        <v>1202607</v>
      </c>
      <c r="J205" s="17">
        <v>61045</v>
      </c>
      <c r="K205" s="17">
        <v>53073</v>
      </c>
      <c r="L205" s="17">
        <v>985655</v>
      </c>
      <c r="M205" s="17">
        <v>5000</v>
      </c>
      <c r="N205" s="23">
        <v>3</v>
      </c>
      <c r="O205" s="23">
        <v>11</v>
      </c>
      <c r="P205" s="23">
        <v>24</v>
      </c>
      <c r="Q205" s="23">
        <v>38</v>
      </c>
      <c r="R205" s="23">
        <v>39</v>
      </c>
      <c r="S205" s="23">
        <v>44</v>
      </c>
      <c r="T205" s="23">
        <v>26</v>
      </c>
      <c r="U205" s="23">
        <f t="shared" si="174"/>
        <v>159</v>
      </c>
      <c r="W205" s="22" t="str">
        <f t="shared" si="159"/>
        <v>홀수</v>
      </c>
      <c r="X205" s="22" t="str">
        <f t="shared" si="160"/>
        <v>홀수</v>
      </c>
      <c r="Y205" s="22" t="str">
        <f t="shared" si="161"/>
        <v>짝수</v>
      </c>
      <c r="Z205" s="22" t="str">
        <f t="shared" si="162"/>
        <v>짝수</v>
      </c>
      <c r="AA205" s="22" t="str">
        <f t="shared" si="163"/>
        <v>홀수</v>
      </c>
      <c r="AB205" s="22" t="str">
        <f t="shared" si="164"/>
        <v>짝수</v>
      </c>
      <c r="AC205" s="52" t="str">
        <f t="shared" si="165"/>
        <v>3 : 3</v>
      </c>
      <c r="AD205" s="22">
        <f t="shared" si="166"/>
        <v>3</v>
      </c>
      <c r="AE205" s="22">
        <f t="shared" si="167"/>
        <v>3</v>
      </c>
      <c r="AF205" s="22" t="str">
        <f t="shared" si="175"/>
        <v>저수</v>
      </c>
      <c r="AG205" s="22" t="str">
        <f t="shared" si="176"/>
        <v>저수</v>
      </c>
      <c r="AH205" s="22" t="str">
        <f t="shared" si="177"/>
        <v>고수</v>
      </c>
      <c r="AI205" s="22" t="str">
        <f t="shared" si="178"/>
        <v>고수</v>
      </c>
      <c r="AJ205" s="22" t="str">
        <f t="shared" si="179"/>
        <v>고수</v>
      </c>
      <c r="AK205" s="22" t="str">
        <f t="shared" si="180"/>
        <v>고수</v>
      </c>
      <c r="AL205" s="52" t="str">
        <f t="shared" si="181"/>
        <v>2 : 4</v>
      </c>
      <c r="AM205" s="22">
        <f t="shared" si="182"/>
        <v>2</v>
      </c>
      <c r="AN205" s="22">
        <f t="shared" si="183"/>
        <v>4</v>
      </c>
      <c r="AO205" s="22">
        <f t="shared" si="184"/>
        <v>29</v>
      </c>
      <c r="AP205" s="22" t="str">
        <f t="shared" si="185"/>
        <v>O</v>
      </c>
      <c r="AQ205" s="22" t="str">
        <f t="shared" si="186"/>
        <v>O</v>
      </c>
      <c r="AR205" s="22" t="str">
        <f t="shared" si="187"/>
        <v>X</v>
      </c>
      <c r="AS205" s="22" t="str">
        <f t="shared" si="188"/>
        <v>X</v>
      </c>
      <c r="AT205" s="22" t="str">
        <f t="shared" si="189"/>
        <v>X</v>
      </c>
      <c r="AU205" s="22" t="str">
        <f t="shared" si="190"/>
        <v>X</v>
      </c>
      <c r="AV205" s="22" t="str">
        <f t="shared" si="191"/>
        <v>X</v>
      </c>
      <c r="AW205" s="22" t="str">
        <f t="shared" si="192"/>
        <v>X</v>
      </c>
      <c r="AX205" s="22" t="str">
        <f t="shared" si="193"/>
        <v>X</v>
      </c>
      <c r="AY205" s="22" t="str">
        <f t="shared" si="194"/>
        <v>X</v>
      </c>
      <c r="AZ205" s="22" t="str">
        <f t="shared" si="195"/>
        <v>X</v>
      </c>
      <c r="BA205" s="22" t="str">
        <f t="shared" si="196"/>
        <v>X</v>
      </c>
      <c r="BB205" s="22">
        <f t="shared" si="197"/>
        <v>2</v>
      </c>
      <c r="BC205" s="22" t="str">
        <f t="shared" si="168"/>
        <v>1G</v>
      </c>
      <c r="BD205" s="22" t="str">
        <f t="shared" si="169"/>
        <v>1G</v>
      </c>
      <c r="BE205" s="22" t="str">
        <f t="shared" si="170"/>
        <v>2G</v>
      </c>
      <c r="BF205" s="22" t="str">
        <f t="shared" si="171"/>
        <v>3G</v>
      </c>
      <c r="BG205" s="22" t="str">
        <f t="shared" si="172"/>
        <v>3G</v>
      </c>
      <c r="BH205" s="22" t="str">
        <f t="shared" si="173"/>
        <v>3G</v>
      </c>
      <c r="BI205" s="22">
        <f t="shared" si="198"/>
        <v>2</v>
      </c>
      <c r="BJ205" s="22">
        <f t="shared" si="199"/>
        <v>1</v>
      </c>
      <c r="BK205" s="22">
        <f t="shared" si="200"/>
        <v>3</v>
      </c>
      <c r="BL205" s="22" t="str">
        <f t="shared" si="201"/>
        <v>213</v>
      </c>
      <c r="BS205"/>
      <c r="CL205" s="23">
        <v>131</v>
      </c>
      <c r="CM205" s="23">
        <v>130</v>
      </c>
      <c r="CO205"/>
    </row>
    <row r="206" spans="2:93" ht="17" hidden="1">
      <c r="B206" s="15">
        <v>202</v>
      </c>
      <c r="C206" s="23" t="s">
        <v>232</v>
      </c>
      <c r="D206" s="16">
        <v>6</v>
      </c>
      <c r="E206" s="17">
        <v>1893391700</v>
      </c>
      <c r="F206" s="16">
        <v>40</v>
      </c>
      <c r="G206" s="17">
        <v>47334793</v>
      </c>
      <c r="H206" s="17">
        <v>1232</v>
      </c>
      <c r="I206" s="17">
        <v>1536844</v>
      </c>
      <c r="J206" s="17">
        <v>62532</v>
      </c>
      <c r="K206" s="17">
        <v>60558</v>
      </c>
      <c r="L206" s="17">
        <v>1043620</v>
      </c>
      <c r="M206" s="17">
        <v>5000</v>
      </c>
      <c r="N206" s="23">
        <v>12</v>
      </c>
      <c r="O206" s="23">
        <v>14</v>
      </c>
      <c r="P206" s="23">
        <v>27</v>
      </c>
      <c r="Q206" s="23">
        <v>33</v>
      </c>
      <c r="R206" s="23">
        <v>39</v>
      </c>
      <c r="S206" s="23">
        <v>44</v>
      </c>
      <c r="T206" s="23">
        <v>17</v>
      </c>
      <c r="U206" s="23">
        <f t="shared" si="174"/>
        <v>169</v>
      </c>
      <c r="W206" s="22" t="str">
        <f t="shared" si="159"/>
        <v>짝수</v>
      </c>
      <c r="X206" s="22" t="str">
        <f t="shared" si="160"/>
        <v>짝수</v>
      </c>
      <c r="Y206" s="22" t="str">
        <f t="shared" si="161"/>
        <v>홀수</v>
      </c>
      <c r="Z206" s="22" t="str">
        <f t="shared" si="162"/>
        <v>홀수</v>
      </c>
      <c r="AA206" s="22" t="str">
        <f t="shared" si="163"/>
        <v>홀수</v>
      </c>
      <c r="AB206" s="22" t="str">
        <f t="shared" si="164"/>
        <v>짝수</v>
      </c>
      <c r="AC206" s="52" t="str">
        <f t="shared" si="165"/>
        <v>3 : 3</v>
      </c>
      <c r="AD206" s="22">
        <f t="shared" si="166"/>
        <v>3</v>
      </c>
      <c r="AE206" s="22">
        <f t="shared" si="167"/>
        <v>3</v>
      </c>
      <c r="AF206" s="22" t="str">
        <f t="shared" si="175"/>
        <v>저수</v>
      </c>
      <c r="AG206" s="22" t="str">
        <f t="shared" si="176"/>
        <v>저수</v>
      </c>
      <c r="AH206" s="22" t="str">
        <f t="shared" si="177"/>
        <v>고수</v>
      </c>
      <c r="AI206" s="22" t="str">
        <f t="shared" si="178"/>
        <v>고수</v>
      </c>
      <c r="AJ206" s="22" t="str">
        <f t="shared" si="179"/>
        <v>고수</v>
      </c>
      <c r="AK206" s="22" t="str">
        <f t="shared" si="180"/>
        <v>고수</v>
      </c>
      <c r="AL206" s="52" t="str">
        <f t="shared" si="181"/>
        <v>2 : 4</v>
      </c>
      <c r="AM206" s="22">
        <f t="shared" si="182"/>
        <v>2</v>
      </c>
      <c r="AN206" s="22">
        <f t="shared" si="183"/>
        <v>4</v>
      </c>
      <c r="AO206" s="22">
        <f t="shared" si="184"/>
        <v>29</v>
      </c>
      <c r="AP206" s="22" t="str">
        <f t="shared" si="185"/>
        <v>X</v>
      </c>
      <c r="AQ206" s="22" t="str">
        <f t="shared" si="186"/>
        <v>X</v>
      </c>
      <c r="AR206" s="22" t="str">
        <f t="shared" si="187"/>
        <v>X</v>
      </c>
      <c r="AS206" s="22" t="str">
        <f t="shared" si="188"/>
        <v>X</v>
      </c>
      <c r="AT206" s="22" t="str">
        <f t="shared" si="189"/>
        <v>X</v>
      </c>
      <c r="AU206" s="22" t="str">
        <f t="shared" si="190"/>
        <v>X</v>
      </c>
      <c r="AV206" s="22" t="str">
        <f t="shared" si="191"/>
        <v>X</v>
      </c>
      <c r="AW206" s="22" t="str">
        <f t="shared" si="192"/>
        <v>X</v>
      </c>
      <c r="AX206" s="22" t="str">
        <f t="shared" si="193"/>
        <v>X</v>
      </c>
      <c r="AY206" s="22" t="str">
        <f t="shared" si="194"/>
        <v>X</v>
      </c>
      <c r="AZ206" s="22" t="str">
        <f t="shared" si="195"/>
        <v>X</v>
      </c>
      <c r="BA206" s="22" t="str">
        <f t="shared" si="196"/>
        <v>X</v>
      </c>
      <c r="BB206" s="22">
        <f t="shared" si="197"/>
        <v>0</v>
      </c>
      <c r="BC206" s="22" t="str">
        <f t="shared" si="168"/>
        <v>1G</v>
      </c>
      <c r="BD206" s="22" t="str">
        <f t="shared" si="169"/>
        <v>1G</v>
      </c>
      <c r="BE206" s="22" t="str">
        <f t="shared" si="170"/>
        <v>2G</v>
      </c>
      <c r="BF206" s="22" t="str">
        <f t="shared" si="171"/>
        <v>3G</v>
      </c>
      <c r="BG206" s="22" t="str">
        <f t="shared" si="172"/>
        <v>3G</v>
      </c>
      <c r="BH206" s="22" t="str">
        <f t="shared" si="173"/>
        <v>3G</v>
      </c>
      <c r="BI206" s="22">
        <f t="shared" si="198"/>
        <v>2</v>
      </c>
      <c r="BJ206" s="22">
        <f t="shared" si="199"/>
        <v>1</v>
      </c>
      <c r="BK206" s="22">
        <f t="shared" si="200"/>
        <v>3</v>
      </c>
      <c r="BL206" s="22" t="str">
        <f t="shared" si="201"/>
        <v>213</v>
      </c>
      <c r="BS206"/>
      <c r="CL206" s="23">
        <v>131</v>
      </c>
      <c r="CM206" s="23">
        <v>130</v>
      </c>
      <c r="CO206"/>
    </row>
    <row r="207" spans="2:93" ht="17" hidden="1">
      <c r="B207" s="15">
        <v>203</v>
      </c>
      <c r="C207" s="23" t="s">
        <v>233</v>
      </c>
      <c r="D207" s="16">
        <v>5</v>
      </c>
      <c r="E207" s="17">
        <v>2164564740</v>
      </c>
      <c r="F207" s="16">
        <v>43</v>
      </c>
      <c r="G207" s="17">
        <v>41948930</v>
      </c>
      <c r="H207" s="17">
        <v>1328</v>
      </c>
      <c r="I207" s="17">
        <v>1358287</v>
      </c>
      <c r="J207" s="17">
        <v>66916</v>
      </c>
      <c r="K207" s="17">
        <v>53913</v>
      </c>
      <c r="L207" s="17">
        <v>1095728</v>
      </c>
      <c r="M207" s="17">
        <v>5000</v>
      </c>
      <c r="N207" s="23">
        <v>1</v>
      </c>
      <c r="O207" s="23">
        <v>3</v>
      </c>
      <c r="P207" s="23">
        <v>11</v>
      </c>
      <c r="Q207" s="23">
        <v>24</v>
      </c>
      <c r="R207" s="23">
        <v>30</v>
      </c>
      <c r="S207" s="23">
        <v>32</v>
      </c>
      <c r="T207" s="23">
        <v>7</v>
      </c>
      <c r="U207" s="23">
        <f t="shared" si="174"/>
        <v>101</v>
      </c>
      <c r="W207" s="22" t="str">
        <f t="shared" si="159"/>
        <v>홀수</v>
      </c>
      <c r="X207" s="22" t="str">
        <f t="shared" si="160"/>
        <v>홀수</v>
      </c>
      <c r="Y207" s="22" t="str">
        <f t="shared" si="161"/>
        <v>홀수</v>
      </c>
      <c r="Z207" s="22" t="str">
        <f t="shared" si="162"/>
        <v>짝수</v>
      </c>
      <c r="AA207" s="22" t="str">
        <f t="shared" si="163"/>
        <v>짝수</v>
      </c>
      <c r="AB207" s="22" t="str">
        <f t="shared" si="164"/>
        <v>짝수</v>
      </c>
      <c r="AC207" s="52" t="str">
        <f t="shared" si="165"/>
        <v>3 : 3</v>
      </c>
      <c r="AD207" s="22">
        <f t="shared" si="166"/>
        <v>3</v>
      </c>
      <c r="AE207" s="22">
        <f t="shared" si="167"/>
        <v>3</v>
      </c>
      <c r="AF207" s="22" t="str">
        <f t="shared" si="175"/>
        <v>저수</v>
      </c>
      <c r="AG207" s="22" t="str">
        <f t="shared" si="176"/>
        <v>저수</v>
      </c>
      <c r="AH207" s="22" t="str">
        <f t="shared" si="177"/>
        <v>저수</v>
      </c>
      <c r="AI207" s="22" t="str">
        <f t="shared" si="178"/>
        <v>고수</v>
      </c>
      <c r="AJ207" s="22" t="str">
        <f t="shared" si="179"/>
        <v>고수</v>
      </c>
      <c r="AK207" s="22" t="str">
        <f t="shared" si="180"/>
        <v>고수</v>
      </c>
      <c r="AL207" s="52" t="str">
        <f t="shared" si="181"/>
        <v>3 : 3</v>
      </c>
      <c r="AM207" s="22">
        <f t="shared" si="182"/>
        <v>3</v>
      </c>
      <c r="AN207" s="22">
        <f t="shared" si="183"/>
        <v>3</v>
      </c>
      <c r="AO207" s="22">
        <f t="shared" si="184"/>
        <v>11</v>
      </c>
      <c r="AP207" s="22" t="str">
        <f t="shared" si="185"/>
        <v>X</v>
      </c>
      <c r="AQ207" s="22" t="str">
        <f t="shared" si="186"/>
        <v>O</v>
      </c>
      <c r="AR207" s="22" t="str">
        <f t="shared" si="187"/>
        <v>O</v>
      </c>
      <c r="AS207" s="22" t="str">
        <f t="shared" si="188"/>
        <v>X</v>
      </c>
      <c r="AT207" s="22" t="str">
        <f t="shared" si="189"/>
        <v>X</v>
      </c>
      <c r="AU207" s="22" t="str">
        <f t="shared" si="190"/>
        <v>X</v>
      </c>
      <c r="AV207" s="22" t="str">
        <f t="shared" si="191"/>
        <v>X</v>
      </c>
      <c r="AW207" s="22" t="str">
        <f t="shared" si="192"/>
        <v>X</v>
      </c>
      <c r="AX207" s="22" t="str">
        <f t="shared" si="193"/>
        <v>X</v>
      </c>
      <c r="AY207" s="22" t="str">
        <f t="shared" si="194"/>
        <v>X</v>
      </c>
      <c r="AZ207" s="22" t="str">
        <f t="shared" si="195"/>
        <v>X</v>
      </c>
      <c r="BA207" s="22" t="str">
        <f t="shared" si="196"/>
        <v>X</v>
      </c>
      <c r="BB207" s="22">
        <f t="shared" si="197"/>
        <v>2</v>
      </c>
      <c r="BC207" s="22" t="str">
        <f t="shared" si="168"/>
        <v>1G</v>
      </c>
      <c r="BD207" s="22" t="str">
        <f t="shared" si="169"/>
        <v>1G</v>
      </c>
      <c r="BE207" s="22" t="str">
        <f t="shared" si="170"/>
        <v>1G</v>
      </c>
      <c r="BF207" s="22" t="str">
        <f t="shared" si="171"/>
        <v>2G</v>
      </c>
      <c r="BG207" s="22" t="str">
        <f t="shared" si="172"/>
        <v>2G</v>
      </c>
      <c r="BH207" s="22" t="str">
        <f t="shared" si="173"/>
        <v>3G</v>
      </c>
      <c r="BI207" s="22">
        <f t="shared" si="198"/>
        <v>3</v>
      </c>
      <c r="BJ207" s="22">
        <f t="shared" si="199"/>
        <v>2</v>
      </c>
      <c r="BK207" s="22">
        <f t="shared" si="200"/>
        <v>1</v>
      </c>
      <c r="BL207" s="22" t="str">
        <f t="shared" si="201"/>
        <v>321</v>
      </c>
      <c r="BS207"/>
      <c r="CL207" s="23">
        <v>131</v>
      </c>
      <c r="CM207" s="23">
        <v>130</v>
      </c>
      <c r="CO207"/>
    </row>
    <row r="208" spans="2:93" ht="17" hidden="1">
      <c r="B208" s="15">
        <v>204</v>
      </c>
      <c r="C208" s="23" t="s">
        <v>234</v>
      </c>
      <c r="D208" s="16">
        <v>8</v>
      </c>
      <c r="E208" s="17">
        <v>1358347125</v>
      </c>
      <c r="F208" s="16">
        <v>23</v>
      </c>
      <c r="G208" s="17">
        <v>78744761</v>
      </c>
      <c r="H208" s="17">
        <v>1180</v>
      </c>
      <c r="I208" s="17">
        <v>1534856</v>
      </c>
      <c r="J208" s="17">
        <v>57646</v>
      </c>
      <c r="K208" s="17">
        <v>62837</v>
      </c>
      <c r="L208" s="17">
        <v>985516</v>
      </c>
      <c r="M208" s="17">
        <v>5000</v>
      </c>
      <c r="N208" s="23">
        <v>3</v>
      </c>
      <c r="O208" s="23">
        <v>12</v>
      </c>
      <c r="P208" s="23">
        <v>14</v>
      </c>
      <c r="Q208" s="23">
        <v>35</v>
      </c>
      <c r="R208" s="23">
        <v>40</v>
      </c>
      <c r="S208" s="23">
        <v>45</v>
      </c>
      <c r="T208" s="23">
        <v>5</v>
      </c>
      <c r="U208" s="23">
        <f t="shared" si="174"/>
        <v>149</v>
      </c>
      <c r="W208" s="22" t="str">
        <f t="shared" si="159"/>
        <v>홀수</v>
      </c>
      <c r="X208" s="22" t="str">
        <f t="shared" si="160"/>
        <v>짝수</v>
      </c>
      <c r="Y208" s="22" t="str">
        <f t="shared" si="161"/>
        <v>짝수</v>
      </c>
      <c r="Z208" s="22" t="str">
        <f t="shared" si="162"/>
        <v>홀수</v>
      </c>
      <c r="AA208" s="22" t="str">
        <f t="shared" si="163"/>
        <v>짝수</v>
      </c>
      <c r="AB208" s="22" t="str">
        <f t="shared" si="164"/>
        <v>홀수</v>
      </c>
      <c r="AC208" s="52" t="str">
        <f t="shared" si="165"/>
        <v>3 : 3</v>
      </c>
      <c r="AD208" s="22">
        <f t="shared" si="166"/>
        <v>3</v>
      </c>
      <c r="AE208" s="22">
        <f t="shared" si="167"/>
        <v>3</v>
      </c>
      <c r="AF208" s="22" t="str">
        <f t="shared" si="175"/>
        <v>저수</v>
      </c>
      <c r="AG208" s="22" t="str">
        <f t="shared" si="176"/>
        <v>저수</v>
      </c>
      <c r="AH208" s="22" t="str">
        <f t="shared" si="177"/>
        <v>저수</v>
      </c>
      <c r="AI208" s="22" t="str">
        <f t="shared" si="178"/>
        <v>고수</v>
      </c>
      <c r="AJ208" s="22" t="str">
        <f t="shared" si="179"/>
        <v>고수</v>
      </c>
      <c r="AK208" s="22" t="str">
        <f t="shared" si="180"/>
        <v>고수</v>
      </c>
      <c r="AL208" s="52" t="str">
        <f t="shared" si="181"/>
        <v>3 : 3</v>
      </c>
      <c r="AM208" s="22">
        <f t="shared" si="182"/>
        <v>3</v>
      </c>
      <c r="AN208" s="22">
        <f t="shared" si="183"/>
        <v>3</v>
      </c>
      <c r="AO208" s="22">
        <f t="shared" si="184"/>
        <v>19</v>
      </c>
      <c r="AP208" s="22" t="str">
        <f t="shared" si="185"/>
        <v>O</v>
      </c>
      <c r="AQ208" s="22" t="str">
        <f t="shared" si="186"/>
        <v>X</v>
      </c>
      <c r="AR208" s="22" t="str">
        <f t="shared" si="187"/>
        <v>X</v>
      </c>
      <c r="AS208" s="22" t="str">
        <f>IF(Q208=2,"O",IF(Q208=3,"O",IF(Q208=5,"O",IF(Q208=7,"O",IF(Q208=11,"O",IF(Q208=13,"O",IF(Q208=17,"O",IF(Q208=19,"O","X"))))))))</f>
        <v>X</v>
      </c>
      <c r="AT208" s="22" t="str">
        <f t="shared" si="189"/>
        <v>X</v>
      </c>
      <c r="AU208" s="22" t="str">
        <f t="shared" si="190"/>
        <v>X</v>
      </c>
      <c r="AV208" s="22" t="str">
        <f t="shared" si="191"/>
        <v>X</v>
      </c>
      <c r="AW208" s="22" t="str">
        <f t="shared" si="192"/>
        <v>X</v>
      </c>
      <c r="AX208" s="22" t="str">
        <f t="shared" si="193"/>
        <v>X</v>
      </c>
      <c r="AY208" s="22" t="str">
        <f t="shared" si="194"/>
        <v>X</v>
      </c>
      <c r="AZ208" s="22" t="str">
        <f t="shared" si="195"/>
        <v>X</v>
      </c>
      <c r="BA208" s="22" t="str">
        <f t="shared" si="196"/>
        <v>X</v>
      </c>
      <c r="BB208" s="22">
        <f t="shared" si="197"/>
        <v>1</v>
      </c>
      <c r="BC208" s="22" t="str">
        <f t="shared" si="168"/>
        <v>1G</v>
      </c>
      <c r="BD208" s="22" t="str">
        <f t="shared" si="169"/>
        <v>1G</v>
      </c>
      <c r="BE208" s="22" t="str">
        <f t="shared" si="170"/>
        <v>1G</v>
      </c>
      <c r="BF208" s="22" t="str">
        <f t="shared" si="171"/>
        <v>3G</v>
      </c>
      <c r="BG208" s="22" t="str">
        <f t="shared" si="172"/>
        <v>3G</v>
      </c>
      <c r="BH208" s="22" t="str">
        <f t="shared" si="173"/>
        <v>3G</v>
      </c>
      <c r="BI208" s="22">
        <f t="shared" si="198"/>
        <v>3</v>
      </c>
      <c r="BJ208" s="22">
        <f t="shared" si="199"/>
        <v>0</v>
      </c>
      <c r="BK208" s="22">
        <f t="shared" si="200"/>
        <v>3</v>
      </c>
      <c r="BL208" s="22" t="str">
        <f t="shared" si="201"/>
        <v>303</v>
      </c>
      <c r="BS208"/>
      <c r="CL208" s="23">
        <v>131</v>
      </c>
      <c r="CM208" s="23">
        <v>130</v>
      </c>
      <c r="CO208"/>
    </row>
    <row r="209" spans="1:93" ht="17" hidden="1">
      <c r="B209" s="15">
        <v>205</v>
      </c>
      <c r="C209" s="23" t="s">
        <v>235</v>
      </c>
      <c r="D209" s="16">
        <v>6</v>
      </c>
      <c r="E209" s="17">
        <v>1835221800</v>
      </c>
      <c r="F209" s="16">
        <v>21</v>
      </c>
      <c r="G209" s="17">
        <v>87391515</v>
      </c>
      <c r="H209" s="17">
        <v>1098</v>
      </c>
      <c r="I209" s="17">
        <v>1671423</v>
      </c>
      <c r="J209" s="17">
        <v>56067</v>
      </c>
      <c r="K209" s="17">
        <v>65466</v>
      </c>
      <c r="L209" s="17">
        <v>962608</v>
      </c>
      <c r="M209" s="17">
        <v>5000</v>
      </c>
      <c r="N209" s="23">
        <v>1</v>
      </c>
      <c r="O209" s="23">
        <v>3</v>
      </c>
      <c r="P209" s="23">
        <v>21</v>
      </c>
      <c r="Q209" s="23">
        <v>29</v>
      </c>
      <c r="R209" s="23">
        <v>35</v>
      </c>
      <c r="S209" s="23">
        <v>37</v>
      </c>
      <c r="T209" s="23">
        <v>30</v>
      </c>
      <c r="U209" s="23">
        <f t="shared" si="174"/>
        <v>126</v>
      </c>
      <c r="W209" s="22" t="str">
        <f t="shared" si="159"/>
        <v>홀수</v>
      </c>
      <c r="X209" s="22" t="str">
        <f t="shared" si="160"/>
        <v>홀수</v>
      </c>
      <c r="Y209" s="22" t="str">
        <f t="shared" si="161"/>
        <v>홀수</v>
      </c>
      <c r="Z209" s="22" t="str">
        <f t="shared" si="162"/>
        <v>홀수</v>
      </c>
      <c r="AA209" s="22" t="str">
        <f t="shared" si="163"/>
        <v>홀수</v>
      </c>
      <c r="AB209" s="22" t="str">
        <f t="shared" si="164"/>
        <v>홀수</v>
      </c>
      <c r="AC209" s="52" t="str">
        <f t="shared" si="165"/>
        <v>6 : 0</v>
      </c>
      <c r="AD209" s="22">
        <f t="shared" si="166"/>
        <v>6</v>
      </c>
      <c r="AE209" s="22">
        <f t="shared" si="167"/>
        <v>0</v>
      </c>
      <c r="AF209" s="22" t="str">
        <f t="shared" si="175"/>
        <v>저수</v>
      </c>
      <c r="AG209" s="22" t="str">
        <f t="shared" si="176"/>
        <v>저수</v>
      </c>
      <c r="AH209" s="22" t="str">
        <f t="shared" si="177"/>
        <v>저수</v>
      </c>
      <c r="AI209" s="22" t="str">
        <f t="shared" si="178"/>
        <v>고수</v>
      </c>
      <c r="AJ209" s="22" t="str">
        <f t="shared" si="179"/>
        <v>고수</v>
      </c>
      <c r="AK209" s="22" t="str">
        <f t="shared" si="180"/>
        <v>고수</v>
      </c>
      <c r="AL209" s="52" t="str">
        <f t="shared" si="181"/>
        <v>3 : 3</v>
      </c>
      <c r="AM209" s="22">
        <f t="shared" si="182"/>
        <v>3</v>
      </c>
      <c r="AN209" s="22">
        <f t="shared" si="183"/>
        <v>3</v>
      </c>
      <c r="AO209" s="22">
        <f t="shared" si="184"/>
        <v>26</v>
      </c>
      <c r="AP209" s="22" t="str">
        <f t="shared" si="185"/>
        <v>X</v>
      </c>
      <c r="AQ209" s="22" t="str">
        <f t="shared" si="186"/>
        <v>O</v>
      </c>
      <c r="AR209" s="22" t="str">
        <f t="shared" si="187"/>
        <v>X</v>
      </c>
      <c r="AS209" s="22" t="str">
        <f t="shared" si="188"/>
        <v>X</v>
      </c>
      <c r="AT209" s="22" t="str">
        <f t="shared" si="189"/>
        <v>X</v>
      </c>
      <c r="AU209" s="22" t="str">
        <f t="shared" si="190"/>
        <v>X</v>
      </c>
      <c r="AV209" s="22" t="str">
        <f t="shared" si="191"/>
        <v>X</v>
      </c>
      <c r="AW209" s="22" t="str">
        <f t="shared" si="192"/>
        <v>X</v>
      </c>
      <c r="AX209" s="22" t="str">
        <f t="shared" si="193"/>
        <v>X</v>
      </c>
      <c r="AY209" s="22" t="str">
        <f t="shared" si="194"/>
        <v>O</v>
      </c>
      <c r="AZ209" s="22" t="str">
        <f t="shared" si="195"/>
        <v>X</v>
      </c>
      <c r="BA209" s="22" t="str">
        <f t="shared" si="196"/>
        <v>O</v>
      </c>
      <c r="BB209" s="22">
        <f t="shared" si="197"/>
        <v>3</v>
      </c>
      <c r="BC209" s="22" t="str">
        <f t="shared" si="168"/>
        <v>1G</v>
      </c>
      <c r="BD209" s="22" t="str">
        <f t="shared" si="169"/>
        <v>1G</v>
      </c>
      <c r="BE209" s="22" t="str">
        <f t="shared" si="170"/>
        <v>2G</v>
      </c>
      <c r="BF209" s="22" t="str">
        <f t="shared" si="171"/>
        <v>2G</v>
      </c>
      <c r="BG209" s="22" t="str">
        <f t="shared" si="172"/>
        <v>3G</v>
      </c>
      <c r="BH209" s="22" t="str">
        <f t="shared" si="173"/>
        <v>3G</v>
      </c>
      <c r="BI209" s="22">
        <f t="shared" si="198"/>
        <v>2</v>
      </c>
      <c r="BJ209" s="22">
        <f t="shared" si="199"/>
        <v>2</v>
      </c>
      <c r="BK209" s="22">
        <f t="shared" si="200"/>
        <v>2</v>
      </c>
      <c r="BL209" s="22" t="str">
        <f t="shared" si="201"/>
        <v>222</v>
      </c>
      <c r="BS209"/>
      <c r="CL209" s="23">
        <v>131</v>
      </c>
      <c r="CM209" s="23">
        <v>130</v>
      </c>
      <c r="CO209"/>
    </row>
    <row r="210" spans="1:93" ht="17" hidden="1">
      <c r="B210" s="15">
        <v>206</v>
      </c>
      <c r="C210" s="23" t="s">
        <v>236</v>
      </c>
      <c r="D210" s="16">
        <v>5</v>
      </c>
      <c r="E210" s="17">
        <v>2032859340</v>
      </c>
      <c r="F210" s="16">
        <v>36</v>
      </c>
      <c r="G210" s="17">
        <v>47056930</v>
      </c>
      <c r="H210" s="17">
        <v>1549</v>
      </c>
      <c r="I210" s="17">
        <v>1093641</v>
      </c>
      <c r="J210" s="17">
        <v>66445</v>
      </c>
      <c r="K210" s="17">
        <v>50992</v>
      </c>
      <c r="L210" s="17">
        <v>1044599</v>
      </c>
      <c r="M210" s="17">
        <v>5000</v>
      </c>
      <c r="N210" s="23">
        <v>1</v>
      </c>
      <c r="O210" s="23">
        <v>2</v>
      </c>
      <c r="P210" s="23">
        <v>3</v>
      </c>
      <c r="Q210" s="23">
        <v>15</v>
      </c>
      <c r="R210" s="23">
        <v>20</v>
      </c>
      <c r="S210" s="23">
        <v>25</v>
      </c>
      <c r="T210" s="23">
        <v>43</v>
      </c>
      <c r="U210" s="23">
        <f t="shared" si="174"/>
        <v>66</v>
      </c>
      <c r="W210" s="22" t="str">
        <f t="shared" si="159"/>
        <v>홀수</v>
      </c>
      <c r="X210" s="22" t="str">
        <f t="shared" si="160"/>
        <v>짝수</v>
      </c>
      <c r="Y210" s="22" t="str">
        <f t="shared" si="161"/>
        <v>홀수</v>
      </c>
      <c r="Z210" s="22" t="str">
        <f t="shared" si="162"/>
        <v>홀수</v>
      </c>
      <c r="AA210" s="22" t="str">
        <f t="shared" si="163"/>
        <v>짝수</v>
      </c>
      <c r="AB210" s="22" t="str">
        <f t="shared" si="164"/>
        <v>홀수</v>
      </c>
      <c r="AC210" s="52" t="str">
        <f t="shared" si="165"/>
        <v>4 : 2</v>
      </c>
      <c r="AD210" s="22">
        <f t="shared" si="166"/>
        <v>4</v>
      </c>
      <c r="AE210" s="22">
        <f t="shared" si="167"/>
        <v>2</v>
      </c>
      <c r="AF210" s="22" t="str">
        <f t="shared" si="175"/>
        <v>저수</v>
      </c>
      <c r="AG210" s="22" t="str">
        <f t="shared" si="176"/>
        <v>저수</v>
      </c>
      <c r="AH210" s="22" t="str">
        <f t="shared" si="177"/>
        <v>저수</v>
      </c>
      <c r="AI210" s="22" t="str">
        <f t="shared" si="178"/>
        <v>저수</v>
      </c>
      <c r="AJ210" s="22" t="str">
        <f t="shared" si="179"/>
        <v>저수</v>
      </c>
      <c r="AK210" s="22" t="str">
        <f t="shared" si="180"/>
        <v>고수</v>
      </c>
      <c r="AL210" s="52" t="str">
        <f t="shared" si="181"/>
        <v>5 : 1</v>
      </c>
      <c r="AM210" s="22">
        <f t="shared" si="182"/>
        <v>5</v>
      </c>
      <c r="AN210" s="22">
        <f t="shared" si="183"/>
        <v>1</v>
      </c>
      <c r="AO210" s="22">
        <f t="shared" si="184"/>
        <v>16</v>
      </c>
      <c r="AP210" s="22" t="str">
        <f t="shared" si="185"/>
        <v>X</v>
      </c>
      <c r="AQ210" s="22" t="str">
        <f t="shared" si="186"/>
        <v>O</v>
      </c>
      <c r="AR210" s="22" t="str">
        <f t="shared" si="187"/>
        <v>O</v>
      </c>
      <c r="AS210" s="22" t="str">
        <f t="shared" si="188"/>
        <v>X</v>
      </c>
      <c r="AT210" s="22" t="str">
        <f t="shared" si="189"/>
        <v>X</v>
      </c>
      <c r="AU210" s="22" t="str">
        <f t="shared" si="190"/>
        <v>X</v>
      </c>
      <c r="AV210" s="22" t="str">
        <f t="shared" si="191"/>
        <v>X</v>
      </c>
      <c r="AW210" s="22" t="str">
        <f t="shared" si="192"/>
        <v>X</v>
      </c>
      <c r="AX210" s="22" t="str">
        <f t="shared" si="193"/>
        <v>X</v>
      </c>
      <c r="AY210" s="22" t="str">
        <f t="shared" si="194"/>
        <v>X</v>
      </c>
      <c r="AZ210" s="22" t="str">
        <f t="shared" si="195"/>
        <v>X</v>
      </c>
      <c r="BA210" s="22" t="str">
        <f t="shared" si="196"/>
        <v>X</v>
      </c>
      <c r="BB210" s="22">
        <f t="shared" si="197"/>
        <v>2</v>
      </c>
      <c r="BC210" s="22" t="str">
        <f t="shared" si="168"/>
        <v>1G</v>
      </c>
      <c r="BD210" s="22" t="str">
        <f t="shared" si="169"/>
        <v>1G</v>
      </c>
      <c r="BE210" s="22" t="str">
        <f t="shared" si="170"/>
        <v>1G</v>
      </c>
      <c r="BF210" s="22" t="str">
        <f t="shared" si="171"/>
        <v>1G</v>
      </c>
      <c r="BG210" s="22" t="str">
        <f t="shared" si="172"/>
        <v>2G</v>
      </c>
      <c r="BH210" s="22" t="str">
        <f t="shared" si="173"/>
        <v>2G</v>
      </c>
      <c r="BI210" s="22">
        <f t="shared" si="198"/>
        <v>4</v>
      </c>
      <c r="BJ210" s="22">
        <f t="shared" si="199"/>
        <v>2</v>
      </c>
      <c r="BK210" s="22">
        <f t="shared" si="200"/>
        <v>0</v>
      </c>
      <c r="BL210" s="22" t="str">
        <f t="shared" si="201"/>
        <v>420</v>
      </c>
      <c r="BS210"/>
      <c r="CL210" s="23">
        <v>132</v>
      </c>
      <c r="CM210" s="23">
        <v>130</v>
      </c>
      <c r="CO210"/>
    </row>
    <row r="211" spans="1:93" ht="17" hidden="1">
      <c r="B211" s="15">
        <v>207</v>
      </c>
      <c r="C211" s="23" t="s">
        <v>237</v>
      </c>
      <c r="D211" s="16">
        <v>5</v>
      </c>
      <c r="E211" s="17">
        <v>2104673760</v>
      </c>
      <c r="F211" s="16">
        <v>37</v>
      </c>
      <c r="G211" s="17">
        <v>47402563</v>
      </c>
      <c r="H211" s="17">
        <v>1203</v>
      </c>
      <c r="I211" s="17">
        <v>1457935</v>
      </c>
      <c r="J211" s="17">
        <v>60871</v>
      </c>
      <c r="K211" s="17">
        <v>57627</v>
      </c>
      <c r="L211" s="17">
        <v>1020444</v>
      </c>
      <c r="M211" s="17">
        <v>5000</v>
      </c>
      <c r="N211" s="23">
        <v>3</v>
      </c>
      <c r="O211" s="23">
        <v>11</v>
      </c>
      <c r="P211" s="23">
        <v>14</v>
      </c>
      <c r="Q211" s="23">
        <v>31</v>
      </c>
      <c r="R211" s="23">
        <v>32</v>
      </c>
      <c r="S211" s="23">
        <v>37</v>
      </c>
      <c r="T211" s="23">
        <v>38</v>
      </c>
      <c r="U211" s="23">
        <f t="shared" si="174"/>
        <v>128</v>
      </c>
      <c r="W211" s="22" t="str">
        <f t="shared" si="159"/>
        <v>홀수</v>
      </c>
      <c r="X211" s="22" t="str">
        <f t="shared" si="160"/>
        <v>홀수</v>
      </c>
      <c r="Y211" s="22" t="str">
        <f t="shared" si="161"/>
        <v>짝수</v>
      </c>
      <c r="Z211" s="22" t="str">
        <f t="shared" si="162"/>
        <v>홀수</v>
      </c>
      <c r="AA211" s="22" t="str">
        <f t="shared" si="163"/>
        <v>짝수</v>
      </c>
      <c r="AB211" s="22" t="str">
        <f t="shared" si="164"/>
        <v>홀수</v>
      </c>
      <c r="AC211" s="52" t="str">
        <f t="shared" si="165"/>
        <v>4 : 2</v>
      </c>
      <c r="AD211" s="22">
        <f t="shared" si="166"/>
        <v>4</v>
      </c>
      <c r="AE211" s="22">
        <f t="shared" si="167"/>
        <v>2</v>
      </c>
      <c r="AF211" s="22" t="str">
        <f t="shared" si="175"/>
        <v>저수</v>
      </c>
      <c r="AG211" s="22" t="str">
        <f t="shared" si="176"/>
        <v>저수</v>
      </c>
      <c r="AH211" s="22" t="str">
        <f t="shared" si="177"/>
        <v>저수</v>
      </c>
      <c r="AI211" s="22" t="str">
        <f t="shared" si="178"/>
        <v>고수</v>
      </c>
      <c r="AJ211" s="22" t="str">
        <f t="shared" si="179"/>
        <v>고수</v>
      </c>
      <c r="AK211" s="22" t="str">
        <f t="shared" si="180"/>
        <v>고수</v>
      </c>
      <c r="AL211" s="52" t="str">
        <f t="shared" si="181"/>
        <v>3 : 3</v>
      </c>
      <c r="AM211" s="22">
        <f t="shared" si="182"/>
        <v>3</v>
      </c>
      <c r="AN211" s="22">
        <f t="shared" si="183"/>
        <v>3</v>
      </c>
      <c r="AO211" s="22">
        <f t="shared" si="184"/>
        <v>18</v>
      </c>
      <c r="AP211" s="22" t="str">
        <f t="shared" si="185"/>
        <v>O</v>
      </c>
      <c r="AQ211" s="22" t="str">
        <f t="shared" si="186"/>
        <v>O</v>
      </c>
      <c r="AR211" s="22" t="str">
        <f t="shared" si="187"/>
        <v>X</v>
      </c>
      <c r="AS211" s="22" t="str">
        <f t="shared" si="188"/>
        <v>X</v>
      </c>
      <c r="AT211" s="22" t="str">
        <f t="shared" si="189"/>
        <v>X</v>
      </c>
      <c r="AU211" s="22" t="str">
        <f t="shared" si="190"/>
        <v>X</v>
      </c>
      <c r="AV211" s="22" t="str">
        <f t="shared" si="191"/>
        <v>X</v>
      </c>
      <c r="AW211" s="22" t="str">
        <f t="shared" si="192"/>
        <v>X</v>
      </c>
      <c r="AX211" s="22" t="str">
        <f t="shared" si="193"/>
        <v>X</v>
      </c>
      <c r="AY211" s="22" t="str">
        <f t="shared" si="194"/>
        <v>O</v>
      </c>
      <c r="AZ211" s="22" t="str">
        <f t="shared" si="195"/>
        <v>X</v>
      </c>
      <c r="BA211" s="22" t="str">
        <f t="shared" si="196"/>
        <v>O</v>
      </c>
      <c r="BB211" s="22">
        <f t="shared" si="197"/>
        <v>4</v>
      </c>
      <c r="BC211" s="22" t="str">
        <f t="shared" si="168"/>
        <v>1G</v>
      </c>
      <c r="BD211" s="22" t="str">
        <f t="shared" si="169"/>
        <v>1G</v>
      </c>
      <c r="BE211" s="22" t="str">
        <f t="shared" si="170"/>
        <v>1G</v>
      </c>
      <c r="BF211" s="22" t="str">
        <f t="shared" si="171"/>
        <v>3G</v>
      </c>
      <c r="BG211" s="22" t="str">
        <f t="shared" si="172"/>
        <v>3G</v>
      </c>
      <c r="BH211" s="22" t="str">
        <f t="shared" si="173"/>
        <v>3G</v>
      </c>
      <c r="BI211" s="22">
        <f t="shared" si="198"/>
        <v>3</v>
      </c>
      <c r="BJ211" s="22">
        <f t="shared" si="199"/>
        <v>0</v>
      </c>
      <c r="BK211" s="22">
        <f t="shared" si="200"/>
        <v>3</v>
      </c>
      <c r="BL211" s="22" t="str">
        <f t="shared" si="201"/>
        <v>303</v>
      </c>
      <c r="BS211"/>
      <c r="CL211" s="23">
        <v>132</v>
      </c>
      <c r="CM211" s="23">
        <v>130</v>
      </c>
      <c r="CO211"/>
    </row>
    <row r="212" spans="1:93" ht="17" hidden="1">
      <c r="B212" s="15">
        <v>208</v>
      </c>
      <c r="C212" s="23" t="s">
        <v>238</v>
      </c>
      <c r="D212" s="16">
        <v>6</v>
      </c>
      <c r="E212" s="17">
        <v>1760767400</v>
      </c>
      <c r="F212" s="16">
        <v>34</v>
      </c>
      <c r="G212" s="17">
        <v>51787277</v>
      </c>
      <c r="H212" s="17">
        <v>1224</v>
      </c>
      <c r="I212" s="17">
        <v>1438536</v>
      </c>
      <c r="J212" s="17">
        <v>64277</v>
      </c>
      <c r="K212" s="17">
        <v>54787</v>
      </c>
      <c r="L212" s="17">
        <v>1030103</v>
      </c>
      <c r="M212" s="17">
        <v>5000</v>
      </c>
      <c r="N212" s="23">
        <v>14</v>
      </c>
      <c r="O212" s="23">
        <v>25</v>
      </c>
      <c r="P212" s="23">
        <v>31</v>
      </c>
      <c r="Q212" s="23">
        <v>34</v>
      </c>
      <c r="R212" s="23">
        <v>40</v>
      </c>
      <c r="S212" s="23">
        <v>44</v>
      </c>
      <c r="T212" s="23">
        <v>24</v>
      </c>
      <c r="U212" s="23">
        <f t="shared" si="174"/>
        <v>188</v>
      </c>
      <c r="W212" s="22" t="str">
        <f t="shared" si="159"/>
        <v>짝수</v>
      </c>
      <c r="X212" s="22" t="str">
        <f t="shared" si="160"/>
        <v>홀수</v>
      </c>
      <c r="Y212" s="22" t="str">
        <f t="shared" si="161"/>
        <v>홀수</v>
      </c>
      <c r="Z212" s="22" t="str">
        <f t="shared" si="162"/>
        <v>짝수</v>
      </c>
      <c r="AA212" s="22" t="str">
        <f t="shared" si="163"/>
        <v>짝수</v>
      </c>
      <c r="AB212" s="22" t="str">
        <f t="shared" si="164"/>
        <v>짝수</v>
      </c>
      <c r="AC212" s="52" t="str">
        <f t="shared" si="165"/>
        <v>2 : 4</v>
      </c>
      <c r="AD212" s="22">
        <f t="shared" si="166"/>
        <v>2</v>
      </c>
      <c r="AE212" s="22">
        <f t="shared" si="167"/>
        <v>4</v>
      </c>
      <c r="AF212" s="22" t="str">
        <f t="shared" si="175"/>
        <v>저수</v>
      </c>
      <c r="AG212" s="22" t="str">
        <f t="shared" si="176"/>
        <v>고수</v>
      </c>
      <c r="AH212" s="22" t="str">
        <f t="shared" si="177"/>
        <v>고수</v>
      </c>
      <c r="AI212" s="22" t="str">
        <f t="shared" si="178"/>
        <v>고수</v>
      </c>
      <c r="AJ212" s="22" t="str">
        <f t="shared" si="179"/>
        <v>고수</v>
      </c>
      <c r="AK212" s="22" t="str">
        <f t="shared" si="180"/>
        <v>고수</v>
      </c>
      <c r="AL212" s="52" t="str">
        <f t="shared" si="181"/>
        <v>1 : 5</v>
      </c>
      <c r="AM212" s="22">
        <f t="shared" si="182"/>
        <v>1</v>
      </c>
      <c r="AN212" s="22">
        <f t="shared" si="183"/>
        <v>5</v>
      </c>
      <c r="AO212" s="22">
        <f t="shared" si="184"/>
        <v>18</v>
      </c>
      <c r="AP212" s="22" t="str">
        <f t="shared" si="185"/>
        <v>X</v>
      </c>
      <c r="AQ212" s="22" t="str">
        <f t="shared" si="186"/>
        <v>X</v>
      </c>
      <c r="AR212" s="22" t="str">
        <f t="shared" si="187"/>
        <v>X</v>
      </c>
      <c r="AS212" s="22" t="str">
        <f t="shared" si="188"/>
        <v>X</v>
      </c>
      <c r="AT212" s="22" t="str">
        <f t="shared" si="189"/>
        <v>X</v>
      </c>
      <c r="AU212" s="22" t="str">
        <f t="shared" si="190"/>
        <v>X</v>
      </c>
      <c r="AV212" s="22" t="str">
        <f t="shared" si="191"/>
        <v>X</v>
      </c>
      <c r="AW212" s="22" t="str">
        <f t="shared" si="192"/>
        <v>X</v>
      </c>
      <c r="AX212" s="22" t="str">
        <f t="shared" si="193"/>
        <v>O</v>
      </c>
      <c r="AY212" s="22" t="str">
        <f t="shared" si="194"/>
        <v>X</v>
      </c>
      <c r="AZ212" s="22" t="str">
        <f t="shared" si="195"/>
        <v>X</v>
      </c>
      <c r="BA212" s="22" t="str">
        <f t="shared" si="196"/>
        <v>X</v>
      </c>
      <c r="BB212" s="22">
        <f t="shared" si="197"/>
        <v>1</v>
      </c>
      <c r="BC212" s="22" t="str">
        <f t="shared" si="168"/>
        <v>1G</v>
      </c>
      <c r="BD212" s="22" t="str">
        <f t="shared" si="169"/>
        <v>2G</v>
      </c>
      <c r="BE212" s="22" t="str">
        <f t="shared" si="170"/>
        <v>3G</v>
      </c>
      <c r="BF212" s="22" t="str">
        <f t="shared" si="171"/>
        <v>3G</v>
      </c>
      <c r="BG212" s="22" t="str">
        <f t="shared" si="172"/>
        <v>3G</v>
      </c>
      <c r="BH212" s="22" t="str">
        <f t="shared" si="173"/>
        <v>3G</v>
      </c>
      <c r="BI212" s="22">
        <f t="shared" si="198"/>
        <v>1</v>
      </c>
      <c r="BJ212" s="22">
        <f t="shared" si="199"/>
        <v>1</v>
      </c>
      <c r="BK212" s="22">
        <f t="shared" si="200"/>
        <v>4</v>
      </c>
      <c r="BL212" s="22" t="str">
        <f t="shared" si="201"/>
        <v>114</v>
      </c>
      <c r="BS212"/>
      <c r="CL212" s="23">
        <v>132</v>
      </c>
      <c r="CM212" s="23">
        <v>130</v>
      </c>
      <c r="CO212"/>
    </row>
    <row r="213" spans="1:93" ht="17" hidden="1">
      <c r="B213" s="15">
        <v>209</v>
      </c>
      <c r="C213" s="23" t="s">
        <v>239</v>
      </c>
      <c r="D213" s="16">
        <v>6</v>
      </c>
      <c r="E213" s="17">
        <v>1660896350</v>
      </c>
      <c r="F213" s="16">
        <v>34</v>
      </c>
      <c r="G213" s="17">
        <v>48849893</v>
      </c>
      <c r="H213" s="17">
        <v>1358</v>
      </c>
      <c r="I213" s="17">
        <v>1223046</v>
      </c>
      <c r="J213" s="17">
        <v>65973</v>
      </c>
      <c r="K213" s="17">
        <v>50351</v>
      </c>
      <c r="L213" s="17">
        <v>1053545</v>
      </c>
      <c r="M213" s="17">
        <v>5000</v>
      </c>
      <c r="N213" s="23">
        <v>2</v>
      </c>
      <c r="O213" s="23">
        <v>7</v>
      </c>
      <c r="P213" s="23">
        <v>18</v>
      </c>
      <c r="Q213" s="23">
        <v>20</v>
      </c>
      <c r="R213" s="23">
        <v>24</v>
      </c>
      <c r="S213" s="23">
        <v>33</v>
      </c>
      <c r="T213" s="23">
        <v>37</v>
      </c>
      <c r="U213" s="23">
        <f t="shared" si="174"/>
        <v>104</v>
      </c>
      <c r="W213" s="22" t="str">
        <f t="shared" si="159"/>
        <v>짝수</v>
      </c>
      <c r="X213" s="22" t="str">
        <f t="shared" si="160"/>
        <v>홀수</v>
      </c>
      <c r="Y213" s="22" t="str">
        <f t="shared" si="161"/>
        <v>짝수</v>
      </c>
      <c r="Z213" s="22" t="str">
        <f t="shared" si="162"/>
        <v>짝수</v>
      </c>
      <c r="AA213" s="22" t="str">
        <f t="shared" si="163"/>
        <v>짝수</v>
      </c>
      <c r="AB213" s="22" t="str">
        <f t="shared" si="164"/>
        <v>홀수</v>
      </c>
      <c r="AC213" s="52" t="str">
        <f t="shared" si="165"/>
        <v>2 : 4</v>
      </c>
      <c r="AD213" s="22">
        <f t="shared" si="166"/>
        <v>2</v>
      </c>
      <c r="AE213" s="22">
        <f t="shared" si="167"/>
        <v>4</v>
      </c>
      <c r="AF213" s="22" t="str">
        <f t="shared" si="175"/>
        <v>저수</v>
      </c>
      <c r="AG213" s="22" t="str">
        <f t="shared" si="176"/>
        <v>저수</v>
      </c>
      <c r="AH213" s="22" t="str">
        <f t="shared" si="177"/>
        <v>저수</v>
      </c>
      <c r="AI213" s="22" t="str">
        <f t="shared" si="178"/>
        <v>저수</v>
      </c>
      <c r="AJ213" s="22" t="str">
        <f t="shared" si="179"/>
        <v>고수</v>
      </c>
      <c r="AK213" s="22" t="str">
        <f t="shared" si="180"/>
        <v>고수</v>
      </c>
      <c r="AL213" s="52" t="str">
        <f t="shared" si="181"/>
        <v>4 : 2</v>
      </c>
      <c r="AM213" s="22">
        <f t="shared" si="182"/>
        <v>4</v>
      </c>
      <c r="AN213" s="22">
        <f t="shared" si="183"/>
        <v>2</v>
      </c>
      <c r="AO213" s="22">
        <f t="shared" si="184"/>
        <v>24</v>
      </c>
      <c r="AP213" s="22" t="str">
        <f t="shared" si="185"/>
        <v>O</v>
      </c>
      <c r="AQ213" s="22" t="str">
        <f t="shared" si="186"/>
        <v>O</v>
      </c>
      <c r="AR213" s="22" t="str">
        <f t="shared" si="187"/>
        <v>X</v>
      </c>
      <c r="AS213" s="22" t="str">
        <f t="shared" si="188"/>
        <v>X</v>
      </c>
      <c r="AT213" s="22" t="str">
        <f t="shared" si="189"/>
        <v>X</v>
      </c>
      <c r="AU213" s="22" t="str">
        <f t="shared" si="190"/>
        <v>X</v>
      </c>
      <c r="AV213" s="22" t="str">
        <f t="shared" si="191"/>
        <v>X</v>
      </c>
      <c r="AW213" s="22" t="str">
        <f t="shared" si="192"/>
        <v>X</v>
      </c>
      <c r="AX213" s="22" t="str">
        <f t="shared" si="193"/>
        <v>X</v>
      </c>
      <c r="AY213" s="22" t="str">
        <f t="shared" si="194"/>
        <v>X</v>
      </c>
      <c r="AZ213" s="22" t="str">
        <f t="shared" si="195"/>
        <v>X</v>
      </c>
      <c r="BA213" s="22" t="str">
        <f t="shared" si="196"/>
        <v>X</v>
      </c>
      <c r="BB213" s="22">
        <f t="shared" si="197"/>
        <v>2</v>
      </c>
      <c r="BC213" s="22" t="str">
        <f t="shared" si="168"/>
        <v>1G</v>
      </c>
      <c r="BD213" s="22" t="str">
        <f t="shared" si="169"/>
        <v>1G</v>
      </c>
      <c r="BE213" s="22" t="str">
        <f t="shared" si="170"/>
        <v>2G</v>
      </c>
      <c r="BF213" s="22" t="str">
        <f t="shared" si="171"/>
        <v>2G</v>
      </c>
      <c r="BG213" s="22" t="str">
        <f t="shared" si="172"/>
        <v>2G</v>
      </c>
      <c r="BH213" s="22" t="str">
        <f t="shared" si="173"/>
        <v>3G</v>
      </c>
      <c r="BI213" s="22">
        <f t="shared" si="198"/>
        <v>2</v>
      </c>
      <c r="BJ213" s="22">
        <f t="shared" si="199"/>
        <v>3</v>
      </c>
      <c r="BK213" s="22">
        <f t="shared" si="200"/>
        <v>1</v>
      </c>
      <c r="BL213" s="22" t="str">
        <f t="shared" si="201"/>
        <v>231</v>
      </c>
      <c r="BS213"/>
      <c r="CL213" s="23">
        <v>132</v>
      </c>
      <c r="CM213" s="23">
        <v>130</v>
      </c>
      <c r="CO213"/>
    </row>
    <row r="214" spans="1:93" ht="17" hidden="1">
      <c r="B214" s="15">
        <v>210</v>
      </c>
      <c r="C214" s="23" t="s">
        <v>240</v>
      </c>
      <c r="D214" s="16">
        <v>2</v>
      </c>
      <c r="E214" s="17">
        <v>5139085950</v>
      </c>
      <c r="F214" s="16">
        <v>46</v>
      </c>
      <c r="G214" s="17">
        <v>37239754</v>
      </c>
      <c r="H214" s="17">
        <v>1298</v>
      </c>
      <c r="I214" s="17">
        <v>1319745</v>
      </c>
      <c r="J214" s="17">
        <v>64325</v>
      </c>
      <c r="K214" s="17">
        <v>53262</v>
      </c>
      <c r="L214" s="17">
        <v>1049739</v>
      </c>
      <c r="M214" s="17">
        <v>5000</v>
      </c>
      <c r="N214" s="23">
        <v>10</v>
      </c>
      <c r="O214" s="23">
        <v>19</v>
      </c>
      <c r="P214" s="23">
        <v>22</v>
      </c>
      <c r="Q214" s="23">
        <v>23</v>
      </c>
      <c r="R214" s="23">
        <v>25</v>
      </c>
      <c r="S214" s="23">
        <v>37</v>
      </c>
      <c r="T214" s="23">
        <v>39</v>
      </c>
      <c r="U214" s="23">
        <f t="shared" si="174"/>
        <v>136</v>
      </c>
      <c r="W214" s="22" t="str">
        <f t="shared" si="159"/>
        <v>짝수</v>
      </c>
      <c r="X214" s="22" t="str">
        <f t="shared" si="160"/>
        <v>홀수</v>
      </c>
      <c r="Y214" s="22" t="str">
        <f t="shared" si="161"/>
        <v>짝수</v>
      </c>
      <c r="Z214" s="22" t="str">
        <f t="shared" si="162"/>
        <v>홀수</v>
      </c>
      <c r="AA214" s="22" t="str">
        <f t="shared" si="163"/>
        <v>홀수</v>
      </c>
      <c r="AB214" s="22" t="str">
        <f t="shared" si="164"/>
        <v>홀수</v>
      </c>
      <c r="AC214" s="52" t="str">
        <f t="shared" si="165"/>
        <v>4 : 2</v>
      </c>
      <c r="AD214" s="22">
        <f t="shared" si="166"/>
        <v>4</v>
      </c>
      <c r="AE214" s="22">
        <f t="shared" si="167"/>
        <v>2</v>
      </c>
      <c r="AF214" s="22" t="str">
        <f t="shared" si="175"/>
        <v>저수</v>
      </c>
      <c r="AG214" s="22" t="str">
        <f t="shared" si="176"/>
        <v>저수</v>
      </c>
      <c r="AH214" s="22" t="str">
        <f t="shared" si="177"/>
        <v>저수</v>
      </c>
      <c r="AI214" s="22" t="str">
        <f t="shared" si="178"/>
        <v>고수</v>
      </c>
      <c r="AJ214" s="22" t="str">
        <f t="shared" si="179"/>
        <v>고수</v>
      </c>
      <c r="AK214" s="22" t="str">
        <f t="shared" si="180"/>
        <v>고수</v>
      </c>
      <c r="AL214" s="52" t="str">
        <f t="shared" si="181"/>
        <v>3 : 3</v>
      </c>
      <c r="AM214" s="22">
        <f t="shared" si="182"/>
        <v>3</v>
      </c>
      <c r="AN214" s="22">
        <f t="shared" si="183"/>
        <v>3</v>
      </c>
      <c r="AO214" s="22">
        <f t="shared" si="184"/>
        <v>26</v>
      </c>
      <c r="AP214" s="22" t="str">
        <f t="shared" si="185"/>
        <v>X</v>
      </c>
      <c r="AQ214" s="22" t="str">
        <f t="shared" si="186"/>
        <v>O</v>
      </c>
      <c r="AR214" s="22" t="str">
        <f t="shared" si="187"/>
        <v>X</v>
      </c>
      <c r="AS214" s="22" t="str">
        <f t="shared" si="188"/>
        <v>X</v>
      </c>
      <c r="AT214" s="22" t="str">
        <f t="shared" si="189"/>
        <v>X</v>
      </c>
      <c r="AU214" s="22" t="str">
        <f t="shared" si="190"/>
        <v>X</v>
      </c>
      <c r="AV214" s="22" t="str">
        <f t="shared" si="191"/>
        <v>X</v>
      </c>
      <c r="AW214" s="22" t="str">
        <f t="shared" si="192"/>
        <v>X</v>
      </c>
      <c r="AX214" s="22" t="str">
        <f t="shared" si="193"/>
        <v>X</v>
      </c>
      <c r="AY214" s="22" t="str">
        <f t="shared" si="194"/>
        <v>O</v>
      </c>
      <c r="AZ214" s="22" t="str">
        <f t="shared" si="195"/>
        <v>X</v>
      </c>
      <c r="BA214" s="22" t="str">
        <f t="shared" si="196"/>
        <v>O</v>
      </c>
      <c r="BB214" s="22">
        <f t="shared" si="197"/>
        <v>3</v>
      </c>
      <c r="BC214" s="22" t="str">
        <f t="shared" si="168"/>
        <v>1G</v>
      </c>
      <c r="BD214" s="22" t="str">
        <f t="shared" si="169"/>
        <v>2G</v>
      </c>
      <c r="BE214" s="22" t="str">
        <f t="shared" si="170"/>
        <v>2G</v>
      </c>
      <c r="BF214" s="22" t="str">
        <f t="shared" si="171"/>
        <v>2G</v>
      </c>
      <c r="BG214" s="22" t="str">
        <f t="shared" si="172"/>
        <v>2G</v>
      </c>
      <c r="BH214" s="22" t="str">
        <f t="shared" si="173"/>
        <v>3G</v>
      </c>
      <c r="BI214" s="22">
        <f t="shared" si="198"/>
        <v>1</v>
      </c>
      <c r="BJ214" s="22">
        <f t="shared" si="199"/>
        <v>4</v>
      </c>
      <c r="BK214" s="22">
        <f t="shared" si="200"/>
        <v>1</v>
      </c>
      <c r="BL214" s="22" t="str">
        <f t="shared" si="201"/>
        <v>141</v>
      </c>
      <c r="BS214"/>
      <c r="CL214" s="23">
        <v>132</v>
      </c>
      <c r="CM214" s="23">
        <v>130</v>
      </c>
      <c r="CO214"/>
    </row>
    <row r="215" spans="1:93" ht="17" hidden="1">
      <c r="B215" s="15">
        <v>211</v>
      </c>
      <c r="C215" s="23" t="s">
        <v>241</v>
      </c>
      <c r="D215" s="16">
        <v>10</v>
      </c>
      <c r="E215" s="17">
        <v>1035800250</v>
      </c>
      <c r="F215" s="16">
        <v>29</v>
      </c>
      <c r="G215" s="17">
        <v>59528750</v>
      </c>
      <c r="H215" s="17">
        <v>1308</v>
      </c>
      <c r="I215" s="17">
        <v>1319828</v>
      </c>
      <c r="J215" s="17">
        <v>64785</v>
      </c>
      <c r="K215" s="17">
        <v>53295</v>
      </c>
      <c r="L215" s="17">
        <v>1080600</v>
      </c>
      <c r="M215" s="17">
        <v>5000</v>
      </c>
      <c r="N215" s="23">
        <v>12</v>
      </c>
      <c r="O215" s="23">
        <v>13</v>
      </c>
      <c r="P215" s="23">
        <v>17</v>
      </c>
      <c r="Q215" s="23">
        <v>20</v>
      </c>
      <c r="R215" s="23">
        <v>33</v>
      </c>
      <c r="S215" s="23">
        <v>41</v>
      </c>
      <c r="T215" s="23">
        <v>8</v>
      </c>
      <c r="U215" s="23">
        <f t="shared" si="174"/>
        <v>136</v>
      </c>
      <c r="W215" s="22" t="str">
        <f t="shared" si="159"/>
        <v>짝수</v>
      </c>
      <c r="X215" s="22" t="str">
        <f t="shared" si="160"/>
        <v>홀수</v>
      </c>
      <c r="Y215" s="22" t="str">
        <f t="shared" si="161"/>
        <v>홀수</v>
      </c>
      <c r="Z215" s="22" t="str">
        <f t="shared" si="162"/>
        <v>짝수</v>
      </c>
      <c r="AA215" s="22" t="str">
        <f t="shared" si="163"/>
        <v>홀수</v>
      </c>
      <c r="AB215" s="22" t="str">
        <f t="shared" si="164"/>
        <v>홀수</v>
      </c>
      <c r="AC215" s="52" t="str">
        <f t="shared" si="165"/>
        <v>4 : 2</v>
      </c>
      <c r="AD215" s="22">
        <f t="shared" si="166"/>
        <v>4</v>
      </c>
      <c r="AE215" s="22">
        <f t="shared" si="167"/>
        <v>2</v>
      </c>
      <c r="AF215" s="22" t="str">
        <f t="shared" si="175"/>
        <v>저수</v>
      </c>
      <c r="AG215" s="22" t="str">
        <f t="shared" si="176"/>
        <v>저수</v>
      </c>
      <c r="AH215" s="22" t="str">
        <f t="shared" si="177"/>
        <v>저수</v>
      </c>
      <c r="AI215" s="22" t="str">
        <f t="shared" si="178"/>
        <v>저수</v>
      </c>
      <c r="AJ215" s="22" t="str">
        <f t="shared" si="179"/>
        <v>고수</v>
      </c>
      <c r="AK215" s="22" t="str">
        <f t="shared" si="180"/>
        <v>고수</v>
      </c>
      <c r="AL215" s="52" t="str">
        <f t="shared" si="181"/>
        <v>4 : 2</v>
      </c>
      <c r="AM215" s="22">
        <f t="shared" si="182"/>
        <v>4</v>
      </c>
      <c r="AN215" s="22">
        <f t="shared" si="183"/>
        <v>2</v>
      </c>
      <c r="AO215" s="22">
        <f t="shared" si="184"/>
        <v>16</v>
      </c>
      <c r="AP215" s="22" t="str">
        <f t="shared" si="185"/>
        <v>X</v>
      </c>
      <c r="AQ215" s="22" t="str">
        <f t="shared" si="186"/>
        <v>O</v>
      </c>
      <c r="AR215" s="22" t="str">
        <f t="shared" si="187"/>
        <v>O</v>
      </c>
      <c r="AS215" s="22" t="str">
        <f t="shared" si="188"/>
        <v>X</v>
      </c>
      <c r="AT215" s="22" t="str">
        <f t="shared" si="189"/>
        <v>X</v>
      </c>
      <c r="AU215" s="22" t="str">
        <f t="shared" si="190"/>
        <v>X</v>
      </c>
      <c r="AV215" s="22" t="str">
        <f t="shared" si="191"/>
        <v>X</v>
      </c>
      <c r="AW215" s="22" t="str">
        <f t="shared" si="192"/>
        <v>X</v>
      </c>
      <c r="AX215" s="22" t="str">
        <f t="shared" si="193"/>
        <v>X</v>
      </c>
      <c r="AY215" s="22" t="str">
        <f t="shared" si="194"/>
        <v>X</v>
      </c>
      <c r="AZ215" s="22" t="str">
        <f t="shared" si="195"/>
        <v>X</v>
      </c>
      <c r="BA215" s="22" t="str">
        <f t="shared" si="196"/>
        <v>O</v>
      </c>
      <c r="BB215" s="22">
        <f t="shared" si="197"/>
        <v>3</v>
      </c>
      <c r="BC215" s="22" t="str">
        <f t="shared" si="168"/>
        <v>1G</v>
      </c>
      <c r="BD215" s="22" t="str">
        <f t="shared" si="169"/>
        <v>1G</v>
      </c>
      <c r="BE215" s="22" t="str">
        <f t="shared" si="170"/>
        <v>2G</v>
      </c>
      <c r="BF215" s="22" t="str">
        <f t="shared" si="171"/>
        <v>2G</v>
      </c>
      <c r="BG215" s="22" t="str">
        <f t="shared" si="172"/>
        <v>3G</v>
      </c>
      <c r="BH215" s="22" t="str">
        <f t="shared" si="173"/>
        <v>3G</v>
      </c>
      <c r="BI215" s="22">
        <f t="shared" si="198"/>
        <v>2</v>
      </c>
      <c r="BJ215" s="22">
        <f t="shared" si="199"/>
        <v>2</v>
      </c>
      <c r="BK215" s="22">
        <f t="shared" si="200"/>
        <v>2</v>
      </c>
      <c r="BL215" s="22" t="str">
        <f t="shared" si="201"/>
        <v>222</v>
      </c>
      <c r="BS215"/>
      <c r="CL215" s="23">
        <v>132</v>
      </c>
      <c r="CM215" s="23">
        <v>130</v>
      </c>
      <c r="CO215"/>
    </row>
    <row r="216" spans="1:93" ht="17" hidden="1">
      <c r="B216" s="15">
        <v>212</v>
      </c>
      <c r="C216" s="23" t="s">
        <v>242</v>
      </c>
      <c r="D216" s="16">
        <v>4</v>
      </c>
      <c r="E216" s="17">
        <v>2660747250</v>
      </c>
      <c r="F216" s="16">
        <v>36</v>
      </c>
      <c r="G216" s="17">
        <v>49273098</v>
      </c>
      <c r="H216" s="17">
        <v>1228</v>
      </c>
      <c r="I216" s="17">
        <v>1444489</v>
      </c>
      <c r="J216" s="17">
        <v>64059</v>
      </c>
      <c r="K216" s="17">
        <v>55382</v>
      </c>
      <c r="L216" s="17">
        <v>1066249</v>
      </c>
      <c r="M216" s="17">
        <v>5000</v>
      </c>
      <c r="N216" s="23">
        <v>11</v>
      </c>
      <c r="O216" s="23">
        <v>12</v>
      </c>
      <c r="P216" s="23">
        <v>18</v>
      </c>
      <c r="Q216" s="23">
        <v>21</v>
      </c>
      <c r="R216" s="23">
        <v>31</v>
      </c>
      <c r="S216" s="23">
        <v>38</v>
      </c>
      <c r="T216" s="23">
        <v>8</v>
      </c>
      <c r="U216" s="23">
        <f t="shared" si="174"/>
        <v>131</v>
      </c>
      <c r="W216" s="22" t="str">
        <f t="shared" si="159"/>
        <v>홀수</v>
      </c>
      <c r="X216" s="22" t="str">
        <f t="shared" si="160"/>
        <v>짝수</v>
      </c>
      <c r="Y216" s="22" t="str">
        <f t="shared" si="161"/>
        <v>짝수</v>
      </c>
      <c r="Z216" s="22" t="str">
        <f t="shared" si="162"/>
        <v>홀수</v>
      </c>
      <c r="AA216" s="22" t="str">
        <f t="shared" si="163"/>
        <v>홀수</v>
      </c>
      <c r="AB216" s="22" t="str">
        <f t="shared" si="164"/>
        <v>짝수</v>
      </c>
      <c r="AC216" s="52" t="str">
        <f t="shared" si="165"/>
        <v>3 : 3</v>
      </c>
      <c r="AD216" s="22">
        <f t="shared" si="166"/>
        <v>3</v>
      </c>
      <c r="AE216" s="22">
        <f t="shared" si="167"/>
        <v>3</v>
      </c>
      <c r="AF216" s="22" t="str">
        <f t="shared" si="175"/>
        <v>저수</v>
      </c>
      <c r="AG216" s="22" t="str">
        <f t="shared" si="176"/>
        <v>저수</v>
      </c>
      <c r="AH216" s="22" t="str">
        <f t="shared" si="177"/>
        <v>저수</v>
      </c>
      <c r="AI216" s="22" t="str">
        <f t="shared" si="178"/>
        <v>저수</v>
      </c>
      <c r="AJ216" s="22" t="str">
        <f t="shared" si="179"/>
        <v>고수</v>
      </c>
      <c r="AK216" s="22" t="str">
        <f t="shared" si="180"/>
        <v>고수</v>
      </c>
      <c r="AL216" s="52" t="str">
        <f t="shared" si="181"/>
        <v>4 : 2</v>
      </c>
      <c r="AM216" s="22">
        <f t="shared" si="182"/>
        <v>4</v>
      </c>
      <c r="AN216" s="22">
        <f t="shared" si="183"/>
        <v>2</v>
      </c>
      <c r="AO216" s="22">
        <f t="shared" si="184"/>
        <v>21</v>
      </c>
      <c r="AP216" s="22" t="str">
        <f t="shared" si="185"/>
        <v>O</v>
      </c>
      <c r="AQ216" s="22" t="str">
        <f t="shared" si="186"/>
        <v>X</v>
      </c>
      <c r="AR216" s="22" t="str">
        <f t="shared" si="187"/>
        <v>X</v>
      </c>
      <c r="AS216" s="22" t="str">
        <f t="shared" si="188"/>
        <v>X</v>
      </c>
      <c r="AT216" s="22" t="str">
        <f t="shared" si="189"/>
        <v>X</v>
      </c>
      <c r="AU216" s="22" t="str">
        <f t="shared" si="190"/>
        <v>X</v>
      </c>
      <c r="AV216" s="22" t="str">
        <f t="shared" si="191"/>
        <v>X</v>
      </c>
      <c r="AW216" s="22" t="str">
        <f t="shared" si="192"/>
        <v>X</v>
      </c>
      <c r="AX216" s="22" t="str">
        <f t="shared" si="193"/>
        <v>X</v>
      </c>
      <c r="AY216" s="22" t="str">
        <f t="shared" si="194"/>
        <v>X</v>
      </c>
      <c r="AZ216" s="22" t="str">
        <f t="shared" si="195"/>
        <v>O</v>
      </c>
      <c r="BA216" s="22" t="str">
        <f t="shared" si="196"/>
        <v>X</v>
      </c>
      <c r="BB216" s="22">
        <f t="shared" si="197"/>
        <v>2</v>
      </c>
      <c r="BC216" s="22" t="str">
        <f t="shared" si="168"/>
        <v>1G</v>
      </c>
      <c r="BD216" s="22" t="str">
        <f t="shared" si="169"/>
        <v>1G</v>
      </c>
      <c r="BE216" s="22" t="str">
        <f t="shared" si="170"/>
        <v>2G</v>
      </c>
      <c r="BF216" s="22" t="str">
        <f t="shared" si="171"/>
        <v>2G</v>
      </c>
      <c r="BG216" s="22" t="str">
        <f t="shared" si="172"/>
        <v>3G</v>
      </c>
      <c r="BH216" s="22" t="str">
        <f t="shared" si="173"/>
        <v>3G</v>
      </c>
      <c r="BI216" s="22">
        <f t="shared" si="198"/>
        <v>2</v>
      </c>
      <c r="BJ216" s="22">
        <f t="shared" si="199"/>
        <v>2</v>
      </c>
      <c r="BK216" s="22">
        <f t="shared" si="200"/>
        <v>2</v>
      </c>
      <c r="BL216" s="22" t="str">
        <f t="shared" si="201"/>
        <v>222</v>
      </c>
      <c r="BS216"/>
      <c r="CL216" s="23">
        <v>132</v>
      </c>
      <c r="CM216" s="23">
        <v>130</v>
      </c>
      <c r="CO216"/>
    </row>
    <row r="217" spans="1:93" ht="17" hidden="1">
      <c r="B217" s="15">
        <v>213</v>
      </c>
      <c r="C217" s="23" t="s">
        <v>243</v>
      </c>
      <c r="D217" s="16">
        <v>8</v>
      </c>
      <c r="E217" s="17">
        <v>1376678025</v>
      </c>
      <c r="F217" s="16">
        <v>33</v>
      </c>
      <c r="G217" s="17">
        <v>55623355</v>
      </c>
      <c r="H217" s="17">
        <v>1977</v>
      </c>
      <c r="I217" s="17">
        <v>928463</v>
      </c>
      <c r="J217" s="17">
        <v>95451</v>
      </c>
      <c r="K217" s="17">
        <v>38462</v>
      </c>
      <c r="L217" s="17">
        <v>1203368</v>
      </c>
      <c r="M217" s="17">
        <v>5000</v>
      </c>
      <c r="N217" s="23">
        <v>2</v>
      </c>
      <c r="O217" s="23">
        <v>3</v>
      </c>
      <c r="P217" s="23">
        <v>4</v>
      </c>
      <c r="Q217" s="23">
        <v>5</v>
      </c>
      <c r="R217" s="23">
        <v>20</v>
      </c>
      <c r="S217" s="23">
        <v>24</v>
      </c>
      <c r="T217" s="23">
        <v>42</v>
      </c>
      <c r="U217" s="23">
        <f t="shared" si="174"/>
        <v>58</v>
      </c>
      <c r="W217" s="22" t="str">
        <f t="shared" si="159"/>
        <v>짝수</v>
      </c>
      <c r="X217" s="22" t="str">
        <f t="shared" si="160"/>
        <v>홀수</v>
      </c>
      <c r="Y217" s="22" t="str">
        <f t="shared" si="161"/>
        <v>짝수</v>
      </c>
      <c r="Z217" s="22" t="str">
        <f t="shared" si="162"/>
        <v>홀수</v>
      </c>
      <c r="AA217" s="22" t="str">
        <f t="shared" si="163"/>
        <v>짝수</v>
      </c>
      <c r="AB217" s="22" t="str">
        <f t="shared" si="164"/>
        <v>짝수</v>
      </c>
      <c r="AC217" s="52" t="str">
        <f t="shared" si="165"/>
        <v>2 : 4</v>
      </c>
      <c r="AD217" s="22">
        <f t="shared" si="166"/>
        <v>2</v>
      </c>
      <c r="AE217" s="22">
        <f t="shared" si="167"/>
        <v>4</v>
      </c>
      <c r="AF217" s="22" t="str">
        <f t="shared" si="175"/>
        <v>저수</v>
      </c>
      <c r="AG217" s="22" t="str">
        <f t="shared" si="176"/>
        <v>저수</v>
      </c>
      <c r="AH217" s="22" t="str">
        <f t="shared" si="177"/>
        <v>저수</v>
      </c>
      <c r="AI217" s="22" t="str">
        <f t="shared" si="178"/>
        <v>저수</v>
      </c>
      <c r="AJ217" s="22" t="str">
        <f t="shared" si="179"/>
        <v>저수</v>
      </c>
      <c r="AK217" s="22" t="str">
        <f t="shared" si="180"/>
        <v>고수</v>
      </c>
      <c r="AL217" s="52" t="str">
        <f t="shared" si="181"/>
        <v>5 : 1</v>
      </c>
      <c r="AM217" s="22">
        <f t="shared" si="182"/>
        <v>5</v>
      </c>
      <c r="AN217" s="22">
        <f t="shared" si="183"/>
        <v>1</v>
      </c>
      <c r="AO217" s="22">
        <f t="shared" si="184"/>
        <v>18</v>
      </c>
      <c r="AP217" s="22" t="str">
        <f t="shared" si="185"/>
        <v>O</v>
      </c>
      <c r="AQ217" s="22" t="str">
        <f t="shared" si="186"/>
        <v>O</v>
      </c>
      <c r="AR217" s="22" t="str">
        <f t="shared" si="187"/>
        <v>X</v>
      </c>
      <c r="AS217" s="22" t="str">
        <f t="shared" si="188"/>
        <v>O</v>
      </c>
      <c r="AT217" s="22" t="str">
        <f t="shared" si="189"/>
        <v>X</v>
      </c>
      <c r="AU217" s="22" t="str">
        <f t="shared" si="190"/>
        <v>X</v>
      </c>
      <c r="AV217" s="22" t="str">
        <f t="shared" si="191"/>
        <v>X</v>
      </c>
      <c r="AW217" s="22" t="str">
        <f t="shared" si="192"/>
        <v>X</v>
      </c>
      <c r="AX217" s="22" t="str">
        <f t="shared" si="193"/>
        <v>X</v>
      </c>
      <c r="AY217" s="22" t="str">
        <f t="shared" si="194"/>
        <v>X</v>
      </c>
      <c r="AZ217" s="22" t="str">
        <f t="shared" si="195"/>
        <v>X</v>
      </c>
      <c r="BA217" s="22" t="str">
        <f t="shared" si="196"/>
        <v>X</v>
      </c>
      <c r="BB217" s="22">
        <f t="shared" si="197"/>
        <v>3</v>
      </c>
      <c r="BC217" s="22" t="str">
        <f t="shared" si="168"/>
        <v>1G</v>
      </c>
      <c r="BD217" s="22" t="str">
        <f t="shared" si="169"/>
        <v>1G</v>
      </c>
      <c r="BE217" s="22" t="str">
        <f t="shared" si="170"/>
        <v>1G</v>
      </c>
      <c r="BF217" s="22" t="str">
        <f t="shared" si="171"/>
        <v>1G</v>
      </c>
      <c r="BG217" s="22" t="str">
        <f t="shared" si="172"/>
        <v>2G</v>
      </c>
      <c r="BH217" s="22" t="str">
        <f t="shared" si="173"/>
        <v>2G</v>
      </c>
      <c r="BI217" s="22">
        <f t="shared" si="198"/>
        <v>4</v>
      </c>
      <c r="BJ217" s="22">
        <f t="shared" si="199"/>
        <v>2</v>
      </c>
      <c r="BK217" s="22">
        <f t="shared" si="200"/>
        <v>0</v>
      </c>
      <c r="BL217" s="22" t="str">
        <f t="shared" si="201"/>
        <v>420</v>
      </c>
      <c r="BS217"/>
      <c r="CL217" s="23">
        <v>133</v>
      </c>
      <c r="CM217" s="23">
        <v>130</v>
      </c>
      <c r="CO217"/>
    </row>
    <row r="218" spans="1:93" ht="17" hidden="1">
      <c r="A218" s="16">
        <v>2007</v>
      </c>
      <c r="B218" s="15">
        <v>214</v>
      </c>
      <c r="C218" s="23" t="s">
        <v>244</v>
      </c>
      <c r="D218" s="16">
        <v>8</v>
      </c>
      <c r="E218" s="17">
        <v>1406980875</v>
      </c>
      <c r="F218" s="16">
        <v>36</v>
      </c>
      <c r="G218" s="17">
        <v>52110403</v>
      </c>
      <c r="H218" s="17">
        <v>1433</v>
      </c>
      <c r="I218" s="17">
        <v>1309124</v>
      </c>
      <c r="J218" s="17">
        <v>70219</v>
      </c>
      <c r="K218" s="17">
        <v>53433</v>
      </c>
      <c r="L218" s="17">
        <v>1167625</v>
      </c>
      <c r="M218" s="17">
        <v>5000</v>
      </c>
      <c r="N218" s="23">
        <v>5</v>
      </c>
      <c r="O218" s="23">
        <v>7</v>
      </c>
      <c r="P218" s="23">
        <v>20</v>
      </c>
      <c r="Q218" s="23">
        <v>25</v>
      </c>
      <c r="R218" s="23">
        <v>28</v>
      </c>
      <c r="S218" s="23">
        <v>37</v>
      </c>
      <c r="T218" s="23">
        <v>32</v>
      </c>
      <c r="U218" s="23">
        <f t="shared" si="174"/>
        <v>122</v>
      </c>
      <c r="W218" s="22" t="str">
        <f t="shared" si="159"/>
        <v>홀수</v>
      </c>
      <c r="X218" s="22" t="str">
        <f t="shared" si="160"/>
        <v>홀수</v>
      </c>
      <c r="Y218" s="22" t="str">
        <f t="shared" si="161"/>
        <v>짝수</v>
      </c>
      <c r="Z218" s="22" t="str">
        <f t="shared" si="162"/>
        <v>홀수</v>
      </c>
      <c r="AA218" s="22" t="str">
        <f t="shared" si="163"/>
        <v>짝수</v>
      </c>
      <c r="AB218" s="22" t="str">
        <f t="shared" si="164"/>
        <v>홀수</v>
      </c>
      <c r="AC218" s="52" t="str">
        <f t="shared" si="165"/>
        <v>4 : 2</v>
      </c>
      <c r="AD218" s="22">
        <f t="shared" si="166"/>
        <v>4</v>
      </c>
      <c r="AE218" s="22">
        <f t="shared" si="167"/>
        <v>2</v>
      </c>
      <c r="AF218" s="22" t="str">
        <f t="shared" si="175"/>
        <v>저수</v>
      </c>
      <c r="AG218" s="22" t="str">
        <f t="shared" si="176"/>
        <v>저수</v>
      </c>
      <c r="AH218" s="22" t="str">
        <f t="shared" si="177"/>
        <v>저수</v>
      </c>
      <c r="AI218" s="22" t="str">
        <f t="shared" si="178"/>
        <v>고수</v>
      </c>
      <c r="AJ218" s="22" t="str">
        <f t="shared" si="179"/>
        <v>고수</v>
      </c>
      <c r="AK218" s="22" t="str">
        <f t="shared" si="180"/>
        <v>고수</v>
      </c>
      <c r="AL218" s="52" t="str">
        <f t="shared" si="181"/>
        <v>3 : 3</v>
      </c>
      <c r="AM218" s="22">
        <f t="shared" si="182"/>
        <v>3</v>
      </c>
      <c r="AN218" s="22">
        <f t="shared" si="183"/>
        <v>3</v>
      </c>
      <c r="AO218" s="22">
        <f t="shared" si="184"/>
        <v>32</v>
      </c>
      <c r="AP218" s="22" t="str">
        <f t="shared" si="185"/>
        <v>O</v>
      </c>
      <c r="AQ218" s="22" t="str">
        <f t="shared" si="186"/>
        <v>O</v>
      </c>
      <c r="AR218" s="22" t="str">
        <f t="shared" si="187"/>
        <v>X</v>
      </c>
      <c r="AS218" s="22" t="str">
        <f t="shared" si="188"/>
        <v>X</v>
      </c>
      <c r="AT218" s="22" t="str">
        <f t="shared" si="189"/>
        <v>X</v>
      </c>
      <c r="AU218" s="22" t="str">
        <f t="shared" si="190"/>
        <v>X</v>
      </c>
      <c r="AV218" s="22" t="str">
        <f t="shared" si="191"/>
        <v>X</v>
      </c>
      <c r="AW218" s="22" t="str">
        <f t="shared" si="192"/>
        <v>X</v>
      </c>
      <c r="AX218" s="22" t="str">
        <f t="shared" si="193"/>
        <v>X</v>
      </c>
      <c r="AY218" s="22" t="str">
        <f t="shared" si="194"/>
        <v>X</v>
      </c>
      <c r="AZ218" s="22" t="str">
        <f t="shared" si="195"/>
        <v>X</v>
      </c>
      <c r="BA218" s="22" t="str">
        <f t="shared" si="196"/>
        <v>O</v>
      </c>
      <c r="BB218" s="22">
        <f t="shared" si="197"/>
        <v>3</v>
      </c>
      <c r="BC218" s="22" t="str">
        <f t="shared" si="168"/>
        <v>1G</v>
      </c>
      <c r="BD218" s="22" t="str">
        <f t="shared" si="169"/>
        <v>1G</v>
      </c>
      <c r="BE218" s="22" t="str">
        <f t="shared" si="170"/>
        <v>2G</v>
      </c>
      <c r="BF218" s="22" t="str">
        <f t="shared" si="171"/>
        <v>2G</v>
      </c>
      <c r="BG218" s="22" t="str">
        <f t="shared" si="172"/>
        <v>2G</v>
      </c>
      <c r="BH218" s="22" t="str">
        <f t="shared" si="173"/>
        <v>3G</v>
      </c>
      <c r="BI218" s="22">
        <f t="shared" si="198"/>
        <v>2</v>
      </c>
      <c r="BJ218" s="22">
        <f t="shared" si="199"/>
        <v>3</v>
      </c>
      <c r="BK218" s="22">
        <f t="shared" si="200"/>
        <v>1</v>
      </c>
      <c r="BL218" s="22" t="str">
        <f t="shared" si="201"/>
        <v>231</v>
      </c>
      <c r="BS218"/>
      <c r="CL218" s="23">
        <v>133</v>
      </c>
      <c r="CM218" s="23">
        <v>130</v>
      </c>
      <c r="CO218"/>
    </row>
    <row r="219" spans="1:93" ht="17" hidden="1">
      <c r="B219" s="15">
        <v>215</v>
      </c>
      <c r="C219" s="23" t="s">
        <v>245</v>
      </c>
      <c r="D219" s="16">
        <v>7</v>
      </c>
      <c r="E219" s="17">
        <v>1587689615</v>
      </c>
      <c r="F219" s="16">
        <v>32</v>
      </c>
      <c r="G219" s="17">
        <v>57884518</v>
      </c>
      <c r="H219" s="17">
        <v>1248</v>
      </c>
      <c r="I219" s="17">
        <v>1484219</v>
      </c>
      <c r="J219" s="17">
        <v>65898</v>
      </c>
      <c r="K219" s="17">
        <v>56218</v>
      </c>
      <c r="L219" s="17">
        <v>1062967</v>
      </c>
      <c r="M219" s="17">
        <v>5000</v>
      </c>
      <c r="N219" s="23">
        <v>2</v>
      </c>
      <c r="O219" s="23">
        <v>3</v>
      </c>
      <c r="P219" s="23">
        <v>7</v>
      </c>
      <c r="Q219" s="23">
        <v>15</v>
      </c>
      <c r="R219" s="23">
        <v>43</v>
      </c>
      <c r="S219" s="23">
        <v>44</v>
      </c>
      <c r="T219" s="23">
        <v>4</v>
      </c>
      <c r="U219" s="23">
        <f t="shared" si="174"/>
        <v>114</v>
      </c>
      <c r="W219" s="22" t="str">
        <f t="shared" si="159"/>
        <v>짝수</v>
      </c>
      <c r="X219" s="22" t="str">
        <f t="shared" si="160"/>
        <v>홀수</v>
      </c>
      <c r="Y219" s="22" t="str">
        <f t="shared" si="161"/>
        <v>홀수</v>
      </c>
      <c r="Z219" s="22" t="str">
        <f t="shared" si="162"/>
        <v>홀수</v>
      </c>
      <c r="AA219" s="22" t="str">
        <f t="shared" si="163"/>
        <v>홀수</v>
      </c>
      <c r="AB219" s="22" t="str">
        <f t="shared" si="164"/>
        <v>짝수</v>
      </c>
      <c r="AC219" s="52" t="str">
        <f t="shared" si="165"/>
        <v>4 : 2</v>
      </c>
      <c r="AD219" s="22">
        <f t="shared" si="166"/>
        <v>4</v>
      </c>
      <c r="AE219" s="22">
        <f t="shared" si="167"/>
        <v>2</v>
      </c>
      <c r="AF219" s="22" t="str">
        <f t="shared" si="175"/>
        <v>저수</v>
      </c>
      <c r="AG219" s="22" t="str">
        <f t="shared" si="176"/>
        <v>저수</v>
      </c>
      <c r="AH219" s="22" t="str">
        <f t="shared" si="177"/>
        <v>저수</v>
      </c>
      <c r="AI219" s="22" t="str">
        <f t="shared" si="178"/>
        <v>저수</v>
      </c>
      <c r="AJ219" s="22" t="str">
        <f t="shared" si="179"/>
        <v>고수</v>
      </c>
      <c r="AK219" s="22" t="str">
        <f t="shared" si="180"/>
        <v>고수</v>
      </c>
      <c r="AL219" s="52" t="str">
        <f t="shared" si="181"/>
        <v>4 : 2</v>
      </c>
      <c r="AM219" s="22">
        <f t="shared" si="182"/>
        <v>4</v>
      </c>
      <c r="AN219" s="22">
        <f t="shared" si="183"/>
        <v>2</v>
      </c>
      <c r="AO219" s="22">
        <f t="shared" si="184"/>
        <v>24</v>
      </c>
      <c r="AP219" s="22" t="str">
        <f t="shared" si="185"/>
        <v>O</v>
      </c>
      <c r="AQ219" s="22" t="str">
        <f t="shared" si="186"/>
        <v>O</v>
      </c>
      <c r="AR219" s="22" t="str">
        <f t="shared" si="187"/>
        <v>O</v>
      </c>
      <c r="AS219" s="22" t="str">
        <f t="shared" si="188"/>
        <v>X</v>
      </c>
      <c r="AT219" s="22" t="str">
        <f t="shared" si="189"/>
        <v>X</v>
      </c>
      <c r="AU219" s="22" t="str">
        <f t="shared" si="190"/>
        <v>X</v>
      </c>
      <c r="AV219" s="22" t="str">
        <f t="shared" si="191"/>
        <v>X</v>
      </c>
      <c r="AW219" s="22" t="str">
        <f t="shared" si="192"/>
        <v>X</v>
      </c>
      <c r="AX219" s="22" t="str">
        <f t="shared" si="193"/>
        <v>X</v>
      </c>
      <c r="AY219" s="22" t="str">
        <f t="shared" si="194"/>
        <v>X</v>
      </c>
      <c r="AZ219" s="22" t="str">
        <f t="shared" si="195"/>
        <v>O</v>
      </c>
      <c r="BA219" s="22" t="str">
        <f t="shared" si="196"/>
        <v>X</v>
      </c>
      <c r="BB219" s="22">
        <f t="shared" si="197"/>
        <v>4</v>
      </c>
      <c r="BC219" s="22" t="str">
        <f t="shared" si="168"/>
        <v>1G</v>
      </c>
      <c r="BD219" s="22" t="str">
        <f t="shared" si="169"/>
        <v>1G</v>
      </c>
      <c r="BE219" s="22" t="str">
        <f t="shared" si="170"/>
        <v>1G</v>
      </c>
      <c r="BF219" s="22" t="str">
        <f t="shared" si="171"/>
        <v>1G</v>
      </c>
      <c r="BG219" s="22" t="str">
        <f t="shared" si="172"/>
        <v>3G</v>
      </c>
      <c r="BH219" s="22" t="str">
        <f t="shared" si="173"/>
        <v>3G</v>
      </c>
      <c r="BI219" s="22">
        <f t="shared" si="198"/>
        <v>4</v>
      </c>
      <c r="BJ219" s="22">
        <f t="shared" si="199"/>
        <v>0</v>
      </c>
      <c r="BK219" s="22">
        <f t="shared" si="200"/>
        <v>2</v>
      </c>
      <c r="BL219" s="22" t="str">
        <f t="shared" si="201"/>
        <v>402</v>
      </c>
      <c r="BS219"/>
      <c r="CL219" s="23">
        <v>133</v>
      </c>
      <c r="CM219" s="23">
        <v>130</v>
      </c>
      <c r="CO219"/>
    </row>
    <row r="220" spans="1:93" ht="17" hidden="1">
      <c r="B220" s="15">
        <v>216</v>
      </c>
      <c r="C220" s="23" t="s">
        <v>246</v>
      </c>
      <c r="D220" s="16">
        <v>13</v>
      </c>
      <c r="E220" s="17">
        <v>848506108</v>
      </c>
      <c r="F220" s="16">
        <v>63</v>
      </c>
      <c r="G220" s="17">
        <v>29181427</v>
      </c>
      <c r="H220" s="17">
        <v>2612</v>
      </c>
      <c r="I220" s="17">
        <v>703840</v>
      </c>
      <c r="J220" s="17">
        <v>79174</v>
      </c>
      <c r="K220" s="17">
        <v>46441</v>
      </c>
      <c r="L220" s="17">
        <v>1157342</v>
      </c>
      <c r="M220" s="17">
        <v>5000</v>
      </c>
      <c r="N220" s="23">
        <v>7</v>
      </c>
      <c r="O220" s="23">
        <v>16</v>
      </c>
      <c r="P220" s="23">
        <v>17</v>
      </c>
      <c r="Q220" s="23">
        <v>33</v>
      </c>
      <c r="R220" s="23">
        <v>36</v>
      </c>
      <c r="S220" s="23">
        <v>40</v>
      </c>
      <c r="T220" s="23">
        <v>1</v>
      </c>
      <c r="U220" s="23">
        <f t="shared" si="174"/>
        <v>149</v>
      </c>
      <c r="W220" s="22" t="str">
        <f t="shared" si="159"/>
        <v>홀수</v>
      </c>
      <c r="X220" s="22" t="str">
        <f t="shared" si="160"/>
        <v>짝수</v>
      </c>
      <c r="Y220" s="22" t="str">
        <f t="shared" si="161"/>
        <v>홀수</v>
      </c>
      <c r="Z220" s="22" t="str">
        <f t="shared" si="162"/>
        <v>홀수</v>
      </c>
      <c r="AA220" s="22" t="str">
        <f t="shared" si="163"/>
        <v>짝수</v>
      </c>
      <c r="AB220" s="22" t="str">
        <f t="shared" si="164"/>
        <v>짝수</v>
      </c>
      <c r="AC220" s="52" t="str">
        <f t="shared" si="165"/>
        <v>3 : 3</v>
      </c>
      <c r="AD220" s="22">
        <f t="shared" si="166"/>
        <v>3</v>
      </c>
      <c r="AE220" s="22">
        <f t="shared" si="167"/>
        <v>3</v>
      </c>
      <c r="AF220" s="22" t="str">
        <f t="shared" si="175"/>
        <v>저수</v>
      </c>
      <c r="AG220" s="22" t="str">
        <f t="shared" si="176"/>
        <v>저수</v>
      </c>
      <c r="AH220" s="22" t="str">
        <f t="shared" si="177"/>
        <v>저수</v>
      </c>
      <c r="AI220" s="22" t="str">
        <f t="shared" si="178"/>
        <v>고수</v>
      </c>
      <c r="AJ220" s="22" t="str">
        <f t="shared" si="179"/>
        <v>고수</v>
      </c>
      <c r="AK220" s="22" t="str">
        <f t="shared" si="180"/>
        <v>고수</v>
      </c>
      <c r="AL220" s="52" t="str">
        <f t="shared" si="181"/>
        <v>3 : 3</v>
      </c>
      <c r="AM220" s="22">
        <f t="shared" si="182"/>
        <v>3</v>
      </c>
      <c r="AN220" s="22">
        <f t="shared" si="183"/>
        <v>3</v>
      </c>
      <c r="AO220" s="22">
        <f t="shared" si="184"/>
        <v>29</v>
      </c>
      <c r="AP220" s="22" t="str">
        <f t="shared" si="185"/>
        <v>O</v>
      </c>
      <c r="AQ220" s="22" t="str">
        <f t="shared" si="186"/>
        <v>X</v>
      </c>
      <c r="AR220" s="22" t="str">
        <f t="shared" si="187"/>
        <v>O</v>
      </c>
      <c r="AS220" s="22" t="str">
        <f t="shared" si="188"/>
        <v>X</v>
      </c>
      <c r="AT220" s="22" t="str">
        <f t="shared" si="189"/>
        <v>X</v>
      </c>
      <c r="AU220" s="22" t="str">
        <f t="shared" si="190"/>
        <v>X</v>
      </c>
      <c r="AV220" s="22" t="str">
        <f t="shared" si="191"/>
        <v>X</v>
      </c>
      <c r="AW220" s="22" t="str">
        <f t="shared" si="192"/>
        <v>X</v>
      </c>
      <c r="AX220" s="22" t="str">
        <f t="shared" si="193"/>
        <v>X</v>
      </c>
      <c r="AY220" s="22" t="str">
        <f t="shared" si="194"/>
        <v>X</v>
      </c>
      <c r="AZ220" s="22" t="str">
        <f t="shared" si="195"/>
        <v>X</v>
      </c>
      <c r="BA220" s="22" t="str">
        <f t="shared" si="196"/>
        <v>X</v>
      </c>
      <c r="BB220" s="22">
        <f t="shared" si="197"/>
        <v>2</v>
      </c>
      <c r="BC220" s="22" t="str">
        <f t="shared" si="168"/>
        <v>1G</v>
      </c>
      <c r="BD220" s="22" t="str">
        <f t="shared" si="169"/>
        <v>2G</v>
      </c>
      <c r="BE220" s="22" t="str">
        <f t="shared" si="170"/>
        <v>2G</v>
      </c>
      <c r="BF220" s="22" t="str">
        <f t="shared" si="171"/>
        <v>3G</v>
      </c>
      <c r="BG220" s="22" t="str">
        <f t="shared" si="172"/>
        <v>3G</v>
      </c>
      <c r="BH220" s="22" t="str">
        <f t="shared" si="173"/>
        <v>3G</v>
      </c>
      <c r="BI220" s="22">
        <f t="shared" si="198"/>
        <v>1</v>
      </c>
      <c r="BJ220" s="22">
        <f t="shared" si="199"/>
        <v>2</v>
      </c>
      <c r="BK220" s="22">
        <f t="shared" si="200"/>
        <v>3</v>
      </c>
      <c r="BL220" s="22" t="str">
        <f t="shared" si="201"/>
        <v>123</v>
      </c>
      <c r="BS220"/>
      <c r="CL220" s="23">
        <v>133</v>
      </c>
      <c r="CM220" s="23">
        <v>130</v>
      </c>
      <c r="CO220"/>
    </row>
    <row r="221" spans="1:93" ht="17" hidden="1">
      <c r="B221" s="15">
        <v>217</v>
      </c>
      <c r="C221" s="23" t="s">
        <v>247</v>
      </c>
      <c r="D221" s="16">
        <v>7</v>
      </c>
      <c r="E221" s="17">
        <v>1611246172</v>
      </c>
      <c r="F221" s="16">
        <v>29</v>
      </c>
      <c r="G221" s="17">
        <v>64820249</v>
      </c>
      <c r="H221" s="17">
        <v>1206</v>
      </c>
      <c r="I221" s="17">
        <v>1558696</v>
      </c>
      <c r="J221" s="17">
        <v>64156</v>
      </c>
      <c r="K221" s="17">
        <v>58601</v>
      </c>
      <c r="L221" s="17">
        <v>1066490</v>
      </c>
      <c r="M221" s="17">
        <v>5000</v>
      </c>
      <c r="N221" s="23">
        <v>16</v>
      </c>
      <c r="O221" s="23">
        <v>20</v>
      </c>
      <c r="P221" s="23">
        <v>27</v>
      </c>
      <c r="Q221" s="23">
        <v>33</v>
      </c>
      <c r="R221" s="23">
        <v>35</v>
      </c>
      <c r="S221" s="23">
        <v>39</v>
      </c>
      <c r="T221" s="23">
        <v>38</v>
      </c>
      <c r="U221" s="23">
        <f t="shared" si="174"/>
        <v>170</v>
      </c>
      <c r="W221" s="22" t="str">
        <f t="shared" si="159"/>
        <v>짝수</v>
      </c>
      <c r="X221" s="22" t="str">
        <f t="shared" si="160"/>
        <v>짝수</v>
      </c>
      <c r="Y221" s="22" t="str">
        <f t="shared" si="161"/>
        <v>홀수</v>
      </c>
      <c r="Z221" s="22" t="str">
        <f t="shared" si="162"/>
        <v>홀수</v>
      </c>
      <c r="AA221" s="22" t="str">
        <f t="shared" si="163"/>
        <v>홀수</v>
      </c>
      <c r="AB221" s="22" t="str">
        <f t="shared" si="164"/>
        <v>홀수</v>
      </c>
      <c r="AC221" s="52" t="str">
        <f t="shared" si="165"/>
        <v>4 : 2</v>
      </c>
      <c r="AD221" s="22">
        <f t="shared" si="166"/>
        <v>4</v>
      </c>
      <c r="AE221" s="22">
        <f t="shared" si="167"/>
        <v>2</v>
      </c>
      <c r="AF221" s="22" t="str">
        <f t="shared" si="175"/>
        <v>저수</v>
      </c>
      <c r="AG221" s="22" t="str">
        <f t="shared" si="176"/>
        <v>저수</v>
      </c>
      <c r="AH221" s="22" t="str">
        <f t="shared" si="177"/>
        <v>고수</v>
      </c>
      <c r="AI221" s="22" t="str">
        <f t="shared" si="178"/>
        <v>고수</v>
      </c>
      <c r="AJ221" s="22" t="str">
        <f t="shared" si="179"/>
        <v>고수</v>
      </c>
      <c r="AK221" s="22" t="str">
        <f t="shared" si="180"/>
        <v>고수</v>
      </c>
      <c r="AL221" s="52" t="str">
        <f t="shared" si="181"/>
        <v>2 : 4</v>
      </c>
      <c r="AM221" s="22">
        <f t="shared" si="182"/>
        <v>2</v>
      </c>
      <c r="AN221" s="22">
        <f t="shared" si="183"/>
        <v>4</v>
      </c>
      <c r="AO221" s="22">
        <f t="shared" si="184"/>
        <v>30</v>
      </c>
      <c r="AP221" s="22" t="str">
        <f t="shared" si="185"/>
        <v>X</v>
      </c>
      <c r="AQ221" s="22" t="str">
        <f t="shared" si="186"/>
        <v>X</v>
      </c>
      <c r="AR221" s="22" t="str">
        <f t="shared" si="187"/>
        <v>X</v>
      </c>
      <c r="AS221" s="22" t="str">
        <f t="shared" si="188"/>
        <v>X</v>
      </c>
      <c r="AT221" s="22" t="str">
        <f t="shared" si="189"/>
        <v>X</v>
      </c>
      <c r="AU221" s="22" t="str">
        <f t="shared" si="190"/>
        <v>X</v>
      </c>
      <c r="AV221" s="22" t="str">
        <f t="shared" si="191"/>
        <v>X</v>
      </c>
      <c r="AW221" s="22" t="str">
        <f t="shared" si="192"/>
        <v>X</v>
      </c>
      <c r="AX221" s="22" t="str">
        <f t="shared" si="193"/>
        <v>X</v>
      </c>
      <c r="AY221" s="22" t="str">
        <f t="shared" si="194"/>
        <v>X</v>
      </c>
      <c r="AZ221" s="22" t="str">
        <f t="shared" si="195"/>
        <v>X</v>
      </c>
      <c r="BA221" s="22" t="str">
        <f t="shared" si="196"/>
        <v>X</v>
      </c>
      <c r="BB221" s="22">
        <f t="shared" si="197"/>
        <v>0</v>
      </c>
      <c r="BC221" s="22" t="str">
        <f t="shared" si="168"/>
        <v>2G</v>
      </c>
      <c r="BD221" s="22" t="str">
        <f t="shared" si="169"/>
        <v>2G</v>
      </c>
      <c r="BE221" s="22" t="str">
        <f t="shared" si="170"/>
        <v>2G</v>
      </c>
      <c r="BF221" s="22" t="str">
        <f t="shared" si="171"/>
        <v>3G</v>
      </c>
      <c r="BG221" s="22" t="str">
        <f t="shared" si="172"/>
        <v>3G</v>
      </c>
      <c r="BH221" s="22" t="str">
        <f t="shared" si="173"/>
        <v>3G</v>
      </c>
      <c r="BI221" s="22">
        <f t="shared" si="198"/>
        <v>0</v>
      </c>
      <c r="BJ221" s="22">
        <f t="shared" si="199"/>
        <v>3</v>
      </c>
      <c r="BK221" s="22">
        <f t="shared" si="200"/>
        <v>3</v>
      </c>
      <c r="BL221" s="22" t="str">
        <f t="shared" si="201"/>
        <v>033</v>
      </c>
      <c r="BS221"/>
      <c r="CL221" s="23">
        <v>133</v>
      </c>
      <c r="CM221" s="23">
        <v>130</v>
      </c>
      <c r="CO221"/>
    </row>
    <row r="222" spans="1:93" ht="17" hidden="1">
      <c r="B222" s="15">
        <v>218</v>
      </c>
      <c r="C222" s="23" t="s">
        <v>248</v>
      </c>
      <c r="D222" s="16">
        <v>4</v>
      </c>
      <c r="E222" s="17">
        <v>2779075800</v>
      </c>
      <c r="F222" s="16">
        <v>26</v>
      </c>
      <c r="G222" s="17">
        <v>71258354</v>
      </c>
      <c r="H222" s="17">
        <v>1203</v>
      </c>
      <c r="I222" s="17">
        <v>1540081</v>
      </c>
      <c r="J222" s="17">
        <v>60492</v>
      </c>
      <c r="K222" s="17">
        <v>61255</v>
      </c>
      <c r="L222" s="17">
        <v>996397</v>
      </c>
      <c r="M222" s="17">
        <v>5000</v>
      </c>
      <c r="N222" s="23">
        <v>1</v>
      </c>
      <c r="O222" s="23">
        <v>8</v>
      </c>
      <c r="P222" s="23">
        <v>14</v>
      </c>
      <c r="Q222" s="23">
        <v>18</v>
      </c>
      <c r="R222" s="23">
        <v>29</v>
      </c>
      <c r="S222" s="23">
        <v>44</v>
      </c>
      <c r="T222" s="23">
        <v>20</v>
      </c>
      <c r="U222" s="23">
        <f t="shared" si="174"/>
        <v>114</v>
      </c>
      <c r="W222" s="22" t="str">
        <f t="shared" si="159"/>
        <v>홀수</v>
      </c>
      <c r="X222" s="22" t="str">
        <f t="shared" si="160"/>
        <v>짝수</v>
      </c>
      <c r="Y222" s="22" t="str">
        <f t="shared" si="161"/>
        <v>짝수</v>
      </c>
      <c r="Z222" s="22" t="str">
        <f t="shared" si="162"/>
        <v>짝수</v>
      </c>
      <c r="AA222" s="22" t="str">
        <f t="shared" si="163"/>
        <v>홀수</v>
      </c>
      <c r="AB222" s="22" t="str">
        <f t="shared" si="164"/>
        <v>짝수</v>
      </c>
      <c r="AC222" s="52" t="str">
        <f t="shared" si="165"/>
        <v>2 : 4</v>
      </c>
      <c r="AD222" s="22">
        <f t="shared" si="166"/>
        <v>2</v>
      </c>
      <c r="AE222" s="22">
        <f t="shared" si="167"/>
        <v>4</v>
      </c>
      <c r="AF222" s="22" t="str">
        <f t="shared" si="175"/>
        <v>저수</v>
      </c>
      <c r="AG222" s="22" t="str">
        <f t="shared" si="176"/>
        <v>저수</v>
      </c>
      <c r="AH222" s="22" t="str">
        <f t="shared" si="177"/>
        <v>저수</v>
      </c>
      <c r="AI222" s="22" t="str">
        <f t="shared" si="178"/>
        <v>저수</v>
      </c>
      <c r="AJ222" s="22" t="str">
        <f t="shared" si="179"/>
        <v>고수</v>
      </c>
      <c r="AK222" s="22" t="str">
        <f t="shared" si="180"/>
        <v>고수</v>
      </c>
      <c r="AL222" s="52" t="str">
        <f t="shared" si="181"/>
        <v>4 : 2</v>
      </c>
      <c r="AM222" s="22">
        <f t="shared" si="182"/>
        <v>4</v>
      </c>
      <c r="AN222" s="22">
        <f t="shared" si="183"/>
        <v>2</v>
      </c>
      <c r="AO222" s="22">
        <f t="shared" si="184"/>
        <v>34</v>
      </c>
      <c r="AP222" s="22" t="str">
        <f t="shared" si="185"/>
        <v>X</v>
      </c>
      <c r="AQ222" s="22" t="str">
        <f t="shared" si="186"/>
        <v>X</v>
      </c>
      <c r="AR222" s="22" t="str">
        <f t="shared" si="187"/>
        <v>X</v>
      </c>
      <c r="AS222" s="22" t="str">
        <f t="shared" si="188"/>
        <v>X</v>
      </c>
      <c r="AT222" s="22" t="str">
        <f t="shared" si="189"/>
        <v>X</v>
      </c>
      <c r="AU222" s="22" t="str">
        <f t="shared" si="190"/>
        <v>X</v>
      </c>
      <c r="AV222" s="22" t="str">
        <f t="shared" si="191"/>
        <v>X</v>
      </c>
      <c r="AW222" s="22" t="str">
        <f t="shared" si="192"/>
        <v>X</v>
      </c>
      <c r="AX222" s="22" t="str">
        <f t="shared" si="193"/>
        <v>X</v>
      </c>
      <c r="AY222" s="22" t="str">
        <f t="shared" si="194"/>
        <v>X</v>
      </c>
      <c r="AZ222" s="22" t="str">
        <f t="shared" si="195"/>
        <v>O</v>
      </c>
      <c r="BA222" s="22" t="str">
        <f t="shared" si="196"/>
        <v>X</v>
      </c>
      <c r="BB222" s="22">
        <f t="shared" si="197"/>
        <v>1</v>
      </c>
      <c r="BC222" s="22" t="str">
        <f t="shared" si="168"/>
        <v>1G</v>
      </c>
      <c r="BD222" s="22" t="str">
        <f t="shared" si="169"/>
        <v>1G</v>
      </c>
      <c r="BE222" s="22" t="str">
        <f t="shared" si="170"/>
        <v>1G</v>
      </c>
      <c r="BF222" s="22" t="str">
        <f t="shared" si="171"/>
        <v>2G</v>
      </c>
      <c r="BG222" s="22" t="str">
        <f t="shared" si="172"/>
        <v>2G</v>
      </c>
      <c r="BH222" s="22" t="str">
        <f t="shared" si="173"/>
        <v>3G</v>
      </c>
      <c r="BI222" s="22">
        <f t="shared" si="198"/>
        <v>3</v>
      </c>
      <c r="BJ222" s="22">
        <f t="shared" si="199"/>
        <v>2</v>
      </c>
      <c r="BK222" s="22">
        <f t="shared" si="200"/>
        <v>1</v>
      </c>
      <c r="BL222" s="22" t="str">
        <f t="shared" si="201"/>
        <v>321</v>
      </c>
      <c r="BS222"/>
      <c r="CL222" s="23">
        <v>133</v>
      </c>
      <c r="CM222" s="23">
        <v>130</v>
      </c>
      <c r="CO222"/>
    </row>
    <row r="223" spans="1:93" ht="17" hidden="1">
      <c r="B223" s="15">
        <v>219</v>
      </c>
      <c r="C223" s="23" t="s">
        <v>249</v>
      </c>
      <c r="D223" s="16">
        <v>9</v>
      </c>
      <c r="E223" s="17">
        <v>1208409167</v>
      </c>
      <c r="F223" s="16">
        <v>41</v>
      </c>
      <c r="G223" s="17">
        <v>44210092</v>
      </c>
      <c r="H223" s="17">
        <v>1292</v>
      </c>
      <c r="I223" s="17">
        <v>1402952</v>
      </c>
      <c r="J223" s="17">
        <v>63889</v>
      </c>
      <c r="K223" s="17">
        <v>56743</v>
      </c>
      <c r="L223" s="17">
        <v>1065147</v>
      </c>
      <c r="M223" s="17">
        <v>5000</v>
      </c>
      <c r="N223" s="23">
        <v>4</v>
      </c>
      <c r="O223" s="23">
        <v>11</v>
      </c>
      <c r="P223" s="23">
        <v>20</v>
      </c>
      <c r="Q223" s="23">
        <v>26</v>
      </c>
      <c r="R223" s="23">
        <v>35</v>
      </c>
      <c r="S223" s="23">
        <v>37</v>
      </c>
      <c r="T223" s="23">
        <v>16</v>
      </c>
      <c r="U223" s="23">
        <f t="shared" si="174"/>
        <v>133</v>
      </c>
      <c r="W223" s="22" t="str">
        <f t="shared" si="159"/>
        <v>짝수</v>
      </c>
      <c r="X223" s="22" t="str">
        <f t="shared" si="160"/>
        <v>홀수</v>
      </c>
      <c r="Y223" s="22" t="str">
        <f t="shared" si="161"/>
        <v>짝수</v>
      </c>
      <c r="Z223" s="22" t="str">
        <f t="shared" si="162"/>
        <v>짝수</v>
      </c>
      <c r="AA223" s="22" t="str">
        <f t="shared" si="163"/>
        <v>홀수</v>
      </c>
      <c r="AB223" s="22" t="str">
        <f t="shared" si="164"/>
        <v>홀수</v>
      </c>
      <c r="AC223" s="52" t="str">
        <f t="shared" si="165"/>
        <v>3 : 3</v>
      </c>
      <c r="AD223" s="22">
        <f t="shared" si="166"/>
        <v>3</v>
      </c>
      <c r="AE223" s="22">
        <f t="shared" si="167"/>
        <v>3</v>
      </c>
      <c r="AF223" s="22" t="str">
        <f t="shared" si="175"/>
        <v>저수</v>
      </c>
      <c r="AG223" s="22" t="str">
        <f t="shared" si="176"/>
        <v>저수</v>
      </c>
      <c r="AH223" s="22" t="str">
        <f t="shared" si="177"/>
        <v>저수</v>
      </c>
      <c r="AI223" s="22" t="str">
        <f t="shared" si="178"/>
        <v>고수</v>
      </c>
      <c r="AJ223" s="22" t="str">
        <f t="shared" si="179"/>
        <v>고수</v>
      </c>
      <c r="AK223" s="22" t="str">
        <f t="shared" si="180"/>
        <v>고수</v>
      </c>
      <c r="AL223" s="52" t="str">
        <f t="shared" si="181"/>
        <v>3 : 3</v>
      </c>
      <c r="AM223" s="22">
        <f t="shared" si="182"/>
        <v>3</v>
      </c>
      <c r="AN223" s="22">
        <f t="shared" si="183"/>
        <v>3</v>
      </c>
      <c r="AO223" s="22">
        <f t="shared" si="184"/>
        <v>23</v>
      </c>
      <c r="AP223" s="22" t="str">
        <f t="shared" si="185"/>
        <v>X</v>
      </c>
      <c r="AQ223" s="22" t="str">
        <f t="shared" si="186"/>
        <v>O</v>
      </c>
      <c r="AR223" s="22" t="str">
        <f t="shared" si="187"/>
        <v>X</v>
      </c>
      <c r="AS223" s="22" t="str">
        <f t="shared" si="188"/>
        <v>X</v>
      </c>
      <c r="AT223" s="22" t="str">
        <f t="shared" si="189"/>
        <v>X</v>
      </c>
      <c r="AU223" s="22" t="str">
        <f t="shared" si="190"/>
        <v>X</v>
      </c>
      <c r="AV223" s="22" t="str">
        <f t="shared" si="191"/>
        <v>X</v>
      </c>
      <c r="AW223" s="22" t="str">
        <f t="shared" si="192"/>
        <v>X</v>
      </c>
      <c r="AX223" s="22" t="str">
        <f t="shared" si="193"/>
        <v>X</v>
      </c>
      <c r="AY223" s="22" t="str">
        <f t="shared" si="194"/>
        <v>X</v>
      </c>
      <c r="AZ223" s="22" t="str">
        <f t="shared" si="195"/>
        <v>X</v>
      </c>
      <c r="BA223" s="22" t="str">
        <f t="shared" si="196"/>
        <v>O</v>
      </c>
      <c r="BB223" s="22">
        <f t="shared" si="197"/>
        <v>2</v>
      </c>
      <c r="BC223" s="22" t="str">
        <f t="shared" si="168"/>
        <v>1G</v>
      </c>
      <c r="BD223" s="22" t="str">
        <f t="shared" si="169"/>
        <v>1G</v>
      </c>
      <c r="BE223" s="22" t="str">
        <f t="shared" si="170"/>
        <v>2G</v>
      </c>
      <c r="BF223" s="22" t="str">
        <f t="shared" si="171"/>
        <v>2G</v>
      </c>
      <c r="BG223" s="22" t="str">
        <f t="shared" si="172"/>
        <v>3G</v>
      </c>
      <c r="BH223" s="22" t="str">
        <f t="shared" si="173"/>
        <v>3G</v>
      </c>
      <c r="BI223" s="22">
        <f t="shared" si="198"/>
        <v>2</v>
      </c>
      <c r="BJ223" s="22">
        <f t="shared" si="199"/>
        <v>2</v>
      </c>
      <c r="BK223" s="22">
        <f t="shared" si="200"/>
        <v>2</v>
      </c>
      <c r="BL223" s="22" t="str">
        <f t="shared" si="201"/>
        <v>222</v>
      </c>
      <c r="BS223"/>
      <c r="CL223" s="23">
        <v>133</v>
      </c>
      <c r="CM223" s="23">
        <v>130</v>
      </c>
      <c r="CO223"/>
    </row>
    <row r="224" spans="1:93" ht="17" hidden="1">
      <c r="B224" s="15">
        <v>220</v>
      </c>
      <c r="C224" s="23" t="s">
        <v>250</v>
      </c>
      <c r="D224" s="16">
        <v>6</v>
      </c>
      <c r="E224" s="17">
        <v>1958094950</v>
      </c>
      <c r="F224" s="16">
        <v>28</v>
      </c>
      <c r="G224" s="17">
        <v>69931963</v>
      </c>
      <c r="H224" s="17">
        <v>1317</v>
      </c>
      <c r="I224" s="17">
        <v>1486785</v>
      </c>
      <c r="J224" s="17">
        <v>67271</v>
      </c>
      <c r="K224" s="17">
        <v>58216</v>
      </c>
      <c r="L224" s="17">
        <v>1122150</v>
      </c>
      <c r="M224" s="17">
        <v>5000</v>
      </c>
      <c r="N224" s="23">
        <v>5</v>
      </c>
      <c r="O224" s="23">
        <v>11</v>
      </c>
      <c r="P224" s="23">
        <v>19</v>
      </c>
      <c r="Q224" s="23">
        <v>21</v>
      </c>
      <c r="R224" s="23">
        <v>34</v>
      </c>
      <c r="S224" s="23">
        <v>43</v>
      </c>
      <c r="T224" s="23">
        <v>31</v>
      </c>
      <c r="U224" s="23">
        <f t="shared" si="174"/>
        <v>133</v>
      </c>
      <c r="W224" s="22" t="str">
        <f t="shared" si="159"/>
        <v>홀수</v>
      </c>
      <c r="X224" s="22" t="str">
        <f t="shared" si="160"/>
        <v>홀수</v>
      </c>
      <c r="Y224" s="22" t="str">
        <f t="shared" si="161"/>
        <v>홀수</v>
      </c>
      <c r="Z224" s="22" t="str">
        <f t="shared" si="162"/>
        <v>홀수</v>
      </c>
      <c r="AA224" s="22" t="str">
        <f t="shared" si="163"/>
        <v>짝수</v>
      </c>
      <c r="AB224" s="22" t="str">
        <f t="shared" si="164"/>
        <v>홀수</v>
      </c>
      <c r="AC224" s="52" t="str">
        <f t="shared" si="165"/>
        <v>5 : 1</v>
      </c>
      <c r="AD224" s="22">
        <f t="shared" si="166"/>
        <v>5</v>
      </c>
      <c r="AE224" s="22">
        <f t="shared" si="167"/>
        <v>1</v>
      </c>
      <c r="AF224" s="22" t="str">
        <f t="shared" si="175"/>
        <v>저수</v>
      </c>
      <c r="AG224" s="22" t="str">
        <f t="shared" si="176"/>
        <v>저수</v>
      </c>
      <c r="AH224" s="22" t="str">
        <f t="shared" si="177"/>
        <v>저수</v>
      </c>
      <c r="AI224" s="22" t="str">
        <f t="shared" si="178"/>
        <v>저수</v>
      </c>
      <c r="AJ224" s="22" t="str">
        <f t="shared" si="179"/>
        <v>고수</v>
      </c>
      <c r="AK224" s="22" t="str">
        <f t="shared" si="180"/>
        <v>고수</v>
      </c>
      <c r="AL224" s="52" t="str">
        <f t="shared" si="181"/>
        <v>4 : 2</v>
      </c>
      <c r="AM224" s="22">
        <f t="shared" si="182"/>
        <v>4</v>
      </c>
      <c r="AN224" s="22">
        <f t="shared" si="183"/>
        <v>2</v>
      </c>
      <c r="AO224" s="22">
        <f t="shared" si="184"/>
        <v>23</v>
      </c>
      <c r="AP224" s="22" t="str">
        <f t="shared" si="185"/>
        <v>O</v>
      </c>
      <c r="AQ224" s="22" t="str">
        <f t="shared" si="186"/>
        <v>O</v>
      </c>
      <c r="AR224" s="22" t="str">
        <f t="shared" si="187"/>
        <v>O</v>
      </c>
      <c r="AS224" s="22" t="str">
        <f t="shared" si="188"/>
        <v>X</v>
      </c>
      <c r="AT224" s="22" t="str">
        <f t="shared" si="189"/>
        <v>X</v>
      </c>
      <c r="AU224" s="22" t="str">
        <f t="shared" si="190"/>
        <v>X</v>
      </c>
      <c r="AV224" s="22" t="str">
        <f t="shared" si="191"/>
        <v>X</v>
      </c>
      <c r="AW224" s="22" t="str">
        <f t="shared" si="192"/>
        <v>X</v>
      </c>
      <c r="AX224" s="22" t="str">
        <f t="shared" si="193"/>
        <v>X</v>
      </c>
      <c r="AY224" s="22" t="str">
        <f t="shared" si="194"/>
        <v>X</v>
      </c>
      <c r="AZ224" s="22" t="str">
        <f t="shared" si="195"/>
        <v>X</v>
      </c>
      <c r="BA224" s="22" t="str">
        <f t="shared" si="196"/>
        <v>O</v>
      </c>
      <c r="BB224" s="22">
        <f t="shared" si="197"/>
        <v>4</v>
      </c>
      <c r="BC224" s="22" t="str">
        <f t="shared" si="168"/>
        <v>1G</v>
      </c>
      <c r="BD224" s="22" t="str">
        <f t="shared" si="169"/>
        <v>1G</v>
      </c>
      <c r="BE224" s="22" t="str">
        <f t="shared" si="170"/>
        <v>2G</v>
      </c>
      <c r="BF224" s="22" t="str">
        <f t="shared" si="171"/>
        <v>2G</v>
      </c>
      <c r="BG224" s="22" t="str">
        <f t="shared" si="172"/>
        <v>3G</v>
      </c>
      <c r="BH224" s="22" t="str">
        <f t="shared" si="173"/>
        <v>3G</v>
      </c>
      <c r="BI224" s="22">
        <f t="shared" si="198"/>
        <v>2</v>
      </c>
      <c r="BJ224" s="22">
        <f t="shared" si="199"/>
        <v>2</v>
      </c>
      <c r="BK224" s="22">
        <f t="shared" si="200"/>
        <v>2</v>
      </c>
      <c r="BL224" s="22" t="str">
        <f t="shared" si="201"/>
        <v>222</v>
      </c>
      <c r="BS224"/>
      <c r="CL224" s="23">
        <v>133</v>
      </c>
      <c r="CM224" s="23">
        <v>130</v>
      </c>
      <c r="CO224"/>
    </row>
    <row r="225" spans="2:93" ht="17" hidden="1">
      <c r="B225" s="15">
        <v>221</v>
      </c>
      <c r="C225" s="23" t="s">
        <v>251</v>
      </c>
      <c r="D225" s="16">
        <v>6</v>
      </c>
      <c r="E225" s="17">
        <v>1800104250</v>
      </c>
      <c r="F225" s="16">
        <v>44</v>
      </c>
      <c r="G225" s="17">
        <v>40911461</v>
      </c>
      <c r="H225" s="17">
        <v>1608</v>
      </c>
      <c r="I225" s="17">
        <v>1119468</v>
      </c>
      <c r="J225" s="17">
        <v>75459</v>
      </c>
      <c r="K225" s="17">
        <v>47711</v>
      </c>
      <c r="L225" s="17">
        <v>1167205</v>
      </c>
      <c r="M225" s="17">
        <v>5000</v>
      </c>
      <c r="N225" s="23">
        <v>2</v>
      </c>
      <c r="O225" s="23">
        <v>20</v>
      </c>
      <c r="P225" s="23">
        <v>33</v>
      </c>
      <c r="Q225" s="23">
        <v>35</v>
      </c>
      <c r="R225" s="23">
        <v>37</v>
      </c>
      <c r="S225" s="23">
        <v>40</v>
      </c>
      <c r="T225" s="23">
        <v>10</v>
      </c>
      <c r="U225" s="23">
        <f t="shared" si="174"/>
        <v>167</v>
      </c>
      <c r="W225" s="22" t="str">
        <f t="shared" si="159"/>
        <v>짝수</v>
      </c>
      <c r="X225" s="22" t="str">
        <f t="shared" si="160"/>
        <v>짝수</v>
      </c>
      <c r="Y225" s="22" t="str">
        <f t="shared" si="161"/>
        <v>홀수</v>
      </c>
      <c r="Z225" s="22" t="str">
        <f t="shared" si="162"/>
        <v>홀수</v>
      </c>
      <c r="AA225" s="22" t="str">
        <f t="shared" si="163"/>
        <v>홀수</v>
      </c>
      <c r="AB225" s="22" t="str">
        <f t="shared" si="164"/>
        <v>짝수</v>
      </c>
      <c r="AC225" s="52" t="str">
        <f t="shared" si="165"/>
        <v>3 : 3</v>
      </c>
      <c r="AD225" s="22">
        <f t="shared" si="166"/>
        <v>3</v>
      </c>
      <c r="AE225" s="22">
        <f t="shared" si="167"/>
        <v>3</v>
      </c>
      <c r="AF225" s="22" t="str">
        <f t="shared" si="175"/>
        <v>저수</v>
      </c>
      <c r="AG225" s="22" t="str">
        <f t="shared" si="176"/>
        <v>저수</v>
      </c>
      <c r="AH225" s="22" t="str">
        <f t="shared" si="177"/>
        <v>고수</v>
      </c>
      <c r="AI225" s="22" t="str">
        <f t="shared" si="178"/>
        <v>고수</v>
      </c>
      <c r="AJ225" s="22" t="str">
        <f t="shared" si="179"/>
        <v>고수</v>
      </c>
      <c r="AK225" s="22" t="str">
        <f t="shared" si="180"/>
        <v>고수</v>
      </c>
      <c r="AL225" s="52" t="str">
        <f t="shared" si="181"/>
        <v>2 : 4</v>
      </c>
      <c r="AM225" s="22">
        <f t="shared" si="182"/>
        <v>2</v>
      </c>
      <c r="AN225" s="22">
        <f t="shared" si="183"/>
        <v>4</v>
      </c>
      <c r="AO225" s="22">
        <f t="shared" si="184"/>
        <v>17</v>
      </c>
      <c r="AP225" s="22" t="str">
        <f t="shared" si="185"/>
        <v>O</v>
      </c>
      <c r="AQ225" s="22" t="str">
        <f t="shared" si="186"/>
        <v>X</v>
      </c>
      <c r="AR225" s="22" t="str">
        <f t="shared" si="187"/>
        <v>X</v>
      </c>
      <c r="AS225" s="22" t="str">
        <f t="shared" si="188"/>
        <v>X</v>
      </c>
      <c r="AT225" s="22" t="str">
        <f t="shared" si="189"/>
        <v>X</v>
      </c>
      <c r="AU225" s="22" t="str">
        <f t="shared" si="190"/>
        <v>X</v>
      </c>
      <c r="AV225" s="22" t="str">
        <f t="shared" si="191"/>
        <v>X</v>
      </c>
      <c r="AW225" s="22" t="str">
        <f t="shared" si="192"/>
        <v>X</v>
      </c>
      <c r="AX225" s="22" t="str">
        <f t="shared" si="193"/>
        <v>X</v>
      </c>
      <c r="AY225" s="22" t="str">
        <f t="shared" si="194"/>
        <v>X</v>
      </c>
      <c r="AZ225" s="22" t="str">
        <f t="shared" si="195"/>
        <v>O</v>
      </c>
      <c r="BA225" s="22" t="str">
        <f t="shared" si="196"/>
        <v>X</v>
      </c>
      <c r="BB225" s="22">
        <f t="shared" si="197"/>
        <v>2</v>
      </c>
      <c r="BC225" s="22" t="str">
        <f t="shared" si="168"/>
        <v>1G</v>
      </c>
      <c r="BD225" s="22" t="str">
        <f t="shared" si="169"/>
        <v>2G</v>
      </c>
      <c r="BE225" s="22" t="str">
        <f t="shared" si="170"/>
        <v>3G</v>
      </c>
      <c r="BF225" s="22" t="str">
        <f t="shared" si="171"/>
        <v>3G</v>
      </c>
      <c r="BG225" s="22" t="str">
        <f t="shared" si="172"/>
        <v>3G</v>
      </c>
      <c r="BH225" s="22" t="str">
        <f t="shared" si="173"/>
        <v>3G</v>
      </c>
      <c r="BI225" s="22">
        <f t="shared" si="198"/>
        <v>1</v>
      </c>
      <c r="BJ225" s="22">
        <f t="shared" si="199"/>
        <v>1</v>
      </c>
      <c r="BK225" s="22">
        <f t="shared" si="200"/>
        <v>4</v>
      </c>
      <c r="BL225" s="22" t="str">
        <f t="shared" si="201"/>
        <v>114</v>
      </c>
      <c r="BS225"/>
      <c r="CL225" s="23">
        <v>133</v>
      </c>
      <c r="CM225" s="23">
        <v>130</v>
      </c>
      <c r="CO225"/>
    </row>
    <row r="226" spans="2:93" ht="17" hidden="1">
      <c r="B226" s="15">
        <v>222</v>
      </c>
      <c r="C226" s="23" t="s">
        <v>252</v>
      </c>
      <c r="D226" s="16">
        <v>5</v>
      </c>
      <c r="E226" s="17">
        <v>2275193820</v>
      </c>
      <c r="F226" s="16">
        <v>33</v>
      </c>
      <c r="G226" s="17">
        <v>57454390</v>
      </c>
      <c r="H226" s="17">
        <v>1105</v>
      </c>
      <c r="I226" s="17">
        <v>1715833</v>
      </c>
      <c r="J226" s="17">
        <v>57093</v>
      </c>
      <c r="K226" s="17">
        <v>66418</v>
      </c>
      <c r="L226" s="17">
        <v>981530</v>
      </c>
      <c r="M226" s="17">
        <v>5000</v>
      </c>
      <c r="N226" s="23">
        <v>5</v>
      </c>
      <c r="O226" s="23">
        <v>7</v>
      </c>
      <c r="P226" s="23">
        <v>28</v>
      </c>
      <c r="Q226" s="23">
        <v>29</v>
      </c>
      <c r="R226" s="23">
        <v>39</v>
      </c>
      <c r="S226" s="23">
        <v>43</v>
      </c>
      <c r="T226" s="23">
        <v>44</v>
      </c>
      <c r="U226" s="23">
        <f t="shared" si="174"/>
        <v>151</v>
      </c>
      <c r="W226" s="22" t="str">
        <f t="shared" si="159"/>
        <v>홀수</v>
      </c>
      <c r="X226" s="22" t="str">
        <f t="shared" si="160"/>
        <v>홀수</v>
      </c>
      <c r="Y226" s="22" t="str">
        <f t="shared" si="161"/>
        <v>짝수</v>
      </c>
      <c r="Z226" s="22" t="str">
        <f t="shared" si="162"/>
        <v>홀수</v>
      </c>
      <c r="AA226" s="22" t="str">
        <f t="shared" si="163"/>
        <v>홀수</v>
      </c>
      <c r="AB226" s="22" t="str">
        <f t="shared" si="164"/>
        <v>홀수</v>
      </c>
      <c r="AC226" s="52" t="str">
        <f t="shared" si="165"/>
        <v>5 : 1</v>
      </c>
      <c r="AD226" s="22">
        <f t="shared" si="166"/>
        <v>5</v>
      </c>
      <c r="AE226" s="22">
        <f t="shared" si="167"/>
        <v>1</v>
      </c>
      <c r="AF226" s="22" t="str">
        <f t="shared" si="175"/>
        <v>저수</v>
      </c>
      <c r="AG226" s="22" t="str">
        <f t="shared" si="176"/>
        <v>저수</v>
      </c>
      <c r="AH226" s="22" t="str">
        <f t="shared" si="177"/>
        <v>고수</v>
      </c>
      <c r="AI226" s="22" t="str">
        <f t="shared" si="178"/>
        <v>고수</v>
      </c>
      <c r="AJ226" s="22" t="str">
        <f t="shared" si="179"/>
        <v>고수</v>
      </c>
      <c r="AK226" s="22" t="str">
        <f t="shared" si="180"/>
        <v>고수</v>
      </c>
      <c r="AL226" s="52" t="str">
        <f t="shared" si="181"/>
        <v>2 : 4</v>
      </c>
      <c r="AM226" s="22">
        <f t="shared" si="182"/>
        <v>2</v>
      </c>
      <c r="AN226" s="22">
        <f t="shared" si="183"/>
        <v>4</v>
      </c>
      <c r="AO226" s="22">
        <f t="shared" si="184"/>
        <v>41</v>
      </c>
      <c r="AP226" s="22" t="str">
        <f t="shared" si="185"/>
        <v>O</v>
      </c>
      <c r="AQ226" s="22" t="str">
        <f t="shared" si="186"/>
        <v>O</v>
      </c>
      <c r="AR226" s="22" t="str">
        <f t="shared" si="187"/>
        <v>X</v>
      </c>
      <c r="AS226" s="22" t="str">
        <f t="shared" si="188"/>
        <v>X</v>
      </c>
      <c r="AT226" s="22" t="str">
        <f t="shared" si="189"/>
        <v>X</v>
      </c>
      <c r="AU226" s="22" t="str">
        <f t="shared" si="190"/>
        <v>X</v>
      </c>
      <c r="AV226" s="22" t="str">
        <f t="shared" si="191"/>
        <v>X</v>
      </c>
      <c r="AW226" s="22" t="str">
        <f t="shared" si="192"/>
        <v>X</v>
      </c>
      <c r="AX226" s="22" t="str">
        <f t="shared" si="193"/>
        <v>X</v>
      </c>
      <c r="AY226" s="22" t="str">
        <f t="shared" si="194"/>
        <v>O</v>
      </c>
      <c r="AZ226" s="22" t="str">
        <f t="shared" si="195"/>
        <v>X</v>
      </c>
      <c r="BA226" s="22" t="str">
        <f t="shared" si="196"/>
        <v>O</v>
      </c>
      <c r="BB226" s="22">
        <f t="shared" si="197"/>
        <v>4</v>
      </c>
      <c r="BC226" s="22" t="str">
        <f t="shared" si="168"/>
        <v>1G</v>
      </c>
      <c r="BD226" s="22" t="str">
        <f t="shared" si="169"/>
        <v>1G</v>
      </c>
      <c r="BE226" s="22" t="str">
        <f t="shared" si="170"/>
        <v>2G</v>
      </c>
      <c r="BF226" s="22" t="str">
        <f t="shared" si="171"/>
        <v>2G</v>
      </c>
      <c r="BG226" s="22" t="str">
        <f t="shared" si="172"/>
        <v>3G</v>
      </c>
      <c r="BH226" s="22" t="str">
        <f t="shared" si="173"/>
        <v>3G</v>
      </c>
      <c r="BI226" s="22">
        <f t="shared" si="198"/>
        <v>2</v>
      </c>
      <c r="BJ226" s="22">
        <f t="shared" si="199"/>
        <v>2</v>
      </c>
      <c r="BK226" s="22">
        <f t="shared" si="200"/>
        <v>2</v>
      </c>
      <c r="BL226" s="22" t="str">
        <f t="shared" si="201"/>
        <v>222</v>
      </c>
      <c r="BS226"/>
      <c r="CL226" s="23">
        <v>133</v>
      </c>
      <c r="CM226" s="23">
        <v>130</v>
      </c>
      <c r="CO226"/>
    </row>
    <row r="227" spans="2:93" ht="17" hidden="1">
      <c r="B227" s="15">
        <v>223</v>
      </c>
      <c r="C227" s="23" t="s">
        <v>253</v>
      </c>
      <c r="D227" s="16">
        <v>7</v>
      </c>
      <c r="E227" s="17">
        <v>1498170600</v>
      </c>
      <c r="F227" s="16">
        <v>39</v>
      </c>
      <c r="G227" s="17">
        <v>44817070</v>
      </c>
      <c r="H227" s="17">
        <v>1416</v>
      </c>
      <c r="I227" s="17">
        <v>1234369</v>
      </c>
      <c r="J227" s="17">
        <v>67509</v>
      </c>
      <c r="K227" s="17">
        <v>51782</v>
      </c>
      <c r="L227" s="17">
        <v>1107956</v>
      </c>
      <c r="M227" s="17">
        <v>5000</v>
      </c>
      <c r="N227" s="23">
        <v>1</v>
      </c>
      <c r="O227" s="23">
        <v>3</v>
      </c>
      <c r="P227" s="23">
        <v>18</v>
      </c>
      <c r="Q227" s="23">
        <v>20</v>
      </c>
      <c r="R227" s="23">
        <v>26</v>
      </c>
      <c r="S227" s="23">
        <v>27</v>
      </c>
      <c r="T227" s="23">
        <v>38</v>
      </c>
      <c r="U227" s="23">
        <f t="shared" si="174"/>
        <v>95</v>
      </c>
      <c r="W227" s="22" t="str">
        <f t="shared" si="159"/>
        <v>홀수</v>
      </c>
      <c r="X227" s="22" t="str">
        <f t="shared" si="160"/>
        <v>홀수</v>
      </c>
      <c r="Y227" s="22" t="str">
        <f t="shared" si="161"/>
        <v>짝수</v>
      </c>
      <c r="Z227" s="22" t="str">
        <f t="shared" si="162"/>
        <v>짝수</v>
      </c>
      <c r="AA227" s="22" t="str">
        <f t="shared" si="163"/>
        <v>짝수</v>
      </c>
      <c r="AB227" s="22" t="str">
        <f t="shared" si="164"/>
        <v>홀수</v>
      </c>
      <c r="AC227" s="52" t="str">
        <f t="shared" si="165"/>
        <v>3 : 3</v>
      </c>
      <c r="AD227" s="22">
        <f t="shared" si="166"/>
        <v>3</v>
      </c>
      <c r="AE227" s="22">
        <f t="shared" si="167"/>
        <v>3</v>
      </c>
      <c r="AF227" s="22" t="str">
        <f t="shared" si="175"/>
        <v>저수</v>
      </c>
      <c r="AG227" s="22" t="str">
        <f t="shared" si="176"/>
        <v>저수</v>
      </c>
      <c r="AH227" s="22" t="str">
        <f t="shared" si="177"/>
        <v>저수</v>
      </c>
      <c r="AI227" s="22" t="str">
        <f t="shared" si="178"/>
        <v>저수</v>
      </c>
      <c r="AJ227" s="22" t="str">
        <f t="shared" si="179"/>
        <v>고수</v>
      </c>
      <c r="AK227" s="22" t="str">
        <f t="shared" si="180"/>
        <v>고수</v>
      </c>
      <c r="AL227" s="52" t="str">
        <f t="shared" si="181"/>
        <v>4 : 2</v>
      </c>
      <c r="AM227" s="22">
        <f t="shared" si="182"/>
        <v>4</v>
      </c>
      <c r="AN227" s="22">
        <f t="shared" si="183"/>
        <v>2</v>
      </c>
      <c r="AO227" s="22">
        <f t="shared" si="184"/>
        <v>25</v>
      </c>
      <c r="AP227" s="22" t="str">
        <f t="shared" si="185"/>
        <v>X</v>
      </c>
      <c r="AQ227" s="22" t="str">
        <f t="shared" si="186"/>
        <v>O</v>
      </c>
      <c r="AR227" s="22" t="str">
        <f t="shared" si="187"/>
        <v>X</v>
      </c>
      <c r="AS227" s="22" t="str">
        <f t="shared" si="188"/>
        <v>X</v>
      </c>
      <c r="AT227" s="22" t="str">
        <f t="shared" si="189"/>
        <v>X</v>
      </c>
      <c r="AU227" s="22" t="str">
        <f t="shared" si="190"/>
        <v>X</v>
      </c>
      <c r="AV227" s="22" t="str">
        <f t="shared" si="191"/>
        <v>X</v>
      </c>
      <c r="AW227" s="22" t="str">
        <f t="shared" si="192"/>
        <v>X</v>
      </c>
      <c r="AX227" s="22" t="str">
        <f t="shared" si="193"/>
        <v>X</v>
      </c>
      <c r="AY227" s="22" t="str">
        <f t="shared" si="194"/>
        <v>X</v>
      </c>
      <c r="AZ227" s="22" t="str">
        <f t="shared" si="195"/>
        <v>X</v>
      </c>
      <c r="BA227" s="22" t="str">
        <f t="shared" si="196"/>
        <v>X</v>
      </c>
      <c r="BB227" s="22">
        <f t="shared" si="197"/>
        <v>1</v>
      </c>
      <c r="BC227" s="22" t="str">
        <f t="shared" si="168"/>
        <v>1G</v>
      </c>
      <c r="BD227" s="22" t="str">
        <f t="shared" si="169"/>
        <v>1G</v>
      </c>
      <c r="BE227" s="22" t="str">
        <f t="shared" si="170"/>
        <v>2G</v>
      </c>
      <c r="BF227" s="22" t="str">
        <f t="shared" si="171"/>
        <v>2G</v>
      </c>
      <c r="BG227" s="22" t="str">
        <f t="shared" si="172"/>
        <v>2G</v>
      </c>
      <c r="BH227" s="22" t="str">
        <f t="shared" si="173"/>
        <v>2G</v>
      </c>
      <c r="BI227" s="22">
        <f t="shared" si="198"/>
        <v>2</v>
      </c>
      <c r="BJ227" s="22">
        <f t="shared" si="199"/>
        <v>4</v>
      </c>
      <c r="BK227" s="22">
        <f t="shared" si="200"/>
        <v>0</v>
      </c>
      <c r="BL227" s="22" t="str">
        <f t="shared" si="201"/>
        <v>240</v>
      </c>
      <c r="BS227"/>
      <c r="CL227" s="23">
        <v>133</v>
      </c>
      <c r="CM227" s="23">
        <v>130</v>
      </c>
      <c r="CO227"/>
    </row>
    <row r="228" spans="2:93" ht="17" hidden="1">
      <c r="B228" s="15">
        <v>224</v>
      </c>
      <c r="C228" s="23" t="s">
        <v>254</v>
      </c>
      <c r="D228" s="16">
        <v>6</v>
      </c>
      <c r="E228" s="17">
        <v>1808969950</v>
      </c>
      <c r="F228" s="16">
        <v>26</v>
      </c>
      <c r="G228" s="17">
        <v>69575768</v>
      </c>
      <c r="H228" s="17">
        <v>1158</v>
      </c>
      <c r="I228" s="17">
        <v>1562151</v>
      </c>
      <c r="J228" s="17">
        <v>60549</v>
      </c>
      <c r="K228" s="17">
        <v>59753</v>
      </c>
      <c r="L228" s="17">
        <v>1025571</v>
      </c>
      <c r="M228" s="17">
        <v>5000</v>
      </c>
      <c r="N228" s="23">
        <v>4</v>
      </c>
      <c r="O228" s="23">
        <v>19</v>
      </c>
      <c r="P228" s="23">
        <v>26</v>
      </c>
      <c r="Q228" s="23">
        <v>27</v>
      </c>
      <c r="R228" s="23">
        <v>30</v>
      </c>
      <c r="S228" s="23">
        <v>42</v>
      </c>
      <c r="T228" s="23">
        <v>7</v>
      </c>
      <c r="U228" s="23">
        <f t="shared" si="174"/>
        <v>148</v>
      </c>
      <c r="W228" s="22" t="str">
        <f t="shared" si="159"/>
        <v>짝수</v>
      </c>
      <c r="X228" s="22" t="str">
        <f t="shared" si="160"/>
        <v>홀수</v>
      </c>
      <c r="Y228" s="22" t="str">
        <f t="shared" si="161"/>
        <v>짝수</v>
      </c>
      <c r="Z228" s="22" t="str">
        <f t="shared" si="162"/>
        <v>홀수</v>
      </c>
      <c r="AA228" s="22" t="str">
        <f t="shared" si="163"/>
        <v>짝수</v>
      </c>
      <c r="AB228" s="22" t="str">
        <f t="shared" si="164"/>
        <v>짝수</v>
      </c>
      <c r="AC228" s="52" t="str">
        <f t="shared" si="165"/>
        <v>2 : 4</v>
      </c>
      <c r="AD228" s="22">
        <f t="shared" si="166"/>
        <v>2</v>
      </c>
      <c r="AE228" s="22">
        <f t="shared" si="167"/>
        <v>4</v>
      </c>
      <c r="AF228" s="22" t="str">
        <f t="shared" si="175"/>
        <v>저수</v>
      </c>
      <c r="AG228" s="22" t="str">
        <f t="shared" si="176"/>
        <v>저수</v>
      </c>
      <c r="AH228" s="22" t="str">
        <f t="shared" si="177"/>
        <v>고수</v>
      </c>
      <c r="AI228" s="22" t="str">
        <f t="shared" si="178"/>
        <v>고수</v>
      </c>
      <c r="AJ228" s="22" t="str">
        <f t="shared" si="179"/>
        <v>고수</v>
      </c>
      <c r="AK228" s="22" t="str">
        <f t="shared" si="180"/>
        <v>고수</v>
      </c>
      <c r="AL228" s="52" t="str">
        <f t="shared" si="181"/>
        <v>2 : 4</v>
      </c>
      <c r="AM228" s="22">
        <f t="shared" si="182"/>
        <v>2</v>
      </c>
      <c r="AN228" s="22">
        <f t="shared" si="183"/>
        <v>4</v>
      </c>
      <c r="AO228" s="22">
        <f t="shared" si="184"/>
        <v>28</v>
      </c>
      <c r="AP228" s="22" t="str">
        <f t="shared" si="185"/>
        <v>X</v>
      </c>
      <c r="AQ228" s="22" t="str">
        <f t="shared" si="186"/>
        <v>O</v>
      </c>
      <c r="AR228" s="22" t="str">
        <f t="shared" si="187"/>
        <v>X</v>
      </c>
      <c r="AS228" s="22" t="str">
        <f t="shared" si="188"/>
        <v>X</v>
      </c>
      <c r="AT228" s="22" t="str">
        <f t="shared" si="189"/>
        <v>X</v>
      </c>
      <c r="AU228" s="22" t="str">
        <f t="shared" si="190"/>
        <v>X</v>
      </c>
      <c r="AV228" s="22" t="str">
        <f t="shared" si="191"/>
        <v>X</v>
      </c>
      <c r="AW228" s="22" t="str">
        <f t="shared" si="192"/>
        <v>X</v>
      </c>
      <c r="AX228" s="22" t="str">
        <f t="shared" si="193"/>
        <v>X</v>
      </c>
      <c r="AY228" s="22" t="str">
        <f t="shared" si="194"/>
        <v>X</v>
      </c>
      <c r="AZ228" s="22" t="str">
        <f t="shared" si="195"/>
        <v>X</v>
      </c>
      <c r="BA228" s="22" t="str">
        <f t="shared" si="196"/>
        <v>X</v>
      </c>
      <c r="BB228" s="22">
        <f t="shared" si="197"/>
        <v>1</v>
      </c>
      <c r="BC228" s="22" t="str">
        <f t="shared" si="168"/>
        <v>1G</v>
      </c>
      <c r="BD228" s="22" t="str">
        <f t="shared" si="169"/>
        <v>2G</v>
      </c>
      <c r="BE228" s="22" t="str">
        <f t="shared" si="170"/>
        <v>2G</v>
      </c>
      <c r="BF228" s="22" t="str">
        <f t="shared" si="171"/>
        <v>2G</v>
      </c>
      <c r="BG228" s="22" t="str">
        <f t="shared" si="172"/>
        <v>2G</v>
      </c>
      <c r="BH228" s="22" t="str">
        <f t="shared" si="173"/>
        <v>3G</v>
      </c>
      <c r="BI228" s="22">
        <f t="shared" si="198"/>
        <v>1</v>
      </c>
      <c r="BJ228" s="22">
        <f t="shared" si="199"/>
        <v>4</v>
      </c>
      <c r="BK228" s="22">
        <f t="shared" si="200"/>
        <v>1</v>
      </c>
      <c r="BL228" s="22" t="str">
        <f t="shared" si="201"/>
        <v>141</v>
      </c>
      <c r="BS228"/>
      <c r="CL228" s="23">
        <v>134</v>
      </c>
      <c r="CM228" s="23">
        <v>130</v>
      </c>
      <c r="CO228"/>
    </row>
    <row r="229" spans="2:93" ht="17" hidden="1">
      <c r="B229" s="15">
        <v>225</v>
      </c>
      <c r="C229" s="23" t="s">
        <v>255</v>
      </c>
      <c r="D229" s="16">
        <v>6</v>
      </c>
      <c r="E229" s="17">
        <v>1777201800</v>
      </c>
      <c r="F229" s="16">
        <v>41</v>
      </c>
      <c r="G229" s="17">
        <v>43346386</v>
      </c>
      <c r="H229" s="17">
        <v>1287</v>
      </c>
      <c r="I229" s="17">
        <v>1380888</v>
      </c>
      <c r="J229" s="17">
        <v>65281</v>
      </c>
      <c r="K229" s="17">
        <v>54448</v>
      </c>
      <c r="L229" s="17">
        <v>1080798</v>
      </c>
      <c r="M229" s="17">
        <v>5000</v>
      </c>
      <c r="N229" s="23">
        <v>5</v>
      </c>
      <c r="O229" s="23">
        <v>11</v>
      </c>
      <c r="P229" s="23">
        <v>13</v>
      </c>
      <c r="Q229" s="23">
        <v>19</v>
      </c>
      <c r="R229" s="23">
        <v>31</v>
      </c>
      <c r="S229" s="23">
        <v>36</v>
      </c>
      <c r="T229" s="23">
        <v>7</v>
      </c>
      <c r="U229" s="23">
        <f t="shared" si="174"/>
        <v>115</v>
      </c>
      <c r="W229" s="22" t="str">
        <f t="shared" si="159"/>
        <v>홀수</v>
      </c>
      <c r="X229" s="22" t="str">
        <f t="shared" si="160"/>
        <v>홀수</v>
      </c>
      <c r="Y229" s="22" t="str">
        <f t="shared" si="161"/>
        <v>홀수</v>
      </c>
      <c r="Z229" s="22" t="str">
        <f t="shared" si="162"/>
        <v>홀수</v>
      </c>
      <c r="AA229" s="22" t="str">
        <f t="shared" si="163"/>
        <v>홀수</v>
      </c>
      <c r="AB229" s="22" t="str">
        <f t="shared" si="164"/>
        <v>짝수</v>
      </c>
      <c r="AC229" s="52" t="str">
        <f t="shared" si="165"/>
        <v>5 : 1</v>
      </c>
      <c r="AD229" s="22">
        <f t="shared" si="166"/>
        <v>5</v>
      </c>
      <c r="AE229" s="22">
        <f t="shared" si="167"/>
        <v>1</v>
      </c>
      <c r="AF229" s="22" t="str">
        <f t="shared" si="175"/>
        <v>저수</v>
      </c>
      <c r="AG229" s="22" t="str">
        <f t="shared" si="176"/>
        <v>저수</v>
      </c>
      <c r="AH229" s="22" t="str">
        <f t="shared" si="177"/>
        <v>저수</v>
      </c>
      <c r="AI229" s="22" t="str">
        <f t="shared" si="178"/>
        <v>저수</v>
      </c>
      <c r="AJ229" s="22" t="str">
        <f t="shared" si="179"/>
        <v>고수</v>
      </c>
      <c r="AK229" s="22" t="str">
        <f t="shared" si="180"/>
        <v>고수</v>
      </c>
      <c r="AL229" s="52" t="str">
        <f t="shared" si="181"/>
        <v>4 : 2</v>
      </c>
      <c r="AM229" s="22">
        <f t="shared" si="182"/>
        <v>4</v>
      </c>
      <c r="AN229" s="22">
        <f t="shared" si="183"/>
        <v>2</v>
      </c>
      <c r="AO229" s="22">
        <f t="shared" si="184"/>
        <v>25</v>
      </c>
      <c r="AP229" s="22" t="str">
        <f t="shared" si="185"/>
        <v>O</v>
      </c>
      <c r="AQ229" s="22" t="str">
        <f t="shared" si="186"/>
        <v>O</v>
      </c>
      <c r="AR229" s="22" t="str">
        <f t="shared" si="187"/>
        <v>O</v>
      </c>
      <c r="AS229" s="22" t="str">
        <f t="shared" si="188"/>
        <v>O</v>
      </c>
      <c r="AT229" s="22" t="str">
        <f t="shared" si="189"/>
        <v>X</v>
      </c>
      <c r="AU229" s="22" t="str">
        <f t="shared" si="190"/>
        <v>X</v>
      </c>
      <c r="AV229" s="22" t="str">
        <f t="shared" si="191"/>
        <v>X</v>
      </c>
      <c r="AW229" s="22" t="str">
        <f t="shared" si="192"/>
        <v>X</v>
      </c>
      <c r="AX229" s="22" t="str">
        <f t="shared" si="193"/>
        <v>X</v>
      </c>
      <c r="AY229" s="22" t="str">
        <f t="shared" si="194"/>
        <v>X</v>
      </c>
      <c r="AZ229" s="22" t="str">
        <f t="shared" si="195"/>
        <v>O</v>
      </c>
      <c r="BA229" s="22" t="str">
        <f t="shared" si="196"/>
        <v>X</v>
      </c>
      <c r="BB229" s="22">
        <f t="shared" si="197"/>
        <v>5</v>
      </c>
      <c r="BC229" s="22" t="str">
        <f t="shared" si="168"/>
        <v>1G</v>
      </c>
      <c r="BD229" s="22" t="str">
        <f t="shared" si="169"/>
        <v>1G</v>
      </c>
      <c r="BE229" s="22" t="str">
        <f t="shared" si="170"/>
        <v>1G</v>
      </c>
      <c r="BF229" s="22" t="str">
        <f t="shared" si="171"/>
        <v>2G</v>
      </c>
      <c r="BG229" s="22" t="str">
        <f t="shared" si="172"/>
        <v>3G</v>
      </c>
      <c r="BH229" s="22" t="str">
        <f t="shared" si="173"/>
        <v>3G</v>
      </c>
      <c r="BI229" s="22">
        <f t="shared" si="198"/>
        <v>3</v>
      </c>
      <c r="BJ229" s="22">
        <f t="shared" si="199"/>
        <v>1</v>
      </c>
      <c r="BK229" s="22">
        <f t="shared" si="200"/>
        <v>2</v>
      </c>
      <c r="BL229" s="22" t="str">
        <f t="shared" si="201"/>
        <v>312</v>
      </c>
      <c r="BS229"/>
      <c r="CL229" s="23">
        <v>134</v>
      </c>
      <c r="CM229" s="23">
        <v>130</v>
      </c>
      <c r="CO229"/>
    </row>
    <row r="230" spans="2:93" ht="17" hidden="1">
      <c r="B230" s="15">
        <v>226</v>
      </c>
      <c r="C230" s="23" t="s">
        <v>256</v>
      </c>
      <c r="D230" s="16">
        <v>6</v>
      </c>
      <c r="E230" s="17">
        <v>1744100150</v>
      </c>
      <c r="F230" s="16">
        <v>38</v>
      </c>
      <c r="G230" s="17">
        <v>45897373</v>
      </c>
      <c r="H230" s="17">
        <v>1305</v>
      </c>
      <c r="I230" s="17">
        <v>1336476</v>
      </c>
      <c r="J230" s="17">
        <v>64076</v>
      </c>
      <c r="K230" s="17">
        <v>54439</v>
      </c>
      <c r="L230" s="17">
        <v>1026364</v>
      </c>
      <c r="M230" s="17">
        <v>5000</v>
      </c>
      <c r="N230" s="23">
        <v>2</v>
      </c>
      <c r="O230" s="23">
        <v>6</v>
      </c>
      <c r="P230" s="23">
        <v>8</v>
      </c>
      <c r="Q230" s="23">
        <v>14</v>
      </c>
      <c r="R230" s="23">
        <v>21</v>
      </c>
      <c r="S230" s="23">
        <v>22</v>
      </c>
      <c r="T230" s="23">
        <v>34</v>
      </c>
      <c r="U230" s="23">
        <f t="shared" si="174"/>
        <v>73</v>
      </c>
      <c r="W230" s="22" t="str">
        <f t="shared" si="159"/>
        <v>짝수</v>
      </c>
      <c r="X230" s="22" t="str">
        <f t="shared" si="160"/>
        <v>짝수</v>
      </c>
      <c r="Y230" s="22" t="str">
        <f t="shared" si="161"/>
        <v>짝수</v>
      </c>
      <c r="Z230" s="22" t="str">
        <f t="shared" si="162"/>
        <v>짝수</v>
      </c>
      <c r="AA230" s="22" t="str">
        <f t="shared" si="163"/>
        <v>홀수</v>
      </c>
      <c r="AB230" s="22" t="str">
        <f t="shared" si="164"/>
        <v>짝수</v>
      </c>
      <c r="AC230" s="52" t="str">
        <f t="shared" si="165"/>
        <v>1 : 5</v>
      </c>
      <c r="AD230" s="22">
        <f t="shared" si="166"/>
        <v>1</v>
      </c>
      <c r="AE230" s="22">
        <f t="shared" si="167"/>
        <v>5</v>
      </c>
      <c r="AF230" s="22" t="str">
        <f t="shared" si="175"/>
        <v>저수</v>
      </c>
      <c r="AG230" s="22" t="str">
        <f t="shared" si="176"/>
        <v>저수</v>
      </c>
      <c r="AH230" s="22" t="str">
        <f t="shared" si="177"/>
        <v>저수</v>
      </c>
      <c r="AI230" s="22" t="str">
        <f t="shared" si="178"/>
        <v>저수</v>
      </c>
      <c r="AJ230" s="22" t="str">
        <f t="shared" si="179"/>
        <v>저수</v>
      </c>
      <c r="AK230" s="22" t="str">
        <f t="shared" si="180"/>
        <v>저수</v>
      </c>
      <c r="AL230" s="52" t="str">
        <f t="shared" si="181"/>
        <v>6 : 0</v>
      </c>
      <c r="AM230" s="22">
        <f t="shared" si="182"/>
        <v>6</v>
      </c>
      <c r="AN230" s="22">
        <f t="shared" si="183"/>
        <v>0</v>
      </c>
      <c r="AO230" s="22">
        <f t="shared" si="184"/>
        <v>23</v>
      </c>
      <c r="AP230" s="22" t="str">
        <f t="shared" si="185"/>
        <v>O</v>
      </c>
      <c r="AQ230" s="22" t="str">
        <f t="shared" si="186"/>
        <v>X</v>
      </c>
      <c r="AR230" s="22" t="str">
        <f t="shared" si="187"/>
        <v>X</v>
      </c>
      <c r="AS230" s="22" t="str">
        <f t="shared" si="188"/>
        <v>X</v>
      </c>
      <c r="AT230" s="22" t="str">
        <f t="shared" si="189"/>
        <v>X</v>
      </c>
      <c r="AU230" s="22" t="str">
        <f t="shared" si="190"/>
        <v>X</v>
      </c>
      <c r="AV230" s="22" t="str">
        <f t="shared" si="191"/>
        <v>X</v>
      </c>
      <c r="AW230" s="22" t="str">
        <f t="shared" si="192"/>
        <v>X</v>
      </c>
      <c r="AX230" s="22" t="str">
        <f t="shared" si="193"/>
        <v>X</v>
      </c>
      <c r="AY230" s="22" t="str">
        <f t="shared" si="194"/>
        <v>X</v>
      </c>
      <c r="AZ230" s="22" t="str">
        <f t="shared" si="195"/>
        <v>X</v>
      </c>
      <c r="BA230" s="22" t="str">
        <f t="shared" si="196"/>
        <v>X</v>
      </c>
      <c r="BB230" s="22">
        <f t="shared" si="197"/>
        <v>1</v>
      </c>
      <c r="BC230" s="22" t="str">
        <f t="shared" si="168"/>
        <v>1G</v>
      </c>
      <c r="BD230" s="22" t="str">
        <f t="shared" si="169"/>
        <v>1G</v>
      </c>
      <c r="BE230" s="22" t="str">
        <f t="shared" si="170"/>
        <v>1G</v>
      </c>
      <c r="BF230" s="22" t="str">
        <f t="shared" si="171"/>
        <v>1G</v>
      </c>
      <c r="BG230" s="22" t="str">
        <f t="shared" si="172"/>
        <v>2G</v>
      </c>
      <c r="BH230" s="22" t="str">
        <f t="shared" si="173"/>
        <v>2G</v>
      </c>
      <c r="BI230" s="22">
        <f t="shared" si="198"/>
        <v>4</v>
      </c>
      <c r="BJ230" s="22">
        <f t="shared" si="199"/>
        <v>2</v>
      </c>
      <c r="BK230" s="22">
        <f t="shared" si="200"/>
        <v>0</v>
      </c>
      <c r="BL230" s="22" t="str">
        <f t="shared" si="201"/>
        <v>420</v>
      </c>
      <c r="BS230"/>
      <c r="CL230" s="23">
        <v>134</v>
      </c>
      <c r="CM230" s="23">
        <v>130</v>
      </c>
      <c r="CO230"/>
    </row>
    <row r="231" spans="2:93" ht="17" hidden="1">
      <c r="B231" s="15">
        <v>227</v>
      </c>
      <c r="C231" s="23" t="s">
        <v>257</v>
      </c>
      <c r="D231" s="16">
        <v>2</v>
      </c>
      <c r="E231" s="17">
        <v>5253542400</v>
      </c>
      <c r="F231" s="16">
        <v>24</v>
      </c>
      <c r="G231" s="17">
        <v>72965867</v>
      </c>
      <c r="H231" s="17">
        <v>1103</v>
      </c>
      <c r="I231" s="17">
        <v>1587653</v>
      </c>
      <c r="J231" s="17">
        <v>56663</v>
      </c>
      <c r="K231" s="17">
        <v>61811</v>
      </c>
      <c r="L231" s="17">
        <v>942116</v>
      </c>
      <c r="M231" s="17">
        <v>5000</v>
      </c>
      <c r="N231" s="23">
        <v>4</v>
      </c>
      <c r="O231" s="23">
        <v>5</v>
      </c>
      <c r="P231" s="23">
        <v>15</v>
      </c>
      <c r="Q231" s="23">
        <v>16</v>
      </c>
      <c r="R231" s="23">
        <v>22</v>
      </c>
      <c r="S231" s="23">
        <v>42</v>
      </c>
      <c r="T231" s="23">
        <v>2</v>
      </c>
      <c r="U231" s="23">
        <f t="shared" si="174"/>
        <v>104</v>
      </c>
      <c r="W231" s="22" t="str">
        <f t="shared" si="159"/>
        <v>짝수</v>
      </c>
      <c r="X231" s="22" t="str">
        <f t="shared" si="160"/>
        <v>홀수</v>
      </c>
      <c r="Y231" s="22" t="str">
        <f t="shared" si="161"/>
        <v>홀수</v>
      </c>
      <c r="Z231" s="22" t="str">
        <f t="shared" si="162"/>
        <v>짝수</v>
      </c>
      <c r="AA231" s="22" t="str">
        <f t="shared" si="163"/>
        <v>짝수</v>
      </c>
      <c r="AB231" s="22" t="str">
        <f t="shared" si="164"/>
        <v>짝수</v>
      </c>
      <c r="AC231" s="52" t="str">
        <f t="shared" si="165"/>
        <v>2 : 4</v>
      </c>
      <c r="AD231" s="22">
        <f t="shared" si="166"/>
        <v>2</v>
      </c>
      <c r="AE231" s="22">
        <f t="shared" si="167"/>
        <v>4</v>
      </c>
      <c r="AF231" s="22" t="str">
        <f t="shared" si="175"/>
        <v>저수</v>
      </c>
      <c r="AG231" s="22" t="str">
        <f t="shared" si="176"/>
        <v>저수</v>
      </c>
      <c r="AH231" s="22" t="str">
        <f t="shared" si="177"/>
        <v>저수</v>
      </c>
      <c r="AI231" s="22" t="str">
        <f t="shared" si="178"/>
        <v>저수</v>
      </c>
      <c r="AJ231" s="22" t="str">
        <f t="shared" si="179"/>
        <v>저수</v>
      </c>
      <c r="AK231" s="22" t="str">
        <f t="shared" si="180"/>
        <v>고수</v>
      </c>
      <c r="AL231" s="52" t="str">
        <f t="shared" si="181"/>
        <v>5 : 1</v>
      </c>
      <c r="AM231" s="22">
        <f t="shared" si="182"/>
        <v>5</v>
      </c>
      <c r="AN231" s="22">
        <f t="shared" si="183"/>
        <v>1</v>
      </c>
      <c r="AO231" s="22">
        <f t="shared" si="184"/>
        <v>24</v>
      </c>
      <c r="AP231" s="22" t="str">
        <f t="shared" si="185"/>
        <v>X</v>
      </c>
      <c r="AQ231" s="22" t="str">
        <f t="shared" si="186"/>
        <v>O</v>
      </c>
      <c r="AR231" s="22" t="str">
        <f t="shared" si="187"/>
        <v>X</v>
      </c>
      <c r="AS231" s="22" t="str">
        <f t="shared" si="188"/>
        <v>X</v>
      </c>
      <c r="AT231" s="22" t="str">
        <f t="shared" si="189"/>
        <v>X</v>
      </c>
      <c r="AU231" s="22" t="str">
        <f t="shared" si="190"/>
        <v>X</v>
      </c>
      <c r="AV231" s="22" t="str">
        <f t="shared" si="191"/>
        <v>X</v>
      </c>
      <c r="AW231" s="22" t="str">
        <f t="shared" si="192"/>
        <v>X</v>
      </c>
      <c r="AX231" s="22" t="str">
        <f t="shared" si="193"/>
        <v>X</v>
      </c>
      <c r="AY231" s="22" t="str">
        <f t="shared" si="194"/>
        <v>X</v>
      </c>
      <c r="AZ231" s="22" t="str">
        <f t="shared" si="195"/>
        <v>X</v>
      </c>
      <c r="BA231" s="22" t="str">
        <f t="shared" si="196"/>
        <v>X</v>
      </c>
      <c r="BB231" s="22">
        <f t="shared" si="197"/>
        <v>1</v>
      </c>
      <c r="BC231" s="22" t="str">
        <f t="shared" si="168"/>
        <v>1G</v>
      </c>
      <c r="BD231" s="22" t="str">
        <f t="shared" si="169"/>
        <v>1G</v>
      </c>
      <c r="BE231" s="22" t="str">
        <f t="shared" si="170"/>
        <v>1G</v>
      </c>
      <c r="BF231" s="22" t="str">
        <f t="shared" si="171"/>
        <v>2G</v>
      </c>
      <c r="BG231" s="22" t="str">
        <f t="shared" si="172"/>
        <v>2G</v>
      </c>
      <c r="BH231" s="22" t="str">
        <f t="shared" si="173"/>
        <v>3G</v>
      </c>
      <c r="BI231" s="22">
        <f t="shared" si="198"/>
        <v>3</v>
      </c>
      <c r="BJ231" s="22">
        <f t="shared" si="199"/>
        <v>2</v>
      </c>
      <c r="BK231" s="22">
        <f t="shared" si="200"/>
        <v>1</v>
      </c>
      <c r="BL231" s="22" t="str">
        <f t="shared" si="201"/>
        <v>321</v>
      </c>
      <c r="BS231"/>
      <c r="CL231" s="23">
        <v>134</v>
      </c>
      <c r="CM231" s="23">
        <v>130</v>
      </c>
      <c r="CO231"/>
    </row>
    <row r="232" spans="2:93" ht="17" hidden="1">
      <c r="B232" s="15">
        <v>228</v>
      </c>
      <c r="C232" s="23" t="s">
        <v>258</v>
      </c>
      <c r="D232" s="16">
        <v>9</v>
      </c>
      <c r="E232" s="17">
        <v>1146700334</v>
      </c>
      <c r="F232" s="16">
        <v>39</v>
      </c>
      <c r="G232" s="17">
        <v>44103859</v>
      </c>
      <c r="H232" s="17">
        <v>1338</v>
      </c>
      <c r="I232" s="17">
        <v>1285539</v>
      </c>
      <c r="J232" s="17">
        <v>66002</v>
      </c>
      <c r="K232" s="17">
        <v>52122</v>
      </c>
      <c r="L232" s="17">
        <v>1036309</v>
      </c>
      <c r="M232" s="17">
        <v>5000</v>
      </c>
      <c r="N232" s="23">
        <v>17</v>
      </c>
      <c r="O232" s="23">
        <v>25</v>
      </c>
      <c r="P232" s="23">
        <v>35</v>
      </c>
      <c r="Q232" s="23">
        <v>36</v>
      </c>
      <c r="R232" s="23">
        <v>39</v>
      </c>
      <c r="S232" s="23">
        <v>44</v>
      </c>
      <c r="T232" s="23">
        <v>23</v>
      </c>
      <c r="U232" s="23">
        <f t="shared" si="174"/>
        <v>196</v>
      </c>
      <c r="W232" s="22" t="str">
        <f t="shared" si="159"/>
        <v>홀수</v>
      </c>
      <c r="X232" s="22" t="str">
        <f t="shared" si="160"/>
        <v>홀수</v>
      </c>
      <c r="Y232" s="22" t="str">
        <f t="shared" si="161"/>
        <v>홀수</v>
      </c>
      <c r="Z232" s="22" t="str">
        <f t="shared" si="162"/>
        <v>짝수</v>
      </c>
      <c r="AA232" s="22" t="str">
        <f t="shared" si="163"/>
        <v>홀수</v>
      </c>
      <c r="AB232" s="22" t="str">
        <f t="shared" si="164"/>
        <v>짝수</v>
      </c>
      <c r="AC232" s="52" t="str">
        <f t="shared" si="165"/>
        <v>4 : 2</v>
      </c>
      <c r="AD232" s="22">
        <f t="shared" si="166"/>
        <v>4</v>
      </c>
      <c r="AE232" s="22">
        <f t="shared" si="167"/>
        <v>2</v>
      </c>
      <c r="AF232" s="22" t="str">
        <f t="shared" si="175"/>
        <v>저수</v>
      </c>
      <c r="AG232" s="22" t="str">
        <f t="shared" si="176"/>
        <v>고수</v>
      </c>
      <c r="AH232" s="22" t="str">
        <f t="shared" si="177"/>
        <v>고수</v>
      </c>
      <c r="AI232" s="22" t="str">
        <f t="shared" si="178"/>
        <v>고수</v>
      </c>
      <c r="AJ232" s="22" t="str">
        <f t="shared" si="179"/>
        <v>고수</v>
      </c>
      <c r="AK232" s="22" t="str">
        <f t="shared" si="180"/>
        <v>고수</v>
      </c>
      <c r="AL232" s="52" t="str">
        <f t="shared" si="181"/>
        <v>1 : 5</v>
      </c>
      <c r="AM232" s="22">
        <f t="shared" si="182"/>
        <v>1</v>
      </c>
      <c r="AN232" s="22">
        <f t="shared" si="183"/>
        <v>5</v>
      </c>
      <c r="AO232" s="22">
        <f t="shared" si="184"/>
        <v>36</v>
      </c>
      <c r="AP232" s="22" t="str">
        <f t="shared" si="185"/>
        <v>O</v>
      </c>
      <c r="AQ232" s="22" t="str">
        <f t="shared" si="186"/>
        <v>X</v>
      </c>
      <c r="AR232" s="22" t="str">
        <f t="shared" si="187"/>
        <v>X</v>
      </c>
      <c r="AS232" s="22" t="str">
        <f t="shared" si="188"/>
        <v>X</v>
      </c>
      <c r="AT232" s="22" t="str">
        <f t="shared" si="189"/>
        <v>X</v>
      </c>
      <c r="AU232" s="22" t="str">
        <f t="shared" si="190"/>
        <v>X</v>
      </c>
      <c r="AV232" s="22" t="str">
        <f t="shared" si="191"/>
        <v>X</v>
      </c>
      <c r="AW232" s="22" t="str">
        <f t="shared" si="192"/>
        <v>X</v>
      </c>
      <c r="AX232" s="22" t="str">
        <f t="shared" si="193"/>
        <v>X</v>
      </c>
      <c r="AY232" s="22" t="str">
        <f t="shared" si="194"/>
        <v>X</v>
      </c>
      <c r="AZ232" s="22" t="str">
        <f t="shared" si="195"/>
        <v>X</v>
      </c>
      <c r="BA232" s="22" t="str">
        <f t="shared" si="196"/>
        <v>X</v>
      </c>
      <c r="BB232" s="22">
        <f t="shared" si="197"/>
        <v>1</v>
      </c>
      <c r="BC232" s="22" t="str">
        <f t="shared" si="168"/>
        <v>2G</v>
      </c>
      <c r="BD232" s="22" t="str">
        <f t="shared" si="169"/>
        <v>2G</v>
      </c>
      <c r="BE232" s="22" t="str">
        <f t="shared" si="170"/>
        <v>3G</v>
      </c>
      <c r="BF232" s="22" t="str">
        <f t="shared" si="171"/>
        <v>3G</v>
      </c>
      <c r="BG232" s="22" t="str">
        <f t="shared" si="172"/>
        <v>3G</v>
      </c>
      <c r="BH232" s="22" t="str">
        <f t="shared" si="173"/>
        <v>3G</v>
      </c>
      <c r="BI232" s="22">
        <f t="shared" si="198"/>
        <v>0</v>
      </c>
      <c r="BJ232" s="22">
        <f t="shared" si="199"/>
        <v>2</v>
      </c>
      <c r="BK232" s="22">
        <f t="shared" si="200"/>
        <v>4</v>
      </c>
      <c r="BL232" s="22" t="str">
        <f t="shared" si="201"/>
        <v>024</v>
      </c>
      <c r="BS232"/>
      <c r="CL232" s="23">
        <v>135</v>
      </c>
      <c r="CM232" s="23">
        <v>130</v>
      </c>
      <c r="CO232"/>
    </row>
    <row r="233" spans="2:93" ht="17" hidden="1">
      <c r="B233" s="15">
        <v>229</v>
      </c>
      <c r="C233" s="23" t="s">
        <v>259</v>
      </c>
      <c r="D233" s="16">
        <v>7</v>
      </c>
      <c r="E233" s="17">
        <v>1451441100</v>
      </c>
      <c r="F233" s="16">
        <v>27</v>
      </c>
      <c r="G233" s="17">
        <v>62716591</v>
      </c>
      <c r="H233" s="17">
        <v>1312</v>
      </c>
      <c r="I233" s="17">
        <v>1290662</v>
      </c>
      <c r="J233" s="17">
        <v>67524</v>
      </c>
      <c r="K233" s="17">
        <v>50156</v>
      </c>
      <c r="L233" s="17">
        <v>1089603</v>
      </c>
      <c r="M233" s="17">
        <v>5000</v>
      </c>
      <c r="N233" s="23">
        <v>4</v>
      </c>
      <c r="O233" s="23">
        <v>5</v>
      </c>
      <c r="P233" s="23">
        <v>9</v>
      </c>
      <c r="Q233" s="23">
        <v>11</v>
      </c>
      <c r="R233" s="23">
        <v>23</v>
      </c>
      <c r="S233" s="23">
        <v>38</v>
      </c>
      <c r="T233" s="23">
        <v>35</v>
      </c>
      <c r="U233" s="23">
        <f t="shared" si="174"/>
        <v>90</v>
      </c>
      <c r="W233" s="22" t="str">
        <f t="shared" si="159"/>
        <v>짝수</v>
      </c>
      <c r="X233" s="22" t="str">
        <f t="shared" si="160"/>
        <v>홀수</v>
      </c>
      <c r="Y233" s="22" t="str">
        <f t="shared" si="161"/>
        <v>홀수</v>
      </c>
      <c r="Z233" s="22" t="str">
        <f t="shared" si="162"/>
        <v>홀수</v>
      </c>
      <c r="AA233" s="22" t="str">
        <f t="shared" si="163"/>
        <v>홀수</v>
      </c>
      <c r="AB233" s="22" t="str">
        <f t="shared" si="164"/>
        <v>짝수</v>
      </c>
      <c r="AC233" s="52" t="str">
        <f t="shared" si="165"/>
        <v>4 : 2</v>
      </c>
      <c r="AD233" s="22">
        <f t="shared" si="166"/>
        <v>4</v>
      </c>
      <c r="AE233" s="22">
        <f t="shared" si="167"/>
        <v>2</v>
      </c>
      <c r="AF233" s="22" t="str">
        <f t="shared" si="175"/>
        <v>저수</v>
      </c>
      <c r="AG233" s="22" t="str">
        <f t="shared" si="176"/>
        <v>저수</v>
      </c>
      <c r="AH233" s="22" t="str">
        <f t="shared" si="177"/>
        <v>저수</v>
      </c>
      <c r="AI233" s="22" t="str">
        <f t="shared" si="178"/>
        <v>저수</v>
      </c>
      <c r="AJ233" s="22" t="str">
        <f t="shared" si="179"/>
        <v>고수</v>
      </c>
      <c r="AK233" s="22" t="str">
        <f t="shared" si="180"/>
        <v>고수</v>
      </c>
      <c r="AL233" s="52" t="str">
        <f t="shared" si="181"/>
        <v>4 : 2</v>
      </c>
      <c r="AM233" s="22">
        <f t="shared" si="182"/>
        <v>4</v>
      </c>
      <c r="AN233" s="22">
        <f t="shared" si="183"/>
        <v>2</v>
      </c>
      <c r="AO233" s="22">
        <f t="shared" si="184"/>
        <v>30</v>
      </c>
      <c r="AP233" s="22" t="str">
        <f t="shared" si="185"/>
        <v>X</v>
      </c>
      <c r="AQ233" s="22" t="str">
        <f t="shared" si="186"/>
        <v>O</v>
      </c>
      <c r="AR233" s="22" t="str">
        <f t="shared" si="187"/>
        <v>X</v>
      </c>
      <c r="AS233" s="22" t="str">
        <f t="shared" si="188"/>
        <v>O</v>
      </c>
      <c r="AT233" s="22" t="str">
        <f t="shared" si="189"/>
        <v>X</v>
      </c>
      <c r="AU233" s="22" t="str">
        <f t="shared" si="190"/>
        <v>X</v>
      </c>
      <c r="AV233" s="22" t="str">
        <f t="shared" si="191"/>
        <v>X</v>
      </c>
      <c r="AW233" s="22" t="str">
        <f t="shared" si="192"/>
        <v>X</v>
      </c>
      <c r="AX233" s="22" t="str">
        <f t="shared" si="193"/>
        <v>X</v>
      </c>
      <c r="AY233" s="22" t="str">
        <f t="shared" si="194"/>
        <v>X</v>
      </c>
      <c r="AZ233" s="22" t="str">
        <f t="shared" si="195"/>
        <v>O</v>
      </c>
      <c r="BA233" s="22" t="str">
        <f t="shared" si="196"/>
        <v>X</v>
      </c>
      <c r="BB233" s="22">
        <f t="shared" si="197"/>
        <v>3</v>
      </c>
      <c r="BC233" s="22" t="str">
        <f t="shared" si="168"/>
        <v>1G</v>
      </c>
      <c r="BD233" s="22" t="str">
        <f t="shared" si="169"/>
        <v>1G</v>
      </c>
      <c r="BE233" s="22" t="str">
        <f t="shared" si="170"/>
        <v>1G</v>
      </c>
      <c r="BF233" s="22" t="str">
        <f t="shared" si="171"/>
        <v>1G</v>
      </c>
      <c r="BG233" s="22" t="str">
        <f t="shared" si="172"/>
        <v>2G</v>
      </c>
      <c r="BH233" s="22" t="str">
        <f t="shared" si="173"/>
        <v>3G</v>
      </c>
      <c r="BI233" s="22">
        <f t="shared" si="198"/>
        <v>4</v>
      </c>
      <c r="BJ233" s="22">
        <f t="shared" si="199"/>
        <v>1</v>
      </c>
      <c r="BK233" s="22">
        <f t="shared" si="200"/>
        <v>1</v>
      </c>
      <c r="BL233" s="22" t="str">
        <f t="shared" si="201"/>
        <v>411</v>
      </c>
      <c r="BS233"/>
      <c r="CL233" s="23">
        <v>135</v>
      </c>
      <c r="CM233" s="23">
        <v>130</v>
      </c>
      <c r="CO233"/>
    </row>
    <row r="234" spans="2:93" ht="17" hidden="1">
      <c r="B234" s="15">
        <v>230</v>
      </c>
      <c r="C234" s="23" t="s">
        <v>260</v>
      </c>
      <c r="D234" s="16">
        <v>8</v>
      </c>
      <c r="E234" s="17">
        <v>1292929163</v>
      </c>
      <c r="F234" s="16">
        <v>25</v>
      </c>
      <c r="G234" s="17">
        <v>68956222</v>
      </c>
      <c r="H234" s="17">
        <v>1037</v>
      </c>
      <c r="I234" s="17">
        <v>1662397</v>
      </c>
      <c r="J234" s="17">
        <v>56346</v>
      </c>
      <c r="K234" s="17">
        <v>61190</v>
      </c>
      <c r="L234" s="17">
        <v>971324</v>
      </c>
      <c r="M234" s="17">
        <v>5000</v>
      </c>
      <c r="N234" s="23">
        <v>5</v>
      </c>
      <c r="O234" s="23">
        <v>11</v>
      </c>
      <c r="P234" s="23">
        <v>14</v>
      </c>
      <c r="Q234" s="23">
        <v>29</v>
      </c>
      <c r="R234" s="23">
        <v>32</v>
      </c>
      <c r="S234" s="23">
        <v>33</v>
      </c>
      <c r="T234" s="23">
        <v>12</v>
      </c>
      <c r="U234" s="23">
        <f t="shared" si="174"/>
        <v>124</v>
      </c>
      <c r="W234" s="22" t="str">
        <f t="shared" si="159"/>
        <v>홀수</v>
      </c>
      <c r="X234" s="22" t="str">
        <f t="shared" si="160"/>
        <v>홀수</v>
      </c>
      <c r="Y234" s="22" t="str">
        <f t="shared" si="161"/>
        <v>짝수</v>
      </c>
      <c r="Z234" s="22" t="str">
        <f t="shared" si="162"/>
        <v>홀수</v>
      </c>
      <c r="AA234" s="22" t="str">
        <f t="shared" si="163"/>
        <v>짝수</v>
      </c>
      <c r="AB234" s="22" t="str">
        <f t="shared" si="164"/>
        <v>홀수</v>
      </c>
      <c r="AC234" s="52" t="str">
        <f t="shared" si="165"/>
        <v>4 : 2</v>
      </c>
      <c r="AD234" s="22">
        <f t="shared" si="166"/>
        <v>4</v>
      </c>
      <c r="AE234" s="22">
        <f t="shared" si="167"/>
        <v>2</v>
      </c>
      <c r="AF234" s="22" t="str">
        <f t="shared" si="175"/>
        <v>저수</v>
      </c>
      <c r="AG234" s="22" t="str">
        <f t="shared" si="176"/>
        <v>저수</v>
      </c>
      <c r="AH234" s="22" t="str">
        <f t="shared" si="177"/>
        <v>저수</v>
      </c>
      <c r="AI234" s="22" t="str">
        <f t="shared" si="178"/>
        <v>고수</v>
      </c>
      <c r="AJ234" s="22" t="str">
        <f t="shared" si="179"/>
        <v>고수</v>
      </c>
      <c r="AK234" s="22" t="str">
        <f t="shared" si="180"/>
        <v>고수</v>
      </c>
      <c r="AL234" s="52" t="str">
        <f t="shared" si="181"/>
        <v>3 : 3</v>
      </c>
      <c r="AM234" s="22">
        <f t="shared" si="182"/>
        <v>3</v>
      </c>
      <c r="AN234" s="22">
        <f t="shared" si="183"/>
        <v>3</v>
      </c>
      <c r="AO234" s="22">
        <f t="shared" si="184"/>
        <v>24</v>
      </c>
      <c r="AP234" s="22" t="str">
        <f t="shared" si="185"/>
        <v>O</v>
      </c>
      <c r="AQ234" s="22" t="str">
        <f t="shared" si="186"/>
        <v>O</v>
      </c>
      <c r="AR234" s="22" t="str">
        <f t="shared" si="187"/>
        <v>X</v>
      </c>
      <c r="AS234" s="22" t="str">
        <f t="shared" si="188"/>
        <v>X</v>
      </c>
      <c r="AT234" s="22" t="str">
        <f t="shared" si="189"/>
        <v>X</v>
      </c>
      <c r="AU234" s="22" t="str">
        <f t="shared" si="190"/>
        <v>X</v>
      </c>
      <c r="AV234" s="22" t="str">
        <f t="shared" si="191"/>
        <v>X</v>
      </c>
      <c r="AW234" s="22" t="str">
        <f t="shared" si="192"/>
        <v>X</v>
      </c>
      <c r="AX234" s="22" t="str">
        <f t="shared" si="193"/>
        <v>X</v>
      </c>
      <c r="AY234" s="22" t="str">
        <f t="shared" si="194"/>
        <v>O</v>
      </c>
      <c r="AZ234" s="22" t="str">
        <f t="shared" si="195"/>
        <v>X</v>
      </c>
      <c r="BA234" s="22" t="str">
        <f t="shared" si="196"/>
        <v>X</v>
      </c>
      <c r="BB234" s="22">
        <f t="shared" si="197"/>
        <v>3</v>
      </c>
      <c r="BC234" s="22" t="str">
        <f t="shared" si="168"/>
        <v>1G</v>
      </c>
      <c r="BD234" s="22" t="str">
        <f t="shared" si="169"/>
        <v>1G</v>
      </c>
      <c r="BE234" s="22" t="str">
        <f t="shared" si="170"/>
        <v>1G</v>
      </c>
      <c r="BF234" s="22" t="str">
        <f t="shared" si="171"/>
        <v>2G</v>
      </c>
      <c r="BG234" s="22" t="str">
        <f t="shared" si="172"/>
        <v>3G</v>
      </c>
      <c r="BH234" s="22" t="str">
        <f t="shared" si="173"/>
        <v>3G</v>
      </c>
      <c r="BI234" s="22">
        <f t="shared" si="198"/>
        <v>3</v>
      </c>
      <c r="BJ234" s="22">
        <f t="shared" si="199"/>
        <v>1</v>
      </c>
      <c r="BK234" s="22">
        <f t="shared" si="200"/>
        <v>2</v>
      </c>
      <c r="BL234" s="22" t="str">
        <f t="shared" si="201"/>
        <v>312</v>
      </c>
      <c r="BS234"/>
      <c r="CL234" s="23">
        <v>135</v>
      </c>
      <c r="CM234" s="23">
        <v>130</v>
      </c>
      <c r="CO234"/>
    </row>
    <row r="235" spans="2:93" ht="17" hidden="1">
      <c r="B235" s="15">
        <v>231</v>
      </c>
      <c r="C235" s="23" t="s">
        <v>261</v>
      </c>
      <c r="D235" s="16">
        <v>9</v>
      </c>
      <c r="E235" s="17">
        <v>1088365900</v>
      </c>
      <c r="F235" s="16">
        <v>19</v>
      </c>
      <c r="G235" s="17">
        <v>85923624</v>
      </c>
      <c r="H235" s="17">
        <v>1267</v>
      </c>
      <c r="I235" s="17">
        <v>1288516</v>
      </c>
      <c r="J235" s="17">
        <v>59311</v>
      </c>
      <c r="K235" s="17">
        <v>55051</v>
      </c>
      <c r="L235" s="17">
        <v>970465</v>
      </c>
      <c r="M235" s="17">
        <v>5000</v>
      </c>
      <c r="N235" s="23">
        <v>5</v>
      </c>
      <c r="O235" s="23">
        <v>10</v>
      </c>
      <c r="P235" s="23">
        <v>19</v>
      </c>
      <c r="Q235" s="23">
        <v>31</v>
      </c>
      <c r="R235" s="23">
        <v>44</v>
      </c>
      <c r="S235" s="23">
        <v>45</v>
      </c>
      <c r="T235" s="23">
        <v>27</v>
      </c>
      <c r="U235" s="23">
        <f t="shared" si="174"/>
        <v>154</v>
      </c>
      <c r="W235" s="22" t="str">
        <f t="shared" si="159"/>
        <v>홀수</v>
      </c>
      <c r="X235" s="22" t="str">
        <f t="shared" si="160"/>
        <v>짝수</v>
      </c>
      <c r="Y235" s="22" t="str">
        <f t="shared" si="161"/>
        <v>홀수</v>
      </c>
      <c r="Z235" s="22" t="str">
        <f t="shared" si="162"/>
        <v>홀수</v>
      </c>
      <c r="AA235" s="22" t="str">
        <f t="shared" si="163"/>
        <v>짝수</v>
      </c>
      <c r="AB235" s="22" t="str">
        <f t="shared" si="164"/>
        <v>홀수</v>
      </c>
      <c r="AC235" s="52" t="str">
        <f t="shared" si="165"/>
        <v>4 : 2</v>
      </c>
      <c r="AD235" s="22">
        <f t="shared" si="166"/>
        <v>4</v>
      </c>
      <c r="AE235" s="22">
        <f t="shared" si="167"/>
        <v>2</v>
      </c>
      <c r="AF235" s="22" t="str">
        <f t="shared" si="175"/>
        <v>저수</v>
      </c>
      <c r="AG235" s="22" t="str">
        <f t="shared" si="176"/>
        <v>저수</v>
      </c>
      <c r="AH235" s="22" t="str">
        <f t="shared" si="177"/>
        <v>저수</v>
      </c>
      <c r="AI235" s="22" t="str">
        <f t="shared" si="178"/>
        <v>고수</v>
      </c>
      <c r="AJ235" s="22" t="str">
        <f t="shared" si="179"/>
        <v>고수</v>
      </c>
      <c r="AK235" s="22" t="str">
        <f t="shared" si="180"/>
        <v>고수</v>
      </c>
      <c r="AL235" s="52" t="str">
        <f t="shared" si="181"/>
        <v>3 : 3</v>
      </c>
      <c r="AM235" s="22">
        <f t="shared" si="182"/>
        <v>3</v>
      </c>
      <c r="AN235" s="22">
        <f t="shared" si="183"/>
        <v>3</v>
      </c>
      <c r="AO235" s="22">
        <f t="shared" si="184"/>
        <v>24</v>
      </c>
      <c r="AP235" s="22" t="str">
        <f t="shared" si="185"/>
        <v>O</v>
      </c>
      <c r="AQ235" s="22" t="str">
        <f t="shared" si="186"/>
        <v>X</v>
      </c>
      <c r="AR235" s="22" t="str">
        <f t="shared" si="187"/>
        <v>O</v>
      </c>
      <c r="AS235" s="22" t="str">
        <f t="shared" si="188"/>
        <v>X</v>
      </c>
      <c r="AT235" s="22" t="str">
        <f t="shared" si="189"/>
        <v>X</v>
      </c>
      <c r="AU235" s="22" t="str">
        <f t="shared" si="190"/>
        <v>X</v>
      </c>
      <c r="AV235" s="22" t="str">
        <f t="shared" si="191"/>
        <v>X</v>
      </c>
      <c r="AW235" s="22" t="str">
        <f t="shared" si="192"/>
        <v>X</v>
      </c>
      <c r="AX235" s="22" t="str">
        <f t="shared" si="193"/>
        <v>X</v>
      </c>
      <c r="AY235" s="22" t="str">
        <f t="shared" si="194"/>
        <v>O</v>
      </c>
      <c r="AZ235" s="22" t="str">
        <f t="shared" si="195"/>
        <v>X</v>
      </c>
      <c r="BA235" s="22" t="str">
        <f t="shared" si="196"/>
        <v>X</v>
      </c>
      <c r="BB235" s="22">
        <f t="shared" si="197"/>
        <v>3</v>
      </c>
      <c r="BC235" s="22" t="str">
        <f t="shared" si="168"/>
        <v>1G</v>
      </c>
      <c r="BD235" s="22" t="str">
        <f t="shared" si="169"/>
        <v>1G</v>
      </c>
      <c r="BE235" s="22" t="str">
        <f t="shared" si="170"/>
        <v>2G</v>
      </c>
      <c r="BF235" s="22" t="str">
        <f t="shared" si="171"/>
        <v>3G</v>
      </c>
      <c r="BG235" s="22" t="str">
        <f t="shared" si="172"/>
        <v>3G</v>
      </c>
      <c r="BH235" s="22" t="str">
        <f t="shared" si="173"/>
        <v>3G</v>
      </c>
      <c r="BI235" s="22">
        <f t="shared" si="198"/>
        <v>2</v>
      </c>
      <c r="BJ235" s="22">
        <f t="shared" si="199"/>
        <v>1</v>
      </c>
      <c r="BK235" s="22">
        <f t="shared" si="200"/>
        <v>3</v>
      </c>
      <c r="BL235" s="22" t="str">
        <f t="shared" si="201"/>
        <v>213</v>
      </c>
      <c r="BS235"/>
      <c r="CL235" s="23">
        <v>135</v>
      </c>
      <c r="CM235" s="23">
        <v>130</v>
      </c>
      <c r="CO235"/>
    </row>
    <row r="236" spans="2:93" ht="17" hidden="1">
      <c r="B236" s="15">
        <v>232</v>
      </c>
      <c r="C236" s="23" t="s">
        <v>262</v>
      </c>
      <c r="D236" s="16">
        <v>9</v>
      </c>
      <c r="E236" s="17">
        <v>1110918400</v>
      </c>
      <c r="F236" s="16">
        <v>18</v>
      </c>
      <c r="G236" s="17">
        <v>92576534</v>
      </c>
      <c r="H236" s="17">
        <v>1268</v>
      </c>
      <c r="I236" s="17">
        <v>1314178</v>
      </c>
      <c r="J236" s="17">
        <v>65000</v>
      </c>
      <c r="K236" s="17">
        <v>51274</v>
      </c>
      <c r="L236" s="17">
        <v>1023708</v>
      </c>
      <c r="M236" s="17">
        <v>5000</v>
      </c>
      <c r="N236" s="23">
        <v>8</v>
      </c>
      <c r="O236" s="23">
        <v>9</v>
      </c>
      <c r="P236" s="23">
        <v>10</v>
      </c>
      <c r="Q236" s="23">
        <v>12</v>
      </c>
      <c r="R236" s="23">
        <v>24</v>
      </c>
      <c r="S236" s="23">
        <v>44</v>
      </c>
      <c r="T236" s="23">
        <v>35</v>
      </c>
      <c r="U236" s="23">
        <f t="shared" si="174"/>
        <v>107</v>
      </c>
      <c r="W236" s="22" t="str">
        <f t="shared" si="159"/>
        <v>짝수</v>
      </c>
      <c r="X236" s="22" t="str">
        <f t="shared" si="160"/>
        <v>홀수</v>
      </c>
      <c r="Y236" s="22" t="str">
        <f t="shared" si="161"/>
        <v>짝수</v>
      </c>
      <c r="Z236" s="22" t="str">
        <f t="shared" si="162"/>
        <v>짝수</v>
      </c>
      <c r="AA236" s="22" t="str">
        <f t="shared" si="163"/>
        <v>짝수</v>
      </c>
      <c r="AB236" s="22" t="str">
        <f t="shared" si="164"/>
        <v>짝수</v>
      </c>
      <c r="AC236" s="52" t="str">
        <f t="shared" si="165"/>
        <v>1 : 5</v>
      </c>
      <c r="AD236" s="22">
        <f t="shared" si="166"/>
        <v>1</v>
      </c>
      <c r="AE236" s="22">
        <f t="shared" si="167"/>
        <v>5</v>
      </c>
      <c r="AF236" s="22" t="str">
        <f t="shared" si="175"/>
        <v>저수</v>
      </c>
      <c r="AG236" s="22" t="str">
        <f t="shared" si="176"/>
        <v>저수</v>
      </c>
      <c r="AH236" s="22" t="str">
        <f t="shared" si="177"/>
        <v>저수</v>
      </c>
      <c r="AI236" s="22" t="str">
        <f t="shared" si="178"/>
        <v>저수</v>
      </c>
      <c r="AJ236" s="22" t="str">
        <f t="shared" si="179"/>
        <v>고수</v>
      </c>
      <c r="AK236" s="22" t="str">
        <f t="shared" si="180"/>
        <v>고수</v>
      </c>
      <c r="AL236" s="52" t="str">
        <f t="shared" si="181"/>
        <v>4 : 2</v>
      </c>
      <c r="AM236" s="22">
        <f t="shared" si="182"/>
        <v>4</v>
      </c>
      <c r="AN236" s="22">
        <f t="shared" si="183"/>
        <v>2</v>
      </c>
      <c r="AO236" s="22">
        <f t="shared" si="184"/>
        <v>27</v>
      </c>
      <c r="AP236" s="22" t="str">
        <f t="shared" si="185"/>
        <v>X</v>
      </c>
      <c r="AQ236" s="22" t="str">
        <f t="shared" si="186"/>
        <v>X</v>
      </c>
      <c r="AR236" s="22" t="str">
        <f t="shared" si="187"/>
        <v>X</v>
      </c>
      <c r="AS236" s="22" t="str">
        <f t="shared" si="188"/>
        <v>X</v>
      </c>
      <c r="AT236" s="22" t="str">
        <f t="shared" si="189"/>
        <v>X</v>
      </c>
      <c r="AU236" s="22" t="str">
        <f t="shared" si="190"/>
        <v>X</v>
      </c>
      <c r="AV236" s="22" t="str">
        <f t="shared" si="191"/>
        <v>X</v>
      </c>
      <c r="AW236" s="22" t="str">
        <f t="shared" si="192"/>
        <v>X</v>
      </c>
      <c r="AX236" s="22" t="str">
        <f t="shared" si="193"/>
        <v>X</v>
      </c>
      <c r="AY236" s="22" t="str">
        <f t="shared" si="194"/>
        <v>X</v>
      </c>
      <c r="AZ236" s="22" t="str">
        <f t="shared" si="195"/>
        <v>X</v>
      </c>
      <c r="BA236" s="22" t="str">
        <f t="shared" si="196"/>
        <v>X</v>
      </c>
      <c r="BB236" s="22">
        <f t="shared" si="197"/>
        <v>0</v>
      </c>
      <c r="BC236" s="22" t="str">
        <f t="shared" si="168"/>
        <v>1G</v>
      </c>
      <c r="BD236" s="22" t="str">
        <f t="shared" si="169"/>
        <v>1G</v>
      </c>
      <c r="BE236" s="22" t="str">
        <f t="shared" si="170"/>
        <v>1G</v>
      </c>
      <c r="BF236" s="22" t="str">
        <f t="shared" si="171"/>
        <v>1G</v>
      </c>
      <c r="BG236" s="22" t="str">
        <f t="shared" si="172"/>
        <v>2G</v>
      </c>
      <c r="BH236" s="22" t="str">
        <f t="shared" si="173"/>
        <v>3G</v>
      </c>
      <c r="BI236" s="22">
        <f t="shared" si="198"/>
        <v>4</v>
      </c>
      <c r="BJ236" s="22">
        <f t="shared" si="199"/>
        <v>1</v>
      </c>
      <c r="BK236" s="22">
        <f t="shared" si="200"/>
        <v>1</v>
      </c>
      <c r="BL236" s="22" t="str">
        <f t="shared" si="201"/>
        <v>411</v>
      </c>
      <c r="BS236"/>
      <c r="CL236" s="23">
        <v>135</v>
      </c>
      <c r="CM236" s="23">
        <v>130</v>
      </c>
      <c r="CO236"/>
    </row>
    <row r="237" spans="2:93" ht="17" hidden="1">
      <c r="B237" s="15">
        <v>233</v>
      </c>
      <c r="C237" s="23" t="s">
        <v>263</v>
      </c>
      <c r="D237" s="16">
        <v>10</v>
      </c>
      <c r="E237" s="17">
        <v>999153750</v>
      </c>
      <c r="F237" s="16">
        <v>26</v>
      </c>
      <c r="G237" s="17">
        <v>64048318</v>
      </c>
      <c r="H237" s="17">
        <v>1274</v>
      </c>
      <c r="I237" s="17">
        <v>1307109</v>
      </c>
      <c r="J237" s="17">
        <v>62535</v>
      </c>
      <c r="K237" s="17">
        <v>53259</v>
      </c>
      <c r="L237" s="17">
        <v>1021168</v>
      </c>
      <c r="M237" s="17">
        <v>5000</v>
      </c>
      <c r="N237" s="23">
        <v>4</v>
      </c>
      <c r="O237" s="23">
        <v>6</v>
      </c>
      <c r="P237" s="23">
        <v>13</v>
      </c>
      <c r="Q237" s="23">
        <v>17</v>
      </c>
      <c r="R237" s="23">
        <v>28</v>
      </c>
      <c r="S237" s="23">
        <v>40</v>
      </c>
      <c r="T237" s="23">
        <v>39</v>
      </c>
      <c r="U237" s="23">
        <f t="shared" si="174"/>
        <v>108</v>
      </c>
      <c r="W237" s="22" t="str">
        <f t="shared" si="159"/>
        <v>짝수</v>
      </c>
      <c r="X237" s="22" t="str">
        <f t="shared" si="160"/>
        <v>짝수</v>
      </c>
      <c r="Y237" s="22" t="str">
        <f t="shared" si="161"/>
        <v>홀수</v>
      </c>
      <c r="Z237" s="22" t="str">
        <f t="shared" si="162"/>
        <v>홀수</v>
      </c>
      <c r="AA237" s="22" t="str">
        <f t="shared" si="163"/>
        <v>짝수</v>
      </c>
      <c r="AB237" s="22" t="str">
        <f t="shared" si="164"/>
        <v>짝수</v>
      </c>
      <c r="AC237" s="52" t="str">
        <f t="shared" si="165"/>
        <v>2 : 4</v>
      </c>
      <c r="AD237" s="22">
        <f t="shared" si="166"/>
        <v>2</v>
      </c>
      <c r="AE237" s="22">
        <f t="shared" si="167"/>
        <v>4</v>
      </c>
      <c r="AF237" s="22" t="str">
        <f t="shared" si="175"/>
        <v>저수</v>
      </c>
      <c r="AG237" s="22" t="str">
        <f t="shared" si="176"/>
        <v>저수</v>
      </c>
      <c r="AH237" s="22" t="str">
        <f t="shared" si="177"/>
        <v>저수</v>
      </c>
      <c r="AI237" s="22" t="str">
        <f t="shared" si="178"/>
        <v>저수</v>
      </c>
      <c r="AJ237" s="22" t="str">
        <f t="shared" si="179"/>
        <v>고수</v>
      </c>
      <c r="AK237" s="22" t="str">
        <f t="shared" si="180"/>
        <v>고수</v>
      </c>
      <c r="AL237" s="52" t="str">
        <f t="shared" si="181"/>
        <v>4 : 2</v>
      </c>
      <c r="AM237" s="22">
        <f t="shared" si="182"/>
        <v>4</v>
      </c>
      <c r="AN237" s="22">
        <f t="shared" si="183"/>
        <v>2</v>
      </c>
      <c r="AO237" s="22">
        <f t="shared" si="184"/>
        <v>28</v>
      </c>
      <c r="AP237" s="22" t="str">
        <f t="shared" si="185"/>
        <v>X</v>
      </c>
      <c r="AQ237" s="22" t="str">
        <f t="shared" si="186"/>
        <v>X</v>
      </c>
      <c r="AR237" s="22" t="str">
        <f t="shared" si="187"/>
        <v>O</v>
      </c>
      <c r="AS237" s="22" t="str">
        <f t="shared" si="188"/>
        <v>O</v>
      </c>
      <c r="AT237" s="22" t="str">
        <f t="shared" si="189"/>
        <v>X</v>
      </c>
      <c r="AU237" s="22" t="str">
        <f t="shared" si="190"/>
        <v>X</v>
      </c>
      <c r="AV237" s="22" t="str">
        <f t="shared" si="191"/>
        <v>X</v>
      </c>
      <c r="AW237" s="22" t="str">
        <f t="shared" si="192"/>
        <v>X</v>
      </c>
      <c r="AX237" s="22" t="str">
        <f t="shared" si="193"/>
        <v>X</v>
      </c>
      <c r="AY237" s="22" t="str">
        <f t="shared" si="194"/>
        <v>X</v>
      </c>
      <c r="AZ237" s="22" t="str">
        <f t="shared" si="195"/>
        <v>X</v>
      </c>
      <c r="BA237" s="22" t="str">
        <f t="shared" si="196"/>
        <v>X</v>
      </c>
      <c r="BB237" s="22">
        <f t="shared" si="197"/>
        <v>2</v>
      </c>
      <c r="BC237" s="22" t="str">
        <f t="shared" si="168"/>
        <v>1G</v>
      </c>
      <c r="BD237" s="22" t="str">
        <f t="shared" si="169"/>
        <v>1G</v>
      </c>
      <c r="BE237" s="22" t="str">
        <f t="shared" si="170"/>
        <v>1G</v>
      </c>
      <c r="BF237" s="22" t="str">
        <f t="shared" si="171"/>
        <v>2G</v>
      </c>
      <c r="BG237" s="22" t="str">
        <f t="shared" si="172"/>
        <v>2G</v>
      </c>
      <c r="BH237" s="22" t="str">
        <f t="shared" si="173"/>
        <v>3G</v>
      </c>
      <c r="BI237" s="22">
        <f t="shared" si="198"/>
        <v>3</v>
      </c>
      <c r="BJ237" s="22">
        <f t="shared" si="199"/>
        <v>2</v>
      </c>
      <c r="BK237" s="22">
        <f t="shared" si="200"/>
        <v>1</v>
      </c>
      <c r="BL237" s="22" t="str">
        <f t="shared" si="201"/>
        <v>321</v>
      </c>
      <c r="BS237"/>
      <c r="CL237" s="23">
        <v>135</v>
      </c>
      <c r="CM237" s="23">
        <v>130</v>
      </c>
      <c r="CO237"/>
    </row>
    <row r="238" spans="2:93" ht="17" hidden="1">
      <c r="B238" s="15">
        <v>234</v>
      </c>
      <c r="C238" s="23" t="s">
        <v>264</v>
      </c>
      <c r="D238" s="16">
        <v>4</v>
      </c>
      <c r="E238" s="17">
        <v>2519743875</v>
      </c>
      <c r="F238" s="16">
        <v>23</v>
      </c>
      <c r="G238" s="17">
        <v>73036055</v>
      </c>
      <c r="H238" s="17">
        <v>1049</v>
      </c>
      <c r="I238" s="17">
        <v>1601363</v>
      </c>
      <c r="J238" s="17">
        <v>54926</v>
      </c>
      <c r="K238" s="17">
        <v>61167</v>
      </c>
      <c r="L238" s="17">
        <v>921750</v>
      </c>
      <c r="M238" s="17">
        <v>5000</v>
      </c>
      <c r="N238" s="23">
        <v>13</v>
      </c>
      <c r="O238" s="23">
        <v>21</v>
      </c>
      <c r="P238" s="23">
        <v>22</v>
      </c>
      <c r="Q238" s="23">
        <v>24</v>
      </c>
      <c r="R238" s="23">
        <v>26</v>
      </c>
      <c r="S238" s="23">
        <v>37</v>
      </c>
      <c r="T238" s="23">
        <v>4</v>
      </c>
      <c r="U238" s="23">
        <f t="shared" si="174"/>
        <v>143</v>
      </c>
      <c r="W238" s="22" t="str">
        <f t="shared" si="159"/>
        <v>홀수</v>
      </c>
      <c r="X238" s="22" t="str">
        <f t="shared" si="160"/>
        <v>홀수</v>
      </c>
      <c r="Y238" s="22" t="str">
        <f t="shared" si="161"/>
        <v>짝수</v>
      </c>
      <c r="Z238" s="22" t="str">
        <f t="shared" si="162"/>
        <v>짝수</v>
      </c>
      <c r="AA238" s="22" t="str">
        <f t="shared" si="163"/>
        <v>짝수</v>
      </c>
      <c r="AB238" s="22" t="str">
        <f t="shared" si="164"/>
        <v>홀수</v>
      </c>
      <c r="AC238" s="52" t="str">
        <f t="shared" si="165"/>
        <v>3 : 3</v>
      </c>
      <c r="AD238" s="22">
        <f t="shared" si="166"/>
        <v>3</v>
      </c>
      <c r="AE238" s="22">
        <f t="shared" si="167"/>
        <v>3</v>
      </c>
      <c r="AF238" s="22" t="str">
        <f t="shared" si="175"/>
        <v>저수</v>
      </c>
      <c r="AG238" s="22" t="str">
        <f t="shared" si="176"/>
        <v>저수</v>
      </c>
      <c r="AH238" s="22" t="str">
        <f t="shared" si="177"/>
        <v>저수</v>
      </c>
      <c r="AI238" s="22" t="str">
        <f t="shared" si="178"/>
        <v>고수</v>
      </c>
      <c r="AJ238" s="22" t="str">
        <f t="shared" si="179"/>
        <v>고수</v>
      </c>
      <c r="AK238" s="22" t="str">
        <f t="shared" si="180"/>
        <v>고수</v>
      </c>
      <c r="AL238" s="52" t="str">
        <f t="shared" si="181"/>
        <v>3 : 3</v>
      </c>
      <c r="AM238" s="22">
        <f t="shared" si="182"/>
        <v>3</v>
      </c>
      <c r="AN238" s="22">
        <f t="shared" si="183"/>
        <v>3</v>
      </c>
      <c r="AO238" s="22">
        <f t="shared" si="184"/>
        <v>23</v>
      </c>
      <c r="AP238" s="22" t="str">
        <f t="shared" si="185"/>
        <v>O</v>
      </c>
      <c r="AQ238" s="22" t="str">
        <f t="shared" si="186"/>
        <v>X</v>
      </c>
      <c r="AR238" s="22" t="str">
        <f t="shared" si="187"/>
        <v>X</v>
      </c>
      <c r="AS238" s="22" t="str">
        <f t="shared" si="188"/>
        <v>X</v>
      </c>
      <c r="AT238" s="22" t="str">
        <f t="shared" si="189"/>
        <v>X</v>
      </c>
      <c r="AU238" s="22" t="str">
        <f t="shared" si="190"/>
        <v>X</v>
      </c>
      <c r="AV238" s="22" t="str">
        <f t="shared" si="191"/>
        <v>X</v>
      </c>
      <c r="AW238" s="22" t="str">
        <f t="shared" si="192"/>
        <v>X</v>
      </c>
      <c r="AX238" s="22" t="str">
        <f t="shared" si="193"/>
        <v>X</v>
      </c>
      <c r="AY238" s="22" t="str">
        <f t="shared" si="194"/>
        <v>X</v>
      </c>
      <c r="AZ238" s="22" t="str">
        <f t="shared" si="195"/>
        <v>X</v>
      </c>
      <c r="BA238" s="22" t="str">
        <f t="shared" si="196"/>
        <v>O</v>
      </c>
      <c r="BB238" s="22">
        <f t="shared" si="197"/>
        <v>2</v>
      </c>
      <c r="BC238" s="22" t="str">
        <f t="shared" si="168"/>
        <v>1G</v>
      </c>
      <c r="BD238" s="22" t="str">
        <f t="shared" si="169"/>
        <v>2G</v>
      </c>
      <c r="BE238" s="22" t="str">
        <f t="shared" si="170"/>
        <v>2G</v>
      </c>
      <c r="BF238" s="22" t="str">
        <f t="shared" si="171"/>
        <v>2G</v>
      </c>
      <c r="BG238" s="22" t="str">
        <f t="shared" si="172"/>
        <v>2G</v>
      </c>
      <c r="BH238" s="22" t="str">
        <f t="shared" si="173"/>
        <v>3G</v>
      </c>
      <c r="BI238" s="22">
        <f t="shared" si="198"/>
        <v>1</v>
      </c>
      <c r="BJ238" s="22">
        <f t="shared" si="199"/>
        <v>4</v>
      </c>
      <c r="BK238" s="22">
        <f t="shared" si="200"/>
        <v>1</v>
      </c>
      <c r="BL238" s="22" t="str">
        <f t="shared" si="201"/>
        <v>141</v>
      </c>
      <c r="BS238"/>
      <c r="CL238" s="23">
        <v>136</v>
      </c>
      <c r="CM238" s="23">
        <v>130</v>
      </c>
      <c r="CO238"/>
    </row>
    <row r="239" spans="2:93" ht="17" hidden="1">
      <c r="B239" s="15">
        <v>235</v>
      </c>
      <c r="C239" s="23" t="s">
        <v>265</v>
      </c>
      <c r="D239" s="16">
        <v>3</v>
      </c>
      <c r="E239" s="17">
        <v>3433330100</v>
      </c>
      <c r="F239" s="16">
        <v>29</v>
      </c>
      <c r="G239" s="17">
        <v>59195347</v>
      </c>
      <c r="H239" s="17">
        <v>1178</v>
      </c>
      <c r="I239" s="17">
        <v>1457271</v>
      </c>
      <c r="J239" s="17">
        <v>59548</v>
      </c>
      <c r="K239" s="17">
        <v>57657</v>
      </c>
      <c r="L239" s="17">
        <v>901409</v>
      </c>
      <c r="M239" s="17">
        <v>5000</v>
      </c>
      <c r="N239" s="23">
        <v>21</v>
      </c>
      <c r="O239" s="23">
        <v>22</v>
      </c>
      <c r="P239" s="23">
        <v>26</v>
      </c>
      <c r="Q239" s="23">
        <v>27</v>
      </c>
      <c r="R239" s="23">
        <v>31</v>
      </c>
      <c r="S239" s="23">
        <v>37</v>
      </c>
      <c r="T239" s="23">
        <v>8</v>
      </c>
      <c r="U239" s="23">
        <f t="shared" si="174"/>
        <v>164</v>
      </c>
      <c r="W239" s="22" t="str">
        <f t="shared" si="159"/>
        <v>홀수</v>
      </c>
      <c r="X239" s="22" t="str">
        <f t="shared" si="160"/>
        <v>짝수</v>
      </c>
      <c r="Y239" s="22" t="str">
        <f t="shared" si="161"/>
        <v>짝수</v>
      </c>
      <c r="Z239" s="22" t="str">
        <f t="shared" si="162"/>
        <v>홀수</v>
      </c>
      <c r="AA239" s="22" t="str">
        <f t="shared" si="163"/>
        <v>홀수</v>
      </c>
      <c r="AB239" s="22" t="str">
        <f t="shared" si="164"/>
        <v>홀수</v>
      </c>
      <c r="AC239" s="52" t="str">
        <f t="shared" si="165"/>
        <v>4 : 2</v>
      </c>
      <c r="AD239" s="22">
        <f t="shared" si="166"/>
        <v>4</v>
      </c>
      <c r="AE239" s="22">
        <f t="shared" si="167"/>
        <v>2</v>
      </c>
      <c r="AF239" s="22" t="str">
        <f t="shared" si="175"/>
        <v>저수</v>
      </c>
      <c r="AG239" s="22" t="str">
        <f t="shared" si="176"/>
        <v>저수</v>
      </c>
      <c r="AH239" s="22" t="str">
        <f t="shared" si="177"/>
        <v>고수</v>
      </c>
      <c r="AI239" s="22" t="str">
        <f t="shared" si="178"/>
        <v>고수</v>
      </c>
      <c r="AJ239" s="22" t="str">
        <f t="shared" si="179"/>
        <v>고수</v>
      </c>
      <c r="AK239" s="22" t="str">
        <f t="shared" si="180"/>
        <v>고수</v>
      </c>
      <c r="AL239" s="52" t="str">
        <f t="shared" si="181"/>
        <v>2 : 4</v>
      </c>
      <c r="AM239" s="22">
        <f t="shared" si="182"/>
        <v>2</v>
      </c>
      <c r="AN239" s="22">
        <f t="shared" si="183"/>
        <v>4</v>
      </c>
      <c r="AO239" s="22">
        <f t="shared" si="184"/>
        <v>24</v>
      </c>
      <c r="AP239" s="22" t="str">
        <f t="shared" si="185"/>
        <v>X</v>
      </c>
      <c r="AQ239" s="22" t="str">
        <f t="shared" si="186"/>
        <v>X</v>
      </c>
      <c r="AR239" s="22" t="str">
        <f t="shared" si="187"/>
        <v>X</v>
      </c>
      <c r="AS239" s="22" t="str">
        <f t="shared" si="188"/>
        <v>X</v>
      </c>
      <c r="AT239" s="22" t="str">
        <f t="shared" si="189"/>
        <v>X</v>
      </c>
      <c r="AU239" s="22" t="str">
        <f t="shared" si="190"/>
        <v>X</v>
      </c>
      <c r="AV239" s="22" t="str">
        <f t="shared" si="191"/>
        <v>X</v>
      </c>
      <c r="AW239" s="22" t="str">
        <f t="shared" si="192"/>
        <v>X</v>
      </c>
      <c r="AX239" s="22" t="str">
        <f t="shared" si="193"/>
        <v>X</v>
      </c>
      <c r="AY239" s="22" t="str">
        <f t="shared" si="194"/>
        <v>X</v>
      </c>
      <c r="AZ239" s="22" t="str">
        <f t="shared" si="195"/>
        <v>O</v>
      </c>
      <c r="BA239" s="22" t="str">
        <f t="shared" si="196"/>
        <v>O</v>
      </c>
      <c r="BB239" s="22">
        <f t="shared" si="197"/>
        <v>2</v>
      </c>
      <c r="BC239" s="22" t="str">
        <f t="shared" si="168"/>
        <v>2G</v>
      </c>
      <c r="BD239" s="22" t="str">
        <f t="shared" si="169"/>
        <v>2G</v>
      </c>
      <c r="BE239" s="22" t="str">
        <f t="shared" si="170"/>
        <v>2G</v>
      </c>
      <c r="BF239" s="22" t="str">
        <f t="shared" si="171"/>
        <v>2G</v>
      </c>
      <c r="BG239" s="22" t="str">
        <f t="shared" si="172"/>
        <v>3G</v>
      </c>
      <c r="BH239" s="22" t="str">
        <f t="shared" si="173"/>
        <v>3G</v>
      </c>
      <c r="BI239" s="22">
        <f t="shared" si="198"/>
        <v>0</v>
      </c>
      <c r="BJ239" s="22">
        <f t="shared" si="199"/>
        <v>4</v>
      </c>
      <c r="BK239" s="22">
        <f t="shared" si="200"/>
        <v>2</v>
      </c>
      <c r="BL239" s="22" t="str">
        <f t="shared" si="201"/>
        <v>042</v>
      </c>
      <c r="BS239"/>
      <c r="CL239" s="23">
        <v>136</v>
      </c>
      <c r="CM239" s="23">
        <v>130</v>
      </c>
      <c r="CO239"/>
    </row>
    <row r="240" spans="2:93" ht="17" hidden="1">
      <c r="B240" s="15">
        <v>236</v>
      </c>
      <c r="C240" s="23" t="s">
        <v>266</v>
      </c>
      <c r="D240" s="16">
        <v>2</v>
      </c>
      <c r="E240" s="17">
        <v>5030040150</v>
      </c>
      <c r="F240" s="16">
        <v>41</v>
      </c>
      <c r="G240" s="17">
        <v>40894636</v>
      </c>
      <c r="H240" s="17">
        <v>1046</v>
      </c>
      <c r="I240" s="17">
        <v>1602945</v>
      </c>
      <c r="J240" s="17">
        <v>54480</v>
      </c>
      <c r="K240" s="17">
        <v>61553</v>
      </c>
      <c r="L240" s="17">
        <v>940827</v>
      </c>
      <c r="M240" s="17">
        <v>5000</v>
      </c>
      <c r="N240" s="23">
        <v>1</v>
      </c>
      <c r="O240" s="23">
        <v>4</v>
      </c>
      <c r="P240" s="23">
        <v>8</v>
      </c>
      <c r="Q240" s="23">
        <v>13</v>
      </c>
      <c r="R240" s="23">
        <v>37</v>
      </c>
      <c r="S240" s="23">
        <v>39</v>
      </c>
      <c r="T240" s="23">
        <v>7</v>
      </c>
      <c r="U240" s="23">
        <f t="shared" ref="U240:U261" si="202">SUM(N240:S240)</f>
        <v>102</v>
      </c>
      <c r="W240" s="22" t="str">
        <f t="shared" si="159"/>
        <v>홀수</v>
      </c>
      <c r="X240" s="22" t="str">
        <f t="shared" si="160"/>
        <v>짝수</v>
      </c>
      <c r="Y240" s="22" t="str">
        <f t="shared" si="161"/>
        <v>짝수</v>
      </c>
      <c r="Z240" s="22" t="str">
        <f t="shared" si="162"/>
        <v>홀수</v>
      </c>
      <c r="AA240" s="22" t="str">
        <f t="shared" si="163"/>
        <v>홀수</v>
      </c>
      <c r="AB240" s="22" t="str">
        <f t="shared" si="164"/>
        <v>홀수</v>
      </c>
      <c r="AC240" s="52" t="str">
        <f t="shared" si="165"/>
        <v>4 : 2</v>
      </c>
      <c r="AD240" s="22">
        <f t="shared" si="166"/>
        <v>4</v>
      </c>
      <c r="AE240" s="22">
        <f t="shared" si="167"/>
        <v>2</v>
      </c>
      <c r="AF240" s="22" t="str">
        <f t="shared" si="175"/>
        <v>저수</v>
      </c>
      <c r="AG240" s="22" t="str">
        <f t="shared" si="176"/>
        <v>저수</v>
      </c>
      <c r="AH240" s="22" t="str">
        <f t="shared" si="177"/>
        <v>저수</v>
      </c>
      <c r="AI240" s="22" t="str">
        <f t="shared" si="178"/>
        <v>저수</v>
      </c>
      <c r="AJ240" s="22" t="str">
        <f t="shared" si="179"/>
        <v>고수</v>
      </c>
      <c r="AK240" s="22" t="str">
        <f t="shared" si="180"/>
        <v>고수</v>
      </c>
      <c r="AL240" s="52" t="str">
        <f t="shared" si="181"/>
        <v>4 : 2</v>
      </c>
      <c r="AM240" s="22">
        <f t="shared" si="182"/>
        <v>4</v>
      </c>
      <c r="AN240" s="22">
        <f t="shared" si="183"/>
        <v>2</v>
      </c>
      <c r="AO240" s="22">
        <f t="shared" si="184"/>
        <v>32</v>
      </c>
      <c r="AP240" s="22" t="str">
        <f t="shared" si="185"/>
        <v>X</v>
      </c>
      <c r="AQ240" s="22" t="str">
        <f t="shared" si="186"/>
        <v>X</v>
      </c>
      <c r="AR240" s="22" t="str">
        <f t="shared" si="187"/>
        <v>X</v>
      </c>
      <c r="AS240" s="22" t="str">
        <f t="shared" si="188"/>
        <v>O</v>
      </c>
      <c r="AT240" s="22" t="str">
        <f t="shared" si="189"/>
        <v>X</v>
      </c>
      <c r="AU240" s="22" t="str">
        <f t="shared" si="190"/>
        <v>X</v>
      </c>
      <c r="AV240" s="22" t="str">
        <f t="shared" si="191"/>
        <v>X</v>
      </c>
      <c r="AW240" s="22" t="str">
        <f t="shared" si="192"/>
        <v>X</v>
      </c>
      <c r="AX240" s="22" t="str">
        <f t="shared" si="193"/>
        <v>X</v>
      </c>
      <c r="AY240" s="22" t="str">
        <f t="shared" si="194"/>
        <v>X</v>
      </c>
      <c r="AZ240" s="22" t="str">
        <f t="shared" si="195"/>
        <v>O</v>
      </c>
      <c r="BA240" s="22" t="str">
        <f t="shared" si="196"/>
        <v>X</v>
      </c>
      <c r="BB240" s="22">
        <f t="shared" si="197"/>
        <v>2</v>
      </c>
      <c r="BC240" s="22" t="str">
        <f t="shared" si="168"/>
        <v>1G</v>
      </c>
      <c r="BD240" s="22" t="str">
        <f t="shared" si="169"/>
        <v>1G</v>
      </c>
      <c r="BE240" s="22" t="str">
        <f t="shared" si="170"/>
        <v>1G</v>
      </c>
      <c r="BF240" s="22" t="str">
        <f t="shared" si="171"/>
        <v>1G</v>
      </c>
      <c r="BG240" s="22" t="str">
        <f t="shared" si="172"/>
        <v>3G</v>
      </c>
      <c r="BH240" s="22" t="str">
        <f t="shared" si="173"/>
        <v>3G</v>
      </c>
      <c r="BI240" s="22">
        <f t="shared" si="198"/>
        <v>4</v>
      </c>
      <c r="BJ240" s="22">
        <f t="shared" si="199"/>
        <v>0</v>
      </c>
      <c r="BK240" s="22">
        <f t="shared" si="200"/>
        <v>2</v>
      </c>
      <c r="BL240" s="22" t="str">
        <f t="shared" si="201"/>
        <v>402</v>
      </c>
      <c r="BS240"/>
      <c r="CL240" s="23">
        <v>136</v>
      </c>
      <c r="CM240" s="23">
        <v>130</v>
      </c>
      <c r="CO240"/>
    </row>
    <row r="241" spans="2:93" ht="17" hidden="1">
      <c r="B241" s="15">
        <v>237</v>
      </c>
      <c r="C241" s="23" t="s">
        <v>267</v>
      </c>
      <c r="D241" s="16">
        <v>7</v>
      </c>
      <c r="E241" s="17">
        <v>1440630729</v>
      </c>
      <c r="F241" s="16">
        <v>39</v>
      </c>
      <c r="G241" s="17">
        <v>43095792</v>
      </c>
      <c r="H241" s="17">
        <v>1098</v>
      </c>
      <c r="I241" s="17">
        <v>1530725</v>
      </c>
      <c r="J241" s="17">
        <v>57338</v>
      </c>
      <c r="K241" s="17">
        <v>58626</v>
      </c>
      <c r="L241" s="17">
        <v>974357</v>
      </c>
      <c r="M241" s="17">
        <v>5000</v>
      </c>
      <c r="N241" s="23">
        <v>1</v>
      </c>
      <c r="O241" s="23">
        <v>11</v>
      </c>
      <c r="P241" s="23">
        <v>17</v>
      </c>
      <c r="Q241" s="23">
        <v>21</v>
      </c>
      <c r="R241" s="23">
        <v>24</v>
      </c>
      <c r="S241" s="23">
        <v>44</v>
      </c>
      <c r="T241" s="23">
        <v>33</v>
      </c>
      <c r="U241" s="23">
        <f t="shared" si="202"/>
        <v>118</v>
      </c>
      <c r="W241" s="22" t="str">
        <f t="shared" si="159"/>
        <v>홀수</v>
      </c>
      <c r="X241" s="22" t="str">
        <f t="shared" si="160"/>
        <v>홀수</v>
      </c>
      <c r="Y241" s="22" t="str">
        <f t="shared" si="161"/>
        <v>홀수</v>
      </c>
      <c r="Z241" s="22" t="str">
        <f t="shared" si="162"/>
        <v>홀수</v>
      </c>
      <c r="AA241" s="22" t="str">
        <f t="shared" si="163"/>
        <v>짝수</v>
      </c>
      <c r="AB241" s="22" t="str">
        <f t="shared" si="164"/>
        <v>짝수</v>
      </c>
      <c r="AC241" s="52" t="str">
        <f t="shared" si="165"/>
        <v>4 : 2</v>
      </c>
      <c r="AD241" s="22">
        <f t="shared" si="166"/>
        <v>4</v>
      </c>
      <c r="AE241" s="22">
        <f t="shared" si="167"/>
        <v>2</v>
      </c>
      <c r="AF241" s="22" t="str">
        <f t="shared" si="175"/>
        <v>저수</v>
      </c>
      <c r="AG241" s="22" t="str">
        <f t="shared" si="176"/>
        <v>저수</v>
      </c>
      <c r="AH241" s="22" t="str">
        <f t="shared" si="177"/>
        <v>저수</v>
      </c>
      <c r="AI241" s="22" t="str">
        <f t="shared" si="178"/>
        <v>저수</v>
      </c>
      <c r="AJ241" s="22" t="str">
        <f t="shared" si="179"/>
        <v>고수</v>
      </c>
      <c r="AK241" s="22" t="str">
        <f t="shared" si="180"/>
        <v>고수</v>
      </c>
      <c r="AL241" s="52" t="str">
        <f t="shared" si="181"/>
        <v>4 : 2</v>
      </c>
      <c r="AM241" s="22">
        <f t="shared" si="182"/>
        <v>4</v>
      </c>
      <c r="AN241" s="22">
        <f t="shared" si="183"/>
        <v>2</v>
      </c>
      <c r="AO241" s="22">
        <f t="shared" si="184"/>
        <v>18</v>
      </c>
      <c r="AP241" s="22" t="str">
        <f t="shared" si="185"/>
        <v>X</v>
      </c>
      <c r="AQ241" s="22" t="str">
        <f t="shared" si="186"/>
        <v>O</v>
      </c>
      <c r="AR241" s="22" t="str">
        <f t="shared" si="187"/>
        <v>O</v>
      </c>
      <c r="AS241" s="22" t="str">
        <f t="shared" si="188"/>
        <v>X</v>
      </c>
      <c r="AT241" s="22" t="str">
        <f t="shared" si="189"/>
        <v>X</v>
      </c>
      <c r="AU241" s="22" t="str">
        <f t="shared" si="190"/>
        <v>X</v>
      </c>
      <c r="AV241" s="22" t="str">
        <f t="shared" si="191"/>
        <v>X</v>
      </c>
      <c r="AW241" s="22" t="str">
        <f t="shared" si="192"/>
        <v>X</v>
      </c>
      <c r="AX241" s="22" t="str">
        <f t="shared" si="193"/>
        <v>X</v>
      </c>
      <c r="AY241" s="22" t="str">
        <f t="shared" si="194"/>
        <v>X</v>
      </c>
      <c r="AZ241" s="22" t="str">
        <f t="shared" si="195"/>
        <v>X</v>
      </c>
      <c r="BA241" s="22" t="str">
        <f t="shared" si="196"/>
        <v>X</v>
      </c>
      <c r="BB241" s="22">
        <f t="shared" si="197"/>
        <v>2</v>
      </c>
      <c r="BC241" s="22" t="str">
        <f t="shared" si="168"/>
        <v>1G</v>
      </c>
      <c r="BD241" s="22" t="str">
        <f t="shared" si="169"/>
        <v>1G</v>
      </c>
      <c r="BE241" s="22" t="str">
        <f t="shared" si="170"/>
        <v>2G</v>
      </c>
      <c r="BF241" s="22" t="str">
        <f t="shared" si="171"/>
        <v>2G</v>
      </c>
      <c r="BG241" s="22" t="str">
        <f t="shared" si="172"/>
        <v>2G</v>
      </c>
      <c r="BH241" s="22" t="str">
        <f t="shared" si="173"/>
        <v>3G</v>
      </c>
      <c r="BI241" s="22">
        <f t="shared" si="198"/>
        <v>2</v>
      </c>
      <c r="BJ241" s="22">
        <f t="shared" si="199"/>
        <v>3</v>
      </c>
      <c r="BK241" s="22">
        <f t="shared" si="200"/>
        <v>1</v>
      </c>
      <c r="BL241" s="22" t="str">
        <f t="shared" si="201"/>
        <v>231</v>
      </c>
      <c r="BS241"/>
      <c r="CL241" s="23">
        <v>136</v>
      </c>
      <c r="CM241" s="23">
        <v>130</v>
      </c>
      <c r="CO241"/>
    </row>
    <row r="242" spans="2:93" ht="17" hidden="1">
      <c r="B242" s="15">
        <v>238</v>
      </c>
      <c r="C242" s="23" t="s">
        <v>268</v>
      </c>
      <c r="D242" s="16">
        <v>9</v>
      </c>
      <c r="E242" s="17">
        <v>1121660567</v>
      </c>
      <c r="F242" s="16">
        <v>29</v>
      </c>
      <c r="G242" s="17">
        <v>58016926</v>
      </c>
      <c r="H242" s="17">
        <v>1066</v>
      </c>
      <c r="I242" s="17">
        <v>1578322</v>
      </c>
      <c r="J242" s="17">
        <v>54591</v>
      </c>
      <c r="K242" s="17">
        <v>61640</v>
      </c>
      <c r="L242" s="17">
        <v>930266</v>
      </c>
      <c r="M242" s="17">
        <v>5000</v>
      </c>
      <c r="N242" s="23">
        <v>2</v>
      </c>
      <c r="O242" s="23">
        <v>4</v>
      </c>
      <c r="P242" s="23">
        <v>15</v>
      </c>
      <c r="Q242" s="23">
        <v>28</v>
      </c>
      <c r="R242" s="23">
        <v>31</v>
      </c>
      <c r="S242" s="23">
        <v>34</v>
      </c>
      <c r="T242" s="23">
        <v>35</v>
      </c>
      <c r="U242" s="23">
        <f t="shared" si="202"/>
        <v>114</v>
      </c>
      <c r="W242" s="22" t="str">
        <f t="shared" si="159"/>
        <v>짝수</v>
      </c>
      <c r="X242" s="22" t="str">
        <f t="shared" si="160"/>
        <v>짝수</v>
      </c>
      <c r="Y242" s="22" t="str">
        <f t="shared" si="161"/>
        <v>홀수</v>
      </c>
      <c r="Z242" s="22" t="str">
        <f t="shared" si="162"/>
        <v>짝수</v>
      </c>
      <c r="AA242" s="22" t="str">
        <f t="shared" si="163"/>
        <v>홀수</v>
      </c>
      <c r="AB242" s="22" t="str">
        <f t="shared" si="164"/>
        <v>짝수</v>
      </c>
      <c r="AC242" s="52" t="str">
        <f t="shared" si="165"/>
        <v>2 : 4</v>
      </c>
      <c r="AD242" s="22">
        <f t="shared" si="166"/>
        <v>2</v>
      </c>
      <c r="AE242" s="22">
        <f t="shared" si="167"/>
        <v>4</v>
      </c>
      <c r="AF242" s="22" t="str">
        <f t="shared" si="175"/>
        <v>저수</v>
      </c>
      <c r="AG242" s="22" t="str">
        <f t="shared" si="176"/>
        <v>저수</v>
      </c>
      <c r="AH242" s="22" t="str">
        <f t="shared" si="177"/>
        <v>저수</v>
      </c>
      <c r="AI242" s="22" t="str">
        <f t="shared" si="178"/>
        <v>고수</v>
      </c>
      <c r="AJ242" s="22" t="str">
        <f t="shared" si="179"/>
        <v>고수</v>
      </c>
      <c r="AK242" s="22" t="str">
        <f t="shared" si="180"/>
        <v>고수</v>
      </c>
      <c r="AL242" s="52" t="str">
        <f t="shared" si="181"/>
        <v>3 : 3</v>
      </c>
      <c r="AM242" s="22">
        <f t="shared" si="182"/>
        <v>3</v>
      </c>
      <c r="AN242" s="22">
        <f t="shared" si="183"/>
        <v>3</v>
      </c>
      <c r="AO242" s="22">
        <f t="shared" si="184"/>
        <v>24</v>
      </c>
      <c r="AP242" s="22" t="str">
        <f t="shared" si="185"/>
        <v>O</v>
      </c>
      <c r="AQ242" s="22" t="str">
        <f t="shared" si="186"/>
        <v>X</v>
      </c>
      <c r="AR242" s="22" t="str">
        <f t="shared" si="187"/>
        <v>X</v>
      </c>
      <c r="AS242" s="22" t="str">
        <f t="shared" si="188"/>
        <v>X</v>
      </c>
      <c r="AT242" s="22" t="str">
        <f t="shared" si="189"/>
        <v>X</v>
      </c>
      <c r="AU242" s="22" t="str">
        <f t="shared" si="190"/>
        <v>X</v>
      </c>
      <c r="AV242" s="22" t="str">
        <f t="shared" si="191"/>
        <v>X</v>
      </c>
      <c r="AW242" s="22" t="str">
        <f t="shared" si="192"/>
        <v>X</v>
      </c>
      <c r="AX242" s="22" t="str">
        <f t="shared" si="193"/>
        <v>X</v>
      </c>
      <c r="AY242" s="22" t="str">
        <f t="shared" si="194"/>
        <v>X</v>
      </c>
      <c r="AZ242" s="22" t="str">
        <f t="shared" si="195"/>
        <v>O</v>
      </c>
      <c r="BA242" s="22" t="str">
        <f t="shared" si="196"/>
        <v>X</v>
      </c>
      <c r="BB242" s="22">
        <f t="shared" si="197"/>
        <v>2</v>
      </c>
      <c r="BC242" s="22" t="str">
        <f t="shared" si="168"/>
        <v>1G</v>
      </c>
      <c r="BD242" s="22" t="str">
        <f t="shared" si="169"/>
        <v>1G</v>
      </c>
      <c r="BE242" s="22" t="str">
        <f t="shared" si="170"/>
        <v>1G</v>
      </c>
      <c r="BF242" s="22" t="str">
        <f t="shared" si="171"/>
        <v>2G</v>
      </c>
      <c r="BG242" s="22" t="str">
        <f t="shared" si="172"/>
        <v>3G</v>
      </c>
      <c r="BH242" s="22" t="str">
        <f t="shared" si="173"/>
        <v>3G</v>
      </c>
      <c r="BI242" s="22">
        <f t="shared" si="198"/>
        <v>3</v>
      </c>
      <c r="BJ242" s="22">
        <f t="shared" si="199"/>
        <v>1</v>
      </c>
      <c r="BK242" s="22">
        <f t="shared" si="200"/>
        <v>2</v>
      </c>
      <c r="BL242" s="22" t="str">
        <f t="shared" si="201"/>
        <v>312</v>
      </c>
      <c r="BS242"/>
      <c r="CL242" s="23">
        <v>136</v>
      </c>
      <c r="CM242" s="23">
        <v>130</v>
      </c>
      <c r="CO242"/>
    </row>
    <row r="243" spans="2:93" ht="17" hidden="1">
      <c r="B243" s="15">
        <v>239</v>
      </c>
      <c r="C243" s="23" t="s">
        <v>269</v>
      </c>
      <c r="D243" s="16">
        <v>9</v>
      </c>
      <c r="E243" s="17">
        <v>1134140167</v>
      </c>
      <c r="F243" s="16">
        <v>29</v>
      </c>
      <c r="G243" s="17">
        <v>58662423</v>
      </c>
      <c r="H243" s="17">
        <v>1083</v>
      </c>
      <c r="I243" s="17">
        <v>1570832</v>
      </c>
      <c r="J243" s="17">
        <v>55850</v>
      </c>
      <c r="K243" s="17">
        <v>60921</v>
      </c>
      <c r="L243" s="17">
        <v>927236</v>
      </c>
      <c r="M243" s="17">
        <v>5000</v>
      </c>
      <c r="N243" s="23">
        <v>11</v>
      </c>
      <c r="O243" s="23">
        <v>15</v>
      </c>
      <c r="P243" s="23">
        <v>24</v>
      </c>
      <c r="Q243" s="23">
        <v>39</v>
      </c>
      <c r="R243" s="23">
        <v>41</v>
      </c>
      <c r="S243" s="23">
        <v>44</v>
      </c>
      <c r="T243" s="23">
        <v>7</v>
      </c>
      <c r="U243" s="23">
        <f t="shared" si="202"/>
        <v>174</v>
      </c>
      <c r="W243" s="22" t="str">
        <f t="shared" si="159"/>
        <v>홀수</v>
      </c>
      <c r="X243" s="22" t="str">
        <f t="shared" si="160"/>
        <v>홀수</v>
      </c>
      <c r="Y243" s="22" t="str">
        <f t="shared" si="161"/>
        <v>짝수</v>
      </c>
      <c r="Z243" s="22" t="str">
        <f t="shared" si="162"/>
        <v>홀수</v>
      </c>
      <c r="AA243" s="22" t="str">
        <f t="shared" si="163"/>
        <v>홀수</v>
      </c>
      <c r="AB243" s="22" t="str">
        <f t="shared" si="164"/>
        <v>짝수</v>
      </c>
      <c r="AC243" s="52" t="str">
        <f t="shared" si="165"/>
        <v>4 : 2</v>
      </c>
      <c r="AD243" s="22">
        <f t="shared" si="166"/>
        <v>4</v>
      </c>
      <c r="AE243" s="22">
        <f t="shared" si="167"/>
        <v>2</v>
      </c>
      <c r="AF243" s="22" t="str">
        <f t="shared" si="175"/>
        <v>저수</v>
      </c>
      <c r="AG243" s="22" t="str">
        <f t="shared" si="176"/>
        <v>저수</v>
      </c>
      <c r="AH243" s="22" t="str">
        <f t="shared" si="177"/>
        <v>고수</v>
      </c>
      <c r="AI243" s="22" t="str">
        <f t="shared" si="178"/>
        <v>고수</v>
      </c>
      <c r="AJ243" s="22" t="str">
        <f t="shared" si="179"/>
        <v>고수</v>
      </c>
      <c r="AK243" s="22" t="str">
        <f t="shared" si="180"/>
        <v>고수</v>
      </c>
      <c r="AL243" s="52" t="str">
        <f t="shared" si="181"/>
        <v>2 : 4</v>
      </c>
      <c r="AM243" s="22">
        <f t="shared" si="182"/>
        <v>2</v>
      </c>
      <c r="AN243" s="22">
        <f t="shared" si="183"/>
        <v>4</v>
      </c>
      <c r="AO243" s="22">
        <f t="shared" si="184"/>
        <v>24</v>
      </c>
      <c r="AP243" s="22" t="str">
        <f t="shared" si="185"/>
        <v>O</v>
      </c>
      <c r="AQ243" s="22" t="str">
        <f t="shared" si="186"/>
        <v>X</v>
      </c>
      <c r="AR243" s="22" t="str">
        <f t="shared" si="187"/>
        <v>X</v>
      </c>
      <c r="AS243" s="22" t="str">
        <f t="shared" si="188"/>
        <v>X</v>
      </c>
      <c r="AT243" s="22" t="str">
        <f t="shared" si="189"/>
        <v>X</v>
      </c>
      <c r="AU243" s="22" t="str">
        <f t="shared" si="190"/>
        <v>X</v>
      </c>
      <c r="AV243" s="22" t="str">
        <f t="shared" si="191"/>
        <v>X</v>
      </c>
      <c r="AW243" s="22" t="str">
        <f t="shared" si="192"/>
        <v>X</v>
      </c>
      <c r="AX243" s="22" t="str">
        <f t="shared" si="193"/>
        <v>X</v>
      </c>
      <c r="AY243" s="22" t="str">
        <f t="shared" si="194"/>
        <v>X</v>
      </c>
      <c r="AZ243" s="22" t="str">
        <f t="shared" si="195"/>
        <v>O</v>
      </c>
      <c r="BA243" s="22" t="str">
        <f t="shared" si="196"/>
        <v>X</v>
      </c>
      <c r="BB243" s="22">
        <f t="shared" si="197"/>
        <v>2</v>
      </c>
      <c r="BC243" s="22" t="str">
        <f t="shared" si="168"/>
        <v>1G</v>
      </c>
      <c r="BD243" s="22" t="str">
        <f t="shared" si="169"/>
        <v>1G</v>
      </c>
      <c r="BE243" s="22" t="str">
        <f t="shared" si="170"/>
        <v>2G</v>
      </c>
      <c r="BF243" s="22" t="str">
        <f t="shared" si="171"/>
        <v>3G</v>
      </c>
      <c r="BG243" s="22" t="str">
        <f t="shared" si="172"/>
        <v>3G</v>
      </c>
      <c r="BH243" s="22" t="str">
        <f t="shared" si="173"/>
        <v>3G</v>
      </c>
      <c r="BI243" s="22">
        <f t="shared" si="198"/>
        <v>2</v>
      </c>
      <c r="BJ243" s="22">
        <f t="shared" si="199"/>
        <v>1</v>
      </c>
      <c r="BK243" s="22">
        <f t="shared" si="200"/>
        <v>3</v>
      </c>
      <c r="BL243" s="22" t="str">
        <f t="shared" si="201"/>
        <v>213</v>
      </c>
      <c r="BS243"/>
      <c r="CL243" s="23">
        <v>136</v>
      </c>
      <c r="CM243" s="23">
        <v>130</v>
      </c>
      <c r="CO243"/>
    </row>
    <row r="244" spans="2:93" ht="17" hidden="1">
      <c r="B244" s="15">
        <v>240</v>
      </c>
      <c r="C244" s="23" t="s">
        <v>270</v>
      </c>
      <c r="D244" s="16">
        <v>2</v>
      </c>
      <c r="E244" s="17">
        <v>5098251450</v>
      </c>
      <c r="F244" s="16">
        <v>28</v>
      </c>
      <c r="G244" s="17">
        <v>60693470</v>
      </c>
      <c r="H244" s="17">
        <v>1084</v>
      </c>
      <c r="I244" s="17">
        <v>1567728</v>
      </c>
      <c r="J244" s="17">
        <v>57376</v>
      </c>
      <c r="K244" s="17">
        <v>59238</v>
      </c>
      <c r="L244" s="17">
        <v>961510</v>
      </c>
      <c r="M244" s="17">
        <v>5000</v>
      </c>
      <c r="N244" s="23">
        <v>6</v>
      </c>
      <c r="O244" s="23">
        <v>10</v>
      </c>
      <c r="P244" s="23">
        <v>16</v>
      </c>
      <c r="Q244" s="23">
        <v>40</v>
      </c>
      <c r="R244" s="23">
        <v>41</v>
      </c>
      <c r="S244" s="23">
        <v>43</v>
      </c>
      <c r="T244" s="23">
        <v>21</v>
      </c>
      <c r="U244" s="23">
        <f t="shared" si="202"/>
        <v>156</v>
      </c>
      <c r="W244" s="22" t="str">
        <f t="shared" si="159"/>
        <v>짝수</v>
      </c>
      <c r="X244" s="22" t="str">
        <f t="shared" si="160"/>
        <v>짝수</v>
      </c>
      <c r="Y244" s="22" t="str">
        <f t="shared" si="161"/>
        <v>짝수</v>
      </c>
      <c r="Z244" s="22" t="str">
        <f t="shared" si="162"/>
        <v>짝수</v>
      </c>
      <c r="AA244" s="22" t="str">
        <f t="shared" si="163"/>
        <v>홀수</v>
      </c>
      <c r="AB244" s="22" t="str">
        <f t="shared" si="164"/>
        <v>홀수</v>
      </c>
      <c r="AC244" s="52" t="str">
        <f t="shared" si="165"/>
        <v>2 : 4</v>
      </c>
      <c r="AD244" s="22">
        <f t="shared" si="166"/>
        <v>2</v>
      </c>
      <c r="AE244" s="22">
        <f t="shared" si="167"/>
        <v>4</v>
      </c>
      <c r="AF244" s="22" t="str">
        <f t="shared" si="175"/>
        <v>저수</v>
      </c>
      <c r="AG244" s="22" t="str">
        <f t="shared" si="176"/>
        <v>저수</v>
      </c>
      <c r="AH244" s="22" t="str">
        <f t="shared" si="177"/>
        <v>저수</v>
      </c>
      <c r="AI244" s="22" t="str">
        <f t="shared" si="178"/>
        <v>고수</v>
      </c>
      <c r="AJ244" s="22" t="str">
        <f t="shared" si="179"/>
        <v>고수</v>
      </c>
      <c r="AK244" s="22" t="str">
        <f t="shared" si="180"/>
        <v>고수</v>
      </c>
      <c r="AL244" s="52" t="str">
        <f t="shared" si="181"/>
        <v>3 : 3</v>
      </c>
      <c r="AM244" s="22">
        <f t="shared" si="182"/>
        <v>3</v>
      </c>
      <c r="AN244" s="22">
        <f t="shared" si="183"/>
        <v>3</v>
      </c>
      <c r="AO244" s="22">
        <f t="shared" si="184"/>
        <v>16</v>
      </c>
      <c r="AP244" s="22" t="str">
        <f t="shared" si="185"/>
        <v>X</v>
      </c>
      <c r="AQ244" s="22" t="str">
        <f t="shared" si="186"/>
        <v>X</v>
      </c>
      <c r="AR244" s="22" t="str">
        <f t="shared" si="187"/>
        <v>X</v>
      </c>
      <c r="AS244" s="22" t="str">
        <f t="shared" si="188"/>
        <v>X</v>
      </c>
      <c r="AT244" s="22" t="str">
        <f t="shared" si="189"/>
        <v>X</v>
      </c>
      <c r="AU244" s="22" t="str">
        <f t="shared" si="190"/>
        <v>X</v>
      </c>
      <c r="AV244" s="22" t="str">
        <f t="shared" si="191"/>
        <v>X</v>
      </c>
      <c r="AW244" s="22" t="str">
        <f t="shared" si="192"/>
        <v>X</v>
      </c>
      <c r="AX244" s="22" t="str">
        <f t="shared" si="193"/>
        <v>X</v>
      </c>
      <c r="AY244" s="22" t="str">
        <f t="shared" si="194"/>
        <v>X</v>
      </c>
      <c r="AZ244" s="22" t="str">
        <f t="shared" si="195"/>
        <v>O</v>
      </c>
      <c r="BA244" s="22" t="str">
        <f t="shared" si="196"/>
        <v>O</v>
      </c>
      <c r="BB244" s="22">
        <f t="shared" si="197"/>
        <v>2</v>
      </c>
      <c r="BC244" s="22" t="str">
        <f t="shared" si="168"/>
        <v>1G</v>
      </c>
      <c r="BD244" s="22" t="str">
        <f t="shared" si="169"/>
        <v>1G</v>
      </c>
      <c r="BE244" s="22" t="str">
        <f t="shared" si="170"/>
        <v>2G</v>
      </c>
      <c r="BF244" s="22" t="str">
        <f t="shared" si="171"/>
        <v>3G</v>
      </c>
      <c r="BG244" s="22" t="str">
        <f t="shared" si="172"/>
        <v>3G</v>
      </c>
      <c r="BH244" s="22" t="str">
        <f t="shared" si="173"/>
        <v>3G</v>
      </c>
      <c r="BI244" s="22">
        <f t="shared" si="198"/>
        <v>2</v>
      </c>
      <c r="BJ244" s="22">
        <f t="shared" si="199"/>
        <v>1</v>
      </c>
      <c r="BK244" s="22">
        <f t="shared" si="200"/>
        <v>3</v>
      </c>
      <c r="BL244" s="22" t="str">
        <f t="shared" si="201"/>
        <v>213</v>
      </c>
      <c r="BS244"/>
      <c r="CL244" s="23">
        <v>137</v>
      </c>
      <c r="CM244" s="23">
        <v>130</v>
      </c>
      <c r="CO244"/>
    </row>
    <row r="245" spans="2:93" ht="17" hidden="1">
      <c r="B245" s="15">
        <v>241</v>
      </c>
      <c r="C245" s="23" t="s">
        <v>271</v>
      </c>
      <c r="D245" s="16">
        <v>4</v>
      </c>
      <c r="E245" s="17">
        <v>2552016300</v>
      </c>
      <c r="F245" s="16">
        <v>34</v>
      </c>
      <c r="G245" s="17">
        <v>50039536</v>
      </c>
      <c r="H245" s="16">
        <v>967</v>
      </c>
      <c r="I245" s="17">
        <v>1759405</v>
      </c>
      <c r="J245" s="17">
        <v>53783</v>
      </c>
      <c r="K245" s="17">
        <v>63267</v>
      </c>
      <c r="L245" s="17">
        <v>922001</v>
      </c>
      <c r="M245" s="17">
        <v>5000</v>
      </c>
      <c r="N245" s="23">
        <v>2</v>
      </c>
      <c r="O245" s="23">
        <v>16</v>
      </c>
      <c r="P245" s="23">
        <v>24</v>
      </c>
      <c r="Q245" s="23">
        <v>27</v>
      </c>
      <c r="R245" s="23">
        <v>28</v>
      </c>
      <c r="S245" s="23">
        <v>35</v>
      </c>
      <c r="T245" s="23">
        <v>21</v>
      </c>
      <c r="U245" s="23">
        <f t="shared" si="202"/>
        <v>132</v>
      </c>
      <c r="W245" s="22" t="str">
        <f t="shared" si="159"/>
        <v>짝수</v>
      </c>
      <c r="X245" s="22" t="str">
        <f t="shared" si="160"/>
        <v>짝수</v>
      </c>
      <c r="Y245" s="22" t="str">
        <f t="shared" si="161"/>
        <v>짝수</v>
      </c>
      <c r="Z245" s="22" t="str">
        <f t="shared" si="162"/>
        <v>홀수</v>
      </c>
      <c r="AA245" s="22" t="str">
        <f t="shared" si="163"/>
        <v>짝수</v>
      </c>
      <c r="AB245" s="22" t="str">
        <f t="shared" si="164"/>
        <v>홀수</v>
      </c>
      <c r="AC245" s="52" t="str">
        <f t="shared" si="165"/>
        <v>2 : 4</v>
      </c>
      <c r="AD245" s="22">
        <f t="shared" si="166"/>
        <v>2</v>
      </c>
      <c r="AE245" s="22">
        <f t="shared" si="167"/>
        <v>4</v>
      </c>
      <c r="AF245" s="22" t="str">
        <f t="shared" si="175"/>
        <v>저수</v>
      </c>
      <c r="AG245" s="22" t="str">
        <f t="shared" si="176"/>
        <v>저수</v>
      </c>
      <c r="AH245" s="22" t="str">
        <f t="shared" si="177"/>
        <v>고수</v>
      </c>
      <c r="AI245" s="22" t="str">
        <f t="shared" si="178"/>
        <v>고수</v>
      </c>
      <c r="AJ245" s="22" t="str">
        <f t="shared" si="179"/>
        <v>고수</v>
      </c>
      <c r="AK245" s="22" t="str">
        <f t="shared" si="180"/>
        <v>고수</v>
      </c>
      <c r="AL245" s="52" t="str">
        <f t="shared" si="181"/>
        <v>2 : 4</v>
      </c>
      <c r="AM245" s="22">
        <f t="shared" si="182"/>
        <v>2</v>
      </c>
      <c r="AN245" s="22">
        <f t="shared" si="183"/>
        <v>4</v>
      </c>
      <c r="AO245" s="22">
        <f t="shared" si="184"/>
        <v>32</v>
      </c>
      <c r="AP245" s="22" t="str">
        <f t="shared" si="185"/>
        <v>O</v>
      </c>
      <c r="AQ245" s="22" t="str">
        <f t="shared" si="186"/>
        <v>X</v>
      </c>
      <c r="AR245" s="22" t="str">
        <f t="shared" si="187"/>
        <v>X</v>
      </c>
      <c r="AS245" s="22" t="str">
        <f t="shared" si="188"/>
        <v>X</v>
      </c>
      <c r="AT245" s="22" t="str">
        <f t="shared" si="189"/>
        <v>X</v>
      </c>
      <c r="AU245" s="22" t="str">
        <f t="shared" si="190"/>
        <v>X</v>
      </c>
      <c r="AV245" s="22" t="str">
        <f t="shared" si="191"/>
        <v>X</v>
      </c>
      <c r="AW245" s="22" t="str">
        <f t="shared" si="192"/>
        <v>X</v>
      </c>
      <c r="AX245" s="22" t="str">
        <f t="shared" si="193"/>
        <v>X</v>
      </c>
      <c r="AY245" s="22" t="str">
        <f t="shared" si="194"/>
        <v>X</v>
      </c>
      <c r="AZ245" s="22" t="str">
        <f t="shared" si="195"/>
        <v>X</v>
      </c>
      <c r="BA245" s="22" t="str">
        <f t="shared" si="196"/>
        <v>X</v>
      </c>
      <c r="BB245" s="22">
        <f t="shared" si="197"/>
        <v>1</v>
      </c>
      <c r="BC245" s="22" t="str">
        <f t="shared" si="168"/>
        <v>1G</v>
      </c>
      <c r="BD245" s="22" t="str">
        <f t="shared" si="169"/>
        <v>2G</v>
      </c>
      <c r="BE245" s="22" t="str">
        <f t="shared" si="170"/>
        <v>2G</v>
      </c>
      <c r="BF245" s="22" t="str">
        <f t="shared" si="171"/>
        <v>2G</v>
      </c>
      <c r="BG245" s="22" t="str">
        <f t="shared" si="172"/>
        <v>2G</v>
      </c>
      <c r="BH245" s="22" t="str">
        <f t="shared" si="173"/>
        <v>3G</v>
      </c>
      <c r="BI245" s="22">
        <f t="shared" si="198"/>
        <v>1</v>
      </c>
      <c r="BJ245" s="22">
        <f t="shared" si="199"/>
        <v>4</v>
      </c>
      <c r="BK245" s="22">
        <f t="shared" si="200"/>
        <v>1</v>
      </c>
      <c r="BL245" s="22" t="str">
        <f t="shared" si="201"/>
        <v>141</v>
      </c>
      <c r="BS245"/>
      <c r="CL245" s="23">
        <v>137</v>
      </c>
      <c r="CM245" s="23">
        <v>130</v>
      </c>
      <c r="CO245"/>
    </row>
    <row r="246" spans="2:93" ht="17" hidden="1">
      <c r="B246" s="15">
        <v>242</v>
      </c>
      <c r="C246" s="23" t="s">
        <v>272</v>
      </c>
      <c r="D246" s="16">
        <v>8</v>
      </c>
      <c r="E246" s="17">
        <v>1234542375</v>
      </c>
      <c r="F246" s="16">
        <v>36</v>
      </c>
      <c r="G246" s="17">
        <v>45723792</v>
      </c>
      <c r="H246" s="17">
        <v>1245</v>
      </c>
      <c r="I246" s="17">
        <v>1322134</v>
      </c>
      <c r="J246" s="17">
        <v>60644</v>
      </c>
      <c r="K246" s="17">
        <v>54286</v>
      </c>
      <c r="L246" s="17">
        <v>975863</v>
      </c>
      <c r="M246" s="17">
        <v>5000</v>
      </c>
      <c r="N246" s="23">
        <v>4</v>
      </c>
      <c r="O246" s="23">
        <v>19</v>
      </c>
      <c r="P246" s="23">
        <v>20</v>
      </c>
      <c r="Q246" s="23">
        <v>21</v>
      </c>
      <c r="R246" s="23">
        <v>32</v>
      </c>
      <c r="S246" s="23">
        <v>34</v>
      </c>
      <c r="T246" s="23">
        <v>43</v>
      </c>
      <c r="U246" s="23">
        <f t="shared" si="202"/>
        <v>130</v>
      </c>
      <c r="W246" s="22" t="str">
        <f t="shared" ref="W246:W309" si="203">IF(RIGHT(N246,1)="1","홀수",IF(RIGHT(N246,1)="3","홀수",IF(RIGHT(N246,1)="5","홀수",IF(RIGHT(N246,1)="7","홀수",IF(RIGHT(N246,1)="9","홀수","짝수")))))</f>
        <v>짝수</v>
      </c>
      <c r="X246" s="22" t="str">
        <f t="shared" ref="X246:X309" si="204">IF(RIGHT(O246,1)="1","홀수",IF(RIGHT(O246,1)="3","홀수",IF(RIGHT(O246,1)="5","홀수",IF(RIGHT(O246,1)="7","홀수",IF(RIGHT(O246,1)="9","홀수","짝수")))))</f>
        <v>홀수</v>
      </c>
      <c r="Y246" s="22" t="str">
        <f t="shared" ref="Y246:Y309" si="205">IF(RIGHT(P246,1)="1","홀수",IF(RIGHT(P246,1)="3","홀수",IF(RIGHT(P246,1)="5","홀수",IF(RIGHT(P246,1)="7","홀수",IF(RIGHT(P246,1)="9","홀수","짝수")))))</f>
        <v>짝수</v>
      </c>
      <c r="Z246" s="22" t="str">
        <f t="shared" ref="Z246:Z309" si="206">IF(RIGHT(Q246,1)="1","홀수",IF(RIGHT(Q246,1)="3","홀수",IF(RIGHT(Q246,1)="5","홀수",IF(RIGHT(Q246,1)="7","홀수",IF(RIGHT(Q246,1)="9","홀수","짝수")))))</f>
        <v>홀수</v>
      </c>
      <c r="AA246" s="22" t="str">
        <f t="shared" ref="AA246:AA309" si="207">IF(RIGHT(R246,1)="1","홀수",IF(RIGHT(R246,1)="3","홀수",IF(RIGHT(R246,1)="5","홀수",IF(RIGHT(R246,1)="7","홀수",IF(RIGHT(R246,1)="9","홀수","짝수")))))</f>
        <v>짝수</v>
      </c>
      <c r="AB246" s="22" t="str">
        <f t="shared" ref="AB246:AB309" si="208">IF(RIGHT(S246,1)="1","홀수",IF(RIGHT(S246,1)="3","홀수",IF(RIGHT(S246,1)="5","홀수",IF(RIGHT(S246,1)="7","홀수",IF(RIGHT(S246,1)="9","홀수","짝수")))))</f>
        <v>짝수</v>
      </c>
      <c r="AC246" s="52" t="str">
        <f t="shared" ref="AC246:AC309" si="209">AD246&amp;" : "&amp;AE246</f>
        <v>2 : 4</v>
      </c>
      <c r="AD246" s="22">
        <f t="shared" ref="AD246:AD309" si="210">COUNTIF(W246:AB246,"홀수")</f>
        <v>2</v>
      </c>
      <c r="AE246" s="22">
        <f t="shared" ref="AE246:AE309" si="211">COUNTIF(W246:AB246,"짝수")</f>
        <v>4</v>
      </c>
      <c r="AF246" s="22" t="str">
        <f t="shared" si="175"/>
        <v>저수</v>
      </c>
      <c r="AG246" s="22" t="str">
        <f t="shared" si="176"/>
        <v>저수</v>
      </c>
      <c r="AH246" s="22" t="str">
        <f t="shared" si="177"/>
        <v>저수</v>
      </c>
      <c r="AI246" s="22" t="str">
        <f t="shared" si="178"/>
        <v>저수</v>
      </c>
      <c r="AJ246" s="22" t="str">
        <f t="shared" si="179"/>
        <v>고수</v>
      </c>
      <c r="AK246" s="22" t="str">
        <f t="shared" si="180"/>
        <v>고수</v>
      </c>
      <c r="AL246" s="52" t="str">
        <f t="shared" si="181"/>
        <v>4 : 2</v>
      </c>
      <c r="AM246" s="22">
        <f t="shared" si="182"/>
        <v>4</v>
      </c>
      <c r="AN246" s="22">
        <f t="shared" si="183"/>
        <v>2</v>
      </c>
      <c r="AO246" s="22">
        <f t="shared" si="184"/>
        <v>20</v>
      </c>
      <c r="AP246" s="22" t="str">
        <f t="shared" si="185"/>
        <v>X</v>
      </c>
      <c r="AQ246" s="22" t="str">
        <f t="shared" si="186"/>
        <v>O</v>
      </c>
      <c r="AR246" s="22" t="str">
        <f t="shared" si="187"/>
        <v>X</v>
      </c>
      <c r="AS246" s="22" t="str">
        <f t="shared" si="188"/>
        <v>X</v>
      </c>
      <c r="AT246" s="22" t="str">
        <f t="shared" si="189"/>
        <v>X</v>
      </c>
      <c r="AU246" s="22" t="str">
        <f t="shared" si="190"/>
        <v>X</v>
      </c>
      <c r="AV246" s="22" t="str">
        <f t="shared" si="191"/>
        <v>X</v>
      </c>
      <c r="AW246" s="22" t="str">
        <f t="shared" si="192"/>
        <v>X</v>
      </c>
      <c r="AX246" s="22" t="str">
        <f t="shared" si="193"/>
        <v>X</v>
      </c>
      <c r="AY246" s="22" t="str">
        <f t="shared" si="194"/>
        <v>X</v>
      </c>
      <c r="AZ246" s="22" t="str">
        <f t="shared" si="195"/>
        <v>X</v>
      </c>
      <c r="BA246" s="22" t="str">
        <f t="shared" si="196"/>
        <v>X</v>
      </c>
      <c r="BB246" s="22">
        <f t="shared" si="197"/>
        <v>1</v>
      </c>
      <c r="BC246" s="22" t="str">
        <f t="shared" si="168"/>
        <v>1G</v>
      </c>
      <c r="BD246" s="22" t="str">
        <f t="shared" si="169"/>
        <v>2G</v>
      </c>
      <c r="BE246" s="22" t="str">
        <f t="shared" si="170"/>
        <v>2G</v>
      </c>
      <c r="BF246" s="22" t="str">
        <f t="shared" si="171"/>
        <v>2G</v>
      </c>
      <c r="BG246" s="22" t="str">
        <f t="shared" si="172"/>
        <v>3G</v>
      </c>
      <c r="BH246" s="22" t="str">
        <f t="shared" si="173"/>
        <v>3G</v>
      </c>
      <c r="BI246" s="22">
        <f t="shared" si="198"/>
        <v>1</v>
      </c>
      <c r="BJ246" s="22">
        <f t="shared" si="199"/>
        <v>3</v>
      </c>
      <c r="BK246" s="22">
        <f t="shared" si="200"/>
        <v>2</v>
      </c>
      <c r="BL246" s="22" t="str">
        <f t="shared" si="201"/>
        <v>132</v>
      </c>
      <c r="BS246"/>
      <c r="CL246" s="23">
        <v>137</v>
      </c>
      <c r="CM246" s="23">
        <v>130</v>
      </c>
      <c r="CO246"/>
    </row>
    <row r="247" spans="2:93" ht="17" hidden="1">
      <c r="B247" s="15">
        <v>243</v>
      </c>
      <c r="C247" s="23" t="s">
        <v>273</v>
      </c>
      <c r="D247" s="16">
        <v>4</v>
      </c>
      <c r="E247" s="17">
        <v>2408850000</v>
      </c>
      <c r="F247" s="16">
        <v>29</v>
      </c>
      <c r="G247" s="17">
        <v>55375863</v>
      </c>
      <c r="H247" s="17">
        <v>1089</v>
      </c>
      <c r="I247" s="17">
        <v>1474656</v>
      </c>
      <c r="J247" s="17">
        <v>54055</v>
      </c>
      <c r="K247" s="17">
        <v>59418</v>
      </c>
      <c r="L247" s="17">
        <v>918683</v>
      </c>
      <c r="M247" s="17">
        <v>5000</v>
      </c>
      <c r="N247" s="23">
        <v>2</v>
      </c>
      <c r="O247" s="23">
        <v>12</v>
      </c>
      <c r="P247" s="23">
        <v>17</v>
      </c>
      <c r="Q247" s="23">
        <v>19</v>
      </c>
      <c r="R247" s="23">
        <v>28</v>
      </c>
      <c r="S247" s="23">
        <v>42</v>
      </c>
      <c r="T247" s="23">
        <v>34</v>
      </c>
      <c r="U247" s="23">
        <f t="shared" si="202"/>
        <v>120</v>
      </c>
      <c r="W247" s="22" t="str">
        <f t="shared" si="203"/>
        <v>짝수</v>
      </c>
      <c r="X247" s="22" t="str">
        <f t="shared" si="204"/>
        <v>짝수</v>
      </c>
      <c r="Y247" s="22" t="str">
        <f t="shared" si="205"/>
        <v>홀수</v>
      </c>
      <c r="Z247" s="22" t="str">
        <f t="shared" si="206"/>
        <v>홀수</v>
      </c>
      <c r="AA247" s="22" t="str">
        <f t="shared" si="207"/>
        <v>짝수</v>
      </c>
      <c r="AB247" s="22" t="str">
        <f t="shared" si="208"/>
        <v>짝수</v>
      </c>
      <c r="AC247" s="52" t="str">
        <f t="shared" si="209"/>
        <v>2 : 4</v>
      </c>
      <c r="AD247" s="22">
        <f t="shared" si="210"/>
        <v>2</v>
      </c>
      <c r="AE247" s="22">
        <f t="shared" si="211"/>
        <v>4</v>
      </c>
      <c r="AF247" s="22" t="str">
        <f t="shared" si="175"/>
        <v>저수</v>
      </c>
      <c r="AG247" s="22" t="str">
        <f t="shared" si="176"/>
        <v>저수</v>
      </c>
      <c r="AH247" s="22" t="str">
        <f t="shared" si="177"/>
        <v>저수</v>
      </c>
      <c r="AI247" s="22" t="str">
        <f t="shared" si="178"/>
        <v>저수</v>
      </c>
      <c r="AJ247" s="22" t="str">
        <f t="shared" si="179"/>
        <v>고수</v>
      </c>
      <c r="AK247" s="22" t="str">
        <f t="shared" si="180"/>
        <v>고수</v>
      </c>
      <c r="AL247" s="52" t="str">
        <f t="shared" si="181"/>
        <v>4 : 2</v>
      </c>
      <c r="AM247" s="22">
        <f t="shared" si="182"/>
        <v>4</v>
      </c>
      <c r="AN247" s="22">
        <f t="shared" si="183"/>
        <v>2</v>
      </c>
      <c r="AO247" s="22">
        <f t="shared" si="184"/>
        <v>30</v>
      </c>
      <c r="AP247" s="22" t="str">
        <f t="shared" si="185"/>
        <v>O</v>
      </c>
      <c r="AQ247" s="22" t="str">
        <f t="shared" si="186"/>
        <v>X</v>
      </c>
      <c r="AR247" s="22" t="str">
        <f t="shared" si="187"/>
        <v>O</v>
      </c>
      <c r="AS247" s="22" t="str">
        <f t="shared" si="188"/>
        <v>O</v>
      </c>
      <c r="AT247" s="22" t="str">
        <f t="shared" si="189"/>
        <v>X</v>
      </c>
      <c r="AU247" s="22" t="str">
        <f t="shared" si="190"/>
        <v>X</v>
      </c>
      <c r="AV247" s="22" t="str">
        <f t="shared" si="191"/>
        <v>X</v>
      </c>
      <c r="AW247" s="22" t="str">
        <f t="shared" si="192"/>
        <v>X</v>
      </c>
      <c r="AX247" s="22" t="str">
        <f t="shared" si="193"/>
        <v>X</v>
      </c>
      <c r="AY247" s="22" t="str">
        <f t="shared" si="194"/>
        <v>X</v>
      </c>
      <c r="AZ247" s="22" t="str">
        <f t="shared" si="195"/>
        <v>X</v>
      </c>
      <c r="BA247" s="22" t="str">
        <f t="shared" si="196"/>
        <v>X</v>
      </c>
      <c r="BB247" s="22">
        <f t="shared" si="197"/>
        <v>3</v>
      </c>
      <c r="BC247" s="22" t="str">
        <f t="shared" si="168"/>
        <v>1G</v>
      </c>
      <c r="BD247" s="22" t="str">
        <f t="shared" si="169"/>
        <v>1G</v>
      </c>
      <c r="BE247" s="22" t="str">
        <f t="shared" si="170"/>
        <v>2G</v>
      </c>
      <c r="BF247" s="22" t="str">
        <f t="shared" si="171"/>
        <v>2G</v>
      </c>
      <c r="BG247" s="22" t="str">
        <f t="shared" si="172"/>
        <v>2G</v>
      </c>
      <c r="BH247" s="22" t="str">
        <f t="shared" si="173"/>
        <v>3G</v>
      </c>
      <c r="BI247" s="22">
        <f t="shared" si="198"/>
        <v>2</v>
      </c>
      <c r="BJ247" s="22">
        <f t="shared" si="199"/>
        <v>3</v>
      </c>
      <c r="BK247" s="22">
        <f t="shared" si="200"/>
        <v>1</v>
      </c>
      <c r="BL247" s="22" t="str">
        <f t="shared" si="201"/>
        <v>231</v>
      </c>
      <c r="BS247"/>
      <c r="CL247" s="23">
        <v>138</v>
      </c>
      <c r="CM247" s="23">
        <v>130</v>
      </c>
      <c r="CO247"/>
    </row>
    <row r="248" spans="2:93" ht="17" hidden="1">
      <c r="B248" s="15">
        <v>244</v>
      </c>
      <c r="C248" s="23" t="s">
        <v>274</v>
      </c>
      <c r="D248" s="16">
        <v>1</v>
      </c>
      <c r="E248" s="17">
        <v>9121583100</v>
      </c>
      <c r="F248" s="16">
        <v>25</v>
      </c>
      <c r="G248" s="17">
        <v>60810554</v>
      </c>
      <c r="H248" s="17">
        <v>1096</v>
      </c>
      <c r="I248" s="17">
        <v>1387103</v>
      </c>
      <c r="J248" s="17">
        <v>54930</v>
      </c>
      <c r="K248" s="17">
        <v>55353</v>
      </c>
      <c r="L248" s="17">
        <v>900577</v>
      </c>
      <c r="M248" s="17">
        <v>5000</v>
      </c>
      <c r="N248" s="23">
        <v>13</v>
      </c>
      <c r="O248" s="23">
        <v>16</v>
      </c>
      <c r="P248" s="23">
        <v>25</v>
      </c>
      <c r="Q248" s="23">
        <v>36</v>
      </c>
      <c r="R248" s="23">
        <v>37</v>
      </c>
      <c r="S248" s="23">
        <v>38</v>
      </c>
      <c r="T248" s="23">
        <v>19</v>
      </c>
      <c r="U248" s="23">
        <f t="shared" si="202"/>
        <v>165</v>
      </c>
      <c r="W248" s="22" t="str">
        <f t="shared" si="203"/>
        <v>홀수</v>
      </c>
      <c r="X248" s="22" t="str">
        <f t="shared" si="204"/>
        <v>짝수</v>
      </c>
      <c r="Y248" s="22" t="str">
        <f t="shared" si="205"/>
        <v>홀수</v>
      </c>
      <c r="Z248" s="22" t="str">
        <f t="shared" si="206"/>
        <v>짝수</v>
      </c>
      <c r="AA248" s="22" t="str">
        <f t="shared" si="207"/>
        <v>홀수</v>
      </c>
      <c r="AB248" s="22" t="str">
        <f t="shared" si="208"/>
        <v>짝수</v>
      </c>
      <c r="AC248" s="52" t="str">
        <f t="shared" si="209"/>
        <v>3 : 3</v>
      </c>
      <c r="AD248" s="22">
        <f t="shared" si="210"/>
        <v>3</v>
      </c>
      <c r="AE248" s="22">
        <f t="shared" si="211"/>
        <v>3</v>
      </c>
      <c r="AF248" s="22" t="str">
        <f t="shared" si="175"/>
        <v>저수</v>
      </c>
      <c r="AG248" s="22" t="str">
        <f t="shared" si="176"/>
        <v>저수</v>
      </c>
      <c r="AH248" s="22" t="str">
        <f t="shared" si="177"/>
        <v>고수</v>
      </c>
      <c r="AI248" s="22" t="str">
        <f t="shared" si="178"/>
        <v>고수</v>
      </c>
      <c r="AJ248" s="22" t="str">
        <f t="shared" si="179"/>
        <v>고수</v>
      </c>
      <c r="AK248" s="22" t="str">
        <f t="shared" si="180"/>
        <v>고수</v>
      </c>
      <c r="AL248" s="52" t="str">
        <f t="shared" si="181"/>
        <v>2 : 4</v>
      </c>
      <c r="AM248" s="22">
        <f t="shared" si="182"/>
        <v>2</v>
      </c>
      <c r="AN248" s="22">
        <f t="shared" si="183"/>
        <v>4</v>
      </c>
      <c r="AO248" s="22">
        <f t="shared" si="184"/>
        <v>35</v>
      </c>
      <c r="AP248" s="22" t="str">
        <f t="shared" si="185"/>
        <v>O</v>
      </c>
      <c r="AQ248" s="22" t="str">
        <f t="shared" si="186"/>
        <v>X</v>
      </c>
      <c r="AR248" s="22" t="str">
        <f t="shared" si="187"/>
        <v>X</v>
      </c>
      <c r="AS248" s="22" t="str">
        <f t="shared" si="188"/>
        <v>X</v>
      </c>
      <c r="AT248" s="22" t="str">
        <f t="shared" si="189"/>
        <v>X</v>
      </c>
      <c r="AU248" s="22" t="str">
        <f t="shared" si="190"/>
        <v>X</v>
      </c>
      <c r="AV248" s="22" t="str">
        <f t="shared" si="191"/>
        <v>X</v>
      </c>
      <c r="AW248" s="22" t="str">
        <f t="shared" si="192"/>
        <v>X</v>
      </c>
      <c r="AX248" s="22" t="str">
        <f t="shared" si="193"/>
        <v>X</v>
      </c>
      <c r="AY248" s="22" t="str">
        <f t="shared" si="194"/>
        <v>X</v>
      </c>
      <c r="AZ248" s="22" t="str">
        <f t="shared" si="195"/>
        <v>O</v>
      </c>
      <c r="BA248" s="22" t="str">
        <f t="shared" si="196"/>
        <v>X</v>
      </c>
      <c r="BB248" s="22">
        <f t="shared" si="197"/>
        <v>2</v>
      </c>
      <c r="BC248" s="22" t="str">
        <f t="shared" si="168"/>
        <v>1G</v>
      </c>
      <c r="BD248" s="22" t="str">
        <f t="shared" si="169"/>
        <v>2G</v>
      </c>
      <c r="BE248" s="22" t="str">
        <f t="shared" si="170"/>
        <v>2G</v>
      </c>
      <c r="BF248" s="22" t="str">
        <f t="shared" si="171"/>
        <v>3G</v>
      </c>
      <c r="BG248" s="22" t="str">
        <f t="shared" si="172"/>
        <v>3G</v>
      </c>
      <c r="BH248" s="22" t="str">
        <f t="shared" si="173"/>
        <v>3G</v>
      </c>
      <c r="BI248" s="22">
        <f t="shared" si="198"/>
        <v>1</v>
      </c>
      <c r="BJ248" s="22">
        <f t="shared" si="199"/>
        <v>2</v>
      </c>
      <c r="BK248" s="22">
        <f t="shared" si="200"/>
        <v>3</v>
      </c>
      <c r="BL248" s="22" t="str">
        <f t="shared" si="201"/>
        <v>123</v>
      </c>
      <c r="BS248"/>
      <c r="CL248" s="23">
        <v>138</v>
      </c>
      <c r="CM248" s="23">
        <v>130</v>
      </c>
      <c r="CO248"/>
    </row>
    <row r="249" spans="2:93" ht="17" hidden="1">
      <c r="B249" s="15">
        <v>245</v>
      </c>
      <c r="C249" s="23" t="s">
        <v>275</v>
      </c>
      <c r="D249" s="16">
        <v>7</v>
      </c>
      <c r="E249" s="17">
        <v>1382583129</v>
      </c>
      <c r="F249" s="16">
        <v>35</v>
      </c>
      <c r="G249" s="17">
        <v>46086105</v>
      </c>
      <c r="H249" s="17">
        <v>1092</v>
      </c>
      <c r="I249" s="17">
        <v>1477119</v>
      </c>
      <c r="J249" s="17">
        <v>57445</v>
      </c>
      <c r="K249" s="17">
        <v>56159</v>
      </c>
      <c r="L249" s="17">
        <v>959435</v>
      </c>
      <c r="M249" s="17">
        <v>5000</v>
      </c>
      <c r="N249" s="23">
        <v>9</v>
      </c>
      <c r="O249" s="23">
        <v>11</v>
      </c>
      <c r="P249" s="23">
        <v>27</v>
      </c>
      <c r="Q249" s="23">
        <v>31</v>
      </c>
      <c r="R249" s="23">
        <v>32</v>
      </c>
      <c r="S249" s="23">
        <v>38</v>
      </c>
      <c r="T249" s="23">
        <v>22</v>
      </c>
      <c r="U249" s="23">
        <f t="shared" si="202"/>
        <v>148</v>
      </c>
      <c r="W249" s="22" t="str">
        <f t="shared" si="203"/>
        <v>홀수</v>
      </c>
      <c r="X249" s="22" t="str">
        <f t="shared" si="204"/>
        <v>홀수</v>
      </c>
      <c r="Y249" s="22" t="str">
        <f t="shared" si="205"/>
        <v>홀수</v>
      </c>
      <c r="Z249" s="22" t="str">
        <f t="shared" si="206"/>
        <v>홀수</v>
      </c>
      <c r="AA249" s="22" t="str">
        <f t="shared" si="207"/>
        <v>짝수</v>
      </c>
      <c r="AB249" s="22" t="str">
        <f t="shared" si="208"/>
        <v>짝수</v>
      </c>
      <c r="AC249" s="52" t="str">
        <f t="shared" si="209"/>
        <v>4 : 2</v>
      </c>
      <c r="AD249" s="22">
        <f t="shared" si="210"/>
        <v>4</v>
      </c>
      <c r="AE249" s="22">
        <f t="shared" si="211"/>
        <v>2</v>
      </c>
      <c r="AF249" s="22" t="str">
        <f t="shared" si="175"/>
        <v>저수</v>
      </c>
      <c r="AG249" s="22" t="str">
        <f t="shared" si="176"/>
        <v>저수</v>
      </c>
      <c r="AH249" s="22" t="str">
        <f t="shared" si="177"/>
        <v>고수</v>
      </c>
      <c r="AI249" s="22" t="str">
        <f t="shared" si="178"/>
        <v>고수</v>
      </c>
      <c r="AJ249" s="22" t="str">
        <f t="shared" si="179"/>
        <v>고수</v>
      </c>
      <c r="AK249" s="22" t="str">
        <f t="shared" si="180"/>
        <v>고수</v>
      </c>
      <c r="AL249" s="52" t="str">
        <f t="shared" si="181"/>
        <v>2 : 4</v>
      </c>
      <c r="AM249" s="22">
        <f t="shared" si="182"/>
        <v>2</v>
      </c>
      <c r="AN249" s="22">
        <f t="shared" si="183"/>
        <v>4</v>
      </c>
      <c r="AO249" s="22">
        <f t="shared" si="184"/>
        <v>28</v>
      </c>
      <c r="AP249" s="22" t="str">
        <f t="shared" si="185"/>
        <v>X</v>
      </c>
      <c r="AQ249" s="22" t="str">
        <f t="shared" si="186"/>
        <v>O</v>
      </c>
      <c r="AR249" s="22" t="str">
        <f t="shared" si="187"/>
        <v>X</v>
      </c>
      <c r="AS249" s="22" t="str">
        <f t="shared" si="188"/>
        <v>X</v>
      </c>
      <c r="AT249" s="22" t="str">
        <f t="shared" si="189"/>
        <v>X</v>
      </c>
      <c r="AU249" s="22" t="str">
        <f t="shared" si="190"/>
        <v>X</v>
      </c>
      <c r="AV249" s="22" t="str">
        <f t="shared" si="191"/>
        <v>X</v>
      </c>
      <c r="AW249" s="22" t="str">
        <f t="shared" si="192"/>
        <v>X</v>
      </c>
      <c r="AX249" s="22" t="str">
        <f t="shared" si="193"/>
        <v>X</v>
      </c>
      <c r="AY249" s="22" t="str">
        <f t="shared" si="194"/>
        <v>O</v>
      </c>
      <c r="AZ249" s="22" t="str">
        <f t="shared" si="195"/>
        <v>X</v>
      </c>
      <c r="BA249" s="22" t="str">
        <f t="shared" si="196"/>
        <v>X</v>
      </c>
      <c r="BB249" s="22">
        <f t="shared" si="197"/>
        <v>2</v>
      </c>
      <c r="BC249" s="22" t="str">
        <f t="shared" si="168"/>
        <v>1G</v>
      </c>
      <c r="BD249" s="22" t="str">
        <f t="shared" si="169"/>
        <v>1G</v>
      </c>
      <c r="BE249" s="22" t="str">
        <f t="shared" si="170"/>
        <v>2G</v>
      </c>
      <c r="BF249" s="22" t="str">
        <f t="shared" si="171"/>
        <v>3G</v>
      </c>
      <c r="BG249" s="22" t="str">
        <f t="shared" si="172"/>
        <v>3G</v>
      </c>
      <c r="BH249" s="22" t="str">
        <f t="shared" si="173"/>
        <v>3G</v>
      </c>
      <c r="BI249" s="22">
        <f t="shared" si="198"/>
        <v>2</v>
      </c>
      <c r="BJ249" s="22">
        <f t="shared" si="199"/>
        <v>1</v>
      </c>
      <c r="BK249" s="22">
        <f t="shared" si="200"/>
        <v>3</v>
      </c>
      <c r="BL249" s="22" t="str">
        <f t="shared" si="201"/>
        <v>213</v>
      </c>
      <c r="BS249"/>
      <c r="CL249" s="23">
        <v>138</v>
      </c>
      <c r="CM249" s="23">
        <v>130</v>
      </c>
      <c r="CO249"/>
    </row>
    <row r="250" spans="2:93" ht="17" hidden="1">
      <c r="B250" s="15">
        <v>246</v>
      </c>
      <c r="C250" s="23" t="s">
        <v>276</v>
      </c>
      <c r="D250" s="16">
        <v>5</v>
      </c>
      <c r="E250" s="17">
        <v>1911774240</v>
      </c>
      <c r="F250" s="16">
        <v>26</v>
      </c>
      <c r="G250" s="17">
        <v>61274816</v>
      </c>
      <c r="H250" s="17">
        <v>1294</v>
      </c>
      <c r="I250" s="17">
        <v>1231179</v>
      </c>
      <c r="J250" s="17">
        <v>59600</v>
      </c>
      <c r="K250" s="17">
        <v>53462</v>
      </c>
      <c r="L250" s="17">
        <v>959025</v>
      </c>
      <c r="M250" s="17">
        <v>5000</v>
      </c>
      <c r="N250" s="23">
        <v>13</v>
      </c>
      <c r="O250" s="23">
        <v>18</v>
      </c>
      <c r="P250" s="23">
        <v>21</v>
      </c>
      <c r="Q250" s="23">
        <v>23</v>
      </c>
      <c r="R250" s="23">
        <v>26</v>
      </c>
      <c r="S250" s="23">
        <v>39</v>
      </c>
      <c r="T250" s="23">
        <v>15</v>
      </c>
      <c r="U250" s="23">
        <f t="shared" si="202"/>
        <v>140</v>
      </c>
      <c r="W250" s="22" t="str">
        <f t="shared" si="203"/>
        <v>홀수</v>
      </c>
      <c r="X250" s="22" t="str">
        <f t="shared" si="204"/>
        <v>짝수</v>
      </c>
      <c r="Y250" s="22" t="str">
        <f t="shared" si="205"/>
        <v>홀수</v>
      </c>
      <c r="Z250" s="22" t="str">
        <f t="shared" si="206"/>
        <v>홀수</v>
      </c>
      <c r="AA250" s="22" t="str">
        <f t="shared" si="207"/>
        <v>짝수</v>
      </c>
      <c r="AB250" s="22" t="str">
        <f t="shared" si="208"/>
        <v>홀수</v>
      </c>
      <c r="AC250" s="52" t="str">
        <f t="shared" si="209"/>
        <v>4 : 2</v>
      </c>
      <c r="AD250" s="22">
        <f t="shared" si="210"/>
        <v>4</v>
      </c>
      <c r="AE250" s="22">
        <f t="shared" si="211"/>
        <v>2</v>
      </c>
      <c r="AF250" s="22" t="str">
        <f t="shared" si="175"/>
        <v>저수</v>
      </c>
      <c r="AG250" s="22" t="str">
        <f t="shared" si="176"/>
        <v>저수</v>
      </c>
      <c r="AH250" s="22" t="str">
        <f t="shared" si="177"/>
        <v>저수</v>
      </c>
      <c r="AI250" s="22" t="str">
        <f t="shared" si="178"/>
        <v>고수</v>
      </c>
      <c r="AJ250" s="22" t="str">
        <f t="shared" si="179"/>
        <v>고수</v>
      </c>
      <c r="AK250" s="22" t="str">
        <f t="shared" si="180"/>
        <v>고수</v>
      </c>
      <c r="AL250" s="52" t="str">
        <f t="shared" si="181"/>
        <v>3 : 3</v>
      </c>
      <c r="AM250" s="22">
        <f t="shared" si="182"/>
        <v>3</v>
      </c>
      <c r="AN250" s="22">
        <f t="shared" si="183"/>
        <v>3</v>
      </c>
      <c r="AO250" s="22">
        <f t="shared" si="184"/>
        <v>30</v>
      </c>
      <c r="AP250" s="22" t="str">
        <f t="shared" si="185"/>
        <v>O</v>
      </c>
      <c r="AQ250" s="22" t="str">
        <f t="shared" si="186"/>
        <v>X</v>
      </c>
      <c r="AR250" s="22" t="str">
        <f t="shared" si="187"/>
        <v>X</v>
      </c>
      <c r="AS250" s="22" t="str">
        <f t="shared" si="188"/>
        <v>X</v>
      </c>
      <c r="AT250" s="22" t="str">
        <f t="shared" si="189"/>
        <v>X</v>
      </c>
      <c r="AU250" s="22" t="str">
        <f t="shared" si="190"/>
        <v>X</v>
      </c>
      <c r="AV250" s="22" t="str">
        <f t="shared" si="191"/>
        <v>X</v>
      </c>
      <c r="AW250" s="22" t="str">
        <f t="shared" si="192"/>
        <v>X</v>
      </c>
      <c r="AX250" s="22" t="str">
        <f t="shared" si="193"/>
        <v>X</v>
      </c>
      <c r="AY250" s="22" t="str">
        <f t="shared" si="194"/>
        <v>O</v>
      </c>
      <c r="AZ250" s="22" t="str">
        <f t="shared" si="195"/>
        <v>X</v>
      </c>
      <c r="BA250" s="22" t="str">
        <f t="shared" si="196"/>
        <v>X</v>
      </c>
      <c r="BB250" s="22">
        <f t="shared" si="197"/>
        <v>2</v>
      </c>
      <c r="BC250" s="22" t="str">
        <f t="shared" si="168"/>
        <v>1G</v>
      </c>
      <c r="BD250" s="22" t="str">
        <f t="shared" si="169"/>
        <v>2G</v>
      </c>
      <c r="BE250" s="22" t="str">
        <f t="shared" si="170"/>
        <v>2G</v>
      </c>
      <c r="BF250" s="22" t="str">
        <f t="shared" si="171"/>
        <v>2G</v>
      </c>
      <c r="BG250" s="22" t="str">
        <f t="shared" si="172"/>
        <v>2G</v>
      </c>
      <c r="BH250" s="22" t="str">
        <f t="shared" si="173"/>
        <v>3G</v>
      </c>
      <c r="BI250" s="22">
        <f t="shared" si="198"/>
        <v>1</v>
      </c>
      <c r="BJ250" s="22">
        <f t="shared" si="199"/>
        <v>4</v>
      </c>
      <c r="BK250" s="22">
        <f t="shared" si="200"/>
        <v>1</v>
      </c>
      <c r="BL250" s="22" t="str">
        <f t="shared" si="201"/>
        <v>141</v>
      </c>
      <c r="BS250"/>
      <c r="CL250" s="23">
        <v>138</v>
      </c>
      <c r="CM250" s="23">
        <v>130</v>
      </c>
      <c r="CO250"/>
    </row>
    <row r="251" spans="2:93" ht="17" hidden="1">
      <c r="B251" s="15">
        <v>247</v>
      </c>
      <c r="C251" s="23" t="s">
        <v>277</v>
      </c>
      <c r="D251" s="16">
        <v>6</v>
      </c>
      <c r="E251" s="17">
        <v>1669313900</v>
      </c>
      <c r="F251" s="16">
        <v>29</v>
      </c>
      <c r="G251" s="17">
        <v>57562549</v>
      </c>
      <c r="H251" s="17">
        <v>1019</v>
      </c>
      <c r="I251" s="17">
        <v>1638189</v>
      </c>
      <c r="J251" s="17">
        <v>52284</v>
      </c>
      <c r="K251" s="17">
        <v>63856</v>
      </c>
      <c r="L251" s="17">
        <v>884542</v>
      </c>
      <c r="M251" s="17">
        <v>5000</v>
      </c>
      <c r="N251" s="23">
        <v>12</v>
      </c>
      <c r="O251" s="23">
        <v>15</v>
      </c>
      <c r="P251" s="23">
        <v>28</v>
      </c>
      <c r="Q251" s="23">
        <v>36</v>
      </c>
      <c r="R251" s="23">
        <v>39</v>
      </c>
      <c r="S251" s="23">
        <v>40</v>
      </c>
      <c r="T251" s="23">
        <v>13</v>
      </c>
      <c r="U251" s="23">
        <f t="shared" si="202"/>
        <v>170</v>
      </c>
      <c r="W251" s="22" t="str">
        <f t="shared" si="203"/>
        <v>짝수</v>
      </c>
      <c r="X251" s="22" t="str">
        <f t="shared" si="204"/>
        <v>홀수</v>
      </c>
      <c r="Y251" s="22" t="str">
        <f t="shared" si="205"/>
        <v>짝수</v>
      </c>
      <c r="Z251" s="22" t="str">
        <f t="shared" si="206"/>
        <v>짝수</v>
      </c>
      <c r="AA251" s="22" t="str">
        <f t="shared" si="207"/>
        <v>홀수</v>
      </c>
      <c r="AB251" s="22" t="str">
        <f t="shared" si="208"/>
        <v>짝수</v>
      </c>
      <c r="AC251" s="52" t="str">
        <f t="shared" si="209"/>
        <v>2 : 4</v>
      </c>
      <c r="AD251" s="22">
        <f t="shared" si="210"/>
        <v>2</v>
      </c>
      <c r="AE251" s="22">
        <f t="shared" si="211"/>
        <v>4</v>
      </c>
      <c r="AF251" s="22" t="str">
        <f t="shared" si="175"/>
        <v>저수</v>
      </c>
      <c r="AG251" s="22" t="str">
        <f t="shared" si="176"/>
        <v>저수</v>
      </c>
      <c r="AH251" s="22" t="str">
        <f t="shared" si="177"/>
        <v>고수</v>
      </c>
      <c r="AI251" s="22" t="str">
        <f t="shared" si="178"/>
        <v>고수</v>
      </c>
      <c r="AJ251" s="22" t="str">
        <f t="shared" si="179"/>
        <v>고수</v>
      </c>
      <c r="AK251" s="22" t="str">
        <f t="shared" si="180"/>
        <v>고수</v>
      </c>
      <c r="AL251" s="52" t="str">
        <f t="shared" si="181"/>
        <v>2 : 4</v>
      </c>
      <c r="AM251" s="22">
        <f t="shared" si="182"/>
        <v>2</v>
      </c>
      <c r="AN251" s="22">
        <f t="shared" si="183"/>
        <v>4</v>
      </c>
      <c r="AO251" s="22">
        <f t="shared" si="184"/>
        <v>30</v>
      </c>
      <c r="AP251" s="22" t="str">
        <f t="shared" si="185"/>
        <v>X</v>
      </c>
      <c r="AQ251" s="22" t="str">
        <f t="shared" si="186"/>
        <v>X</v>
      </c>
      <c r="AR251" s="22" t="str">
        <f t="shared" si="187"/>
        <v>X</v>
      </c>
      <c r="AS251" s="22" t="str">
        <f t="shared" si="188"/>
        <v>X</v>
      </c>
      <c r="AT251" s="22" t="str">
        <f t="shared" si="189"/>
        <v>X</v>
      </c>
      <c r="AU251" s="22" t="str">
        <f t="shared" si="190"/>
        <v>X</v>
      </c>
      <c r="AV251" s="22" t="str">
        <f t="shared" si="191"/>
        <v>X</v>
      </c>
      <c r="AW251" s="22" t="str">
        <f t="shared" si="192"/>
        <v>X</v>
      </c>
      <c r="AX251" s="22" t="str">
        <f t="shared" si="193"/>
        <v>X</v>
      </c>
      <c r="AY251" s="22" t="str">
        <f t="shared" si="194"/>
        <v>X</v>
      </c>
      <c r="AZ251" s="22" t="str">
        <f t="shared" si="195"/>
        <v>X</v>
      </c>
      <c r="BA251" s="22" t="str">
        <f t="shared" si="196"/>
        <v>X</v>
      </c>
      <c r="BB251" s="22">
        <f t="shared" si="197"/>
        <v>0</v>
      </c>
      <c r="BC251" s="22" t="str">
        <f t="shared" si="168"/>
        <v>1G</v>
      </c>
      <c r="BD251" s="22" t="str">
        <f t="shared" si="169"/>
        <v>1G</v>
      </c>
      <c r="BE251" s="22" t="str">
        <f t="shared" si="170"/>
        <v>2G</v>
      </c>
      <c r="BF251" s="22" t="str">
        <f t="shared" si="171"/>
        <v>3G</v>
      </c>
      <c r="BG251" s="22" t="str">
        <f t="shared" si="172"/>
        <v>3G</v>
      </c>
      <c r="BH251" s="22" t="str">
        <f t="shared" si="173"/>
        <v>3G</v>
      </c>
      <c r="BI251" s="22">
        <f t="shared" si="198"/>
        <v>2</v>
      </c>
      <c r="BJ251" s="22">
        <f t="shared" si="199"/>
        <v>1</v>
      </c>
      <c r="BK251" s="22">
        <f t="shared" si="200"/>
        <v>3</v>
      </c>
      <c r="BL251" s="22" t="str">
        <f t="shared" si="201"/>
        <v>213</v>
      </c>
      <c r="BS251"/>
      <c r="CL251" s="23">
        <v>138</v>
      </c>
      <c r="CM251" s="23">
        <v>130</v>
      </c>
      <c r="CO251"/>
    </row>
    <row r="252" spans="2:93" ht="17" hidden="1">
      <c r="B252" s="15">
        <v>248</v>
      </c>
      <c r="C252" s="23" t="s">
        <v>278</v>
      </c>
      <c r="D252" s="16">
        <v>8</v>
      </c>
      <c r="E252" s="17">
        <v>1227479363</v>
      </c>
      <c r="F252" s="16">
        <v>23</v>
      </c>
      <c r="G252" s="17">
        <v>71158224</v>
      </c>
      <c r="H252" s="17">
        <v>1155</v>
      </c>
      <c r="I252" s="17">
        <v>1417004</v>
      </c>
      <c r="J252" s="17">
        <v>58847</v>
      </c>
      <c r="K252" s="17">
        <v>55624</v>
      </c>
      <c r="L252" s="17">
        <v>961562</v>
      </c>
      <c r="M252" s="17">
        <v>5000</v>
      </c>
      <c r="N252" s="23">
        <v>3</v>
      </c>
      <c r="O252" s="23">
        <v>8</v>
      </c>
      <c r="P252" s="23">
        <v>17</v>
      </c>
      <c r="Q252" s="23">
        <v>23</v>
      </c>
      <c r="R252" s="23">
        <v>38</v>
      </c>
      <c r="S252" s="23">
        <v>45</v>
      </c>
      <c r="T252" s="23">
        <v>13</v>
      </c>
      <c r="U252" s="23">
        <f t="shared" si="202"/>
        <v>134</v>
      </c>
      <c r="W252" s="22" t="str">
        <f t="shared" si="203"/>
        <v>홀수</v>
      </c>
      <c r="X252" s="22" t="str">
        <f t="shared" si="204"/>
        <v>짝수</v>
      </c>
      <c r="Y252" s="22" t="str">
        <f t="shared" si="205"/>
        <v>홀수</v>
      </c>
      <c r="Z252" s="22" t="str">
        <f t="shared" si="206"/>
        <v>홀수</v>
      </c>
      <c r="AA252" s="22" t="str">
        <f t="shared" si="207"/>
        <v>짝수</v>
      </c>
      <c r="AB252" s="22" t="str">
        <f t="shared" si="208"/>
        <v>홀수</v>
      </c>
      <c r="AC252" s="52" t="str">
        <f t="shared" si="209"/>
        <v>4 : 2</v>
      </c>
      <c r="AD252" s="22">
        <f t="shared" si="210"/>
        <v>4</v>
      </c>
      <c r="AE252" s="22">
        <f t="shared" si="211"/>
        <v>2</v>
      </c>
      <c r="AF252" s="22" t="str">
        <f t="shared" si="175"/>
        <v>저수</v>
      </c>
      <c r="AG252" s="22" t="str">
        <f t="shared" si="176"/>
        <v>저수</v>
      </c>
      <c r="AH252" s="22" t="str">
        <f t="shared" si="177"/>
        <v>저수</v>
      </c>
      <c r="AI252" s="22" t="str">
        <f t="shared" si="178"/>
        <v>고수</v>
      </c>
      <c r="AJ252" s="22" t="str">
        <f t="shared" si="179"/>
        <v>고수</v>
      </c>
      <c r="AK252" s="22" t="str">
        <f t="shared" si="180"/>
        <v>고수</v>
      </c>
      <c r="AL252" s="52" t="str">
        <f t="shared" si="181"/>
        <v>3 : 3</v>
      </c>
      <c r="AM252" s="22">
        <f t="shared" si="182"/>
        <v>3</v>
      </c>
      <c r="AN252" s="22">
        <f t="shared" si="183"/>
        <v>3</v>
      </c>
      <c r="AO252" s="22">
        <f t="shared" si="184"/>
        <v>34</v>
      </c>
      <c r="AP252" s="22" t="str">
        <f t="shared" si="185"/>
        <v>O</v>
      </c>
      <c r="AQ252" s="22" t="str">
        <f t="shared" si="186"/>
        <v>X</v>
      </c>
      <c r="AR252" s="22" t="str">
        <f t="shared" si="187"/>
        <v>O</v>
      </c>
      <c r="AS252" s="22" t="str">
        <f t="shared" si="188"/>
        <v>X</v>
      </c>
      <c r="AT252" s="22" t="str">
        <f t="shared" si="189"/>
        <v>X</v>
      </c>
      <c r="AU252" s="22" t="str">
        <f t="shared" si="190"/>
        <v>X</v>
      </c>
      <c r="AV252" s="22" t="str">
        <f t="shared" si="191"/>
        <v>X</v>
      </c>
      <c r="AW252" s="22" t="str">
        <f t="shared" si="192"/>
        <v>X</v>
      </c>
      <c r="AX252" s="22" t="str">
        <f t="shared" si="193"/>
        <v>X</v>
      </c>
      <c r="AY252" s="22" t="str">
        <f t="shared" si="194"/>
        <v>O</v>
      </c>
      <c r="AZ252" s="22" t="str">
        <f t="shared" si="195"/>
        <v>X</v>
      </c>
      <c r="BA252" s="22" t="str">
        <f t="shared" si="196"/>
        <v>X</v>
      </c>
      <c r="BB252" s="22">
        <f t="shared" si="197"/>
        <v>3</v>
      </c>
      <c r="BC252" s="22" t="str">
        <f t="shared" si="168"/>
        <v>1G</v>
      </c>
      <c r="BD252" s="22" t="str">
        <f t="shared" si="169"/>
        <v>1G</v>
      </c>
      <c r="BE252" s="22" t="str">
        <f t="shared" si="170"/>
        <v>2G</v>
      </c>
      <c r="BF252" s="22" t="str">
        <f t="shared" si="171"/>
        <v>2G</v>
      </c>
      <c r="BG252" s="22" t="str">
        <f t="shared" si="172"/>
        <v>3G</v>
      </c>
      <c r="BH252" s="22" t="str">
        <f t="shared" si="173"/>
        <v>3G</v>
      </c>
      <c r="BI252" s="22">
        <f t="shared" si="198"/>
        <v>2</v>
      </c>
      <c r="BJ252" s="22">
        <f t="shared" si="199"/>
        <v>2</v>
      </c>
      <c r="BK252" s="22">
        <f t="shared" si="200"/>
        <v>2</v>
      </c>
      <c r="BL252" s="22" t="str">
        <f t="shared" si="201"/>
        <v>222</v>
      </c>
      <c r="BS252"/>
      <c r="CL252" s="23">
        <v>139</v>
      </c>
      <c r="CM252" s="23">
        <v>130</v>
      </c>
      <c r="CO252"/>
    </row>
    <row r="253" spans="2:93" ht="17" hidden="1">
      <c r="B253" s="15">
        <v>249</v>
      </c>
      <c r="C253" s="23" t="s">
        <v>279</v>
      </c>
      <c r="D253" s="16">
        <v>6</v>
      </c>
      <c r="E253" s="17">
        <v>1663568700</v>
      </c>
      <c r="F253" s="16">
        <v>29</v>
      </c>
      <c r="G253" s="17">
        <v>57364438</v>
      </c>
      <c r="H253" s="17">
        <v>1169</v>
      </c>
      <c r="I253" s="17">
        <v>1423070</v>
      </c>
      <c r="J253" s="17">
        <v>56034</v>
      </c>
      <c r="K253" s="17">
        <v>59378</v>
      </c>
      <c r="L253" s="17">
        <v>926776</v>
      </c>
      <c r="M253" s="17">
        <v>5000</v>
      </c>
      <c r="N253" s="23">
        <v>3</v>
      </c>
      <c r="O253" s="23">
        <v>8</v>
      </c>
      <c r="P253" s="23">
        <v>27</v>
      </c>
      <c r="Q253" s="23">
        <v>31</v>
      </c>
      <c r="R253" s="23">
        <v>41</v>
      </c>
      <c r="S253" s="23">
        <v>44</v>
      </c>
      <c r="T253" s="23">
        <v>11</v>
      </c>
      <c r="U253" s="23">
        <f t="shared" si="202"/>
        <v>154</v>
      </c>
      <c r="W253" s="22" t="str">
        <f t="shared" si="203"/>
        <v>홀수</v>
      </c>
      <c r="X253" s="22" t="str">
        <f t="shared" si="204"/>
        <v>짝수</v>
      </c>
      <c r="Y253" s="22" t="str">
        <f t="shared" si="205"/>
        <v>홀수</v>
      </c>
      <c r="Z253" s="22" t="str">
        <f t="shared" si="206"/>
        <v>홀수</v>
      </c>
      <c r="AA253" s="22" t="str">
        <f t="shared" si="207"/>
        <v>홀수</v>
      </c>
      <c r="AB253" s="22" t="str">
        <f t="shared" si="208"/>
        <v>짝수</v>
      </c>
      <c r="AC253" s="52" t="str">
        <f t="shared" si="209"/>
        <v>4 : 2</v>
      </c>
      <c r="AD253" s="22">
        <f t="shared" si="210"/>
        <v>4</v>
      </c>
      <c r="AE253" s="22">
        <f t="shared" si="211"/>
        <v>2</v>
      </c>
      <c r="AF253" s="22" t="str">
        <f t="shared" si="175"/>
        <v>저수</v>
      </c>
      <c r="AG253" s="22" t="str">
        <f t="shared" si="176"/>
        <v>저수</v>
      </c>
      <c r="AH253" s="22" t="str">
        <f t="shared" si="177"/>
        <v>고수</v>
      </c>
      <c r="AI253" s="22" t="str">
        <f t="shared" si="178"/>
        <v>고수</v>
      </c>
      <c r="AJ253" s="22" t="str">
        <f t="shared" si="179"/>
        <v>고수</v>
      </c>
      <c r="AK253" s="22" t="str">
        <f t="shared" si="180"/>
        <v>고수</v>
      </c>
      <c r="AL253" s="52" t="str">
        <f t="shared" si="181"/>
        <v>2 : 4</v>
      </c>
      <c r="AM253" s="22">
        <f t="shared" si="182"/>
        <v>2</v>
      </c>
      <c r="AN253" s="22">
        <f t="shared" si="183"/>
        <v>4</v>
      </c>
      <c r="AO253" s="22">
        <f t="shared" si="184"/>
        <v>24</v>
      </c>
      <c r="AP253" s="22" t="str">
        <f t="shared" si="185"/>
        <v>O</v>
      </c>
      <c r="AQ253" s="22" t="str">
        <f t="shared" si="186"/>
        <v>X</v>
      </c>
      <c r="AR253" s="22" t="str">
        <f t="shared" si="187"/>
        <v>X</v>
      </c>
      <c r="AS253" s="22" t="str">
        <f t="shared" si="188"/>
        <v>X</v>
      </c>
      <c r="AT253" s="22" t="str">
        <f t="shared" si="189"/>
        <v>X</v>
      </c>
      <c r="AU253" s="22" t="str">
        <f t="shared" si="190"/>
        <v>X</v>
      </c>
      <c r="AV253" s="22" t="str">
        <f t="shared" si="191"/>
        <v>X</v>
      </c>
      <c r="AW253" s="22" t="str">
        <f t="shared" si="192"/>
        <v>X</v>
      </c>
      <c r="AX253" s="22" t="str">
        <f t="shared" si="193"/>
        <v>X</v>
      </c>
      <c r="AY253" s="22" t="str">
        <f t="shared" si="194"/>
        <v>O</v>
      </c>
      <c r="AZ253" s="22" t="str">
        <f t="shared" si="195"/>
        <v>O</v>
      </c>
      <c r="BA253" s="22" t="str">
        <f t="shared" si="196"/>
        <v>X</v>
      </c>
      <c r="BB253" s="22">
        <f t="shared" si="197"/>
        <v>3</v>
      </c>
      <c r="BC253" s="22" t="str">
        <f t="shared" si="168"/>
        <v>1G</v>
      </c>
      <c r="BD253" s="22" t="str">
        <f t="shared" si="169"/>
        <v>1G</v>
      </c>
      <c r="BE253" s="22" t="str">
        <f t="shared" si="170"/>
        <v>2G</v>
      </c>
      <c r="BF253" s="22" t="str">
        <f t="shared" si="171"/>
        <v>3G</v>
      </c>
      <c r="BG253" s="22" t="str">
        <f t="shared" si="172"/>
        <v>3G</v>
      </c>
      <c r="BH253" s="22" t="str">
        <f t="shared" si="173"/>
        <v>3G</v>
      </c>
      <c r="BI253" s="22">
        <f t="shared" si="198"/>
        <v>2</v>
      </c>
      <c r="BJ253" s="22">
        <f t="shared" si="199"/>
        <v>1</v>
      </c>
      <c r="BK253" s="22">
        <f t="shared" si="200"/>
        <v>3</v>
      </c>
      <c r="BL253" s="22" t="str">
        <f t="shared" si="201"/>
        <v>213</v>
      </c>
      <c r="BS253"/>
      <c r="CL253" s="23">
        <v>139</v>
      </c>
      <c r="CM253" s="23">
        <v>130</v>
      </c>
      <c r="CO253"/>
    </row>
    <row r="254" spans="2:93" ht="17" hidden="1">
      <c r="B254" s="15">
        <v>250</v>
      </c>
      <c r="C254" s="23" t="s">
        <v>280</v>
      </c>
      <c r="D254" s="16">
        <v>5</v>
      </c>
      <c r="E254" s="17">
        <v>1994726280</v>
      </c>
      <c r="F254" s="16">
        <v>17</v>
      </c>
      <c r="G254" s="17">
        <v>97780700</v>
      </c>
      <c r="H254" s="17">
        <v>1051</v>
      </c>
      <c r="I254" s="17">
        <v>1581610</v>
      </c>
      <c r="J254" s="17">
        <v>51328</v>
      </c>
      <c r="K254" s="17">
        <v>64771</v>
      </c>
      <c r="L254" s="17">
        <v>887737</v>
      </c>
      <c r="M254" s="17">
        <v>5000</v>
      </c>
      <c r="N254" s="23">
        <v>19</v>
      </c>
      <c r="O254" s="23">
        <v>23</v>
      </c>
      <c r="P254" s="23">
        <v>30</v>
      </c>
      <c r="Q254" s="23">
        <v>37</v>
      </c>
      <c r="R254" s="23">
        <v>43</v>
      </c>
      <c r="S254" s="23">
        <v>45</v>
      </c>
      <c r="T254" s="23">
        <v>38</v>
      </c>
      <c r="U254" s="23">
        <f t="shared" si="202"/>
        <v>197</v>
      </c>
      <c r="W254" s="22" t="str">
        <f t="shared" si="203"/>
        <v>홀수</v>
      </c>
      <c r="X254" s="22" t="str">
        <f t="shared" si="204"/>
        <v>홀수</v>
      </c>
      <c r="Y254" s="22" t="str">
        <f t="shared" si="205"/>
        <v>짝수</v>
      </c>
      <c r="Z254" s="22" t="str">
        <f t="shared" si="206"/>
        <v>홀수</v>
      </c>
      <c r="AA254" s="22" t="str">
        <f t="shared" si="207"/>
        <v>홀수</v>
      </c>
      <c r="AB254" s="22" t="str">
        <f t="shared" si="208"/>
        <v>홀수</v>
      </c>
      <c r="AC254" s="52" t="str">
        <f t="shared" si="209"/>
        <v>5 : 1</v>
      </c>
      <c r="AD254" s="22">
        <f t="shared" si="210"/>
        <v>5</v>
      </c>
      <c r="AE254" s="22">
        <f t="shared" si="211"/>
        <v>1</v>
      </c>
      <c r="AF254" s="22" t="str">
        <f t="shared" si="175"/>
        <v>저수</v>
      </c>
      <c r="AG254" s="22" t="str">
        <f t="shared" si="176"/>
        <v>고수</v>
      </c>
      <c r="AH254" s="22" t="str">
        <f t="shared" si="177"/>
        <v>고수</v>
      </c>
      <c r="AI254" s="22" t="str">
        <f t="shared" si="178"/>
        <v>고수</v>
      </c>
      <c r="AJ254" s="22" t="str">
        <f t="shared" si="179"/>
        <v>고수</v>
      </c>
      <c r="AK254" s="22" t="str">
        <f t="shared" si="180"/>
        <v>고수</v>
      </c>
      <c r="AL254" s="52" t="str">
        <f t="shared" si="181"/>
        <v>1 : 5</v>
      </c>
      <c r="AM254" s="22">
        <f t="shared" si="182"/>
        <v>1</v>
      </c>
      <c r="AN254" s="22">
        <f t="shared" si="183"/>
        <v>5</v>
      </c>
      <c r="AO254" s="22">
        <f t="shared" si="184"/>
        <v>27</v>
      </c>
      <c r="AP254" s="22" t="str">
        <f t="shared" si="185"/>
        <v>O</v>
      </c>
      <c r="AQ254" s="22" t="str">
        <f t="shared" si="186"/>
        <v>X</v>
      </c>
      <c r="AR254" s="22" t="str">
        <f t="shared" si="187"/>
        <v>X</v>
      </c>
      <c r="AS254" s="22" t="str">
        <f t="shared" si="188"/>
        <v>X</v>
      </c>
      <c r="AT254" s="22" t="str">
        <f t="shared" si="189"/>
        <v>X</v>
      </c>
      <c r="AU254" s="22" t="str">
        <f t="shared" si="190"/>
        <v>X</v>
      </c>
      <c r="AV254" s="22" t="str">
        <f t="shared" si="191"/>
        <v>X</v>
      </c>
      <c r="AW254" s="22" t="str">
        <f t="shared" si="192"/>
        <v>O</v>
      </c>
      <c r="AX254" s="22" t="str">
        <f t="shared" si="193"/>
        <v>X</v>
      </c>
      <c r="AY254" s="22" t="str">
        <f t="shared" si="194"/>
        <v>O</v>
      </c>
      <c r="AZ254" s="22" t="str">
        <f t="shared" si="195"/>
        <v>O</v>
      </c>
      <c r="BA254" s="22" t="str">
        <f t="shared" si="196"/>
        <v>X</v>
      </c>
      <c r="BB254" s="22">
        <f t="shared" si="197"/>
        <v>4</v>
      </c>
      <c r="BC254" s="22" t="str">
        <f t="shared" si="168"/>
        <v>2G</v>
      </c>
      <c r="BD254" s="22" t="str">
        <f t="shared" si="169"/>
        <v>2G</v>
      </c>
      <c r="BE254" s="22" t="str">
        <f t="shared" si="170"/>
        <v>2G</v>
      </c>
      <c r="BF254" s="22" t="str">
        <f t="shared" si="171"/>
        <v>3G</v>
      </c>
      <c r="BG254" s="22" t="str">
        <f t="shared" si="172"/>
        <v>3G</v>
      </c>
      <c r="BH254" s="22" t="str">
        <f t="shared" si="173"/>
        <v>3G</v>
      </c>
      <c r="BI254" s="22">
        <f t="shared" si="198"/>
        <v>0</v>
      </c>
      <c r="BJ254" s="22">
        <f t="shared" si="199"/>
        <v>3</v>
      </c>
      <c r="BK254" s="22">
        <f t="shared" si="200"/>
        <v>3</v>
      </c>
      <c r="BL254" s="22" t="str">
        <f t="shared" si="201"/>
        <v>033</v>
      </c>
      <c r="BS254"/>
      <c r="CL254" s="23">
        <v>139</v>
      </c>
      <c r="CM254" s="23">
        <v>130</v>
      </c>
      <c r="CO254"/>
    </row>
    <row r="255" spans="2:93" ht="17" hidden="1">
      <c r="B255" s="15">
        <v>251</v>
      </c>
      <c r="C255" s="23" t="s">
        <v>281</v>
      </c>
      <c r="D255" s="16">
        <v>8</v>
      </c>
      <c r="E255" s="17">
        <v>1282616400</v>
      </c>
      <c r="F255" s="16">
        <v>40</v>
      </c>
      <c r="G255" s="17">
        <v>42753880</v>
      </c>
      <c r="H255" s="17">
        <v>1242</v>
      </c>
      <c r="I255" s="17">
        <v>1376937</v>
      </c>
      <c r="J255" s="17">
        <v>62015</v>
      </c>
      <c r="K255" s="17">
        <v>55153</v>
      </c>
      <c r="L255" s="17">
        <v>1028991</v>
      </c>
      <c r="M255" s="17">
        <v>5000</v>
      </c>
      <c r="N255" s="23">
        <v>6</v>
      </c>
      <c r="O255" s="23">
        <v>7</v>
      </c>
      <c r="P255" s="23">
        <v>19</v>
      </c>
      <c r="Q255" s="23">
        <v>25</v>
      </c>
      <c r="R255" s="23">
        <v>28</v>
      </c>
      <c r="S255" s="23">
        <v>38</v>
      </c>
      <c r="T255" s="23">
        <v>45</v>
      </c>
      <c r="U255" s="23">
        <f t="shared" si="202"/>
        <v>123</v>
      </c>
      <c r="W255" s="22" t="str">
        <f t="shared" si="203"/>
        <v>짝수</v>
      </c>
      <c r="X255" s="22" t="str">
        <f t="shared" si="204"/>
        <v>홀수</v>
      </c>
      <c r="Y255" s="22" t="str">
        <f t="shared" si="205"/>
        <v>홀수</v>
      </c>
      <c r="Z255" s="22" t="str">
        <f t="shared" si="206"/>
        <v>홀수</v>
      </c>
      <c r="AA255" s="22" t="str">
        <f t="shared" si="207"/>
        <v>짝수</v>
      </c>
      <c r="AB255" s="22" t="str">
        <f t="shared" si="208"/>
        <v>짝수</v>
      </c>
      <c r="AC255" s="52" t="str">
        <f t="shared" si="209"/>
        <v>3 : 3</v>
      </c>
      <c r="AD255" s="22">
        <f t="shared" si="210"/>
        <v>3</v>
      </c>
      <c r="AE255" s="22">
        <f t="shared" si="211"/>
        <v>3</v>
      </c>
      <c r="AF255" s="22" t="str">
        <f t="shared" si="175"/>
        <v>저수</v>
      </c>
      <c r="AG255" s="22" t="str">
        <f t="shared" si="176"/>
        <v>저수</v>
      </c>
      <c r="AH255" s="22" t="str">
        <f t="shared" si="177"/>
        <v>저수</v>
      </c>
      <c r="AI255" s="22" t="str">
        <f t="shared" si="178"/>
        <v>고수</v>
      </c>
      <c r="AJ255" s="22" t="str">
        <f t="shared" si="179"/>
        <v>고수</v>
      </c>
      <c r="AK255" s="22" t="str">
        <f t="shared" si="180"/>
        <v>고수</v>
      </c>
      <c r="AL255" s="52" t="str">
        <f t="shared" si="181"/>
        <v>3 : 3</v>
      </c>
      <c r="AM255" s="22">
        <f t="shared" si="182"/>
        <v>3</v>
      </c>
      <c r="AN255" s="22">
        <f t="shared" si="183"/>
        <v>3</v>
      </c>
      <c r="AO255" s="22">
        <f t="shared" si="184"/>
        <v>43</v>
      </c>
      <c r="AP255" s="22" t="str">
        <f t="shared" si="185"/>
        <v>X</v>
      </c>
      <c r="AQ255" s="22" t="str">
        <f t="shared" si="186"/>
        <v>O</v>
      </c>
      <c r="AR255" s="22" t="str">
        <f t="shared" si="187"/>
        <v>O</v>
      </c>
      <c r="AS255" s="22" t="str">
        <f t="shared" si="188"/>
        <v>X</v>
      </c>
      <c r="AT255" s="22" t="str">
        <f t="shared" si="189"/>
        <v>X</v>
      </c>
      <c r="AU255" s="22" t="str">
        <f t="shared" si="190"/>
        <v>X</v>
      </c>
      <c r="AV255" s="22" t="str">
        <f t="shared" si="191"/>
        <v>X</v>
      </c>
      <c r="AW255" s="22" t="str">
        <f t="shared" si="192"/>
        <v>X</v>
      </c>
      <c r="AX255" s="22" t="str">
        <f t="shared" si="193"/>
        <v>X</v>
      </c>
      <c r="AY255" s="22" t="str">
        <f t="shared" si="194"/>
        <v>X</v>
      </c>
      <c r="AZ255" s="22" t="str">
        <f t="shared" si="195"/>
        <v>X</v>
      </c>
      <c r="BA255" s="22" t="str">
        <f t="shared" si="196"/>
        <v>X</v>
      </c>
      <c r="BB255" s="22">
        <f t="shared" si="197"/>
        <v>2</v>
      </c>
      <c r="BC255" s="22" t="str">
        <f t="shared" si="168"/>
        <v>1G</v>
      </c>
      <c r="BD255" s="22" t="str">
        <f t="shared" si="169"/>
        <v>1G</v>
      </c>
      <c r="BE255" s="22" t="str">
        <f t="shared" si="170"/>
        <v>2G</v>
      </c>
      <c r="BF255" s="22" t="str">
        <f t="shared" si="171"/>
        <v>2G</v>
      </c>
      <c r="BG255" s="22" t="str">
        <f t="shared" si="172"/>
        <v>2G</v>
      </c>
      <c r="BH255" s="22" t="str">
        <f t="shared" si="173"/>
        <v>3G</v>
      </c>
      <c r="BI255" s="22">
        <f t="shared" si="198"/>
        <v>2</v>
      </c>
      <c r="BJ255" s="22">
        <f t="shared" si="199"/>
        <v>3</v>
      </c>
      <c r="BK255" s="22">
        <f t="shared" si="200"/>
        <v>1</v>
      </c>
      <c r="BL255" s="22" t="str">
        <f t="shared" si="201"/>
        <v>231</v>
      </c>
      <c r="BS255"/>
      <c r="CL255" s="23">
        <v>139</v>
      </c>
      <c r="CM255" s="23">
        <v>130</v>
      </c>
      <c r="CO255"/>
    </row>
    <row r="256" spans="2:93" ht="17" hidden="1">
      <c r="B256" s="15">
        <v>252</v>
      </c>
      <c r="C256" s="23" t="s">
        <v>282</v>
      </c>
      <c r="D256" s="16">
        <v>7</v>
      </c>
      <c r="E256" s="17">
        <v>1391089715</v>
      </c>
      <c r="F256" s="16">
        <v>24</v>
      </c>
      <c r="G256" s="17">
        <v>67622417</v>
      </c>
      <c r="H256" s="17">
        <v>1087</v>
      </c>
      <c r="I256" s="17">
        <v>1493044</v>
      </c>
      <c r="J256" s="17">
        <v>51895</v>
      </c>
      <c r="K256" s="17">
        <v>62547</v>
      </c>
      <c r="L256" s="17">
        <v>874916</v>
      </c>
      <c r="M256" s="17">
        <v>5000</v>
      </c>
      <c r="N256" s="23">
        <v>14</v>
      </c>
      <c r="O256" s="23">
        <v>23</v>
      </c>
      <c r="P256" s="23">
        <v>26</v>
      </c>
      <c r="Q256" s="23">
        <v>31</v>
      </c>
      <c r="R256" s="23">
        <v>39</v>
      </c>
      <c r="S256" s="23">
        <v>45</v>
      </c>
      <c r="T256" s="23">
        <v>28</v>
      </c>
      <c r="U256" s="23">
        <f t="shared" si="202"/>
        <v>178</v>
      </c>
      <c r="W256" s="22" t="str">
        <f t="shared" si="203"/>
        <v>짝수</v>
      </c>
      <c r="X256" s="22" t="str">
        <f t="shared" si="204"/>
        <v>홀수</v>
      </c>
      <c r="Y256" s="22" t="str">
        <f t="shared" si="205"/>
        <v>짝수</v>
      </c>
      <c r="Z256" s="22" t="str">
        <f t="shared" si="206"/>
        <v>홀수</v>
      </c>
      <c r="AA256" s="22" t="str">
        <f t="shared" si="207"/>
        <v>홀수</v>
      </c>
      <c r="AB256" s="22" t="str">
        <f t="shared" si="208"/>
        <v>홀수</v>
      </c>
      <c r="AC256" s="52" t="str">
        <f t="shared" si="209"/>
        <v>4 : 2</v>
      </c>
      <c r="AD256" s="22">
        <f t="shared" si="210"/>
        <v>4</v>
      </c>
      <c r="AE256" s="22">
        <f t="shared" si="211"/>
        <v>2</v>
      </c>
      <c r="AF256" s="22" t="str">
        <f t="shared" si="175"/>
        <v>저수</v>
      </c>
      <c r="AG256" s="22" t="str">
        <f t="shared" si="176"/>
        <v>고수</v>
      </c>
      <c r="AH256" s="22" t="str">
        <f t="shared" si="177"/>
        <v>고수</v>
      </c>
      <c r="AI256" s="22" t="str">
        <f t="shared" si="178"/>
        <v>고수</v>
      </c>
      <c r="AJ256" s="22" t="str">
        <f t="shared" si="179"/>
        <v>고수</v>
      </c>
      <c r="AK256" s="22" t="str">
        <f t="shared" si="180"/>
        <v>고수</v>
      </c>
      <c r="AL256" s="52" t="str">
        <f t="shared" si="181"/>
        <v>1 : 5</v>
      </c>
      <c r="AM256" s="22">
        <f t="shared" si="182"/>
        <v>1</v>
      </c>
      <c r="AN256" s="22">
        <f t="shared" si="183"/>
        <v>5</v>
      </c>
      <c r="AO256" s="22">
        <f t="shared" si="184"/>
        <v>28</v>
      </c>
      <c r="AP256" s="22" t="str">
        <f t="shared" si="185"/>
        <v>X</v>
      </c>
      <c r="AQ256" s="22" t="str">
        <f t="shared" si="186"/>
        <v>X</v>
      </c>
      <c r="AR256" s="22" t="str">
        <f t="shared" si="187"/>
        <v>X</v>
      </c>
      <c r="AS256" s="22" t="str">
        <f t="shared" si="188"/>
        <v>X</v>
      </c>
      <c r="AT256" s="22" t="str">
        <f t="shared" si="189"/>
        <v>X</v>
      </c>
      <c r="AU256" s="22" t="str">
        <f t="shared" si="190"/>
        <v>X</v>
      </c>
      <c r="AV256" s="22" t="str">
        <f t="shared" si="191"/>
        <v>X</v>
      </c>
      <c r="AW256" s="22" t="str">
        <f t="shared" si="192"/>
        <v>O</v>
      </c>
      <c r="AX256" s="22" t="str">
        <f t="shared" si="193"/>
        <v>X</v>
      </c>
      <c r="AY256" s="22" t="str">
        <f t="shared" si="194"/>
        <v>O</v>
      </c>
      <c r="AZ256" s="22" t="str">
        <f t="shared" si="195"/>
        <v>X</v>
      </c>
      <c r="BA256" s="22" t="str">
        <f t="shared" si="196"/>
        <v>X</v>
      </c>
      <c r="BB256" s="22">
        <f t="shared" si="197"/>
        <v>2</v>
      </c>
      <c r="BC256" s="22" t="str">
        <f t="shared" si="168"/>
        <v>1G</v>
      </c>
      <c r="BD256" s="22" t="str">
        <f t="shared" si="169"/>
        <v>2G</v>
      </c>
      <c r="BE256" s="22" t="str">
        <f t="shared" si="170"/>
        <v>2G</v>
      </c>
      <c r="BF256" s="22" t="str">
        <f t="shared" si="171"/>
        <v>3G</v>
      </c>
      <c r="BG256" s="22" t="str">
        <f t="shared" si="172"/>
        <v>3G</v>
      </c>
      <c r="BH256" s="22" t="str">
        <f t="shared" si="173"/>
        <v>3G</v>
      </c>
      <c r="BI256" s="22">
        <f t="shared" si="198"/>
        <v>1</v>
      </c>
      <c r="BJ256" s="22">
        <f t="shared" si="199"/>
        <v>2</v>
      </c>
      <c r="BK256" s="22">
        <f t="shared" si="200"/>
        <v>3</v>
      </c>
      <c r="BL256" s="22" t="str">
        <f t="shared" si="201"/>
        <v>123</v>
      </c>
      <c r="BS256"/>
      <c r="CL256" s="23">
        <v>139</v>
      </c>
      <c r="CM256" s="23">
        <v>130</v>
      </c>
      <c r="CO256"/>
    </row>
    <row r="257" spans="1:93" ht="17" hidden="1">
      <c r="B257" s="15">
        <v>253</v>
      </c>
      <c r="C257" s="23" t="s">
        <v>283</v>
      </c>
      <c r="D257" s="16">
        <v>4</v>
      </c>
      <c r="E257" s="17">
        <v>2466189525</v>
      </c>
      <c r="F257" s="16">
        <v>20</v>
      </c>
      <c r="G257" s="17">
        <v>82206318</v>
      </c>
      <c r="H257" s="17">
        <v>1169</v>
      </c>
      <c r="I257" s="17">
        <v>1406439</v>
      </c>
      <c r="J257" s="17">
        <v>57084</v>
      </c>
      <c r="K257" s="17">
        <v>57604</v>
      </c>
      <c r="L257" s="17">
        <v>942682</v>
      </c>
      <c r="M257" s="17">
        <v>5000</v>
      </c>
      <c r="N257" s="23">
        <v>8</v>
      </c>
      <c r="O257" s="23">
        <v>19</v>
      </c>
      <c r="P257" s="23">
        <v>25</v>
      </c>
      <c r="Q257" s="23">
        <v>31</v>
      </c>
      <c r="R257" s="23">
        <v>34</v>
      </c>
      <c r="S257" s="23">
        <v>36</v>
      </c>
      <c r="T257" s="23">
        <v>33</v>
      </c>
      <c r="U257" s="23">
        <f t="shared" si="202"/>
        <v>153</v>
      </c>
      <c r="W257" s="22" t="str">
        <f t="shared" si="203"/>
        <v>짝수</v>
      </c>
      <c r="X257" s="22" t="str">
        <f t="shared" si="204"/>
        <v>홀수</v>
      </c>
      <c r="Y257" s="22" t="str">
        <f t="shared" si="205"/>
        <v>홀수</v>
      </c>
      <c r="Z257" s="22" t="str">
        <f t="shared" si="206"/>
        <v>홀수</v>
      </c>
      <c r="AA257" s="22" t="str">
        <f t="shared" si="207"/>
        <v>짝수</v>
      </c>
      <c r="AB257" s="22" t="str">
        <f t="shared" si="208"/>
        <v>짝수</v>
      </c>
      <c r="AC257" s="52" t="str">
        <f t="shared" si="209"/>
        <v>3 : 3</v>
      </c>
      <c r="AD257" s="22">
        <f t="shared" si="210"/>
        <v>3</v>
      </c>
      <c r="AE257" s="22">
        <f t="shared" si="211"/>
        <v>3</v>
      </c>
      <c r="AF257" s="22" t="str">
        <f t="shared" si="175"/>
        <v>저수</v>
      </c>
      <c r="AG257" s="22" t="str">
        <f t="shared" si="176"/>
        <v>저수</v>
      </c>
      <c r="AH257" s="22" t="str">
        <f t="shared" si="177"/>
        <v>고수</v>
      </c>
      <c r="AI257" s="22" t="str">
        <f t="shared" si="178"/>
        <v>고수</v>
      </c>
      <c r="AJ257" s="22" t="str">
        <f t="shared" si="179"/>
        <v>고수</v>
      </c>
      <c r="AK257" s="22" t="str">
        <f t="shared" si="180"/>
        <v>고수</v>
      </c>
      <c r="AL257" s="52" t="str">
        <f t="shared" si="181"/>
        <v>2 : 4</v>
      </c>
      <c r="AM257" s="22">
        <f t="shared" si="182"/>
        <v>2</v>
      </c>
      <c r="AN257" s="22">
        <f t="shared" si="183"/>
        <v>4</v>
      </c>
      <c r="AO257" s="22">
        <f t="shared" si="184"/>
        <v>33</v>
      </c>
      <c r="AP257" s="22" t="str">
        <f t="shared" si="185"/>
        <v>X</v>
      </c>
      <c r="AQ257" s="22" t="str">
        <f t="shared" si="186"/>
        <v>O</v>
      </c>
      <c r="AR257" s="22" t="str">
        <f t="shared" si="187"/>
        <v>X</v>
      </c>
      <c r="AS257" s="22" t="str">
        <f t="shared" si="188"/>
        <v>X</v>
      </c>
      <c r="AT257" s="22" t="str">
        <f t="shared" si="189"/>
        <v>X</v>
      </c>
      <c r="AU257" s="22" t="str">
        <f t="shared" si="190"/>
        <v>X</v>
      </c>
      <c r="AV257" s="22" t="str">
        <f t="shared" si="191"/>
        <v>X</v>
      </c>
      <c r="AW257" s="22" t="str">
        <f t="shared" si="192"/>
        <v>X</v>
      </c>
      <c r="AX257" s="22" t="str">
        <f t="shared" si="193"/>
        <v>X</v>
      </c>
      <c r="AY257" s="22" t="str">
        <f t="shared" si="194"/>
        <v>O</v>
      </c>
      <c r="AZ257" s="22" t="str">
        <f t="shared" si="195"/>
        <v>X</v>
      </c>
      <c r="BA257" s="22" t="str">
        <f t="shared" si="196"/>
        <v>X</v>
      </c>
      <c r="BB257" s="22">
        <f t="shared" si="197"/>
        <v>2</v>
      </c>
      <c r="BC257" s="22" t="str">
        <f t="shared" si="168"/>
        <v>1G</v>
      </c>
      <c r="BD257" s="22" t="str">
        <f t="shared" si="169"/>
        <v>2G</v>
      </c>
      <c r="BE257" s="22" t="str">
        <f t="shared" si="170"/>
        <v>2G</v>
      </c>
      <c r="BF257" s="22" t="str">
        <f t="shared" si="171"/>
        <v>3G</v>
      </c>
      <c r="BG257" s="22" t="str">
        <f t="shared" si="172"/>
        <v>3G</v>
      </c>
      <c r="BH257" s="22" t="str">
        <f t="shared" si="173"/>
        <v>3G</v>
      </c>
      <c r="BI257" s="22">
        <f t="shared" si="198"/>
        <v>1</v>
      </c>
      <c r="BJ257" s="22">
        <f t="shared" si="199"/>
        <v>2</v>
      </c>
      <c r="BK257" s="22">
        <f t="shared" si="200"/>
        <v>3</v>
      </c>
      <c r="BL257" s="22" t="str">
        <f t="shared" si="201"/>
        <v>123</v>
      </c>
      <c r="BS257"/>
      <c r="CL257" s="23">
        <v>139</v>
      </c>
      <c r="CM257" s="23">
        <v>130</v>
      </c>
      <c r="CO257"/>
    </row>
    <row r="258" spans="1:93" ht="17" hidden="1">
      <c r="B258" s="15">
        <v>254</v>
      </c>
      <c r="C258" s="23" t="s">
        <v>284</v>
      </c>
      <c r="D258" s="16">
        <v>1</v>
      </c>
      <c r="E258" s="17">
        <v>9741015900</v>
      </c>
      <c r="F258" s="16">
        <v>33</v>
      </c>
      <c r="G258" s="17">
        <v>49197050</v>
      </c>
      <c r="H258" s="17">
        <v>1225</v>
      </c>
      <c r="I258" s="17">
        <v>1325309</v>
      </c>
      <c r="J258" s="17">
        <v>59196</v>
      </c>
      <c r="K258" s="17">
        <v>54852</v>
      </c>
      <c r="L258" s="17">
        <v>978906</v>
      </c>
      <c r="M258" s="17">
        <v>5000</v>
      </c>
      <c r="N258" s="23">
        <v>1</v>
      </c>
      <c r="O258" s="23">
        <v>5</v>
      </c>
      <c r="P258" s="23">
        <v>19</v>
      </c>
      <c r="Q258" s="23">
        <v>20</v>
      </c>
      <c r="R258" s="23">
        <v>24</v>
      </c>
      <c r="S258" s="23">
        <v>30</v>
      </c>
      <c r="T258" s="23">
        <v>27</v>
      </c>
      <c r="U258" s="23">
        <f t="shared" si="202"/>
        <v>99</v>
      </c>
      <c r="W258" s="22" t="str">
        <f t="shared" si="203"/>
        <v>홀수</v>
      </c>
      <c r="X258" s="22" t="str">
        <f t="shared" si="204"/>
        <v>홀수</v>
      </c>
      <c r="Y258" s="22" t="str">
        <f t="shared" si="205"/>
        <v>홀수</v>
      </c>
      <c r="Z258" s="22" t="str">
        <f t="shared" si="206"/>
        <v>짝수</v>
      </c>
      <c r="AA258" s="22" t="str">
        <f t="shared" si="207"/>
        <v>짝수</v>
      </c>
      <c r="AB258" s="22" t="str">
        <f t="shared" si="208"/>
        <v>짝수</v>
      </c>
      <c r="AC258" s="52" t="str">
        <f t="shared" si="209"/>
        <v>3 : 3</v>
      </c>
      <c r="AD258" s="22">
        <f t="shared" si="210"/>
        <v>3</v>
      </c>
      <c r="AE258" s="22">
        <f t="shared" si="211"/>
        <v>3</v>
      </c>
      <c r="AF258" s="22" t="str">
        <f t="shared" si="175"/>
        <v>저수</v>
      </c>
      <c r="AG258" s="22" t="str">
        <f t="shared" si="176"/>
        <v>저수</v>
      </c>
      <c r="AH258" s="22" t="str">
        <f t="shared" si="177"/>
        <v>저수</v>
      </c>
      <c r="AI258" s="22" t="str">
        <f t="shared" si="178"/>
        <v>저수</v>
      </c>
      <c r="AJ258" s="22" t="str">
        <f t="shared" si="179"/>
        <v>고수</v>
      </c>
      <c r="AK258" s="22" t="str">
        <f t="shared" si="180"/>
        <v>고수</v>
      </c>
      <c r="AL258" s="52" t="str">
        <f t="shared" si="181"/>
        <v>4 : 2</v>
      </c>
      <c r="AM258" s="22">
        <f t="shared" si="182"/>
        <v>4</v>
      </c>
      <c r="AN258" s="22">
        <f t="shared" si="183"/>
        <v>2</v>
      </c>
      <c r="AO258" s="22">
        <f t="shared" si="184"/>
        <v>19</v>
      </c>
      <c r="AP258" s="22" t="str">
        <f t="shared" si="185"/>
        <v>X</v>
      </c>
      <c r="AQ258" s="22" t="str">
        <f t="shared" si="186"/>
        <v>O</v>
      </c>
      <c r="AR258" s="22" t="str">
        <f t="shared" si="187"/>
        <v>O</v>
      </c>
      <c r="AS258" s="22" t="str">
        <f t="shared" si="188"/>
        <v>X</v>
      </c>
      <c r="AT258" s="22" t="str">
        <f t="shared" si="189"/>
        <v>X</v>
      </c>
      <c r="AU258" s="22" t="str">
        <f t="shared" si="190"/>
        <v>X</v>
      </c>
      <c r="AV258" s="22" t="str">
        <f t="shared" si="191"/>
        <v>X</v>
      </c>
      <c r="AW258" s="22" t="str">
        <f t="shared" si="192"/>
        <v>X</v>
      </c>
      <c r="AX258" s="22" t="str">
        <f t="shared" si="193"/>
        <v>X</v>
      </c>
      <c r="AY258" s="22" t="str">
        <f t="shared" si="194"/>
        <v>X</v>
      </c>
      <c r="AZ258" s="22" t="str">
        <f t="shared" si="195"/>
        <v>X</v>
      </c>
      <c r="BA258" s="22" t="str">
        <f t="shared" si="196"/>
        <v>X</v>
      </c>
      <c r="BB258" s="22">
        <f t="shared" si="197"/>
        <v>2</v>
      </c>
      <c r="BC258" s="22" t="str">
        <f t="shared" si="168"/>
        <v>1G</v>
      </c>
      <c r="BD258" s="22" t="str">
        <f t="shared" si="169"/>
        <v>1G</v>
      </c>
      <c r="BE258" s="22" t="str">
        <f t="shared" si="170"/>
        <v>2G</v>
      </c>
      <c r="BF258" s="22" t="str">
        <f t="shared" si="171"/>
        <v>2G</v>
      </c>
      <c r="BG258" s="22" t="str">
        <f t="shared" si="172"/>
        <v>2G</v>
      </c>
      <c r="BH258" s="22" t="str">
        <f t="shared" si="173"/>
        <v>2G</v>
      </c>
      <c r="BI258" s="22">
        <f t="shared" si="198"/>
        <v>2</v>
      </c>
      <c r="BJ258" s="22">
        <f t="shared" si="199"/>
        <v>4</v>
      </c>
      <c r="BK258" s="22">
        <f t="shared" si="200"/>
        <v>0</v>
      </c>
      <c r="BL258" s="22" t="str">
        <f t="shared" si="201"/>
        <v>240</v>
      </c>
      <c r="BS258"/>
      <c r="CL258" s="23">
        <v>139</v>
      </c>
      <c r="CM258" s="23">
        <v>130</v>
      </c>
      <c r="CO258"/>
    </row>
    <row r="259" spans="1:93" ht="17" hidden="1">
      <c r="B259" s="15">
        <v>255</v>
      </c>
      <c r="C259" s="23" t="s">
        <v>285</v>
      </c>
      <c r="D259" s="16">
        <v>6</v>
      </c>
      <c r="E259" s="17">
        <v>1598618550</v>
      </c>
      <c r="F259" s="16">
        <v>13</v>
      </c>
      <c r="G259" s="17">
        <v>122970658</v>
      </c>
      <c r="H259" s="17">
        <v>1054</v>
      </c>
      <c r="I259" s="17">
        <v>1516716</v>
      </c>
      <c r="J259" s="17">
        <v>55422</v>
      </c>
      <c r="K259" s="17">
        <v>57689</v>
      </c>
      <c r="L259" s="17">
        <v>945297</v>
      </c>
      <c r="M259" s="17">
        <v>5000</v>
      </c>
      <c r="N259" s="23">
        <v>1</v>
      </c>
      <c r="O259" s="23">
        <v>5</v>
      </c>
      <c r="P259" s="23">
        <v>6</v>
      </c>
      <c r="Q259" s="23">
        <v>24</v>
      </c>
      <c r="R259" s="23">
        <v>27</v>
      </c>
      <c r="S259" s="23">
        <v>42</v>
      </c>
      <c r="T259" s="23">
        <v>32</v>
      </c>
      <c r="U259" s="23">
        <f t="shared" si="202"/>
        <v>105</v>
      </c>
      <c r="W259" s="22" t="str">
        <f t="shared" si="203"/>
        <v>홀수</v>
      </c>
      <c r="X259" s="22" t="str">
        <f t="shared" si="204"/>
        <v>홀수</v>
      </c>
      <c r="Y259" s="22" t="str">
        <f t="shared" si="205"/>
        <v>짝수</v>
      </c>
      <c r="Z259" s="22" t="str">
        <f t="shared" si="206"/>
        <v>짝수</v>
      </c>
      <c r="AA259" s="22" t="str">
        <f t="shared" si="207"/>
        <v>홀수</v>
      </c>
      <c r="AB259" s="22" t="str">
        <f t="shared" si="208"/>
        <v>짝수</v>
      </c>
      <c r="AC259" s="52" t="str">
        <f t="shared" si="209"/>
        <v>3 : 3</v>
      </c>
      <c r="AD259" s="22">
        <f t="shared" si="210"/>
        <v>3</v>
      </c>
      <c r="AE259" s="22">
        <f t="shared" si="211"/>
        <v>3</v>
      </c>
      <c r="AF259" s="22" t="str">
        <f t="shared" si="175"/>
        <v>저수</v>
      </c>
      <c r="AG259" s="22" t="str">
        <f t="shared" si="176"/>
        <v>저수</v>
      </c>
      <c r="AH259" s="22" t="str">
        <f t="shared" si="177"/>
        <v>저수</v>
      </c>
      <c r="AI259" s="22" t="str">
        <f t="shared" si="178"/>
        <v>고수</v>
      </c>
      <c r="AJ259" s="22" t="str">
        <f t="shared" si="179"/>
        <v>고수</v>
      </c>
      <c r="AK259" s="22" t="str">
        <f t="shared" si="180"/>
        <v>고수</v>
      </c>
      <c r="AL259" s="52" t="str">
        <f t="shared" si="181"/>
        <v>3 : 3</v>
      </c>
      <c r="AM259" s="22">
        <f t="shared" si="182"/>
        <v>3</v>
      </c>
      <c r="AN259" s="22">
        <f t="shared" si="183"/>
        <v>3</v>
      </c>
      <c r="AO259" s="22">
        <f t="shared" si="184"/>
        <v>25</v>
      </c>
      <c r="AP259" s="22" t="str">
        <f t="shared" si="185"/>
        <v>X</v>
      </c>
      <c r="AQ259" s="22" t="str">
        <f t="shared" si="186"/>
        <v>O</v>
      </c>
      <c r="AR259" s="22" t="str">
        <f t="shared" si="187"/>
        <v>X</v>
      </c>
      <c r="AS259" s="22" t="str">
        <f t="shared" si="188"/>
        <v>X</v>
      </c>
      <c r="AT259" s="22" t="str">
        <f t="shared" si="189"/>
        <v>X</v>
      </c>
      <c r="AU259" s="22" t="str">
        <f t="shared" si="190"/>
        <v>X</v>
      </c>
      <c r="AV259" s="22" t="str">
        <f t="shared" si="191"/>
        <v>X</v>
      </c>
      <c r="AW259" s="22" t="str">
        <f t="shared" si="192"/>
        <v>X</v>
      </c>
      <c r="AX259" s="22" t="str">
        <f t="shared" si="193"/>
        <v>X</v>
      </c>
      <c r="AY259" s="22" t="str">
        <f t="shared" si="194"/>
        <v>X</v>
      </c>
      <c r="AZ259" s="22" t="str">
        <f t="shared" si="195"/>
        <v>X</v>
      </c>
      <c r="BA259" s="22" t="str">
        <f t="shared" si="196"/>
        <v>X</v>
      </c>
      <c r="BB259" s="22">
        <f t="shared" si="197"/>
        <v>1</v>
      </c>
      <c r="BC259" s="22" t="str">
        <f t="shared" si="168"/>
        <v>1G</v>
      </c>
      <c r="BD259" s="22" t="str">
        <f t="shared" si="169"/>
        <v>1G</v>
      </c>
      <c r="BE259" s="22" t="str">
        <f t="shared" si="170"/>
        <v>1G</v>
      </c>
      <c r="BF259" s="22" t="str">
        <f t="shared" si="171"/>
        <v>2G</v>
      </c>
      <c r="BG259" s="22" t="str">
        <f t="shared" si="172"/>
        <v>2G</v>
      </c>
      <c r="BH259" s="22" t="str">
        <f t="shared" si="173"/>
        <v>3G</v>
      </c>
      <c r="BI259" s="22">
        <f t="shared" si="198"/>
        <v>3</v>
      </c>
      <c r="BJ259" s="22">
        <f t="shared" si="199"/>
        <v>2</v>
      </c>
      <c r="BK259" s="22">
        <f t="shared" si="200"/>
        <v>1</v>
      </c>
      <c r="BL259" s="22" t="str">
        <f t="shared" si="201"/>
        <v>321</v>
      </c>
      <c r="BS259"/>
      <c r="CL259" s="23">
        <v>140</v>
      </c>
      <c r="CM259" s="23">
        <v>140</v>
      </c>
      <c r="CO259"/>
    </row>
    <row r="260" spans="1:93" ht="17" hidden="1">
      <c r="B260" s="15">
        <v>256</v>
      </c>
      <c r="C260" s="23" t="s">
        <v>286</v>
      </c>
      <c r="D260" s="16">
        <v>2</v>
      </c>
      <c r="E260" s="17">
        <v>4891017000</v>
      </c>
      <c r="F260" s="16">
        <v>34</v>
      </c>
      <c r="G260" s="17">
        <v>47951148</v>
      </c>
      <c r="H260" s="17">
        <v>1192</v>
      </c>
      <c r="I260" s="17">
        <v>1367735</v>
      </c>
      <c r="J260" s="17">
        <v>56975</v>
      </c>
      <c r="K260" s="17">
        <v>57230</v>
      </c>
      <c r="L260" s="17">
        <v>938980</v>
      </c>
      <c r="M260" s="17">
        <v>5000</v>
      </c>
      <c r="N260" s="23">
        <v>4</v>
      </c>
      <c r="O260" s="23">
        <v>11</v>
      </c>
      <c r="P260" s="23">
        <v>14</v>
      </c>
      <c r="Q260" s="23">
        <v>21</v>
      </c>
      <c r="R260" s="23">
        <v>23</v>
      </c>
      <c r="S260" s="23">
        <v>43</v>
      </c>
      <c r="T260" s="23">
        <v>32</v>
      </c>
      <c r="U260" s="23">
        <f t="shared" si="202"/>
        <v>116</v>
      </c>
      <c r="W260" s="22" t="str">
        <f t="shared" si="203"/>
        <v>짝수</v>
      </c>
      <c r="X260" s="22" t="str">
        <f t="shared" si="204"/>
        <v>홀수</v>
      </c>
      <c r="Y260" s="22" t="str">
        <f t="shared" si="205"/>
        <v>짝수</v>
      </c>
      <c r="Z260" s="22" t="str">
        <f t="shared" si="206"/>
        <v>홀수</v>
      </c>
      <c r="AA260" s="22" t="str">
        <f t="shared" si="207"/>
        <v>홀수</v>
      </c>
      <c r="AB260" s="22" t="str">
        <f t="shared" si="208"/>
        <v>홀수</v>
      </c>
      <c r="AC260" s="52" t="str">
        <f t="shared" si="209"/>
        <v>4 : 2</v>
      </c>
      <c r="AD260" s="22">
        <f t="shared" si="210"/>
        <v>4</v>
      </c>
      <c r="AE260" s="22">
        <f t="shared" si="211"/>
        <v>2</v>
      </c>
      <c r="AF260" s="22" t="str">
        <f t="shared" si="175"/>
        <v>저수</v>
      </c>
      <c r="AG260" s="22" t="str">
        <f t="shared" si="176"/>
        <v>저수</v>
      </c>
      <c r="AH260" s="22" t="str">
        <f t="shared" si="177"/>
        <v>저수</v>
      </c>
      <c r="AI260" s="22" t="str">
        <f t="shared" si="178"/>
        <v>저수</v>
      </c>
      <c r="AJ260" s="22" t="str">
        <f t="shared" si="179"/>
        <v>고수</v>
      </c>
      <c r="AK260" s="22" t="str">
        <f t="shared" si="180"/>
        <v>고수</v>
      </c>
      <c r="AL260" s="52" t="str">
        <f t="shared" si="181"/>
        <v>4 : 2</v>
      </c>
      <c r="AM260" s="22">
        <f t="shared" si="182"/>
        <v>4</v>
      </c>
      <c r="AN260" s="22">
        <f t="shared" si="183"/>
        <v>2</v>
      </c>
      <c r="AO260" s="22">
        <f t="shared" si="184"/>
        <v>16</v>
      </c>
      <c r="AP260" s="22" t="str">
        <f t="shared" si="185"/>
        <v>X</v>
      </c>
      <c r="AQ260" s="22" t="str">
        <f t="shared" si="186"/>
        <v>O</v>
      </c>
      <c r="AR260" s="22" t="str">
        <f t="shared" si="187"/>
        <v>X</v>
      </c>
      <c r="AS260" s="22" t="str">
        <f t="shared" si="188"/>
        <v>X</v>
      </c>
      <c r="AT260" s="22" t="str">
        <f t="shared" si="189"/>
        <v>X</v>
      </c>
      <c r="AU260" s="22" t="str">
        <f t="shared" si="190"/>
        <v>X</v>
      </c>
      <c r="AV260" s="22" t="str">
        <f t="shared" si="191"/>
        <v>X</v>
      </c>
      <c r="AW260" s="22" t="str">
        <f t="shared" si="192"/>
        <v>X</v>
      </c>
      <c r="AX260" s="22" t="str">
        <f t="shared" si="193"/>
        <v>X</v>
      </c>
      <c r="AY260" s="22" t="str">
        <f t="shared" si="194"/>
        <v>X</v>
      </c>
      <c r="AZ260" s="22" t="str">
        <f t="shared" si="195"/>
        <v>O</v>
      </c>
      <c r="BA260" s="22" t="str">
        <f t="shared" si="196"/>
        <v>O</v>
      </c>
      <c r="BB260" s="22">
        <f t="shared" si="197"/>
        <v>3</v>
      </c>
      <c r="BC260" s="22" t="str">
        <f t="shared" si="168"/>
        <v>1G</v>
      </c>
      <c r="BD260" s="22" t="str">
        <f t="shared" si="169"/>
        <v>1G</v>
      </c>
      <c r="BE260" s="22" t="str">
        <f t="shared" si="170"/>
        <v>1G</v>
      </c>
      <c r="BF260" s="22" t="str">
        <f t="shared" si="171"/>
        <v>2G</v>
      </c>
      <c r="BG260" s="22" t="str">
        <f t="shared" si="172"/>
        <v>2G</v>
      </c>
      <c r="BH260" s="22" t="str">
        <f t="shared" si="173"/>
        <v>3G</v>
      </c>
      <c r="BI260" s="22">
        <f t="shared" si="198"/>
        <v>3</v>
      </c>
      <c r="BJ260" s="22">
        <f t="shared" si="199"/>
        <v>2</v>
      </c>
      <c r="BK260" s="22">
        <f t="shared" si="200"/>
        <v>1</v>
      </c>
      <c r="BL260" s="22" t="str">
        <f t="shared" si="201"/>
        <v>321</v>
      </c>
      <c r="BS260"/>
      <c r="CL260" s="23">
        <v>140</v>
      </c>
      <c r="CM260" s="23">
        <v>140</v>
      </c>
      <c r="CO260"/>
    </row>
    <row r="261" spans="1:93" ht="17" hidden="1">
      <c r="B261" s="15">
        <v>257</v>
      </c>
      <c r="C261" s="23" t="s">
        <v>287</v>
      </c>
      <c r="D261" s="16">
        <v>4</v>
      </c>
      <c r="E261" s="17">
        <v>2391377025</v>
      </c>
      <c r="F261" s="16">
        <v>18</v>
      </c>
      <c r="G261" s="17">
        <v>88569520</v>
      </c>
      <c r="H261" s="17">
        <v>1233</v>
      </c>
      <c r="I261" s="17">
        <v>1292986</v>
      </c>
      <c r="J261" s="17">
        <v>57977</v>
      </c>
      <c r="K261" s="17">
        <v>54996</v>
      </c>
      <c r="L261" s="17">
        <v>954861</v>
      </c>
      <c r="M261" s="17">
        <v>5000</v>
      </c>
      <c r="N261" s="23">
        <v>6</v>
      </c>
      <c r="O261" s="23">
        <v>13</v>
      </c>
      <c r="P261" s="23">
        <v>27</v>
      </c>
      <c r="Q261" s="23">
        <v>31</v>
      </c>
      <c r="R261" s="23">
        <v>32</v>
      </c>
      <c r="S261" s="23">
        <v>37</v>
      </c>
      <c r="T261" s="23">
        <v>4</v>
      </c>
      <c r="U261" s="23">
        <f t="shared" si="202"/>
        <v>146</v>
      </c>
      <c r="W261" s="22" t="str">
        <f t="shared" si="203"/>
        <v>짝수</v>
      </c>
      <c r="X261" s="22" t="str">
        <f t="shared" si="204"/>
        <v>홀수</v>
      </c>
      <c r="Y261" s="22" t="str">
        <f t="shared" si="205"/>
        <v>홀수</v>
      </c>
      <c r="Z261" s="22" t="str">
        <f t="shared" si="206"/>
        <v>홀수</v>
      </c>
      <c r="AA261" s="22" t="str">
        <f t="shared" si="207"/>
        <v>짝수</v>
      </c>
      <c r="AB261" s="22" t="str">
        <f t="shared" si="208"/>
        <v>홀수</v>
      </c>
      <c r="AC261" s="52" t="str">
        <f t="shared" si="209"/>
        <v>4 : 2</v>
      </c>
      <c r="AD261" s="22">
        <f t="shared" si="210"/>
        <v>4</v>
      </c>
      <c r="AE261" s="22">
        <f t="shared" si="211"/>
        <v>2</v>
      </c>
      <c r="AF261" s="22" t="str">
        <f t="shared" si="175"/>
        <v>저수</v>
      </c>
      <c r="AG261" s="22" t="str">
        <f t="shared" si="176"/>
        <v>저수</v>
      </c>
      <c r="AH261" s="22" t="str">
        <f t="shared" si="177"/>
        <v>고수</v>
      </c>
      <c r="AI261" s="22" t="str">
        <f t="shared" si="178"/>
        <v>고수</v>
      </c>
      <c r="AJ261" s="22" t="str">
        <f t="shared" si="179"/>
        <v>고수</v>
      </c>
      <c r="AK261" s="22" t="str">
        <f t="shared" si="180"/>
        <v>고수</v>
      </c>
      <c r="AL261" s="52" t="str">
        <f t="shared" si="181"/>
        <v>2 : 4</v>
      </c>
      <c r="AM261" s="22">
        <f t="shared" si="182"/>
        <v>2</v>
      </c>
      <c r="AN261" s="22">
        <f t="shared" si="183"/>
        <v>4</v>
      </c>
      <c r="AO261" s="22">
        <f t="shared" si="184"/>
        <v>26</v>
      </c>
      <c r="AP261" s="22" t="str">
        <f t="shared" si="185"/>
        <v>X</v>
      </c>
      <c r="AQ261" s="22" t="str">
        <f t="shared" si="186"/>
        <v>O</v>
      </c>
      <c r="AR261" s="22" t="str">
        <f t="shared" si="187"/>
        <v>X</v>
      </c>
      <c r="AS261" s="22" t="str">
        <f t="shared" si="188"/>
        <v>X</v>
      </c>
      <c r="AT261" s="22" t="str">
        <f t="shared" si="189"/>
        <v>X</v>
      </c>
      <c r="AU261" s="22" t="str">
        <f t="shared" si="190"/>
        <v>X</v>
      </c>
      <c r="AV261" s="22" t="str">
        <f t="shared" si="191"/>
        <v>X</v>
      </c>
      <c r="AW261" s="22" t="str">
        <f t="shared" si="192"/>
        <v>X</v>
      </c>
      <c r="AX261" s="22" t="str">
        <f t="shared" si="193"/>
        <v>X</v>
      </c>
      <c r="AY261" s="22" t="str">
        <f t="shared" si="194"/>
        <v>O</v>
      </c>
      <c r="AZ261" s="22" t="str">
        <f t="shared" si="195"/>
        <v>X</v>
      </c>
      <c r="BA261" s="22" t="str">
        <f t="shared" si="196"/>
        <v>O</v>
      </c>
      <c r="BB261" s="22">
        <f t="shared" si="197"/>
        <v>3</v>
      </c>
      <c r="BC261" s="22" t="str">
        <f t="shared" ref="BC261:BC324" si="212">VLOOKUP(N261,삼그룹,6,FALSE)</f>
        <v>1G</v>
      </c>
      <c r="BD261" s="22" t="str">
        <f t="shared" ref="BD261:BD324" si="213">VLOOKUP(O261,삼그룹,6,FALSE)</f>
        <v>1G</v>
      </c>
      <c r="BE261" s="22" t="str">
        <f t="shared" ref="BE261:BE324" si="214">VLOOKUP(P261,삼그룹,6,FALSE)</f>
        <v>2G</v>
      </c>
      <c r="BF261" s="22" t="str">
        <f t="shared" ref="BF261:BF324" si="215">VLOOKUP(Q261,삼그룹,6,FALSE)</f>
        <v>3G</v>
      </c>
      <c r="BG261" s="22" t="str">
        <f t="shared" ref="BG261:BG324" si="216">VLOOKUP(R261,삼그룹,6,FALSE)</f>
        <v>3G</v>
      </c>
      <c r="BH261" s="22" t="str">
        <f t="shared" ref="BH261:BH324" si="217">VLOOKUP(S261,삼그룹,6,FALSE)</f>
        <v>3G</v>
      </c>
      <c r="BI261" s="22">
        <f t="shared" si="198"/>
        <v>2</v>
      </c>
      <c r="BJ261" s="22">
        <f t="shared" si="199"/>
        <v>1</v>
      </c>
      <c r="BK261" s="22">
        <f t="shared" si="200"/>
        <v>3</v>
      </c>
      <c r="BL261" s="22" t="str">
        <f t="shared" si="201"/>
        <v>213</v>
      </c>
      <c r="BS261"/>
      <c r="CL261" s="23">
        <v>140</v>
      </c>
      <c r="CM261" s="23">
        <v>140</v>
      </c>
      <c r="CO261"/>
    </row>
    <row r="262" spans="1:93" ht="17" hidden="1">
      <c r="B262" s="15">
        <v>258</v>
      </c>
      <c r="C262" s="23" t="s">
        <v>288</v>
      </c>
      <c r="D262" s="16">
        <v>4</v>
      </c>
      <c r="E262" s="17">
        <v>2426434350</v>
      </c>
      <c r="F262" s="16">
        <v>28</v>
      </c>
      <c r="G262" s="17">
        <v>57772247</v>
      </c>
      <c r="H262" s="17">
        <v>1724</v>
      </c>
      <c r="I262" s="17">
        <v>938297</v>
      </c>
      <c r="J262" s="17">
        <v>54638</v>
      </c>
      <c r="K262" s="17">
        <v>59213</v>
      </c>
      <c r="L262" s="17">
        <v>901197</v>
      </c>
      <c r="M262" s="17">
        <v>5000</v>
      </c>
      <c r="N262" s="23">
        <v>14</v>
      </c>
      <c r="O262" s="23">
        <v>27</v>
      </c>
      <c r="P262" s="23">
        <v>30</v>
      </c>
      <c r="Q262" s="23">
        <v>31</v>
      </c>
      <c r="R262" s="23">
        <v>38</v>
      </c>
      <c r="S262" s="23">
        <v>40</v>
      </c>
      <c r="T262" s="23">
        <v>17</v>
      </c>
      <c r="U262" s="23">
        <f t="shared" ref="U262:U325" si="218">SUM(N262:S262)</f>
        <v>180</v>
      </c>
      <c r="W262" s="22" t="str">
        <f t="shared" si="203"/>
        <v>짝수</v>
      </c>
      <c r="X262" s="22" t="str">
        <f t="shared" si="204"/>
        <v>홀수</v>
      </c>
      <c r="Y262" s="22" t="str">
        <f t="shared" si="205"/>
        <v>짝수</v>
      </c>
      <c r="Z262" s="22" t="str">
        <f t="shared" si="206"/>
        <v>홀수</v>
      </c>
      <c r="AA262" s="22" t="str">
        <f t="shared" si="207"/>
        <v>짝수</v>
      </c>
      <c r="AB262" s="22" t="str">
        <f t="shared" si="208"/>
        <v>짝수</v>
      </c>
      <c r="AC262" s="52" t="str">
        <f t="shared" si="209"/>
        <v>2 : 4</v>
      </c>
      <c r="AD262" s="22">
        <f t="shared" si="210"/>
        <v>2</v>
      </c>
      <c r="AE262" s="22">
        <f t="shared" si="211"/>
        <v>4</v>
      </c>
      <c r="AF262" s="22" t="str">
        <f t="shared" ref="AF262:AF325" si="219">IF(N262&lt;23,"저수","고수")</f>
        <v>저수</v>
      </c>
      <c r="AG262" s="22" t="str">
        <f t="shared" ref="AG262:AG325" si="220">IF(O262&lt;23,"저수","고수")</f>
        <v>고수</v>
      </c>
      <c r="AH262" s="22" t="str">
        <f t="shared" ref="AH262:AH325" si="221">IF(P262&lt;23,"저수","고수")</f>
        <v>고수</v>
      </c>
      <c r="AI262" s="22" t="str">
        <f t="shared" ref="AI262:AI325" si="222">IF(Q262&lt;23,"저수","고수")</f>
        <v>고수</v>
      </c>
      <c r="AJ262" s="22" t="str">
        <f t="shared" ref="AJ262:AJ325" si="223">IF(R262&lt;23,"저수","고수")</f>
        <v>고수</v>
      </c>
      <c r="AK262" s="22" t="str">
        <f t="shared" ref="AK262:AK325" si="224">IF(S262&lt;23,"저수","고수")</f>
        <v>고수</v>
      </c>
      <c r="AL262" s="52" t="str">
        <f t="shared" ref="AL262:AL325" si="225">AM262&amp;" : "&amp;AN262</f>
        <v>1 : 5</v>
      </c>
      <c r="AM262" s="22">
        <f t="shared" ref="AM262:AM325" si="226">COUNTIF(AF262:AK262,"저수")</f>
        <v>1</v>
      </c>
      <c r="AN262" s="22">
        <f t="shared" ref="AN262:AN325" si="227">COUNTIF(AF262:AK262,"고수")</f>
        <v>5</v>
      </c>
      <c r="AO262" s="22">
        <f t="shared" ref="AO262:AO325" si="228">RIGHT(N262,1)+RIGHT(O262,1)+RIGHT(P262,1)+RIGHT(Q262,1)+RIGHT(R262,1)+RIGHT(S262,1)</f>
        <v>20</v>
      </c>
      <c r="AP262" s="22" t="str">
        <f t="shared" ref="AP262:AP325" si="229">IF(N262=2,"O",IF(N262=3,"O",IF(N262=5,"O",IF(N262=7,"O",IF(N262=11,"O",IF(N262=13,"O",IF(N262=17,"O",IF(N262=19,"O","X"))))))))</f>
        <v>X</v>
      </c>
      <c r="AQ262" s="22" t="str">
        <f t="shared" ref="AQ262:AQ325" si="230">IF(O262=2,"O",IF(O262=3,"O",IF(O262=5,"O",IF(O262=7,"O",IF(O262=11,"O",IF(O262=13,"O",IF(O262=17,"O",IF(O262=19,"O","X"))))))))</f>
        <v>X</v>
      </c>
      <c r="AR262" s="22" t="str">
        <f t="shared" ref="AR262:AR325" si="231">IF(P262=2,"O",IF(P262=3,"O",IF(P262=5,"O",IF(P262=7,"O",IF(P262=11,"O",IF(P262=13,"O",IF(P262=17,"O",IF(P262=19,"O","X"))))))))</f>
        <v>X</v>
      </c>
      <c r="AS262" s="22" t="str">
        <f t="shared" ref="AS262:AS325" si="232">IF(Q262=2,"O",IF(Q262=3,"O",IF(Q262=5,"O",IF(Q262=7,"O",IF(Q262=11,"O",IF(Q262=13,"O",IF(Q262=17,"O",IF(Q262=19,"O","X"))))))))</f>
        <v>X</v>
      </c>
      <c r="AT262" s="22" t="str">
        <f t="shared" ref="AT262:AT325" si="233">IF(R262=2,"O",IF(R262=3,"O",IF(R262=5,"O",IF(R262=7,"O",IF(R262=11,"O",IF(R262=13,"O",IF(R262=17,"O",IF(R262=19,"O","X"))))))))</f>
        <v>X</v>
      </c>
      <c r="AU262" s="22" t="str">
        <f t="shared" ref="AU262:AU325" si="234">IF(S262=2,"O",IF(S262=3,"O",IF(S262=5,"O",IF(S262=7,"O",IF(S262=11,"O",IF(S262=13,"O",IF(S262=17,"O",IF(S262=19,"O","X"))))))))</f>
        <v>X</v>
      </c>
      <c r="AV262" s="22" t="str">
        <f t="shared" ref="AV262:AV325" si="235">IF(N262=23,"O",IF(N262=29,"O",IF(N262=31,"O",IF(N262=37,"O",IF(N262=41,"O",IF(N262=43,"O","X"))))))</f>
        <v>X</v>
      </c>
      <c r="AW262" s="22" t="str">
        <f t="shared" ref="AW262:AW325" si="236">IF(O262=23,"O",IF(O262=29,"O",IF(O262=31,"O",IF(O262=37,"O",IF(O262=41,"O",IF(O262=43,"O","X"))))))</f>
        <v>X</v>
      </c>
      <c r="AX262" s="22" t="str">
        <f t="shared" ref="AX262:AX325" si="237">IF(P262=23,"O",IF(P262=29,"O",IF(P262=31,"O",IF(P262=37,"O",IF(P262=41,"O",IF(P262=43,"O","X"))))))</f>
        <v>X</v>
      </c>
      <c r="AY262" s="22" t="str">
        <f t="shared" ref="AY262:AY325" si="238">IF(Q262=23,"O",IF(Q262=29,"O",IF(Q262=31,"O",IF(Q262=37,"O",IF(Q262=41,"O",IF(Q262=43,"O","X"))))))</f>
        <v>O</v>
      </c>
      <c r="AZ262" s="22" t="str">
        <f t="shared" ref="AZ262:AZ325" si="239">IF(R262=23,"O",IF(R262=29,"O",IF(R262=31,"O",IF(R262=37,"O",IF(R262=41,"O",IF(R262=43,"O","X"))))))</f>
        <v>X</v>
      </c>
      <c r="BA262" s="22" t="str">
        <f t="shared" ref="BA262:BA325" si="240">IF(S262=23,"O",IF(S262=29,"O",IF(S262=31,"O",IF(S262=37,"O",IF(S262=41,"O",IF(S262=43,"O","X"))))))</f>
        <v>X</v>
      </c>
      <c r="BB262" s="22">
        <f t="shared" ref="BB262:BB325" si="241">COUNTIF(AP262:BA262,"O")</f>
        <v>1</v>
      </c>
      <c r="BC262" s="22" t="str">
        <f t="shared" si="212"/>
        <v>1G</v>
      </c>
      <c r="BD262" s="22" t="str">
        <f t="shared" si="213"/>
        <v>2G</v>
      </c>
      <c r="BE262" s="22" t="str">
        <f t="shared" si="214"/>
        <v>2G</v>
      </c>
      <c r="BF262" s="22" t="str">
        <f t="shared" si="215"/>
        <v>3G</v>
      </c>
      <c r="BG262" s="22" t="str">
        <f t="shared" si="216"/>
        <v>3G</v>
      </c>
      <c r="BH262" s="22" t="str">
        <f t="shared" si="217"/>
        <v>3G</v>
      </c>
      <c r="BI262" s="22">
        <f t="shared" ref="BI262:BI325" si="242">COUNTIF($BC262:$BH262,"1G")</f>
        <v>1</v>
      </c>
      <c r="BJ262" s="22">
        <f t="shared" ref="BJ262:BJ325" si="243">COUNTIF($BC262:$BH262,"2G")</f>
        <v>2</v>
      </c>
      <c r="BK262" s="22">
        <f t="shared" ref="BK262:BK325" si="244">COUNTIF($BC262:$BH262,"3G")</f>
        <v>3</v>
      </c>
      <c r="BL262" s="22" t="str">
        <f t="shared" ref="BL262:BL325" si="245">BI262&amp;BJ262&amp;BK262</f>
        <v>123</v>
      </c>
      <c r="BS262"/>
      <c r="CL262" s="23">
        <v>140</v>
      </c>
      <c r="CM262" s="23">
        <v>140</v>
      </c>
      <c r="CO262"/>
    </row>
    <row r="263" spans="1:93" ht="17" hidden="1">
      <c r="B263" s="15">
        <v>259</v>
      </c>
      <c r="C263" s="23" t="s">
        <v>289</v>
      </c>
      <c r="D263" s="16">
        <v>2</v>
      </c>
      <c r="E263" s="17">
        <v>4838533500</v>
      </c>
      <c r="F263" s="16">
        <v>25</v>
      </c>
      <c r="G263" s="17">
        <v>64513780</v>
      </c>
      <c r="H263" s="17">
        <v>1030</v>
      </c>
      <c r="I263" s="17">
        <v>1565869</v>
      </c>
      <c r="J263" s="17">
        <v>50402</v>
      </c>
      <c r="K263" s="17">
        <v>64000</v>
      </c>
      <c r="L263" s="17">
        <v>864868</v>
      </c>
      <c r="M263" s="17">
        <v>5000</v>
      </c>
      <c r="N263" s="23">
        <v>4</v>
      </c>
      <c r="O263" s="23">
        <v>5</v>
      </c>
      <c r="P263" s="23">
        <v>14</v>
      </c>
      <c r="Q263" s="23">
        <v>35</v>
      </c>
      <c r="R263" s="23">
        <v>42</v>
      </c>
      <c r="S263" s="23">
        <v>45</v>
      </c>
      <c r="T263" s="23">
        <v>34</v>
      </c>
      <c r="U263" s="23">
        <f t="shared" si="218"/>
        <v>145</v>
      </c>
      <c r="W263" s="22" t="str">
        <f t="shared" si="203"/>
        <v>짝수</v>
      </c>
      <c r="X263" s="22" t="str">
        <f t="shared" si="204"/>
        <v>홀수</v>
      </c>
      <c r="Y263" s="22" t="str">
        <f t="shared" si="205"/>
        <v>짝수</v>
      </c>
      <c r="Z263" s="22" t="str">
        <f t="shared" si="206"/>
        <v>홀수</v>
      </c>
      <c r="AA263" s="22" t="str">
        <f t="shared" si="207"/>
        <v>짝수</v>
      </c>
      <c r="AB263" s="22" t="str">
        <f t="shared" si="208"/>
        <v>홀수</v>
      </c>
      <c r="AC263" s="52" t="str">
        <f t="shared" si="209"/>
        <v>3 : 3</v>
      </c>
      <c r="AD263" s="22">
        <f t="shared" si="210"/>
        <v>3</v>
      </c>
      <c r="AE263" s="22">
        <f t="shared" si="211"/>
        <v>3</v>
      </c>
      <c r="AF263" s="22" t="str">
        <f t="shared" si="219"/>
        <v>저수</v>
      </c>
      <c r="AG263" s="22" t="str">
        <f t="shared" si="220"/>
        <v>저수</v>
      </c>
      <c r="AH263" s="22" t="str">
        <f t="shared" si="221"/>
        <v>저수</v>
      </c>
      <c r="AI263" s="22" t="str">
        <f t="shared" si="222"/>
        <v>고수</v>
      </c>
      <c r="AJ263" s="22" t="str">
        <f t="shared" si="223"/>
        <v>고수</v>
      </c>
      <c r="AK263" s="22" t="str">
        <f t="shared" si="224"/>
        <v>고수</v>
      </c>
      <c r="AL263" s="52" t="str">
        <f t="shared" si="225"/>
        <v>3 : 3</v>
      </c>
      <c r="AM263" s="22">
        <f t="shared" si="226"/>
        <v>3</v>
      </c>
      <c r="AN263" s="22">
        <f t="shared" si="227"/>
        <v>3</v>
      </c>
      <c r="AO263" s="22">
        <f t="shared" si="228"/>
        <v>25</v>
      </c>
      <c r="AP263" s="22" t="str">
        <f t="shared" si="229"/>
        <v>X</v>
      </c>
      <c r="AQ263" s="22" t="str">
        <f t="shared" si="230"/>
        <v>O</v>
      </c>
      <c r="AR263" s="22" t="str">
        <f t="shared" si="231"/>
        <v>X</v>
      </c>
      <c r="AS263" s="22" t="str">
        <f t="shared" si="232"/>
        <v>X</v>
      </c>
      <c r="AT263" s="22" t="str">
        <f t="shared" si="233"/>
        <v>X</v>
      </c>
      <c r="AU263" s="22" t="str">
        <f t="shared" si="234"/>
        <v>X</v>
      </c>
      <c r="AV263" s="22" t="str">
        <f t="shared" si="235"/>
        <v>X</v>
      </c>
      <c r="AW263" s="22" t="str">
        <f t="shared" si="236"/>
        <v>X</v>
      </c>
      <c r="AX263" s="22" t="str">
        <f t="shared" si="237"/>
        <v>X</v>
      </c>
      <c r="AY263" s="22" t="str">
        <f t="shared" si="238"/>
        <v>X</v>
      </c>
      <c r="AZ263" s="22" t="str">
        <f t="shared" si="239"/>
        <v>X</v>
      </c>
      <c r="BA263" s="22" t="str">
        <f t="shared" si="240"/>
        <v>X</v>
      </c>
      <c r="BB263" s="22">
        <f t="shared" si="241"/>
        <v>1</v>
      </c>
      <c r="BC263" s="22" t="str">
        <f t="shared" si="212"/>
        <v>1G</v>
      </c>
      <c r="BD263" s="22" t="str">
        <f t="shared" si="213"/>
        <v>1G</v>
      </c>
      <c r="BE263" s="22" t="str">
        <f t="shared" si="214"/>
        <v>1G</v>
      </c>
      <c r="BF263" s="22" t="str">
        <f t="shared" si="215"/>
        <v>3G</v>
      </c>
      <c r="BG263" s="22" t="str">
        <f t="shared" si="216"/>
        <v>3G</v>
      </c>
      <c r="BH263" s="22" t="str">
        <f t="shared" si="217"/>
        <v>3G</v>
      </c>
      <c r="BI263" s="22">
        <f t="shared" si="242"/>
        <v>3</v>
      </c>
      <c r="BJ263" s="22">
        <f t="shared" si="243"/>
        <v>0</v>
      </c>
      <c r="BK263" s="22">
        <f t="shared" si="244"/>
        <v>3</v>
      </c>
      <c r="BL263" s="22" t="str">
        <f t="shared" si="245"/>
        <v>303</v>
      </c>
      <c r="BS263"/>
      <c r="CL263" s="23">
        <v>140</v>
      </c>
      <c r="CM263" s="23">
        <v>140</v>
      </c>
      <c r="CO263"/>
    </row>
    <row r="264" spans="1:93" ht="17" hidden="1">
      <c r="B264" s="15">
        <v>260</v>
      </c>
      <c r="C264" s="23" t="s">
        <v>290</v>
      </c>
      <c r="D264" s="16">
        <v>4</v>
      </c>
      <c r="E264" s="17">
        <v>2310085575</v>
      </c>
      <c r="F264" s="16">
        <v>26</v>
      </c>
      <c r="G264" s="17">
        <v>59232964</v>
      </c>
      <c r="H264" s="17">
        <v>1284</v>
      </c>
      <c r="I264" s="17">
        <v>1199422</v>
      </c>
      <c r="J264" s="17">
        <v>58258</v>
      </c>
      <c r="K264" s="17">
        <v>52871</v>
      </c>
      <c r="L264" s="17">
        <v>933907</v>
      </c>
      <c r="M264" s="17">
        <v>5000</v>
      </c>
      <c r="N264" s="23">
        <v>7</v>
      </c>
      <c r="O264" s="23">
        <v>12</v>
      </c>
      <c r="P264" s="23">
        <v>15</v>
      </c>
      <c r="Q264" s="23">
        <v>24</v>
      </c>
      <c r="R264" s="23">
        <v>37</v>
      </c>
      <c r="S264" s="23">
        <v>40</v>
      </c>
      <c r="T264" s="23">
        <v>43</v>
      </c>
      <c r="U264" s="23">
        <f t="shared" si="218"/>
        <v>135</v>
      </c>
      <c r="W264" s="22" t="str">
        <f t="shared" si="203"/>
        <v>홀수</v>
      </c>
      <c r="X264" s="22" t="str">
        <f t="shared" si="204"/>
        <v>짝수</v>
      </c>
      <c r="Y264" s="22" t="str">
        <f t="shared" si="205"/>
        <v>홀수</v>
      </c>
      <c r="Z264" s="22" t="str">
        <f t="shared" si="206"/>
        <v>짝수</v>
      </c>
      <c r="AA264" s="22" t="str">
        <f t="shared" si="207"/>
        <v>홀수</v>
      </c>
      <c r="AB264" s="22" t="str">
        <f t="shared" si="208"/>
        <v>짝수</v>
      </c>
      <c r="AC264" s="52" t="str">
        <f t="shared" si="209"/>
        <v>3 : 3</v>
      </c>
      <c r="AD264" s="22">
        <f t="shared" si="210"/>
        <v>3</v>
      </c>
      <c r="AE264" s="22">
        <f t="shared" si="211"/>
        <v>3</v>
      </c>
      <c r="AF264" s="22" t="str">
        <f t="shared" si="219"/>
        <v>저수</v>
      </c>
      <c r="AG264" s="22" t="str">
        <f t="shared" si="220"/>
        <v>저수</v>
      </c>
      <c r="AH264" s="22" t="str">
        <f t="shared" si="221"/>
        <v>저수</v>
      </c>
      <c r="AI264" s="22" t="str">
        <f t="shared" si="222"/>
        <v>고수</v>
      </c>
      <c r="AJ264" s="22" t="str">
        <f t="shared" si="223"/>
        <v>고수</v>
      </c>
      <c r="AK264" s="22" t="str">
        <f t="shared" si="224"/>
        <v>고수</v>
      </c>
      <c r="AL264" s="52" t="str">
        <f t="shared" si="225"/>
        <v>3 : 3</v>
      </c>
      <c r="AM264" s="22">
        <f t="shared" si="226"/>
        <v>3</v>
      </c>
      <c r="AN264" s="22">
        <f t="shared" si="227"/>
        <v>3</v>
      </c>
      <c r="AO264" s="22">
        <f t="shared" si="228"/>
        <v>25</v>
      </c>
      <c r="AP264" s="22" t="str">
        <f t="shared" si="229"/>
        <v>O</v>
      </c>
      <c r="AQ264" s="22" t="str">
        <f t="shared" si="230"/>
        <v>X</v>
      </c>
      <c r="AR264" s="22" t="str">
        <f t="shared" si="231"/>
        <v>X</v>
      </c>
      <c r="AS264" s="22" t="str">
        <f t="shared" si="232"/>
        <v>X</v>
      </c>
      <c r="AT264" s="22" t="str">
        <f t="shared" si="233"/>
        <v>X</v>
      </c>
      <c r="AU264" s="22" t="str">
        <f t="shared" si="234"/>
        <v>X</v>
      </c>
      <c r="AV264" s="22" t="str">
        <f t="shared" si="235"/>
        <v>X</v>
      </c>
      <c r="AW264" s="22" t="str">
        <f t="shared" si="236"/>
        <v>X</v>
      </c>
      <c r="AX264" s="22" t="str">
        <f t="shared" si="237"/>
        <v>X</v>
      </c>
      <c r="AY264" s="22" t="str">
        <f t="shared" si="238"/>
        <v>X</v>
      </c>
      <c r="AZ264" s="22" t="str">
        <f t="shared" si="239"/>
        <v>O</v>
      </c>
      <c r="BA264" s="22" t="str">
        <f t="shared" si="240"/>
        <v>X</v>
      </c>
      <c r="BB264" s="22">
        <f t="shared" si="241"/>
        <v>2</v>
      </c>
      <c r="BC264" s="22" t="str">
        <f t="shared" si="212"/>
        <v>1G</v>
      </c>
      <c r="BD264" s="22" t="str">
        <f t="shared" si="213"/>
        <v>1G</v>
      </c>
      <c r="BE264" s="22" t="str">
        <f t="shared" si="214"/>
        <v>1G</v>
      </c>
      <c r="BF264" s="22" t="str">
        <f t="shared" si="215"/>
        <v>2G</v>
      </c>
      <c r="BG264" s="22" t="str">
        <f t="shared" si="216"/>
        <v>3G</v>
      </c>
      <c r="BH264" s="22" t="str">
        <f t="shared" si="217"/>
        <v>3G</v>
      </c>
      <c r="BI264" s="22">
        <f t="shared" si="242"/>
        <v>3</v>
      </c>
      <c r="BJ264" s="22">
        <f t="shared" si="243"/>
        <v>1</v>
      </c>
      <c r="BK264" s="22">
        <f t="shared" si="244"/>
        <v>2</v>
      </c>
      <c r="BL264" s="22" t="str">
        <f t="shared" si="245"/>
        <v>312</v>
      </c>
      <c r="BS264"/>
      <c r="CL264" s="23">
        <v>140</v>
      </c>
      <c r="CM264" s="23">
        <v>140</v>
      </c>
      <c r="CO264"/>
    </row>
    <row r="265" spans="1:93" ht="17" hidden="1">
      <c r="B265" s="15">
        <v>261</v>
      </c>
      <c r="C265" s="23" t="s">
        <v>291</v>
      </c>
      <c r="D265" s="16">
        <v>3</v>
      </c>
      <c r="E265" s="17">
        <v>3192299100</v>
      </c>
      <c r="F265" s="16">
        <v>32</v>
      </c>
      <c r="G265" s="17">
        <v>49879674</v>
      </c>
      <c r="H265" s="17">
        <v>1104</v>
      </c>
      <c r="I265" s="17">
        <v>1445788</v>
      </c>
      <c r="J265" s="17">
        <v>56285</v>
      </c>
      <c r="K265" s="17">
        <v>56717</v>
      </c>
      <c r="L265" s="17">
        <v>929205</v>
      </c>
      <c r="M265" s="17">
        <v>5000</v>
      </c>
      <c r="N265" s="23">
        <v>6</v>
      </c>
      <c r="O265" s="23">
        <v>11</v>
      </c>
      <c r="P265" s="23">
        <v>16</v>
      </c>
      <c r="Q265" s="23">
        <v>18</v>
      </c>
      <c r="R265" s="23">
        <v>31</v>
      </c>
      <c r="S265" s="23">
        <v>43</v>
      </c>
      <c r="T265" s="23">
        <v>2</v>
      </c>
      <c r="U265" s="23">
        <f t="shared" si="218"/>
        <v>125</v>
      </c>
      <c r="W265" s="22" t="str">
        <f t="shared" si="203"/>
        <v>짝수</v>
      </c>
      <c r="X265" s="22" t="str">
        <f t="shared" si="204"/>
        <v>홀수</v>
      </c>
      <c r="Y265" s="22" t="str">
        <f t="shared" si="205"/>
        <v>짝수</v>
      </c>
      <c r="Z265" s="22" t="str">
        <f t="shared" si="206"/>
        <v>짝수</v>
      </c>
      <c r="AA265" s="22" t="str">
        <f t="shared" si="207"/>
        <v>홀수</v>
      </c>
      <c r="AB265" s="22" t="str">
        <f t="shared" si="208"/>
        <v>홀수</v>
      </c>
      <c r="AC265" s="52" t="str">
        <f t="shared" si="209"/>
        <v>3 : 3</v>
      </c>
      <c r="AD265" s="22">
        <f t="shared" si="210"/>
        <v>3</v>
      </c>
      <c r="AE265" s="22">
        <f t="shared" si="211"/>
        <v>3</v>
      </c>
      <c r="AF265" s="22" t="str">
        <f t="shared" si="219"/>
        <v>저수</v>
      </c>
      <c r="AG265" s="22" t="str">
        <f t="shared" si="220"/>
        <v>저수</v>
      </c>
      <c r="AH265" s="22" t="str">
        <f t="shared" si="221"/>
        <v>저수</v>
      </c>
      <c r="AI265" s="22" t="str">
        <f t="shared" si="222"/>
        <v>저수</v>
      </c>
      <c r="AJ265" s="22" t="str">
        <f t="shared" si="223"/>
        <v>고수</v>
      </c>
      <c r="AK265" s="22" t="str">
        <f t="shared" si="224"/>
        <v>고수</v>
      </c>
      <c r="AL265" s="52" t="str">
        <f t="shared" si="225"/>
        <v>4 : 2</v>
      </c>
      <c r="AM265" s="22">
        <f t="shared" si="226"/>
        <v>4</v>
      </c>
      <c r="AN265" s="22">
        <f t="shared" si="227"/>
        <v>2</v>
      </c>
      <c r="AO265" s="22">
        <f t="shared" si="228"/>
        <v>25</v>
      </c>
      <c r="AP265" s="22" t="str">
        <f t="shared" si="229"/>
        <v>X</v>
      </c>
      <c r="AQ265" s="22" t="str">
        <f t="shared" si="230"/>
        <v>O</v>
      </c>
      <c r="AR265" s="22" t="str">
        <f t="shared" si="231"/>
        <v>X</v>
      </c>
      <c r="AS265" s="22" t="str">
        <f t="shared" si="232"/>
        <v>X</v>
      </c>
      <c r="AT265" s="22" t="str">
        <f t="shared" si="233"/>
        <v>X</v>
      </c>
      <c r="AU265" s="22" t="str">
        <f t="shared" si="234"/>
        <v>X</v>
      </c>
      <c r="AV265" s="22" t="str">
        <f t="shared" si="235"/>
        <v>X</v>
      </c>
      <c r="AW265" s="22" t="str">
        <f t="shared" si="236"/>
        <v>X</v>
      </c>
      <c r="AX265" s="22" t="str">
        <f t="shared" si="237"/>
        <v>X</v>
      </c>
      <c r="AY265" s="22" t="str">
        <f t="shared" si="238"/>
        <v>X</v>
      </c>
      <c r="AZ265" s="22" t="str">
        <f t="shared" si="239"/>
        <v>O</v>
      </c>
      <c r="BA265" s="22" t="str">
        <f t="shared" si="240"/>
        <v>O</v>
      </c>
      <c r="BB265" s="22">
        <f t="shared" si="241"/>
        <v>3</v>
      </c>
      <c r="BC265" s="22" t="str">
        <f t="shared" si="212"/>
        <v>1G</v>
      </c>
      <c r="BD265" s="22" t="str">
        <f t="shared" si="213"/>
        <v>1G</v>
      </c>
      <c r="BE265" s="22" t="str">
        <f t="shared" si="214"/>
        <v>2G</v>
      </c>
      <c r="BF265" s="22" t="str">
        <f t="shared" si="215"/>
        <v>2G</v>
      </c>
      <c r="BG265" s="22" t="str">
        <f t="shared" si="216"/>
        <v>3G</v>
      </c>
      <c r="BH265" s="22" t="str">
        <f t="shared" si="217"/>
        <v>3G</v>
      </c>
      <c r="BI265" s="22">
        <f t="shared" si="242"/>
        <v>2</v>
      </c>
      <c r="BJ265" s="22">
        <f t="shared" si="243"/>
        <v>2</v>
      </c>
      <c r="BK265" s="22">
        <f t="shared" si="244"/>
        <v>2</v>
      </c>
      <c r="BL265" s="22" t="str">
        <f t="shared" si="245"/>
        <v>222</v>
      </c>
      <c r="BS265"/>
      <c r="CL265" s="23">
        <v>141</v>
      </c>
      <c r="CM265" s="23">
        <v>140</v>
      </c>
      <c r="CO265"/>
    </row>
    <row r="266" spans="1:93" ht="17" hidden="1">
      <c r="B266" s="15">
        <v>262</v>
      </c>
      <c r="C266" s="23" t="s">
        <v>292</v>
      </c>
      <c r="D266" s="16">
        <v>2</v>
      </c>
      <c r="E266" s="17">
        <v>4518741600</v>
      </c>
      <c r="F266" s="16">
        <v>21</v>
      </c>
      <c r="G266" s="17">
        <v>71726058</v>
      </c>
      <c r="H266" s="17">
        <v>1106</v>
      </c>
      <c r="I266" s="17">
        <v>1361888</v>
      </c>
      <c r="J266" s="17">
        <v>54807</v>
      </c>
      <c r="K266" s="17">
        <v>54966</v>
      </c>
      <c r="L266" s="17">
        <v>910729</v>
      </c>
      <c r="M266" s="17">
        <v>5000</v>
      </c>
      <c r="N266" s="23">
        <v>9</v>
      </c>
      <c r="O266" s="23">
        <v>12</v>
      </c>
      <c r="P266" s="23">
        <v>24</v>
      </c>
      <c r="Q266" s="23">
        <v>25</v>
      </c>
      <c r="R266" s="23">
        <v>29</v>
      </c>
      <c r="S266" s="23">
        <v>31</v>
      </c>
      <c r="T266" s="23">
        <v>36</v>
      </c>
      <c r="U266" s="23">
        <f t="shared" si="218"/>
        <v>130</v>
      </c>
      <c r="W266" s="22" t="str">
        <f t="shared" si="203"/>
        <v>홀수</v>
      </c>
      <c r="X266" s="22" t="str">
        <f t="shared" si="204"/>
        <v>짝수</v>
      </c>
      <c r="Y266" s="22" t="str">
        <f t="shared" si="205"/>
        <v>짝수</v>
      </c>
      <c r="Z266" s="22" t="str">
        <f t="shared" si="206"/>
        <v>홀수</v>
      </c>
      <c r="AA266" s="22" t="str">
        <f t="shared" si="207"/>
        <v>홀수</v>
      </c>
      <c r="AB266" s="22" t="str">
        <f t="shared" si="208"/>
        <v>홀수</v>
      </c>
      <c r="AC266" s="52" t="str">
        <f t="shared" si="209"/>
        <v>4 : 2</v>
      </c>
      <c r="AD266" s="22">
        <f t="shared" si="210"/>
        <v>4</v>
      </c>
      <c r="AE266" s="22">
        <f t="shared" si="211"/>
        <v>2</v>
      </c>
      <c r="AF266" s="22" t="str">
        <f t="shared" si="219"/>
        <v>저수</v>
      </c>
      <c r="AG266" s="22" t="str">
        <f t="shared" si="220"/>
        <v>저수</v>
      </c>
      <c r="AH266" s="22" t="str">
        <f t="shared" si="221"/>
        <v>고수</v>
      </c>
      <c r="AI266" s="22" t="str">
        <f t="shared" si="222"/>
        <v>고수</v>
      </c>
      <c r="AJ266" s="22" t="str">
        <f t="shared" si="223"/>
        <v>고수</v>
      </c>
      <c r="AK266" s="22" t="str">
        <f t="shared" si="224"/>
        <v>고수</v>
      </c>
      <c r="AL266" s="52" t="str">
        <f t="shared" si="225"/>
        <v>2 : 4</v>
      </c>
      <c r="AM266" s="22">
        <f t="shared" si="226"/>
        <v>2</v>
      </c>
      <c r="AN266" s="22">
        <f t="shared" si="227"/>
        <v>4</v>
      </c>
      <c r="AO266" s="22">
        <f t="shared" si="228"/>
        <v>30</v>
      </c>
      <c r="AP266" s="22" t="str">
        <f t="shared" si="229"/>
        <v>X</v>
      </c>
      <c r="AQ266" s="22" t="str">
        <f t="shared" si="230"/>
        <v>X</v>
      </c>
      <c r="AR266" s="22" t="str">
        <f t="shared" si="231"/>
        <v>X</v>
      </c>
      <c r="AS266" s="22" t="str">
        <f t="shared" si="232"/>
        <v>X</v>
      </c>
      <c r="AT266" s="22" t="str">
        <f t="shared" si="233"/>
        <v>X</v>
      </c>
      <c r="AU266" s="22" t="str">
        <f t="shared" si="234"/>
        <v>X</v>
      </c>
      <c r="AV266" s="22" t="str">
        <f t="shared" si="235"/>
        <v>X</v>
      </c>
      <c r="AW266" s="22" t="str">
        <f t="shared" si="236"/>
        <v>X</v>
      </c>
      <c r="AX266" s="22" t="str">
        <f t="shared" si="237"/>
        <v>X</v>
      </c>
      <c r="AY266" s="22" t="str">
        <f t="shared" si="238"/>
        <v>X</v>
      </c>
      <c r="AZ266" s="22" t="str">
        <f t="shared" si="239"/>
        <v>O</v>
      </c>
      <c r="BA266" s="22" t="str">
        <f t="shared" si="240"/>
        <v>O</v>
      </c>
      <c r="BB266" s="22">
        <f t="shared" si="241"/>
        <v>2</v>
      </c>
      <c r="BC266" s="22" t="str">
        <f t="shared" si="212"/>
        <v>1G</v>
      </c>
      <c r="BD266" s="22" t="str">
        <f t="shared" si="213"/>
        <v>1G</v>
      </c>
      <c r="BE266" s="22" t="str">
        <f t="shared" si="214"/>
        <v>2G</v>
      </c>
      <c r="BF266" s="22" t="str">
        <f t="shared" si="215"/>
        <v>2G</v>
      </c>
      <c r="BG266" s="22" t="str">
        <f t="shared" si="216"/>
        <v>2G</v>
      </c>
      <c r="BH266" s="22" t="str">
        <f t="shared" si="217"/>
        <v>3G</v>
      </c>
      <c r="BI266" s="22">
        <f t="shared" si="242"/>
        <v>2</v>
      </c>
      <c r="BJ266" s="22">
        <f t="shared" si="243"/>
        <v>3</v>
      </c>
      <c r="BK266" s="22">
        <f t="shared" si="244"/>
        <v>1</v>
      </c>
      <c r="BL266" s="22" t="str">
        <f t="shared" si="245"/>
        <v>231</v>
      </c>
      <c r="BS266"/>
      <c r="CL266" s="23">
        <v>141</v>
      </c>
      <c r="CM266" s="23">
        <v>140</v>
      </c>
      <c r="CO266"/>
    </row>
    <row r="267" spans="1:93" ht="17" hidden="1">
      <c r="B267" s="15">
        <v>263</v>
      </c>
      <c r="C267" s="23" t="s">
        <v>293</v>
      </c>
      <c r="D267" s="16">
        <v>6</v>
      </c>
      <c r="E267" s="17">
        <v>1551704900</v>
      </c>
      <c r="F267" s="16">
        <v>27</v>
      </c>
      <c r="G267" s="17">
        <v>57470552</v>
      </c>
      <c r="H267" s="16">
        <v>937</v>
      </c>
      <c r="I267" s="17">
        <v>1656036</v>
      </c>
      <c r="J267" s="17">
        <v>50490</v>
      </c>
      <c r="K267" s="17">
        <v>61466</v>
      </c>
      <c r="L267" s="17">
        <v>864303</v>
      </c>
      <c r="M267" s="17">
        <v>5000</v>
      </c>
      <c r="N267" s="23">
        <v>1</v>
      </c>
      <c r="O267" s="23">
        <v>27</v>
      </c>
      <c r="P267" s="23">
        <v>28</v>
      </c>
      <c r="Q267" s="23">
        <v>32</v>
      </c>
      <c r="R267" s="23">
        <v>37</v>
      </c>
      <c r="S267" s="23">
        <v>40</v>
      </c>
      <c r="T267" s="23">
        <v>18</v>
      </c>
      <c r="U267" s="23">
        <f t="shared" si="218"/>
        <v>165</v>
      </c>
      <c r="W267" s="22" t="str">
        <f t="shared" si="203"/>
        <v>홀수</v>
      </c>
      <c r="X267" s="22" t="str">
        <f t="shared" si="204"/>
        <v>홀수</v>
      </c>
      <c r="Y267" s="22" t="str">
        <f t="shared" si="205"/>
        <v>짝수</v>
      </c>
      <c r="Z267" s="22" t="str">
        <f t="shared" si="206"/>
        <v>짝수</v>
      </c>
      <c r="AA267" s="22" t="str">
        <f t="shared" si="207"/>
        <v>홀수</v>
      </c>
      <c r="AB267" s="22" t="str">
        <f t="shared" si="208"/>
        <v>짝수</v>
      </c>
      <c r="AC267" s="52" t="str">
        <f t="shared" si="209"/>
        <v>3 : 3</v>
      </c>
      <c r="AD267" s="22">
        <f t="shared" si="210"/>
        <v>3</v>
      </c>
      <c r="AE267" s="22">
        <f t="shared" si="211"/>
        <v>3</v>
      </c>
      <c r="AF267" s="22" t="str">
        <f t="shared" si="219"/>
        <v>저수</v>
      </c>
      <c r="AG267" s="22" t="str">
        <f t="shared" si="220"/>
        <v>고수</v>
      </c>
      <c r="AH267" s="22" t="str">
        <f t="shared" si="221"/>
        <v>고수</v>
      </c>
      <c r="AI267" s="22" t="str">
        <f t="shared" si="222"/>
        <v>고수</v>
      </c>
      <c r="AJ267" s="22" t="str">
        <f t="shared" si="223"/>
        <v>고수</v>
      </c>
      <c r="AK267" s="22" t="str">
        <f t="shared" si="224"/>
        <v>고수</v>
      </c>
      <c r="AL267" s="52" t="str">
        <f t="shared" si="225"/>
        <v>1 : 5</v>
      </c>
      <c r="AM267" s="22">
        <f t="shared" si="226"/>
        <v>1</v>
      </c>
      <c r="AN267" s="22">
        <f t="shared" si="227"/>
        <v>5</v>
      </c>
      <c r="AO267" s="22">
        <f t="shared" si="228"/>
        <v>25</v>
      </c>
      <c r="AP267" s="22" t="str">
        <f t="shared" si="229"/>
        <v>X</v>
      </c>
      <c r="AQ267" s="22" t="str">
        <f t="shared" si="230"/>
        <v>X</v>
      </c>
      <c r="AR267" s="22" t="str">
        <f t="shared" si="231"/>
        <v>X</v>
      </c>
      <c r="AS267" s="22" t="str">
        <f t="shared" si="232"/>
        <v>X</v>
      </c>
      <c r="AT267" s="22" t="str">
        <f t="shared" si="233"/>
        <v>X</v>
      </c>
      <c r="AU267" s="22" t="str">
        <f t="shared" si="234"/>
        <v>X</v>
      </c>
      <c r="AV267" s="22" t="str">
        <f t="shared" si="235"/>
        <v>X</v>
      </c>
      <c r="AW267" s="22" t="str">
        <f t="shared" si="236"/>
        <v>X</v>
      </c>
      <c r="AX267" s="22" t="str">
        <f t="shared" si="237"/>
        <v>X</v>
      </c>
      <c r="AY267" s="22" t="str">
        <f t="shared" si="238"/>
        <v>X</v>
      </c>
      <c r="AZ267" s="22" t="str">
        <f t="shared" si="239"/>
        <v>O</v>
      </c>
      <c r="BA267" s="22" t="str">
        <f t="shared" si="240"/>
        <v>X</v>
      </c>
      <c r="BB267" s="22">
        <f t="shared" si="241"/>
        <v>1</v>
      </c>
      <c r="BC267" s="22" t="str">
        <f t="shared" si="212"/>
        <v>1G</v>
      </c>
      <c r="BD267" s="22" t="str">
        <f t="shared" si="213"/>
        <v>2G</v>
      </c>
      <c r="BE267" s="22" t="str">
        <f t="shared" si="214"/>
        <v>2G</v>
      </c>
      <c r="BF267" s="22" t="str">
        <f t="shared" si="215"/>
        <v>3G</v>
      </c>
      <c r="BG267" s="22" t="str">
        <f t="shared" si="216"/>
        <v>3G</v>
      </c>
      <c r="BH267" s="22" t="str">
        <f t="shared" si="217"/>
        <v>3G</v>
      </c>
      <c r="BI267" s="22">
        <f t="shared" si="242"/>
        <v>1</v>
      </c>
      <c r="BJ267" s="22">
        <f t="shared" si="243"/>
        <v>2</v>
      </c>
      <c r="BK267" s="22">
        <f t="shared" si="244"/>
        <v>3</v>
      </c>
      <c r="BL267" s="22" t="str">
        <f t="shared" si="245"/>
        <v>123</v>
      </c>
      <c r="BS267"/>
      <c r="CL267" s="23">
        <v>141</v>
      </c>
      <c r="CM267" s="23">
        <v>140</v>
      </c>
      <c r="CO267"/>
    </row>
    <row r="268" spans="1:93" ht="17" hidden="1">
      <c r="B268" s="15">
        <v>264</v>
      </c>
      <c r="C268" s="23" t="s">
        <v>294</v>
      </c>
      <c r="D268" s="16">
        <v>7</v>
      </c>
      <c r="E268" s="17">
        <v>1344889200</v>
      </c>
      <c r="F268" s="16">
        <v>27</v>
      </c>
      <c r="G268" s="17">
        <v>58112497</v>
      </c>
      <c r="H268" s="17">
        <v>1047</v>
      </c>
      <c r="I268" s="17">
        <v>1498604</v>
      </c>
      <c r="J268" s="17">
        <v>50096</v>
      </c>
      <c r="K268" s="17">
        <v>62642</v>
      </c>
      <c r="L268" s="17">
        <v>840243</v>
      </c>
      <c r="M268" s="17">
        <v>5000</v>
      </c>
      <c r="N268" s="23">
        <v>9</v>
      </c>
      <c r="O268" s="23">
        <v>16</v>
      </c>
      <c r="P268" s="23">
        <v>27</v>
      </c>
      <c r="Q268" s="23">
        <v>36</v>
      </c>
      <c r="R268" s="23">
        <v>41</v>
      </c>
      <c r="S268" s="23">
        <v>44</v>
      </c>
      <c r="T268" s="23">
        <v>5</v>
      </c>
      <c r="U268" s="23">
        <f t="shared" si="218"/>
        <v>173</v>
      </c>
      <c r="W268" s="22" t="str">
        <f t="shared" si="203"/>
        <v>홀수</v>
      </c>
      <c r="X268" s="22" t="str">
        <f t="shared" si="204"/>
        <v>짝수</v>
      </c>
      <c r="Y268" s="22" t="str">
        <f t="shared" si="205"/>
        <v>홀수</v>
      </c>
      <c r="Z268" s="22" t="str">
        <f t="shared" si="206"/>
        <v>짝수</v>
      </c>
      <c r="AA268" s="22" t="str">
        <f t="shared" si="207"/>
        <v>홀수</v>
      </c>
      <c r="AB268" s="22" t="str">
        <f t="shared" si="208"/>
        <v>짝수</v>
      </c>
      <c r="AC268" s="52" t="str">
        <f t="shared" si="209"/>
        <v>3 : 3</v>
      </c>
      <c r="AD268" s="22">
        <f t="shared" si="210"/>
        <v>3</v>
      </c>
      <c r="AE268" s="22">
        <f t="shared" si="211"/>
        <v>3</v>
      </c>
      <c r="AF268" s="22" t="str">
        <f t="shared" si="219"/>
        <v>저수</v>
      </c>
      <c r="AG268" s="22" t="str">
        <f t="shared" si="220"/>
        <v>저수</v>
      </c>
      <c r="AH268" s="22" t="str">
        <f t="shared" si="221"/>
        <v>고수</v>
      </c>
      <c r="AI268" s="22" t="str">
        <f t="shared" si="222"/>
        <v>고수</v>
      </c>
      <c r="AJ268" s="22" t="str">
        <f t="shared" si="223"/>
        <v>고수</v>
      </c>
      <c r="AK268" s="22" t="str">
        <f t="shared" si="224"/>
        <v>고수</v>
      </c>
      <c r="AL268" s="52" t="str">
        <f t="shared" si="225"/>
        <v>2 : 4</v>
      </c>
      <c r="AM268" s="22">
        <f t="shared" si="226"/>
        <v>2</v>
      </c>
      <c r="AN268" s="22">
        <f t="shared" si="227"/>
        <v>4</v>
      </c>
      <c r="AO268" s="22">
        <f t="shared" si="228"/>
        <v>33</v>
      </c>
      <c r="AP268" s="22" t="str">
        <f t="shared" si="229"/>
        <v>X</v>
      </c>
      <c r="AQ268" s="22" t="str">
        <f t="shared" si="230"/>
        <v>X</v>
      </c>
      <c r="AR268" s="22" t="str">
        <f t="shared" si="231"/>
        <v>X</v>
      </c>
      <c r="AS268" s="22" t="str">
        <f t="shared" si="232"/>
        <v>X</v>
      </c>
      <c r="AT268" s="22" t="str">
        <f t="shared" si="233"/>
        <v>X</v>
      </c>
      <c r="AU268" s="22" t="str">
        <f t="shared" si="234"/>
        <v>X</v>
      </c>
      <c r="AV268" s="22" t="str">
        <f t="shared" si="235"/>
        <v>X</v>
      </c>
      <c r="AW268" s="22" t="str">
        <f t="shared" si="236"/>
        <v>X</v>
      </c>
      <c r="AX268" s="22" t="str">
        <f t="shared" si="237"/>
        <v>X</v>
      </c>
      <c r="AY268" s="22" t="str">
        <f t="shared" si="238"/>
        <v>X</v>
      </c>
      <c r="AZ268" s="22" t="str">
        <f t="shared" si="239"/>
        <v>O</v>
      </c>
      <c r="BA268" s="22" t="str">
        <f t="shared" si="240"/>
        <v>X</v>
      </c>
      <c r="BB268" s="22">
        <f t="shared" si="241"/>
        <v>1</v>
      </c>
      <c r="BC268" s="22" t="str">
        <f t="shared" si="212"/>
        <v>1G</v>
      </c>
      <c r="BD268" s="22" t="str">
        <f t="shared" si="213"/>
        <v>2G</v>
      </c>
      <c r="BE268" s="22" t="str">
        <f t="shared" si="214"/>
        <v>2G</v>
      </c>
      <c r="BF268" s="22" t="str">
        <f t="shared" si="215"/>
        <v>3G</v>
      </c>
      <c r="BG268" s="22" t="str">
        <f t="shared" si="216"/>
        <v>3G</v>
      </c>
      <c r="BH268" s="22" t="str">
        <f t="shared" si="217"/>
        <v>3G</v>
      </c>
      <c r="BI268" s="22">
        <f t="shared" si="242"/>
        <v>1</v>
      </c>
      <c r="BJ268" s="22">
        <f t="shared" si="243"/>
        <v>2</v>
      </c>
      <c r="BK268" s="22">
        <f t="shared" si="244"/>
        <v>3</v>
      </c>
      <c r="BL268" s="22" t="str">
        <f t="shared" si="245"/>
        <v>123</v>
      </c>
      <c r="BS268"/>
      <c r="CL268" s="23">
        <v>141</v>
      </c>
      <c r="CM268" s="23">
        <v>140</v>
      </c>
      <c r="CO268"/>
    </row>
    <row r="269" spans="1:93" ht="17" hidden="1">
      <c r="B269" s="15">
        <v>265</v>
      </c>
      <c r="C269" s="23" t="s">
        <v>295</v>
      </c>
      <c r="D269" s="16">
        <v>8</v>
      </c>
      <c r="E269" s="17">
        <v>1200838575</v>
      </c>
      <c r="F269" s="16">
        <v>19</v>
      </c>
      <c r="G269" s="17">
        <v>84269374</v>
      </c>
      <c r="H269" s="17">
        <v>1010</v>
      </c>
      <c r="I269" s="17">
        <v>1585266</v>
      </c>
      <c r="J269" s="17">
        <v>52966</v>
      </c>
      <c r="K269" s="17">
        <v>60459</v>
      </c>
      <c r="L269" s="17">
        <v>889156</v>
      </c>
      <c r="M269" s="17">
        <v>5000</v>
      </c>
      <c r="N269" s="23">
        <v>5</v>
      </c>
      <c r="O269" s="23">
        <v>9</v>
      </c>
      <c r="P269" s="23">
        <v>34</v>
      </c>
      <c r="Q269" s="23">
        <v>37</v>
      </c>
      <c r="R269" s="23">
        <v>38</v>
      </c>
      <c r="S269" s="23">
        <v>39</v>
      </c>
      <c r="T269" s="23">
        <v>12</v>
      </c>
      <c r="U269" s="23">
        <f t="shared" si="218"/>
        <v>162</v>
      </c>
      <c r="W269" s="22" t="str">
        <f t="shared" si="203"/>
        <v>홀수</v>
      </c>
      <c r="X269" s="22" t="str">
        <f t="shared" si="204"/>
        <v>홀수</v>
      </c>
      <c r="Y269" s="22" t="str">
        <f t="shared" si="205"/>
        <v>짝수</v>
      </c>
      <c r="Z269" s="22" t="str">
        <f t="shared" si="206"/>
        <v>홀수</v>
      </c>
      <c r="AA269" s="22" t="str">
        <f t="shared" si="207"/>
        <v>짝수</v>
      </c>
      <c r="AB269" s="22" t="str">
        <f t="shared" si="208"/>
        <v>홀수</v>
      </c>
      <c r="AC269" s="52" t="str">
        <f t="shared" si="209"/>
        <v>4 : 2</v>
      </c>
      <c r="AD269" s="22">
        <f t="shared" si="210"/>
        <v>4</v>
      </c>
      <c r="AE269" s="22">
        <f t="shared" si="211"/>
        <v>2</v>
      </c>
      <c r="AF269" s="22" t="str">
        <f t="shared" si="219"/>
        <v>저수</v>
      </c>
      <c r="AG269" s="22" t="str">
        <f t="shared" si="220"/>
        <v>저수</v>
      </c>
      <c r="AH269" s="22" t="str">
        <f t="shared" si="221"/>
        <v>고수</v>
      </c>
      <c r="AI269" s="22" t="str">
        <f t="shared" si="222"/>
        <v>고수</v>
      </c>
      <c r="AJ269" s="22" t="str">
        <f t="shared" si="223"/>
        <v>고수</v>
      </c>
      <c r="AK269" s="22" t="str">
        <f t="shared" si="224"/>
        <v>고수</v>
      </c>
      <c r="AL269" s="52" t="str">
        <f t="shared" si="225"/>
        <v>2 : 4</v>
      </c>
      <c r="AM269" s="22">
        <f t="shared" si="226"/>
        <v>2</v>
      </c>
      <c r="AN269" s="22">
        <f t="shared" si="227"/>
        <v>4</v>
      </c>
      <c r="AO269" s="22">
        <f t="shared" si="228"/>
        <v>42</v>
      </c>
      <c r="AP269" s="22" t="str">
        <f t="shared" si="229"/>
        <v>O</v>
      </c>
      <c r="AQ269" s="22" t="str">
        <f t="shared" si="230"/>
        <v>X</v>
      </c>
      <c r="AR269" s="22" t="str">
        <f t="shared" si="231"/>
        <v>X</v>
      </c>
      <c r="AS269" s="22" t="str">
        <f t="shared" si="232"/>
        <v>X</v>
      </c>
      <c r="AT269" s="22" t="str">
        <f t="shared" si="233"/>
        <v>X</v>
      </c>
      <c r="AU269" s="22" t="str">
        <f t="shared" si="234"/>
        <v>X</v>
      </c>
      <c r="AV269" s="22" t="str">
        <f t="shared" si="235"/>
        <v>X</v>
      </c>
      <c r="AW269" s="22" t="str">
        <f t="shared" si="236"/>
        <v>X</v>
      </c>
      <c r="AX269" s="22" t="str">
        <f t="shared" si="237"/>
        <v>X</v>
      </c>
      <c r="AY269" s="22" t="str">
        <f t="shared" si="238"/>
        <v>O</v>
      </c>
      <c r="AZ269" s="22" t="str">
        <f t="shared" si="239"/>
        <v>X</v>
      </c>
      <c r="BA269" s="22" t="str">
        <f t="shared" si="240"/>
        <v>X</v>
      </c>
      <c r="BB269" s="22">
        <f t="shared" si="241"/>
        <v>2</v>
      </c>
      <c r="BC269" s="22" t="str">
        <f t="shared" si="212"/>
        <v>1G</v>
      </c>
      <c r="BD269" s="22" t="str">
        <f t="shared" si="213"/>
        <v>1G</v>
      </c>
      <c r="BE269" s="22" t="str">
        <f t="shared" si="214"/>
        <v>3G</v>
      </c>
      <c r="BF269" s="22" t="str">
        <f t="shared" si="215"/>
        <v>3G</v>
      </c>
      <c r="BG269" s="22" t="str">
        <f t="shared" si="216"/>
        <v>3G</v>
      </c>
      <c r="BH269" s="22" t="str">
        <f t="shared" si="217"/>
        <v>3G</v>
      </c>
      <c r="BI269" s="22">
        <f t="shared" si="242"/>
        <v>2</v>
      </c>
      <c r="BJ269" s="22">
        <f t="shared" si="243"/>
        <v>0</v>
      </c>
      <c r="BK269" s="22">
        <f t="shared" si="244"/>
        <v>4</v>
      </c>
      <c r="BL269" s="22" t="str">
        <f t="shared" si="245"/>
        <v>204</v>
      </c>
      <c r="BS269"/>
      <c r="CL269" s="23">
        <v>141</v>
      </c>
      <c r="CM269" s="23">
        <v>140</v>
      </c>
      <c r="CO269"/>
    </row>
    <row r="270" spans="1:93" ht="17" hidden="1">
      <c r="A270" s="16">
        <v>2008</v>
      </c>
      <c r="B270" s="15">
        <v>266</v>
      </c>
      <c r="C270" s="23" t="s">
        <v>296</v>
      </c>
      <c r="D270" s="16">
        <v>3</v>
      </c>
      <c r="E270" s="17">
        <v>3207211700</v>
      </c>
      <c r="F270" s="16">
        <v>36</v>
      </c>
      <c r="G270" s="17">
        <v>44544607</v>
      </c>
      <c r="H270" s="17">
        <v>1194</v>
      </c>
      <c r="I270" s="17">
        <v>1343054</v>
      </c>
      <c r="J270" s="17">
        <v>58820</v>
      </c>
      <c r="K270" s="17">
        <v>54526</v>
      </c>
      <c r="L270" s="17">
        <v>986495</v>
      </c>
      <c r="M270" s="17">
        <v>5000</v>
      </c>
      <c r="N270" s="23">
        <v>3</v>
      </c>
      <c r="O270" s="23">
        <v>4</v>
      </c>
      <c r="P270" s="23">
        <v>9</v>
      </c>
      <c r="Q270" s="23">
        <v>11</v>
      </c>
      <c r="R270" s="23">
        <v>22</v>
      </c>
      <c r="S270" s="23">
        <v>42</v>
      </c>
      <c r="T270" s="23">
        <v>37</v>
      </c>
      <c r="U270" s="23">
        <f t="shared" si="218"/>
        <v>91</v>
      </c>
      <c r="W270" s="22" t="str">
        <f t="shared" si="203"/>
        <v>홀수</v>
      </c>
      <c r="X270" s="22" t="str">
        <f t="shared" si="204"/>
        <v>짝수</v>
      </c>
      <c r="Y270" s="22" t="str">
        <f t="shared" si="205"/>
        <v>홀수</v>
      </c>
      <c r="Z270" s="22" t="str">
        <f t="shared" si="206"/>
        <v>홀수</v>
      </c>
      <c r="AA270" s="22" t="str">
        <f t="shared" si="207"/>
        <v>짝수</v>
      </c>
      <c r="AB270" s="22" t="str">
        <f t="shared" si="208"/>
        <v>짝수</v>
      </c>
      <c r="AC270" s="52" t="str">
        <f t="shared" si="209"/>
        <v>3 : 3</v>
      </c>
      <c r="AD270" s="22">
        <f t="shared" si="210"/>
        <v>3</v>
      </c>
      <c r="AE270" s="22">
        <f t="shared" si="211"/>
        <v>3</v>
      </c>
      <c r="AF270" s="22" t="str">
        <f t="shared" si="219"/>
        <v>저수</v>
      </c>
      <c r="AG270" s="22" t="str">
        <f t="shared" si="220"/>
        <v>저수</v>
      </c>
      <c r="AH270" s="22" t="str">
        <f t="shared" si="221"/>
        <v>저수</v>
      </c>
      <c r="AI270" s="22" t="str">
        <f t="shared" si="222"/>
        <v>저수</v>
      </c>
      <c r="AJ270" s="22" t="str">
        <f t="shared" si="223"/>
        <v>저수</v>
      </c>
      <c r="AK270" s="22" t="str">
        <f t="shared" si="224"/>
        <v>고수</v>
      </c>
      <c r="AL270" s="52" t="str">
        <f t="shared" si="225"/>
        <v>5 : 1</v>
      </c>
      <c r="AM270" s="22">
        <f t="shared" si="226"/>
        <v>5</v>
      </c>
      <c r="AN270" s="22">
        <f t="shared" si="227"/>
        <v>1</v>
      </c>
      <c r="AO270" s="22">
        <f t="shared" si="228"/>
        <v>21</v>
      </c>
      <c r="AP270" s="22" t="str">
        <f t="shared" si="229"/>
        <v>O</v>
      </c>
      <c r="AQ270" s="22" t="str">
        <f t="shared" si="230"/>
        <v>X</v>
      </c>
      <c r="AR270" s="22" t="str">
        <f t="shared" si="231"/>
        <v>X</v>
      </c>
      <c r="AS270" s="22" t="str">
        <f t="shared" si="232"/>
        <v>O</v>
      </c>
      <c r="AT270" s="22" t="str">
        <f t="shared" si="233"/>
        <v>X</v>
      </c>
      <c r="AU270" s="22" t="str">
        <f t="shared" si="234"/>
        <v>X</v>
      </c>
      <c r="AV270" s="22" t="str">
        <f t="shared" si="235"/>
        <v>X</v>
      </c>
      <c r="AW270" s="22" t="str">
        <f t="shared" si="236"/>
        <v>X</v>
      </c>
      <c r="AX270" s="22" t="str">
        <f t="shared" si="237"/>
        <v>X</v>
      </c>
      <c r="AY270" s="22" t="str">
        <f t="shared" si="238"/>
        <v>X</v>
      </c>
      <c r="AZ270" s="22" t="str">
        <f t="shared" si="239"/>
        <v>X</v>
      </c>
      <c r="BA270" s="22" t="str">
        <f t="shared" si="240"/>
        <v>X</v>
      </c>
      <c r="BB270" s="22">
        <f t="shared" si="241"/>
        <v>2</v>
      </c>
      <c r="BC270" s="22" t="str">
        <f t="shared" si="212"/>
        <v>1G</v>
      </c>
      <c r="BD270" s="22" t="str">
        <f t="shared" si="213"/>
        <v>1G</v>
      </c>
      <c r="BE270" s="22" t="str">
        <f t="shared" si="214"/>
        <v>1G</v>
      </c>
      <c r="BF270" s="22" t="str">
        <f t="shared" si="215"/>
        <v>1G</v>
      </c>
      <c r="BG270" s="22" t="str">
        <f t="shared" si="216"/>
        <v>2G</v>
      </c>
      <c r="BH270" s="22" t="str">
        <f t="shared" si="217"/>
        <v>3G</v>
      </c>
      <c r="BI270" s="22">
        <f t="shared" si="242"/>
        <v>4</v>
      </c>
      <c r="BJ270" s="22">
        <f t="shared" si="243"/>
        <v>1</v>
      </c>
      <c r="BK270" s="22">
        <f t="shared" si="244"/>
        <v>1</v>
      </c>
      <c r="BL270" s="22" t="str">
        <f t="shared" si="245"/>
        <v>411</v>
      </c>
      <c r="BS270"/>
      <c r="CL270" s="23">
        <v>141</v>
      </c>
      <c r="CM270" s="23">
        <v>140</v>
      </c>
      <c r="CO270"/>
    </row>
    <row r="271" spans="1:93" ht="17" hidden="1">
      <c r="B271" s="15">
        <v>267</v>
      </c>
      <c r="C271" s="23" t="s">
        <v>297</v>
      </c>
      <c r="D271" s="16">
        <v>3</v>
      </c>
      <c r="E271" s="17">
        <v>3257663300</v>
      </c>
      <c r="F271" s="16">
        <v>28</v>
      </c>
      <c r="G271" s="17">
        <v>58172559</v>
      </c>
      <c r="H271" s="17">
        <v>1141</v>
      </c>
      <c r="I271" s="17">
        <v>1427548</v>
      </c>
      <c r="J271" s="17">
        <v>55101</v>
      </c>
      <c r="K271" s="17">
        <v>59122</v>
      </c>
      <c r="L271" s="17">
        <v>925922</v>
      </c>
      <c r="M271" s="17">
        <v>5000</v>
      </c>
      <c r="N271" s="23">
        <v>7</v>
      </c>
      <c r="O271" s="23">
        <v>8</v>
      </c>
      <c r="P271" s="23">
        <v>24</v>
      </c>
      <c r="Q271" s="23">
        <v>34</v>
      </c>
      <c r="R271" s="23">
        <v>36</v>
      </c>
      <c r="S271" s="23">
        <v>41</v>
      </c>
      <c r="T271" s="23">
        <v>1</v>
      </c>
      <c r="U271" s="23">
        <f t="shared" si="218"/>
        <v>150</v>
      </c>
      <c r="W271" s="22" t="str">
        <f t="shared" si="203"/>
        <v>홀수</v>
      </c>
      <c r="X271" s="22" t="str">
        <f t="shared" si="204"/>
        <v>짝수</v>
      </c>
      <c r="Y271" s="22" t="str">
        <f t="shared" si="205"/>
        <v>짝수</v>
      </c>
      <c r="Z271" s="22" t="str">
        <f t="shared" si="206"/>
        <v>짝수</v>
      </c>
      <c r="AA271" s="22" t="str">
        <f t="shared" si="207"/>
        <v>짝수</v>
      </c>
      <c r="AB271" s="22" t="str">
        <f t="shared" si="208"/>
        <v>홀수</v>
      </c>
      <c r="AC271" s="52" t="str">
        <f t="shared" si="209"/>
        <v>2 : 4</v>
      </c>
      <c r="AD271" s="22">
        <f t="shared" si="210"/>
        <v>2</v>
      </c>
      <c r="AE271" s="22">
        <f t="shared" si="211"/>
        <v>4</v>
      </c>
      <c r="AF271" s="22" t="str">
        <f t="shared" si="219"/>
        <v>저수</v>
      </c>
      <c r="AG271" s="22" t="str">
        <f t="shared" si="220"/>
        <v>저수</v>
      </c>
      <c r="AH271" s="22" t="str">
        <f t="shared" si="221"/>
        <v>고수</v>
      </c>
      <c r="AI271" s="22" t="str">
        <f t="shared" si="222"/>
        <v>고수</v>
      </c>
      <c r="AJ271" s="22" t="str">
        <f t="shared" si="223"/>
        <v>고수</v>
      </c>
      <c r="AK271" s="22" t="str">
        <f t="shared" si="224"/>
        <v>고수</v>
      </c>
      <c r="AL271" s="52" t="str">
        <f t="shared" si="225"/>
        <v>2 : 4</v>
      </c>
      <c r="AM271" s="22">
        <f t="shared" si="226"/>
        <v>2</v>
      </c>
      <c r="AN271" s="22">
        <f t="shared" si="227"/>
        <v>4</v>
      </c>
      <c r="AO271" s="22">
        <f t="shared" si="228"/>
        <v>30</v>
      </c>
      <c r="AP271" s="22" t="str">
        <f t="shared" si="229"/>
        <v>O</v>
      </c>
      <c r="AQ271" s="22" t="str">
        <f t="shared" si="230"/>
        <v>X</v>
      </c>
      <c r="AR271" s="22" t="str">
        <f t="shared" si="231"/>
        <v>X</v>
      </c>
      <c r="AS271" s="22" t="str">
        <f t="shared" si="232"/>
        <v>X</v>
      </c>
      <c r="AT271" s="22" t="str">
        <f t="shared" si="233"/>
        <v>X</v>
      </c>
      <c r="AU271" s="22" t="str">
        <f t="shared" si="234"/>
        <v>X</v>
      </c>
      <c r="AV271" s="22" t="str">
        <f t="shared" si="235"/>
        <v>X</v>
      </c>
      <c r="AW271" s="22" t="str">
        <f t="shared" si="236"/>
        <v>X</v>
      </c>
      <c r="AX271" s="22" t="str">
        <f t="shared" si="237"/>
        <v>X</v>
      </c>
      <c r="AY271" s="22" t="str">
        <f t="shared" si="238"/>
        <v>X</v>
      </c>
      <c r="AZ271" s="22" t="str">
        <f t="shared" si="239"/>
        <v>X</v>
      </c>
      <c r="BA271" s="22" t="str">
        <f t="shared" si="240"/>
        <v>O</v>
      </c>
      <c r="BB271" s="22">
        <f t="shared" si="241"/>
        <v>2</v>
      </c>
      <c r="BC271" s="22" t="str">
        <f t="shared" si="212"/>
        <v>1G</v>
      </c>
      <c r="BD271" s="22" t="str">
        <f t="shared" si="213"/>
        <v>1G</v>
      </c>
      <c r="BE271" s="22" t="str">
        <f t="shared" si="214"/>
        <v>2G</v>
      </c>
      <c r="BF271" s="22" t="str">
        <f t="shared" si="215"/>
        <v>3G</v>
      </c>
      <c r="BG271" s="22" t="str">
        <f t="shared" si="216"/>
        <v>3G</v>
      </c>
      <c r="BH271" s="22" t="str">
        <f t="shared" si="217"/>
        <v>3G</v>
      </c>
      <c r="BI271" s="22">
        <f t="shared" si="242"/>
        <v>2</v>
      </c>
      <c r="BJ271" s="22">
        <f t="shared" si="243"/>
        <v>1</v>
      </c>
      <c r="BK271" s="22">
        <f t="shared" si="244"/>
        <v>3</v>
      </c>
      <c r="BL271" s="22" t="str">
        <f t="shared" si="245"/>
        <v>213</v>
      </c>
      <c r="BS271"/>
      <c r="CL271" s="23">
        <v>142</v>
      </c>
      <c r="CM271" s="23">
        <v>140</v>
      </c>
      <c r="CO271"/>
    </row>
    <row r="272" spans="1:93" ht="17" hidden="1">
      <c r="B272" s="15">
        <v>268</v>
      </c>
      <c r="C272" s="23" t="s">
        <v>298</v>
      </c>
      <c r="D272" s="16">
        <v>7</v>
      </c>
      <c r="E272" s="17">
        <v>1350954515</v>
      </c>
      <c r="F272" s="16">
        <v>35</v>
      </c>
      <c r="G272" s="17">
        <v>45031818</v>
      </c>
      <c r="H272" s="17">
        <v>1362</v>
      </c>
      <c r="I272" s="17">
        <v>1157206</v>
      </c>
      <c r="J272" s="17">
        <v>61857</v>
      </c>
      <c r="K272" s="17">
        <v>50960</v>
      </c>
      <c r="L272" s="17">
        <v>969153</v>
      </c>
      <c r="M272" s="17">
        <v>5000</v>
      </c>
      <c r="N272" s="23">
        <v>3</v>
      </c>
      <c r="O272" s="23">
        <v>10</v>
      </c>
      <c r="P272" s="23">
        <v>19</v>
      </c>
      <c r="Q272" s="23">
        <v>24</v>
      </c>
      <c r="R272" s="23">
        <v>32</v>
      </c>
      <c r="S272" s="23">
        <v>45</v>
      </c>
      <c r="T272" s="23">
        <v>12</v>
      </c>
      <c r="U272" s="23">
        <f t="shared" si="218"/>
        <v>133</v>
      </c>
      <c r="W272" s="22" t="str">
        <f t="shared" si="203"/>
        <v>홀수</v>
      </c>
      <c r="X272" s="22" t="str">
        <f t="shared" si="204"/>
        <v>짝수</v>
      </c>
      <c r="Y272" s="22" t="str">
        <f t="shared" si="205"/>
        <v>홀수</v>
      </c>
      <c r="Z272" s="22" t="str">
        <f t="shared" si="206"/>
        <v>짝수</v>
      </c>
      <c r="AA272" s="22" t="str">
        <f t="shared" si="207"/>
        <v>짝수</v>
      </c>
      <c r="AB272" s="22" t="str">
        <f t="shared" si="208"/>
        <v>홀수</v>
      </c>
      <c r="AC272" s="52" t="str">
        <f t="shared" si="209"/>
        <v>3 : 3</v>
      </c>
      <c r="AD272" s="22">
        <f t="shared" si="210"/>
        <v>3</v>
      </c>
      <c r="AE272" s="22">
        <f t="shared" si="211"/>
        <v>3</v>
      </c>
      <c r="AF272" s="22" t="str">
        <f t="shared" si="219"/>
        <v>저수</v>
      </c>
      <c r="AG272" s="22" t="str">
        <f t="shared" si="220"/>
        <v>저수</v>
      </c>
      <c r="AH272" s="22" t="str">
        <f t="shared" si="221"/>
        <v>저수</v>
      </c>
      <c r="AI272" s="22" t="str">
        <f t="shared" si="222"/>
        <v>고수</v>
      </c>
      <c r="AJ272" s="22" t="str">
        <f t="shared" si="223"/>
        <v>고수</v>
      </c>
      <c r="AK272" s="22" t="str">
        <f t="shared" si="224"/>
        <v>고수</v>
      </c>
      <c r="AL272" s="52" t="str">
        <f t="shared" si="225"/>
        <v>3 : 3</v>
      </c>
      <c r="AM272" s="22">
        <f t="shared" si="226"/>
        <v>3</v>
      </c>
      <c r="AN272" s="22">
        <f t="shared" si="227"/>
        <v>3</v>
      </c>
      <c r="AO272" s="22">
        <f t="shared" si="228"/>
        <v>23</v>
      </c>
      <c r="AP272" s="22" t="str">
        <f t="shared" si="229"/>
        <v>O</v>
      </c>
      <c r="AQ272" s="22" t="str">
        <f t="shared" si="230"/>
        <v>X</v>
      </c>
      <c r="AR272" s="22" t="str">
        <f t="shared" si="231"/>
        <v>O</v>
      </c>
      <c r="AS272" s="22" t="str">
        <f t="shared" si="232"/>
        <v>X</v>
      </c>
      <c r="AT272" s="22" t="str">
        <f t="shared" si="233"/>
        <v>X</v>
      </c>
      <c r="AU272" s="22" t="str">
        <f t="shared" si="234"/>
        <v>X</v>
      </c>
      <c r="AV272" s="22" t="str">
        <f t="shared" si="235"/>
        <v>X</v>
      </c>
      <c r="AW272" s="22" t="str">
        <f t="shared" si="236"/>
        <v>X</v>
      </c>
      <c r="AX272" s="22" t="str">
        <f t="shared" si="237"/>
        <v>X</v>
      </c>
      <c r="AY272" s="22" t="str">
        <f t="shared" si="238"/>
        <v>X</v>
      </c>
      <c r="AZ272" s="22" t="str">
        <f t="shared" si="239"/>
        <v>X</v>
      </c>
      <c r="BA272" s="22" t="str">
        <f t="shared" si="240"/>
        <v>X</v>
      </c>
      <c r="BB272" s="22">
        <f t="shared" si="241"/>
        <v>2</v>
      </c>
      <c r="BC272" s="22" t="str">
        <f t="shared" si="212"/>
        <v>1G</v>
      </c>
      <c r="BD272" s="22" t="str">
        <f t="shared" si="213"/>
        <v>1G</v>
      </c>
      <c r="BE272" s="22" t="str">
        <f t="shared" si="214"/>
        <v>2G</v>
      </c>
      <c r="BF272" s="22" t="str">
        <f t="shared" si="215"/>
        <v>2G</v>
      </c>
      <c r="BG272" s="22" t="str">
        <f t="shared" si="216"/>
        <v>3G</v>
      </c>
      <c r="BH272" s="22" t="str">
        <f t="shared" si="217"/>
        <v>3G</v>
      </c>
      <c r="BI272" s="22">
        <f t="shared" si="242"/>
        <v>2</v>
      </c>
      <c r="BJ272" s="22">
        <f t="shared" si="243"/>
        <v>2</v>
      </c>
      <c r="BK272" s="22">
        <f t="shared" si="244"/>
        <v>2</v>
      </c>
      <c r="BL272" s="22" t="str">
        <f t="shared" si="245"/>
        <v>222</v>
      </c>
      <c r="BS272"/>
      <c r="CL272" s="23">
        <v>142</v>
      </c>
      <c r="CM272" s="23">
        <v>140</v>
      </c>
      <c r="CO272"/>
    </row>
    <row r="273" spans="2:93" ht="17" hidden="1">
      <c r="B273" s="15">
        <v>269</v>
      </c>
      <c r="C273" s="23" t="s">
        <v>299</v>
      </c>
      <c r="D273" s="16">
        <v>5</v>
      </c>
      <c r="E273" s="17">
        <v>1961399940</v>
      </c>
      <c r="F273" s="16">
        <v>22</v>
      </c>
      <c r="G273" s="17">
        <v>74295453</v>
      </c>
      <c r="H273" s="17">
        <v>1014</v>
      </c>
      <c r="I273" s="17">
        <v>1611933</v>
      </c>
      <c r="J273" s="17">
        <v>50514</v>
      </c>
      <c r="K273" s="17">
        <v>64715</v>
      </c>
      <c r="L273" s="17">
        <v>866762</v>
      </c>
      <c r="M273" s="17">
        <v>5000</v>
      </c>
      <c r="N273" s="23">
        <v>5</v>
      </c>
      <c r="O273" s="23">
        <v>18</v>
      </c>
      <c r="P273" s="23">
        <v>20</v>
      </c>
      <c r="Q273" s="23">
        <v>36</v>
      </c>
      <c r="R273" s="23">
        <v>42</v>
      </c>
      <c r="S273" s="23">
        <v>43</v>
      </c>
      <c r="T273" s="23">
        <v>32</v>
      </c>
      <c r="U273" s="23">
        <f t="shared" si="218"/>
        <v>164</v>
      </c>
      <c r="W273" s="22" t="str">
        <f t="shared" si="203"/>
        <v>홀수</v>
      </c>
      <c r="X273" s="22" t="str">
        <f t="shared" si="204"/>
        <v>짝수</v>
      </c>
      <c r="Y273" s="22" t="str">
        <f t="shared" si="205"/>
        <v>짝수</v>
      </c>
      <c r="Z273" s="22" t="str">
        <f t="shared" si="206"/>
        <v>짝수</v>
      </c>
      <c r="AA273" s="22" t="str">
        <f t="shared" si="207"/>
        <v>짝수</v>
      </c>
      <c r="AB273" s="22" t="str">
        <f t="shared" si="208"/>
        <v>홀수</v>
      </c>
      <c r="AC273" s="52" t="str">
        <f t="shared" si="209"/>
        <v>2 : 4</v>
      </c>
      <c r="AD273" s="22">
        <f t="shared" si="210"/>
        <v>2</v>
      </c>
      <c r="AE273" s="22">
        <f t="shared" si="211"/>
        <v>4</v>
      </c>
      <c r="AF273" s="22" t="str">
        <f t="shared" si="219"/>
        <v>저수</v>
      </c>
      <c r="AG273" s="22" t="str">
        <f t="shared" si="220"/>
        <v>저수</v>
      </c>
      <c r="AH273" s="22" t="str">
        <f t="shared" si="221"/>
        <v>저수</v>
      </c>
      <c r="AI273" s="22" t="str">
        <f t="shared" si="222"/>
        <v>고수</v>
      </c>
      <c r="AJ273" s="22" t="str">
        <f t="shared" si="223"/>
        <v>고수</v>
      </c>
      <c r="AK273" s="22" t="str">
        <f t="shared" si="224"/>
        <v>고수</v>
      </c>
      <c r="AL273" s="52" t="str">
        <f t="shared" si="225"/>
        <v>3 : 3</v>
      </c>
      <c r="AM273" s="22">
        <f t="shared" si="226"/>
        <v>3</v>
      </c>
      <c r="AN273" s="22">
        <f t="shared" si="227"/>
        <v>3</v>
      </c>
      <c r="AO273" s="22">
        <f t="shared" si="228"/>
        <v>24</v>
      </c>
      <c r="AP273" s="22" t="str">
        <f t="shared" si="229"/>
        <v>O</v>
      </c>
      <c r="AQ273" s="22" t="str">
        <f t="shared" si="230"/>
        <v>X</v>
      </c>
      <c r="AR273" s="22" t="str">
        <f t="shared" si="231"/>
        <v>X</v>
      </c>
      <c r="AS273" s="22" t="str">
        <f t="shared" si="232"/>
        <v>X</v>
      </c>
      <c r="AT273" s="22" t="str">
        <f t="shared" si="233"/>
        <v>X</v>
      </c>
      <c r="AU273" s="22" t="str">
        <f t="shared" si="234"/>
        <v>X</v>
      </c>
      <c r="AV273" s="22" t="str">
        <f t="shared" si="235"/>
        <v>X</v>
      </c>
      <c r="AW273" s="22" t="str">
        <f t="shared" si="236"/>
        <v>X</v>
      </c>
      <c r="AX273" s="22" t="str">
        <f t="shared" si="237"/>
        <v>X</v>
      </c>
      <c r="AY273" s="22" t="str">
        <f t="shared" si="238"/>
        <v>X</v>
      </c>
      <c r="AZ273" s="22" t="str">
        <f t="shared" si="239"/>
        <v>X</v>
      </c>
      <c r="BA273" s="22" t="str">
        <f t="shared" si="240"/>
        <v>O</v>
      </c>
      <c r="BB273" s="22">
        <f t="shared" si="241"/>
        <v>2</v>
      </c>
      <c r="BC273" s="22" t="str">
        <f t="shared" si="212"/>
        <v>1G</v>
      </c>
      <c r="BD273" s="22" t="str">
        <f t="shared" si="213"/>
        <v>2G</v>
      </c>
      <c r="BE273" s="22" t="str">
        <f t="shared" si="214"/>
        <v>2G</v>
      </c>
      <c r="BF273" s="22" t="str">
        <f t="shared" si="215"/>
        <v>3G</v>
      </c>
      <c r="BG273" s="22" t="str">
        <f t="shared" si="216"/>
        <v>3G</v>
      </c>
      <c r="BH273" s="22" t="str">
        <f t="shared" si="217"/>
        <v>3G</v>
      </c>
      <c r="BI273" s="22">
        <f t="shared" si="242"/>
        <v>1</v>
      </c>
      <c r="BJ273" s="22">
        <f t="shared" si="243"/>
        <v>2</v>
      </c>
      <c r="BK273" s="22">
        <f t="shared" si="244"/>
        <v>3</v>
      </c>
      <c r="BL273" s="22" t="str">
        <f t="shared" si="245"/>
        <v>123</v>
      </c>
      <c r="BS273"/>
      <c r="CL273" s="23">
        <v>142</v>
      </c>
      <c r="CM273" s="23">
        <v>140</v>
      </c>
      <c r="CO273"/>
    </row>
    <row r="274" spans="2:93" ht="17" hidden="1">
      <c r="B274" s="15">
        <v>270</v>
      </c>
      <c r="C274" s="23" t="s">
        <v>300</v>
      </c>
      <c r="D274" s="16">
        <v>5</v>
      </c>
      <c r="E274" s="17">
        <v>1927830060</v>
      </c>
      <c r="F274" s="16">
        <v>32</v>
      </c>
      <c r="G274" s="17">
        <v>50203908</v>
      </c>
      <c r="H274" s="17">
        <v>1242</v>
      </c>
      <c r="I274" s="17">
        <v>1293499</v>
      </c>
      <c r="J274" s="17">
        <v>59807</v>
      </c>
      <c r="K274" s="17">
        <v>53724</v>
      </c>
      <c r="L274" s="17">
        <v>971485</v>
      </c>
      <c r="M274" s="17">
        <v>5000</v>
      </c>
      <c r="N274" s="23">
        <v>5</v>
      </c>
      <c r="O274" s="23">
        <v>9</v>
      </c>
      <c r="P274" s="23">
        <v>12</v>
      </c>
      <c r="Q274" s="23">
        <v>20</v>
      </c>
      <c r="R274" s="23">
        <v>21</v>
      </c>
      <c r="S274" s="23">
        <v>26</v>
      </c>
      <c r="T274" s="23">
        <v>27</v>
      </c>
      <c r="U274" s="23">
        <f t="shared" si="218"/>
        <v>93</v>
      </c>
      <c r="W274" s="22" t="str">
        <f t="shared" si="203"/>
        <v>홀수</v>
      </c>
      <c r="X274" s="22" t="str">
        <f t="shared" si="204"/>
        <v>홀수</v>
      </c>
      <c r="Y274" s="22" t="str">
        <f t="shared" si="205"/>
        <v>짝수</v>
      </c>
      <c r="Z274" s="22" t="str">
        <f t="shared" si="206"/>
        <v>짝수</v>
      </c>
      <c r="AA274" s="22" t="str">
        <f t="shared" si="207"/>
        <v>홀수</v>
      </c>
      <c r="AB274" s="22" t="str">
        <f t="shared" si="208"/>
        <v>짝수</v>
      </c>
      <c r="AC274" s="52" t="str">
        <f t="shared" si="209"/>
        <v>3 : 3</v>
      </c>
      <c r="AD274" s="22">
        <f t="shared" si="210"/>
        <v>3</v>
      </c>
      <c r="AE274" s="22">
        <f t="shared" si="211"/>
        <v>3</v>
      </c>
      <c r="AF274" s="22" t="str">
        <f t="shared" si="219"/>
        <v>저수</v>
      </c>
      <c r="AG274" s="22" t="str">
        <f t="shared" si="220"/>
        <v>저수</v>
      </c>
      <c r="AH274" s="22" t="str">
        <f t="shared" si="221"/>
        <v>저수</v>
      </c>
      <c r="AI274" s="22" t="str">
        <f t="shared" si="222"/>
        <v>저수</v>
      </c>
      <c r="AJ274" s="22" t="str">
        <f t="shared" si="223"/>
        <v>저수</v>
      </c>
      <c r="AK274" s="22" t="str">
        <f t="shared" si="224"/>
        <v>고수</v>
      </c>
      <c r="AL274" s="52" t="str">
        <f t="shared" si="225"/>
        <v>5 : 1</v>
      </c>
      <c r="AM274" s="22">
        <f t="shared" si="226"/>
        <v>5</v>
      </c>
      <c r="AN274" s="22">
        <f t="shared" si="227"/>
        <v>1</v>
      </c>
      <c r="AO274" s="22">
        <f t="shared" si="228"/>
        <v>23</v>
      </c>
      <c r="AP274" s="22" t="str">
        <f t="shared" si="229"/>
        <v>O</v>
      </c>
      <c r="AQ274" s="22" t="str">
        <f t="shared" si="230"/>
        <v>X</v>
      </c>
      <c r="AR274" s="22" t="str">
        <f t="shared" si="231"/>
        <v>X</v>
      </c>
      <c r="AS274" s="22" t="str">
        <f t="shared" si="232"/>
        <v>X</v>
      </c>
      <c r="AT274" s="22" t="str">
        <f t="shared" si="233"/>
        <v>X</v>
      </c>
      <c r="AU274" s="22" t="str">
        <f t="shared" si="234"/>
        <v>X</v>
      </c>
      <c r="AV274" s="22" t="str">
        <f t="shared" si="235"/>
        <v>X</v>
      </c>
      <c r="AW274" s="22" t="str">
        <f t="shared" si="236"/>
        <v>X</v>
      </c>
      <c r="AX274" s="22" t="str">
        <f t="shared" si="237"/>
        <v>X</v>
      </c>
      <c r="AY274" s="22" t="str">
        <f t="shared" si="238"/>
        <v>X</v>
      </c>
      <c r="AZ274" s="22" t="str">
        <f t="shared" si="239"/>
        <v>X</v>
      </c>
      <c r="BA274" s="22" t="str">
        <f t="shared" si="240"/>
        <v>X</v>
      </c>
      <c r="BB274" s="22">
        <f t="shared" si="241"/>
        <v>1</v>
      </c>
      <c r="BC274" s="22" t="str">
        <f t="shared" si="212"/>
        <v>1G</v>
      </c>
      <c r="BD274" s="22" t="str">
        <f t="shared" si="213"/>
        <v>1G</v>
      </c>
      <c r="BE274" s="22" t="str">
        <f t="shared" si="214"/>
        <v>1G</v>
      </c>
      <c r="BF274" s="22" t="str">
        <f t="shared" si="215"/>
        <v>2G</v>
      </c>
      <c r="BG274" s="22" t="str">
        <f t="shared" si="216"/>
        <v>2G</v>
      </c>
      <c r="BH274" s="22" t="str">
        <f t="shared" si="217"/>
        <v>2G</v>
      </c>
      <c r="BI274" s="22">
        <f t="shared" si="242"/>
        <v>3</v>
      </c>
      <c r="BJ274" s="22">
        <f t="shared" si="243"/>
        <v>3</v>
      </c>
      <c r="BK274" s="22">
        <f t="shared" si="244"/>
        <v>0</v>
      </c>
      <c r="BL274" s="22" t="str">
        <f t="shared" si="245"/>
        <v>330</v>
      </c>
      <c r="BS274"/>
      <c r="CL274" s="23">
        <v>142</v>
      </c>
      <c r="CM274" s="23">
        <v>140</v>
      </c>
      <c r="CO274"/>
    </row>
    <row r="275" spans="2:93" ht="17" hidden="1">
      <c r="B275" s="15">
        <v>271</v>
      </c>
      <c r="C275" s="23" t="s">
        <v>301</v>
      </c>
      <c r="D275" s="16">
        <v>6</v>
      </c>
      <c r="E275" s="17">
        <v>1565918150</v>
      </c>
      <c r="F275" s="16">
        <v>28</v>
      </c>
      <c r="G275" s="17">
        <v>55925649</v>
      </c>
      <c r="H275" s="17">
        <v>1256</v>
      </c>
      <c r="I275" s="17">
        <v>1246751</v>
      </c>
      <c r="J275" s="17">
        <v>59418</v>
      </c>
      <c r="K275" s="17">
        <v>52709</v>
      </c>
      <c r="L275" s="17">
        <v>956127</v>
      </c>
      <c r="M275" s="17">
        <v>5000</v>
      </c>
      <c r="N275" s="23">
        <v>3</v>
      </c>
      <c r="O275" s="23">
        <v>8</v>
      </c>
      <c r="P275" s="23">
        <v>9</v>
      </c>
      <c r="Q275" s="23">
        <v>27</v>
      </c>
      <c r="R275" s="23">
        <v>29</v>
      </c>
      <c r="S275" s="23">
        <v>40</v>
      </c>
      <c r="T275" s="23">
        <v>36</v>
      </c>
      <c r="U275" s="23">
        <f t="shared" si="218"/>
        <v>116</v>
      </c>
      <c r="W275" s="22" t="str">
        <f t="shared" si="203"/>
        <v>홀수</v>
      </c>
      <c r="X275" s="22" t="str">
        <f t="shared" si="204"/>
        <v>짝수</v>
      </c>
      <c r="Y275" s="22" t="str">
        <f t="shared" si="205"/>
        <v>홀수</v>
      </c>
      <c r="Z275" s="22" t="str">
        <f t="shared" si="206"/>
        <v>홀수</v>
      </c>
      <c r="AA275" s="22" t="str">
        <f t="shared" si="207"/>
        <v>홀수</v>
      </c>
      <c r="AB275" s="22" t="str">
        <f t="shared" si="208"/>
        <v>짝수</v>
      </c>
      <c r="AC275" s="52" t="str">
        <f t="shared" si="209"/>
        <v>4 : 2</v>
      </c>
      <c r="AD275" s="22">
        <f t="shared" si="210"/>
        <v>4</v>
      </c>
      <c r="AE275" s="22">
        <f t="shared" si="211"/>
        <v>2</v>
      </c>
      <c r="AF275" s="22" t="str">
        <f t="shared" si="219"/>
        <v>저수</v>
      </c>
      <c r="AG275" s="22" t="str">
        <f t="shared" si="220"/>
        <v>저수</v>
      </c>
      <c r="AH275" s="22" t="str">
        <f t="shared" si="221"/>
        <v>저수</v>
      </c>
      <c r="AI275" s="22" t="str">
        <f t="shared" si="222"/>
        <v>고수</v>
      </c>
      <c r="AJ275" s="22" t="str">
        <f t="shared" si="223"/>
        <v>고수</v>
      </c>
      <c r="AK275" s="22" t="str">
        <f t="shared" si="224"/>
        <v>고수</v>
      </c>
      <c r="AL275" s="52" t="str">
        <f t="shared" si="225"/>
        <v>3 : 3</v>
      </c>
      <c r="AM275" s="22">
        <f t="shared" si="226"/>
        <v>3</v>
      </c>
      <c r="AN275" s="22">
        <f t="shared" si="227"/>
        <v>3</v>
      </c>
      <c r="AO275" s="22">
        <f t="shared" si="228"/>
        <v>36</v>
      </c>
      <c r="AP275" s="22" t="str">
        <f t="shared" si="229"/>
        <v>O</v>
      </c>
      <c r="AQ275" s="22" t="str">
        <f t="shared" si="230"/>
        <v>X</v>
      </c>
      <c r="AR275" s="22" t="str">
        <f t="shared" si="231"/>
        <v>X</v>
      </c>
      <c r="AS275" s="22" t="str">
        <f t="shared" si="232"/>
        <v>X</v>
      </c>
      <c r="AT275" s="22" t="str">
        <f t="shared" si="233"/>
        <v>X</v>
      </c>
      <c r="AU275" s="22" t="str">
        <f t="shared" si="234"/>
        <v>X</v>
      </c>
      <c r="AV275" s="22" t="str">
        <f t="shared" si="235"/>
        <v>X</v>
      </c>
      <c r="AW275" s="22" t="str">
        <f t="shared" si="236"/>
        <v>X</v>
      </c>
      <c r="AX275" s="22" t="str">
        <f t="shared" si="237"/>
        <v>X</v>
      </c>
      <c r="AY275" s="22" t="str">
        <f t="shared" si="238"/>
        <v>X</v>
      </c>
      <c r="AZ275" s="22" t="str">
        <f t="shared" si="239"/>
        <v>O</v>
      </c>
      <c r="BA275" s="22" t="str">
        <f t="shared" si="240"/>
        <v>X</v>
      </c>
      <c r="BB275" s="22">
        <f t="shared" si="241"/>
        <v>2</v>
      </c>
      <c r="BC275" s="22" t="str">
        <f t="shared" si="212"/>
        <v>1G</v>
      </c>
      <c r="BD275" s="22" t="str">
        <f t="shared" si="213"/>
        <v>1G</v>
      </c>
      <c r="BE275" s="22" t="str">
        <f t="shared" si="214"/>
        <v>1G</v>
      </c>
      <c r="BF275" s="22" t="str">
        <f t="shared" si="215"/>
        <v>2G</v>
      </c>
      <c r="BG275" s="22" t="str">
        <f t="shared" si="216"/>
        <v>2G</v>
      </c>
      <c r="BH275" s="22" t="str">
        <f t="shared" si="217"/>
        <v>3G</v>
      </c>
      <c r="BI275" s="22">
        <f t="shared" si="242"/>
        <v>3</v>
      </c>
      <c r="BJ275" s="22">
        <f t="shared" si="243"/>
        <v>2</v>
      </c>
      <c r="BK275" s="22">
        <f t="shared" si="244"/>
        <v>1</v>
      </c>
      <c r="BL275" s="22" t="str">
        <f t="shared" si="245"/>
        <v>321</v>
      </c>
      <c r="BS275"/>
      <c r="CL275" s="23">
        <v>142</v>
      </c>
      <c r="CM275" s="23">
        <v>140</v>
      </c>
      <c r="CO275"/>
    </row>
    <row r="276" spans="2:93" ht="17" hidden="1">
      <c r="B276" s="15">
        <v>272</v>
      </c>
      <c r="C276" s="23" t="s">
        <v>302</v>
      </c>
      <c r="D276" s="16">
        <v>9</v>
      </c>
      <c r="E276" s="17">
        <v>1104622800</v>
      </c>
      <c r="F276" s="16">
        <v>39</v>
      </c>
      <c r="G276" s="17">
        <v>42485493</v>
      </c>
      <c r="H276" s="17">
        <v>1370</v>
      </c>
      <c r="I276" s="17">
        <v>1209442</v>
      </c>
      <c r="J276" s="17">
        <v>63219</v>
      </c>
      <c r="K276" s="17">
        <v>52419</v>
      </c>
      <c r="L276" s="17">
        <v>1017199</v>
      </c>
      <c r="M276" s="17">
        <v>5000</v>
      </c>
      <c r="N276" s="23">
        <v>7</v>
      </c>
      <c r="O276" s="23">
        <v>9</v>
      </c>
      <c r="P276" s="23">
        <v>12</v>
      </c>
      <c r="Q276" s="23">
        <v>27</v>
      </c>
      <c r="R276" s="23">
        <v>39</v>
      </c>
      <c r="S276" s="23">
        <v>43</v>
      </c>
      <c r="T276" s="23">
        <v>28</v>
      </c>
      <c r="U276" s="23">
        <f t="shared" si="218"/>
        <v>137</v>
      </c>
      <c r="W276" s="22" t="str">
        <f t="shared" si="203"/>
        <v>홀수</v>
      </c>
      <c r="X276" s="22" t="str">
        <f t="shared" si="204"/>
        <v>홀수</v>
      </c>
      <c r="Y276" s="22" t="str">
        <f t="shared" si="205"/>
        <v>짝수</v>
      </c>
      <c r="Z276" s="22" t="str">
        <f t="shared" si="206"/>
        <v>홀수</v>
      </c>
      <c r="AA276" s="22" t="str">
        <f t="shared" si="207"/>
        <v>홀수</v>
      </c>
      <c r="AB276" s="22" t="str">
        <f t="shared" si="208"/>
        <v>홀수</v>
      </c>
      <c r="AC276" s="52" t="str">
        <f t="shared" si="209"/>
        <v>5 : 1</v>
      </c>
      <c r="AD276" s="22">
        <f t="shared" si="210"/>
        <v>5</v>
      </c>
      <c r="AE276" s="22">
        <f t="shared" si="211"/>
        <v>1</v>
      </c>
      <c r="AF276" s="22" t="str">
        <f t="shared" si="219"/>
        <v>저수</v>
      </c>
      <c r="AG276" s="22" t="str">
        <f t="shared" si="220"/>
        <v>저수</v>
      </c>
      <c r="AH276" s="22" t="str">
        <f t="shared" si="221"/>
        <v>저수</v>
      </c>
      <c r="AI276" s="22" t="str">
        <f t="shared" si="222"/>
        <v>고수</v>
      </c>
      <c r="AJ276" s="22" t="str">
        <f t="shared" si="223"/>
        <v>고수</v>
      </c>
      <c r="AK276" s="22" t="str">
        <f t="shared" si="224"/>
        <v>고수</v>
      </c>
      <c r="AL276" s="52" t="str">
        <f t="shared" si="225"/>
        <v>3 : 3</v>
      </c>
      <c r="AM276" s="22">
        <f t="shared" si="226"/>
        <v>3</v>
      </c>
      <c r="AN276" s="22">
        <f t="shared" si="227"/>
        <v>3</v>
      </c>
      <c r="AO276" s="22">
        <f t="shared" si="228"/>
        <v>37</v>
      </c>
      <c r="AP276" s="22" t="str">
        <f t="shared" si="229"/>
        <v>O</v>
      </c>
      <c r="AQ276" s="22" t="str">
        <f t="shared" si="230"/>
        <v>X</v>
      </c>
      <c r="AR276" s="22" t="str">
        <f t="shared" si="231"/>
        <v>X</v>
      </c>
      <c r="AS276" s="22" t="str">
        <f t="shared" si="232"/>
        <v>X</v>
      </c>
      <c r="AT276" s="22" t="str">
        <f t="shared" si="233"/>
        <v>X</v>
      </c>
      <c r="AU276" s="22" t="str">
        <f t="shared" si="234"/>
        <v>X</v>
      </c>
      <c r="AV276" s="22" t="str">
        <f t="shared" si="235"/>
        <v>X</v>
      </c>
      <c r="AW276" s="22" t="str">
        <f t="shared" si="236"/>
        <v>X</v>
      </c>
      <c r="AX276" s="22" t="str">
        <f t="shared" si="237"/>
        <v>X</v>
      </c>
      <c r="AY276" s="22" t="str">
        <f t="shared" si="238"/>
        <v>X</v>
      </c>
      <c r="AZ276" s="22" t="str">
        <f t="shared" si="239"/>
        <v>X</v>
      </c>
      <c r="BA276" s="22" t="str">
        <f t="shared" si="240"/>
        <v>O</v>
      </c>
      <c r="BB276" s="22">
        <f t="shared" si="241"/>
        <v>2</v>
      </c>
      <c r="BC276" s="22" t="str">
        <f t="shared" si="212"/>
        <v>1G</v>
      </c>
      <c r="BD276" s="22" t="str">
        <f t="shared" si="213"/>
        <v>1G</v>
      </c>
      <c r="BE276" s="22" t="str">
        <f t="shared" si="214"/>
        <v>1G</v>
      </c>
      <c r="BF276" s="22" t="str">
        <f t="shared" si="215"/>
        <v>2G</v>
      </c>
      <c r="BG276" s="22" t="str">
        <f t="shared" si="216"/>
        <v>3G</v>
      </c>
      <c r="BH276" s="22" t="str">
        <f t="shared" si="217"/>
        <v>3G</v>
      </c>
      <c r="BI276" s="22">
        <f t="shared" si="242"/>
        <v>3</v>
      </c>
      <c r="BJ276" s="22">
        <f t="shared" si="243"/>
        <v>1</v>
      </c>
      <c r="BK276" s="22">
        <f t="shared" si="244"/>
        <v>2</v>
      </c>
      <c r="BL276" s="22" t="str">
        <f t="shared" si="245"/>
        <v>312</v>
      </c>
      <c r="BS276"/>
      <c r="CL276" s="23">
        <v>142</v>
      </c>
      <c r="CM276" s="23">
        <v>140</v>
      </c>
      <c r="CO276"/>
    </row>
    <row r="277" spans="2:93" ht="17" hidden="1">
      <c r="B277" s="15">
        <v>273</v>
      </c>
      <c r="C277" s="23" t="s">
        <v>303</v>
      </c>
      <c r="D277" s="16">
        <v>3</v>
      </c>
      <c r="E277" s="17">
        <v>3339543100</v>
      </c>
      <c r="F277" s="16">
        <v>21</v>
      </c>
      <c r="G277" s="17">
        <v>79512931</v>
      </c>
      <c r="H277" s="17">
        <v>1096</v>
      </c>
      <c r="I277" s="17">
        <v>1523515</v>
      </c>
      <c r="J277" s="17">
        <v>56192</v>
      </c>
      <c r="K277" s="17">
        <v>59431</v>
      </c>
      <c r="L277" s="17">
        <v>942078</v>
      </c>
      <c r="M277" s="17">
        <v>5000</v>
      </c>
      <c r="N277" s="23">
        <v>1</v>
      </c>
      <c r="O277" s="23">
        <v>8</v>
      </c>
      <c r="P277" s="23">
        <v>24</v>
      </c>
      <c r="Q277" s="23">
        <v>31</v>
      </c>
      <c r="R277" s="23">
        <v>34</v>
      </c>
      <c r="S277" s="23">
        <v>44</v>
      </c>
      <c r="T277" s="23">
        <v>6</v>
      </c>
      <c r="U277" s="23">
        <f t="shared" si="218"/>
        <v>142</v>
      </c>
      <c r="W277" s="22" t="str">
        <f t="shared" si="203"/>
        <v>홀수</v>
      </c>
      <c r="X277" s="22" t="str">
        <f t="shared" si="204"/>
        <v>짝수</v>
      </c>
      <c r="Y277" s="22" t="str">
        <f t="shared" si="205"/>
        <v>짝수</v>
      </c>
      <c r="Z277" s="22" t="str">
        <f t="shared" si="206"/>
        <v>홀수</v>
      </c>
      <c r="AA277" s="22" t="str">
        <f t="shared" si="207"/>
        <v>짝수</v>
      </c>
      <c r="AB277" s="22" t="str">
        <f t="shared" si="208"/>
        <v>짝수</v>
      </c>
      <c r="AC277" s="52" t="str">
        <f t="shared" si="209"/>
        <v>2 : 4</v>
      </c>
      <c r="AD277" s="22">
        <f t="shared" si="210"/>
        <v>2</v>
      </c>
      <c r="AE277" s="22">
        <f t="shared" si="211"/>
        <v>4</v>
      </c>
      <c r="AF277" s="22" t="str">
        <f t="shared" si="219"/>
        <v>저수</v>
      </c>
      <c r="AG277" s="22" t="str">
        <f t="shared" si="220"/>
        <v>저수</v>
      </c>
      <c r="AH277" s="22" t="str">
        <f t="shared" si="221"/>
        <v>고수</v>
      </c>
      <c r="AI277" s="22" t="str">
        <f t="shared" si="222"/>
        <v>고수</v>
      </c>
      <c r="AJ277" s="22" t="str">
        <f t="shared" si="223"/>
        <v>고수</v>
      </c>
      <c r="AK277" s="22" t="str">
        <f t="shared" si="224"/>
        <v>고수</v>
      </c>
      <c r="AL277" s="52" t="str">
        <f t="shared" si="225"/>
        <v>2 : 4</v>
      </c>
      <c r="AM277" s="22">
        <f t="shared" si="226"/>
        <v>2</v>
      </c>
      <c r="AN277" s="22">
        <f t="shared" si="227"/>
        <v>4</v>
      </c>
      <c r="AO277" s="22">
        <f t="shared" si="228"/>
        <v>22</v>
      </c>
      <c r="AP277" s="22" t="str">
        <f t="shared" si="229"/>
        <v>X</v>
      </c>
      <c r="AQ277" s="22" t="str">
        <f t="shared" si="230"/>
        <v>X</v>
      </c>
      <c r="AR277" s="22" t="str">
        <f t="shared" si="231"/>
        <v>X</v>
      </c>
      <c r="AS277" s="22" t="str">
        <f t="shared" si="232"/>
        <v>X</v>
      </c>
      <c r="AT277" s="22" t="str">
        <f t="shared" si="233"/>
        <v>X</v>
      </c>
      <c r="AU277" s="22" t="str">
        <f t="shared" si="234"/>
        <v>X</v>
      </c>
      <c r="AV277" s="22" t="str">
        <f t="shared" si="235"/>
        <v>X</v>
      </c>
      <c r="AW277" s="22" t="str">
        <f t="shared" si="236"/>
        <v>X</v>
      </c>
      <c r="AX277" s="22" t="str">
        <f t="shared" si="237"/>
        <v>X</v>
      </c>
      <c r="AY277" s="22" t="str">
        <f t="shared" si="238"/>
        <v>O</v>
      </c>
      <c r="AZ277" s="22" t="str">
        <f t="shared" si="239"/>
        <v>X</v>
      </c>
      <c r="BA277" s="22" t="str">
        <f t="shared" si="240"/>
        <v>X</v>
      </c>
      <c r="BB277" s="22">
        <f t="shared" si="241"/>
        <v>1</v>
      </c>
      <c r="BC277" s="22" t="str">
        <f t="shared" si="212"/>
        <v>1G</v>
      </c>
      <c r="BD277" s="22" t="str">
        <f t="shared" si="213"/>
        <v>1G</v>
      </c>
      <c r="BE277" s="22" t="str">
        <f t="shared" si="214"/>
        <v>2G</v>
      </c>
      <c r="BF277" s="22" t="str">
        <f t="shared" si="215"/>
        <v>3G</v>
      </c>
      <c r="BG277" s="22" t="str">
        <f t="shared" si="216"/>
        <v>3G</v>
      </c>
      <c r="BH277" s="22" t="str">
        <f t="shared" si="217"/>
        <v>3G</v>
      </c>
      <c r="BI277" s="22">
        <f t="shared" si="242"/>
        <v>2</v>
      </c>
      <c r="BJ277" s="22">
        <f t="shared" si="243"/>
        <v>1</v>
      </c>
      <c r="BK277" s="22">
        <f t="shared" si="244"/>
        <v>3</v>
      </c>
      <c r="BL277" s="22" t="str">
        <f t="shared" si="245"/>
        <v>213</v>
      </c>
      <c r="BS277"/>
      <c r="CL277" s="23">
        <v>142</v>
      </c>
      <c r="CM277" s="23">
        <v>140</v>
      </c>
      <c r="CO277"/>
    </row>
    <row r="278" spans="2:93" ht="17" hidden="1">
      <c r="B278" s="15">
        <v>274</v>
      </c>
      <c r="C278" s="23" t="s">
        <v>304</v>
      </c>
      <c r="D278" s="16">
        <v>4</v>
      </c>
      <c r="E278" s="17">
        <v>2505085575</v>
      </c>
      <c r="F278" s="16">
        <v>37</v>
      </c>
      <c r="G278" s="17">
        <v>45136678</v>
      </c>
      <c r="H278" s="17">
        <v>1254</v>
      </c>
      <c r="I278" s="17">
        <v>1331784</v>
      </c>
      <c r="J278" s="17">
        <v>57315</v>
      </c>
      <c r="K278" s="17">
        <v>58277</v>
      </c>
      <c r="L278" s="17">
        <v>923057</v>
      </c>
      <c r="M278" s="17">
        <v>5000</v>
      </c>
      <c r="N278" s="23">
        <v>13</v>
      </c>
      <c r="O278" s="23">
        <v>14</v>
      </c>
      <c r="P278" s="23">
        <v>15</v>
      </c>
      <c r="Q278" s="23">
        <v>26</v>
      </c>
      <c r="R278" s="23">
        <v>35</v>
      </c>
      <c r="S278" s="23">
        <v>39</v>
      </c>
      <c r="T278" s="23">
        <v>25</v>
      </c>
      <c r="U278" s="23">
        <f t="shared" si="218"/>
        <v>142</v>
      </c>
      <c r="W278" s="22" t="str">
        <f t="shared" si="203"/>
        <v>홀수</v>
      </c>
      <c r="X278" s="22" t="str">
        <f t="shared" si="204"/>
        <v>짝수</v>
      </c>
      <c r="Y278" s="22" t="str">
        <f t="shared" si="205"/>
        <v>홀수</v>
      </c>
      <c r="Z278" s="22" t="str">
        <f t="shared" si="206"/>
        <v>짝수</v>
      </c>
      <c r="AA278" s="22" t="str">
        <f t="shared" si="207"/>
        <v>홀수</v>
      </c>
      <c r="AB278" s="22" t="str">
        <f t="shared" si="208"/>
        <v>홀수</v>
      </c>
      <c r="AC278" s="52" t="str">
        <f t="shared" si="209"/>
        <v>4 : 2</v>
      </c>
      <c r="AD278" s="22">
        <f t="shared" si="210"/>
        <v>4</v>
      </c>
      <c r="AE278" s="22">
        <f t="shared" si="211"/>
        <v>2</v>
      </c>
      <c r="AF278" s="22" t="str">
        <f t="shared" si="219"/>
        <v>저수</v>
      </c>
      <c r="AG278" s="22" t="str">
        <f t="shared" si="220"/>
        <v>저수</v>
      </c>
      <c r="AH278" s="22" t="str">
        <f t="shared" si="221"/>
        <v>저수</v>
      </c>
      <c r="AI278" s="22" t="str">
        <f t="shared" si="222"/>
        <v>고수</v>
      </c>
      <c r="AJ278" s="22" t="str">
        <f t="shared" si="223"/>
        <v>고수</v>
      </c>
      <c r="AK278" s="22" t="str">
        <f t="shared" si="224"/>
        <v>고수</v>
      </c>
      <c r="AL278" s="52" t="str">
        <f t="shared" si="225"/>
        <v>3 : 3</v>
      </c>
      <c r="AM278" s="22">
        <f t="shared" si="226"/>
        <v>3</v>
      </c>
      <c r="AN278" s="22">
        <f t="shared" si="227"/>
        <v>3</v>
      </c>
      <c r="AO278" s="22">
        <f t="shared" si="228"/>
        <v>32</v>
      </c>
      <c r="AP278" s="22" t="str">
        <f t="shared" si="229"/>
        <v>O</v>
      </c>
      <c r="AQ278" s="22" t="str">
        <f t="shared" si="230"/>
        <v>X</v>
      </c>
      <c r="AR278" s="22" t="str">
        <f t="shared" si="231"/>
        <v>X</v>
      </c>
      <c r="AS278" s="22" t="str">
        <f t="shared" si="232"/>
        <v>X</v>
      </c>
      <c r="AT278" s="22" t="str">
        <f t="shared" si="233"/>
        <v>X</v>
      </c>
      <c r="AU278" s="22" t="str">
        <f t="shared" si="234"/>
        <v>X</v>
      </c>
      <c r="AV278" s="22" t="str">
        <f t="shared" si="235"/>
        <v>X</v>
      </c>
      <c r="AW278" s="22" t="str">
        <f t="shared" si="236"/>
        <v>X</v>
      </c>
      <c r="AX278" s="22" t="str">
        <f t="shared" si="237"/>
        <v>X</v>
      </c>
      <c r="AY278" s="22" t="str">
        <f t="shared" si="238"/>
        <v>X</v>
      </c>
      <c r="AZ278" s="22" t="str">
        <f t="shared" si="239"/>
        <v>X</v>
      </c>
      <c r="BA278" s="22" t="str">
        <f t="shared" si="240"/>
        <v>X</v>
      </c>
      <c r="BB278" s="22">
        <f t="shared" si="241"/>
        <v>1</v>
      </c>
      <c r="BC278" s="22" t="str">
        <f t="shared" si="212"/>
        <v>1G</v>
      </c>
      <c r="BD278" s="22" t="str">
        <f t="shared" si="213"/>
        <v>1G</v>
      </c>
      <c r="BE278" s="22" t="str">
        <f t="shared" si="214"/>
        <v>1G</v>
      </c>
      <c r="BF278" s="22" t="str">
        <f t="shared" si="215"/>
        <v>2G</v>
      </c>
      <c r="BG278" s="22" t="str">
        <f t="shared" si="216"/>
        <v>3G</v>
      </c>
      <c r="BH278" s="22" t="str">
        <f t="shared" si="217"/>
        <v>3G</v>
      </c>
      <c r="BI278" s="22">
        <f t="shared" si="242"/>
        <v>3</v>
      </c>
      <c r="BJ278" s="22">
        <f t="shared" si="243"/>
        <v>1</v>
      </c>
      <c r="BK278" s="22">
        <f t="shared" si="244"/>
        <v>2</v>
      </c>
      <c r="BL278" s="22" t="str">
        <f t="shared" si="245"/>
        <v>312</v>
      </c>
      <c r="BS278"/>
      <c r="CL278" s="23">
        <v>143</v>
      </c>
      <c r="CM278" s="23">
        <v>140</v>
      </c>
      <c r="CO278"/>
    </row>
    <row r="279" spans="2:93" ht="17" hidden="1">
      <c r="B279" s="15">
        <v>275</v>
      </c>
      <c r="C279" s="23" t="s">
        <v>305</v>
      </c>
      <c r="D279" s="16">
        <v>1</v>
      </c>
      <c r="E279" s="17">
        <v>10044066900</v>
      </c>
      <c r="F279" s="16">
        <v>19</v>
      </c>
      <c r="G279" s="17">
        <v>88105850</v>
      </c>
      <c r="H279" s="16">
        <v>991</v>
      </c>
      <c r="I279" s="17">
        <v>1689215</v>
      </c>
      <c r="J279" s="17">
        <v>51657</v>
      </c>
      <c r="K279" s="17">
        <v>64813</v>
      </c>
      <c r="L279" s="17">
        <v>884959</v>
      </c>
      <c r="M279" s="17">
        <v>5000</v>
      </c>
      <c r="N279" s="23">
        <v>14</v>
      </c>
      <c r="O279" s="23">
        <v>19</v>
      </c>
      <c r="P279" s="23">
        <v>20</v>
      </c>
      <c r="Q279" s="23">
        <v>35</v>
      </c>
      <c r="R279" s="23">
        <v>38</v>
      </c>
      <c r="S279" s="23">
        <v>40</v>
      </c>
      <c r="T279" s="23">
        <v>26</v>
      </c>
      <c r="U279" s="23">
        <f t="shared" si="218"/>
        <v>166</v>
      </c>
      <c r="W279" s="22" t="str">
        <f t="shared" si="203"/>
        <v>짝수</v>
      </c>
      <c r="X279" s="22" t="str">
        <f t="shared" si="204"/>
        <v>홀수</v>
      </c>
      <c r="Y279" s="22" t="str">
        <f t="shared" si="205"/>
        <v>짝수</v>
      </c>
      <c r="Z279" s="22" t="str">
        <f t="shared" si="206"/>
        <v>홀수</v>
      </c>
      <c r="AA279" s="22" t="str">
        <f t="shared" si="207"/>
        <v>짝수</v>
      </c>
      <c r="AB279" s="22" t="str">
        <f t="shared" si="208"/>
        <v>짝수</v>
      </c>
      <c r="AC279" s="52" t="str">
        <f t="shared" si="209"/>
        <v>2 : 4</v>
      </c>
      <c r="AD279" s="22">
        <f t="shared" si="210"/>
        <v>2</v>
      </c>
      <c r="AE279" s="22">
        <f t="shared" si="211"/>
        <v>4</v>
      </c>
      <c r="AF279" s="22" t="str">
        <f t="shared" si="219"/>
        <v>저수</v>
      </c>
      <c r="AG279" s="22" t="str">
        <f t="shared" si="220"/>
        <v>저수</v>
      </c>
      <c r="AH279" s="22" t="str">
        <f t="shared" si="221"/>
        <v>저수</v>
      </c>
      <c r="AI279" s="22" t="str">
        <f t="shared" si="222"/>
        <v>고수</v>
      </c>
      <c r="AJ279" s="22" t="str">
        <f t="shared" si="223"/>
        <v>고수</v>
      </c>
      <c r="AK279" s="22" t="str">
        <f t="shared" si="224"/>
        <v>고수</v>
      </c>
      <c r="AL279" s="52" t="str">
        <f t="shared" si="225"/>
        <v>3 : 3</v>
      </c>
      <c r="AM279" s="22">
        <f t="shared" si="226"/>
        <v>3</v>
      </c>
      <c r="AN279" s="22">
        <f t="shared" si="227"/>
        <v>3</v>
      </c>
      <c r="AO279" s="22">
        <f t="shared" si="228"/>
        <v>26</v>
      </c>
      <c r="AP279" s="22" t="str">
        <f t="shared" si="229"/>
        <v>X</v>
      </c>
      <c r="AQ279" s="22" t="str">
        <f t="shared" si="230"/>
        <v>O</v>
      </c>
      <c r="AR279" s="22" t="str">
        <f t="shared" si="231"/>
        <v>X</v>
      </c>
      <c r="AS279" s="22" t="str">
        <f t="shared" si="232"/>
        <v>X</v>
      </c>
      <c r="AT279" s="22" t="str">
        <f t="shared" si="233"/>
        <v>X</v>
      </c>
      <c r="AU279" s="22" t="str">
        <f t="shared" si="234"/>
        <v>X</v>
      </c>
      <c r="AV279" s="22" t="str">
        <f t="shared" si="235"/>
        <v>X</v>
      </c>
      <c r="AW279" s="22" t="str">
        <f t="shared" si="236"/>
        <v>X</v>
      </c>
      <c r="AX279" s="22" t="str">
        <f t="shared" si="237"/>
        <v>X</v>
      </c>
      <c r="AY279" s="22" t="str">
        <f t="shared" si="238"/>
        <v>X</v>
      </c>
      <c r="AZ279" s="22" t="str">
        <f t="shared" si="239"/>
        <v>X</v>
      </c>
      <c r="BA279" s="22" t="str">
        <f t="shared" si="240"/>
        <v>X</v>
      </c>
      <c r="BB279" s="22">
        <f t="shared" si="241"/>
        <v>1</v>
      </c>
      <c r="BC279" s="22" t="str">
        <f t="shared" si="212"/>
        <v>1G</v>
      </c>
      <c r="BD279" s="22" t="str">
        <f t="shared" si="213"/>
        <v>2G</v>
      </c>
      <c r="BE279" s="22" t="str">
        <f t="shared" si="214"/>
        <v>2G</v>
      </c>
      <c r="BF279" s="22" t="str">
        <f t="shared" si="215"/>
        <v>3G</v>
      </c>
      <c r="BG279" s="22" t="str">
        <f t="shared" si="216"/>
        <v>3G</v>
      </c>
      <c r="BH279" s="22" t="str">
        <f t="shared" si="217"/>
        <v>3G</v>
      </c>
      <c r="BI279" s="22">
        <f t="shared" si="242"/>
        <v>1</v>
      </c>
      <c r="BJ279" s="22">
        <f t="shared" si="243"/>
        <v>2</v>
      </c>
      <c r="BK279" s="22">
        <f t="shared" si="244"/>
        <v>3</v>
      </c>
      <c r="BL279" s="22" t="str">
        <f t="shared" si="245"/>
        <v>123</v>
      </c>
      <c r="BS279"/>
      <c r="CL279" s="23">
        <v>143</v>
      </c>
      <c r="CM279" s="23">
        <v>140</v>
      </c>
      <c r="CO279"/>
    </row>
    <row r="280" spans="2:93" ht="17" hidden="1">
      <c r="B280" s="15">
        <v>276</v>
      </c>
      <c r="C280" s="23" t="s">
        <v>306</v>
      </c>
      <c r="D280" s="16">
        <v>3</v>
      </c>
      <c r="E280" s="17">
        <v>3312569000</v>
      </c>
      <c r="F280" s="16">
        <v>31</v>
      </c>
      <c r="G280" s="17">
        <v>53428533</v>
      </c>
      <c r="H280" s="17">
        <v>1161</v>
      </c>
      <c r="I280" s="17">
        <v>1426602</v>
      </c>
      <c r="J280" s="17">
        <v>59894</v>
      </c>
      <c r="K280" s="17">
        <v>55308</v>
      </c>
      <c r="L280" s="17">
        <v>944192</v>
      </c>
      <c r="M280" s="17">
        <v>5000</v>
      </c>
      <c r="N280" s="23">
        <v>4</v>
      </c>
      <c r="O280" s="23">
        <v>15</v>
      </c>
      <c r="P280" s="23">
        <v>21</v>
      </c>
      <c r="Q280" s="23">
        <v>33</v>
      </c>
      <c r="R280" s="23">
        <v>39</v>
      </c>
      <c r="S280" s="23">
        <v>41</v>
      </c>
      <c r="T280" s="23">
        <v>25</v>
      </c>
      <c r="U280" s="23">
        <f t="shared" si="218"/>
        <v>153</v>
      </c>
      <c r="W280" s="22" t="str">
        <f t="shared" si="203"/>
        <v>짝수</v>
      </c>
      <c r="X280" s="22" t="str">
        <f t="shared" si="204"/>
        <v>홀수</v>
      </c>
      <c r="Y280" s="22" t="str">
        <f t="shared" si="205"/>
        <v>홀수</v>
      </c>
      <c r="Z280" s="22" t="str">
        <f t="shared" si="206"/>
        <v>홀수</v>
      </c>
      <c r="AA280" s="22" t="str">
        <f t="shared" si="207"/>
        <v>홀수</v>
      </c>
      <c r="AB280" s="22" t="str">
        <f t="shared" si="208"/>
        <v>홀수</v>
      </c>
      <c r="AC280" s="52" t="str">
        <f t="shared" si="209"/>
        <v>5 : 1</v>
      </c>
      <c r="AD280" s="22">
        <f t="shared" si="210"/>
        <v>5</v>
      </c>
      <c r="AE280" s="22">
        <f t="shared" si="211"/>
        <v>1</v>
      </c>
      <c r="AF280" s="22" t="str">
        <f t="shared" si="219"/>
        <v>저수</v>
      </c>
      <c r="AG280" s="22" t="str">
        <f t="shared" si="220"/>
        <v>저수</v>
      </c>
      <c r="AH280" s="22" t="str">
        <f t="shared" si="221"/>
        <v>저수</v>
      </c>
      <c r="AI280" s="22" t="str">
        <f t="shared" si="222"/>
        <v>고수</v>
      </c>
      <c r="AJ280" s="22" t="str">
        <f t="shared" si="223"/>
        <v>고수</v>
      </c>
      <c r="AK280" s="22" t="str">
        <f t="shared" si="224"/>
        <v>고수</v>
      </c>
      <c r="AL280" s="52" t="str">
        <f t="shared" si="225"/>
        <v>3 : 3</v>
      </c>
      <c r="AM280" s="22">
        <f t="shared" si="226"/>
        <v>3</v>
      </c>
      <c r="AN280" s="22">
        <f t="shared" si="227"/>
        <v>3</v>
      </c>
      <c r="AO280" s="22">
        <f t="shared" si="228"/>
        <v>23</v>
      </c>
      <c r="AP280" s="22" t="str">
        <f t="shared" si="229"/>
        <v>X</v>
      </c>
      <c r="AQ280" s="22" t="str">
        <f t="shared" si="230"/>
        <v>X</v>
      </c>
      <c r="AR280" s="22" t="str">
        <f t="shared" si="231"/>
        <v>X</v>
      </c>
      <c r="AS280" s="22" t="str">
        <f t="shared" si="232"/>
        <v>X</v>
      </c>
      <c r="AT280" s="22" t="str">
        <f t="shared" si="233"/>
        <v>X</v>
      </c>
      <c r="AU280" s="22" t="str">
        <f t="shared" si="234"/>
        <v>X</v>
      </c>
      <c r="AV280" s="22" t="str">
        <f t="shared" si="235"/>
        <v>X</v>
      </c>
      <c r="AW280" s="22" t="str">
        <f t="shared" si="236"/>
        <v>X</v>
      </c>
      <c r="AX280" s="22" t="str">
        <f t="shared" si="237"/>
        <v>X</v>
      </c>
      <c r="AY280" s="22" t="str">
        <f t="shared" si="238"/>
        <v>X</v>
      </c>
      <c r="AZ280" s="22" t="str">
        <f t="shared" si="239"/>
        <v>X</v>
      </c>
      <c r="BA280" s="22" t="str">
        <f t="shared" si="240"/>
        <v>O</v>
      </c>
      <c r="BB280" s="22">
        <f t="shared" si="241"/>
        <v>1</v>
      </c>
      <c r="BC280" s="22" t="str">
        <f t="shared" si="212"/>
        <v>1G</v>
      </c>
      <c r="BD280" s="22" t="str">
        <f t="shared" si="213"/>
        <v>1G</v>
      </c>
      <c r="BE280" s="22" t="str">
        <f t="shared" si="214"/>
        <v>2G</v>
      </c>
      <c r="BF280" s="22" t="str">
        <f t="shared" si="215"/>
        <v>3G</v>
      </c>
      <c r="BG280" s="22" t="str">
        <f t="shared" si="216"/>
        <v>3G</v>
      </c>
      <c r="BH280" s="22" t="str">
        <f t="shared" si="217"/>
        <v>3G</v>
      </c>
      <c r="BI280" s="22">
        <f t="shared" si="242"/>
        <v>2</v>
      </c>
      <c r="BJ280" s="22">
        <f t="shared" si="243"/>
        <v>1</v>
      </c>
      <c r="BK280" s="22">
        <f t="shared" si="244"/>
        <v>3</v>
      </c>
      <c r="BL280" s="22" t="str">
        <f t="shared" si="245"/>
        <v>213</v>
      </c>
      <c r="BS280"/>
      <c r="CL280" s="23">
        <v>143</v>
      </c>
      <c r="CM280" s="23">
        <v>140</v>
      </c>
      <c r="CO280"/>
    </row>
    <row r="281" spans="2:93" ht="17" hidden="1">
      <c r="B281" s="15">
        <v>277</v>
      </c>
      <c r="C281" s="23" t="s">
        <v>307</v>
      </c>
      <c r="D281" s="16">
        <v>3</v>
      </c>
      <c r="E281" s="17">
        <v>3272627800</v>
      </c>
      <c r="F281" s="16">
        <v>31</v>
      </c>
      <c r="G281" s="17">
        <v>52784320</v>
      </c>
      <c r="H281" s="17">
        <v>1104</v>
      </c>
      <c r="I281" s="17">
        <v>1482169</v>
      </c>
      <c r="J281" s="17">
        <v>55271</v>
      </c>
      <c r="K281" s="17">
        <v>59211</v>
      </c>
      <c r="L281" s="17">
        <v>914243</v>
      </c>
      <c r="M281" s="17">
        <v>5000</v>
      </c>
      <c r="N281" s="23">
        <v>10</v>
      </c>
      <c r="O281" s="23">
        <v>12</v>
      </c>
      <c r="P281" s="23">
        <v>13</v>
      </c>
      <c r="Q281" s="23">
        <v>15</v>
      </c>
      <c r="R281" s="23">
        <v>25</v>
      </c>
      <c r="S281" s="23">
        <v>29</v>
      </c>
      <c r="T281" s="23">
        <v>20</v>
      </c>
      <c r="U281" s="23">
        <f t="shared" si="218"/>
        <v>104</v>
      </c>
      <c r="W281" s="22" t="str">
        <f t="shared" si="203"/>
        <v>짝수</v>
      </c>
      <c r="X281" s="22" t="str">
        <f t="shared" si="204"/>
        <v>짝수</v>
      </c>
      <c r="Y281" s="22" t="str">
        <f t="shared" si="205"/>
        <v>홀수</v>
      </c>
      <c r="Z281" s="22" t="str">
        <f t="shared" si="206"/>
        <v>홀수</v>
      </c>
      <c r="AA281" s="22" t="str">
        <f t="shared" si="207"/>
        <v>홀수</v>
      </c>
      <c r="AB281" s="22" t="str">
        <f t="shared" si="208"/>
        <v>홀수</v>
      </c>
      <c r="AC281" s="52" t="str">
        <f t="shared" si="209"/>
        <v>4 : 2</v>
      </c>
      <c r="AD281" s="22">
        <f t="shared" si="210"/>
        <v>4</v>
      </c>
      <c r="AE281" s="22">
        <f t="shared" si="211"/>
        <v>2</v>
      </c>
      <c r="AF281" s="22" t="str">
        <f t="shared" si="219"/>
        <v>저수</v>
      </c>
      <c r="AG281" s="22" t="str">
        <f t="shared" si="220"/>
        <v>저수</v>
      </c>
      <c r="AH281" s="22" t="str">
        <f t="shared" si="221"/>
        <v>저수</v>
      </c>
      <c r="AI281" s="22" t="str">
        <f t="shared" si="222"/>
        <v>저수</v>
      </c>
      <c r="AJ281" s="22" t="str">
        <f t="shared" si="223"/>
        <v>고수</v>
      </c>
      <c r="AK281" s="22" t="str">
        <f t="shared" si="224"/>
        <v>고수</v>
      </c>
      <c r="AL281" s="52" t="str">
        <f t="shared" si="225"/>
        <v>4 : 2</v>
      </c>
      <c r="AM281" s="22">
        <f t="shared" si="226"/>
        <v>4</v>
      </c>
      <c r="AN281" s="22">
        <f t="shared" si="227"/>
        <v>2</v>
      </c>
      <c r="AO281" s="22">
        <f t="shared" si="228"/>
        <v>24</v>
      </c>
      <c r="AP281" s="22" t="str">
        <f t="shared" si="229"/>
        <v>X</v>
      </c>
      <c r="AQ281" s="22" t="str">
        <f t="shared" si="230"/>
        <v>X</v>
      </c>
      <c r="AR281" s="22" t="str">
        <f t="shared" si="231"/>
        <v>O</v>
      </c>
      <c r="AS281" s="22" t="str">
        <f t="shared" si="232"/>
        <v>X</v>
      </c>
      <c r="AT281" s="22" t="str">
        <f t="shared" si="233"/>
        <v>X</v>
      </c>
      <c r="AU281" s="22" t="str">
        <f t="shared" si="234"/>
        <v>X</v>
      </c>
      <c r="AV281" s="22" t="str">
        <f t="shared" si="235"/>
        <v>X</v>
      </c>
      <c r="AW281" s="22" t="str">
        <f t="shared" si="236"/>
        <v>X</v>
      </c>
      <c r="AX281" s="22" t="str">
        <f t="shared" si="237"/>
        <v>X</v>
      </c>
      <c r="AY281" s="22" t="str">
        <f t="shared" si="238"/>
        <v>X</v>
      </c>
      <c r="AZ281" s="22" t="str">
        <f t="shared" si="239"/>
        <v>X</v>
      </c>
      <c r="BA281" s="22" t="str">
        <f t="shared" si="240"/>
        <v>O</v>
      </c>
      <c r="BB281" s="22">
        <f t="shared" si="241"/>
        <v>2</v>
      </c>
      <c r="BC281" s="22" t="str">
        <f t="shared" si="212"/>
        <v>1G</v>
      </c>
      <c r="BD281" s="22" t="str">
        <f t="shared" si="213"/>
        <v>1G</v>
      </c>
      <c r="BE281" s="22" t="str">
        <f t="shared" si="214"/>
        <v>1G</v>
      </c>
      <c r="BF281" s="22" t="str">
        <f t="shared" si="215"/>
        <v>1G</v>
      </c>
      <c r="BG281" s="22" t="str">
        <f t="shared" si="216"/>
        <v>2G</v>
      </c>
      <c r="BH281" s="22" t="str">
        <f t="shared" si="217"/>
        <v>2G</v>
      </c>
      <c r="BI281" s="22">
        <f t="shared" si="242"/>
        <v>4</v>
      </c>
      <c r="BJ281" s="22">
        <f t="shared" si="243"/>
        <v>2</v>
      </c>
      <c r="BK281" s="22">
        <f t="shared" si="244"/>
        <v>0</v>
      </c>
      <c r="BL281" s="22" t="str">
        <f t="shared" si="245"/>
        <v>420</v>
      </c>
      <c r="BS281"/>
      <c r="CL281" s="23">
        <v>143</v>
      </c>
      <c r="CM281" s="23">
        <v>140</v>
      </c>
      <c r="CO281"/>
    </row>
    <row r="282" spans="2:93" ht="17" hidden="1">
      <c r="B282" s="15">
        <v>278</v>
      </c>
      <c r="C282" s="23" t="s">
        <v>308</v>
      </c>
      <c r="D282" s="16">
        <v>3</v>
      </c>
      <c r="E282" s="17">
        <v>3186530000</v>
      </c>
      <c r="F282" s="16">
        <v>27</v>
      </c>
      <c r="G282" s="17">
        <v>59009815</v>
      </c>
      <c r="H282" s="17">
        <v>1089</v>
      </c>
      <c r="I282" s="17">
        <v>1463054</v>
      </c>
      <c r="J282" s="17">
        <v>55643</v>
      </c>
      <c r="K282" s="17">
        <v>57268</v>
      </c>
      <c r="L282" s="17">
        <v>922288</v>
      </c>
      <c r="M282" s="17">
        <v>5000</v>
      </c>
      <c r="N282" s="23">
        <v>3</v>
      </c>
      <c r="O282" s="23">
        <v>11</v>
      </c>
      <c r="P282" s="23">
        <v>37</v>
      </c>
      <c r="Q282" s="23">
        <v>39</v>
      </c>
      <c r="R282" s="23">
        <v>41</v>
      </c>
      <c r="S282" s="23">
        <v>43</v>
      </c>
      <c r="T282" s="23">
        <v>13</v>
      </c>
      <c r="U282" s="23">
        <f t="shared" si="218"/>
        <v>174</v>
      </c>
      <c r="W282" s="22" t="str">
        <f t="shared" si="203"/>
        <v>홀수</v>
      </c>
      <c r="X282" s="22" t="str">
        <f t="shared" si="204"/>
        <v>홀수</v>
      </c>
      <c r="Y282" s="22" t="str">
        <f t="shared" si="205"/>
        <v>홀수</v>
      </c>
      <c r="Z282" s="22" t="str">
        <f t="shared" si="206"/>
        <v>홀수</v>
      </c>
      <c r="AA282" s="22" t="str">
        <f t="shared" si="207"/>
        <v>홀수</v>
      </c>
      <c r="AB282" s="22" t="str">
        <f t="shared" si="208"/>
        <v>홀수</v>
      </c>
      <c r="AC282" s="52" t="str">
        <f t="shared" si="209"/>
        <v>6 : 0</v>
      </c>
      <c r="AD282" s="22">
        <f t="shared" si="210"/>
        <v>6</v>
      </c>
      <c r="AE282" s="22">
        <f t="shared" si="211"/>
        <v>0</v>
      </c>
      <c r="AF282" s="22" t="str">
        <f t="shared" si="219"/>
        <v>저수</v>
      </c>
      <c r="AG282" s="22" t="str">
        <f t="shared" si="220"/>
        <v>저수</v>
      </c>
      <c r="AH282" s="22" t="str">
        <f t="shared" si="221"/>
        <v>고수</v>
      </c>
      <c r="AI282" s="22" t="str">
        <f t="shared" si="222"/>
        <v>고수</v>
      </c>
      <c r="AJ282" s="22" t="str">
        <f t="shared" si="223"/>
        <v>고수</v>
      </c>
      <c r="AK282" s="22" t="str">
        <f t="shared" si="224"/>
        <v>고수</v>
      </c>
      <c r="AL282" s="52" t="str">
        <f t="shared" si="225"/>
        <v>2 : 4</v>
      </c>
      <c r="AM282" s="22">
        <f t="shared" si="226"/>
        <v>2</v>
      </c>
      <c r="AN282" s="22">
        <f t="shared" si="227"/>
        <v>4</v>
      </c>
      <c r="AO282" s="22">
        <f t="shared" si="228"/>
        <v>24</v>
      </c>
      <c r="AP282" s="22" t="str">
        <f t="shared" si="229"/>
        <v>O</v>
      </c>
      <c r="AQ282" s="22" t="str">
        <f t="shared" si="230"/>
        <v>O</v>
      </c>
      <c r="AR282" s="22" t="str">
        <f t="shared" si="231"/>
        <v>X</v>
      </c>
      <c r="AS282" s="22" t="str">
        <f t="shared" si="232"/>
        <v>X</v>
      </c>
      <c r="AT282" s="22" t="str">
        <f t="shared" si="233"/>
        <v>X</v>
      </c>
      <c r="AU282" s="22" t="str">
        <f t="shared" si="234"/>
        <v>X</v>
      </c>
      <c r="AV282" s="22" t="str">
        <f t="shared" si="235"/>
        <v>X</v>
      </c>
      <c r="AW282" s="22" t="str">
        <f t="shared" si="236"/>
        <v>X</v>
      </c>
      <c r="AX282" s="22" t="str">
        <f t="shared" si="237"/>
        <v>O</v>
      </c>
      <c r="AY282" s="22" t="str">
        <f t="shared" si="238"/>
        <v>X</v>
      </c>
      <c r="AZ282" s="22" t="str">
        <f t="shared" si="239"/>
        <v>O</v>
      </c>
      <c r="BA282" s="22" t="str">
        <f t="shared" si="240"/>
        <v>O</v>
      </c>
      <c r="BB282" s="22">
        <f t="shared" si="241"/>
        <v>5</v>
      </c>
      <c r="BC282" s="22" t="str">
        <f t="shared" si="212"/>
        <v>1G</v>
      </c>
      <c r="BD282" s="22" t="str">
        <f t="shared" si="213"/>
        <v>1G</v>
      </c>
      <c r="BE282" s="22" t="str">
        <f t="shared" si="214"/>
        <v>3G</v>
      </c>
      <c r="BF282" s="22" t="str">
        <f t="shared" si="215"/>
        <v>3G</v>
      </c>
      <c r="BG282" s="22" t="str">
        <f t="shared" si="216"/>
        <v>3G</v>
      </c>
      <c r="BH282" s="22" t="str">
        <f t="shared" si="217"/>
        <v>3G</v>
      </c>
      <c r="BI282" s="22">
        <f t="shared" si="242"/>
        <v>2</v>
      </c>
      <c r="BJ282" s="22">
        <f t="shared" si="243"/>
        <v>0</v>
      </c>
      <c r="BK282" s="22">
        <f t="shared" si="244"/>
        <v>4</v>
      </c>
      <c r="BL282" s="22" t="str">
        <f t="shared" si="245"/>
        <v>204</v>
      </c>
      <c r="BS282"/>
      <c r="CL282" s="23">
        <v>143</v>
      </c>
      <c r="CM282" s="23">
        <v>140</v>
      </c>
      <c r="CO282"/>
    </row>
    <row r="283" spans="2:93" ht="17" hidden="1">
      <c r="B283" s="15">
        <v>279</v>
      </c>
      <c r="C283" s="23" t="s">
        <v>309</v>
      </c>
      <c r="D283" s="16">
        <v>5</v>
      </c>
      <c r="E283" s="17">
        <v>1914205320</v>
      </c>
      <c r="F283" s="16">
        <v>27</v>
      </c>
      <c r="G283" s="17">
        <v>59080412</v>
      </c>
      <c r="H283" s="17">
        <v>1088</v>
      </c>
      <c r="I283" s="17">
        <v>1466150</v>
      </c>
      <c r="J283" s="17">
        <v>55421</v>
      </c>
      <c r="K283" s="17">
        <v>57566</v>
      </c>
      <c r="L283" s="17">
        <v>922712</v>
      </c>
      <c r="M283" s="17">
        <v>5000</v>
      </c>
      <c r="N283" s="23">
        <v>7</v>
      </c>
      <c r="O283" s="23">
        <v>16</v>
      </c>
      <c r="P283" s="23">
        <v>31</v>
      </c>
      <c r="Q283" s="23">
        <v>36</v>
      </c>
      <c r="R283" s="23">
        <v>37</v>
      </c>
      <c r="S283" s="23">
        <v>38</v>
      </c>
      <c r="T283" s="23">
        <v>11</v>
      </c>
      <c r="U283" s="23">
        <f t="shared" si="218"/>
        <v>165</v>
      </c>
      <c r="W283" s="22" t="str">
        <f t="shared" si="203"/>
        <v>홀수</v>
      </c>
      <c r="X283" s="22" t="str">
        <f t="shared" si="204"/>
        <v>짝수</v>
      </c>
      <c r="Y283" s="22" t="str">
        <f t="shared" si="205"/>
        <v>홀수</v>
      </c>
      <c r="Z283" s="22" t="str">
        <f t="shared" si="206"/>
        <v>짝수</v>
      </c>
      <c r="AA283" s="22" t="str">
        <f t="shared" si="207"/>
        <v>홀수</v>
      </c>
      <c r="AB283" s="22" t="str">
        <f t="shared" si="208"/>
        <v>짝수</v>
      </c>
      <c r="AC283" s="52" t="str">
        <f t="shared" si="209"/>
        <v>3 : 3</v>
      </c>
      <c r="AD283" s="22">
        <f t="shared" si="210"/>
        <v>3</v>
      </c>
      <c r="AE283" s="22">
        <f t="shared" si="211"/>
        <v>3</v>
      </c>
      <c r="AF283" s="22" t="str">
        <f t="shared" si="219"/>
        <v>저수</v>
      </c>
      <c r="AG283" s="22" t="str">
        <f t="shared" si="220"/>
        <v>저수</v>
      </c>
      <c r="AH283" s="22" t="str">
        <f t="shared" si="221"/>
        <v>고수</v>
      </c>
      <c r="AI283" s="22" t="str">
        <f t="shared" si="222"/>
        <v>고수</v>
      </c>
      <c r="AJ283" s="22" t="str">
        <f t="shared" si="223"/>
        <v>고수</v>
      </c>
      <c r="AK283" s="22" t="str">
        <f t="shared" si="224"/>
        <v>고수</v>
      </c>
      <c r="AL283" s="52" t="str">
        <f t="shared" si="225"/>
        <v>2 : 4</v>
      </c>
      <c r="AM283" s="22">
        <f t="shared" si="226"/>
        <v>2</v>
      </c>
      <c r="AN283" s="22">
        <f t="shared" si="227"/>
        <v>4</v>
      </c>
      <c r="AO283" s="22">
        <f t="shared" si="228"/>
        <v>35</v>
      </c>
      <c r="AP283" s="22" t="str">
        <f t="shared" si="229"/>
        <v>O</v>
      </c>
      <c r="AQ283" s="22" t="str">
        <f t="shared" si="230"/>
        <v>X</v>
      </c>
      <c r="AR283" s="22" t="str">
        <f t="shared" si="231"/>
        <v>X</v>
      </c>
      <c r="AS283" s="22" t="str">
        <f t="shared" si="232"/>
        <v>X</v>
      </c>
      <c r="AT283" s="22" t="str">
        <f t="shared" si="233"/>
        <v>X</v>
      </c>
      <c r="AU283" s="22" t="str">
        <f t="shared" si="234"/>
        <v>X</v>
      </c>
      <c r="AV283" s="22" t="str">
        <f t="shared" si="235"/>
        <v>X</v>
      </c>
      <c r="AW283" s="22" t="str">
        <f t="shared" si="236"/>
        <v>X</v>
      </c>
      <c r="AX283" s="22" t="str">
        <f t="shared" si="237"/>
        <v>O</v>
      </c>
      <c r="AY283" s="22" t="str">
        <f t="shared" si="238"/>
        <v>X</v>
      </c>
      <c r="AZ283" s="22" t="str">
        <f t="shared" si="239"/>
        <v>O</v>
      </c>
      <c r="BA283" s="22" t="str">
        <f t="shared" si="240"/>
        <v>X</v>
      </c>
      <c r="BB283" s="22">
        <f t="shared" si="241"/>
        <v>3</v>
      </c>
      <c r="BC283" s="22" t="str">
        <f t="shared" si="212"/>
        <v>1G</v>
      </c>
      <c r="BD283" s="22" t="str">
        <f t="shared" si="213"/>
        <v>2G</v>
      </c>
      <c r="BE283" s="22" t="str">
        <f t="shared" si="214"/>
        <v>3G</v>
      </c>
      <c r="BF283" s="22" t="str">
        <f t="shared" si="215"/>
        <v>3G</v>
      </c>
      <c r="BG283" s="22" t="str">
        <f t="shared" si="216"/>
        <v>3G</v>
      </c>
      <c r="BH283" s="22" t="str">
        <f t="shared" si="217"/>
        <v>3G</v>
      </c>
      <c r="BI283" s="22">
        <f t="shared" si="242"/>
        <v>1</v>
      </c>
      <c r="BJ283" s="22">
        <f t="shared" si="243"/>
        <v>1</v>
      </c>
      <c r="BK283" s="22">
        <f t="shared" si="244"/>
        <v>4</v>
      </c>
      <c r="BL283" s="22" t="str">
        <f t="shared" si="245"/>
        <v>114</v>
      </c>
      <c r="BS283"/>
      <c r="CL283" s="23">
        <v>143</v>
      </c>
      <c r="CM283" s="23">
        <v>140</v>
      </c>
      <c r="CO283"/>
    </row>
    <row r="284" spans="2:93" ht="17" hidden="1">
      <c r="B284" s="15">
        <v>280</v>
      </c>
      <c r="C284" s="23" t="s">
        <v>310</v>
      </c>
      <c r="D284" s="16">
        <v>7</v>
      </c>
      <c r="E284" s="17">
        <v>1355258529</v>
      </c>
      <c r="F284" s="16">
        <v>27</v>
      </c>
      <c r="G284" s="17">
        <v>58560554</v>
      </c>
      <c r="H284" s="17">
        <v>1145</v>
      </c>
      <c r="I284" s="17">
        <v>1380904</v>
      </c>
      <c r="J284" s="17">
        <v>53915</v>
      </c>
      <c r="K284" s="17">
        <v>58653</v>
      </c>
      <c r="L284" s="17">
        <v>905130</v>
      </c>
      <c r="M284" s="17">
        <v>5000</v>
      </c>
      <c r="N284" s="23">
        <v>10</v>
      </c>
      <c r="O284" s="23">
        <v>11</v>
      </c>
      <c r="P284" s="23">
        <v>23</v>
      </c>
      <c r="Q284" s="23">
        <v>24</v>
      </c>
      <c r="R284" s="23">
        <v>36</v>
      </c>
      <c r="S284" s="23">
        <v>37</v>
      </c>
      <c r="T284" s="23">
        <v>35</v>
      </c>
      <c r="U284" s="23">
        <f t="shared" si="218"/>
        <v>141</v>
      </c>
      <c r="W284" s="22" t="str">
        <f t="shared" si="203"/>
        <v>짝수</v>
      </c>
      <c r="X284" s="22" t="str">
        <f t="shared" si="204"/>
        <v>홀수</v>
      </c>
      <c r="Y284" s="22" t="str">
        <f t="shared" si="205"/>
        <v>홀수</v>
      </c>
      <c r="Z284" s="22" t="str">
        <f t="shared" si="206"/>
        <v>짝수</v>
      </c>
      <c r="AA284" s="22" t="str">
        <f t="shared" si="207"/>
        <v>짝수</v>
      </c>
      <c r="AB284" s="22" t="str">
        <f t="shared" si="208"/>
        <v>홀수</v>
      </c>
      <c r="AC284" s="52" t="str">
        <f t="shared" si="209"/>
        <v>3 : 3</v>
      </c>
      <c r="AD284" s="22">
        <f t="shared" si="210"/>
        <v>3</v>
      </c>
      <c r="AE284" s="22">
        <f t="shared" si="211"/>
        <v>3</v>
      </c>
      <c r="AF284" s="22" t="str">
        <f t="shared" si="219"/>
        <v>저수</v>
      </c>
      <c r="AG284" s="22" t="str">
        <f t="shared" si="220"/>
        <v>저수</v>
      </c>
      <c r="AH284" s="22" t="str">
        <f t="shared" si="221"/>
        <v>고수</v>
      </c>
      <c r="AI284" s="22" t="str">
        <f t="shared" si="222"/>
        <v>고수</v>
      </c>
      <c r="AJ284" s="22" t="str">
        <f t="shared" si="223"/>
        <v>고수</v>
      </c>
      <c r="AK284" s="22" t="str">
        <f t="shared" si="224"/>
        <v>고수</v>
      </c>
      <c r="AL284" s="52" t="str">
        <f t="shared" si="225"/>
        <v>2 : 4</v>
      </c>
      <c r="AM284" s="22">
        <f t="shared" si="226"/>
        <v>2</v>
      </c>
      <c r="AN284" s="22">
        <f t="shared" si="227"/>
        <v>4</v>
      </c>
      <c r="AO284" s="22">
        <f t="shared" si="228"/>
        <v>21</v>
      </c>
      <c r="AP284" s="22" t="str">
        <f t="shared" si="229"/>
        <v>X</v>
      </c>
      <c r="AQ284" s="22" t="str">
        <f t="shared" si="230"/>
        <v>O</v>
      </c>
      <c r="AR284" s="22" t="str">
        <f t="shared" si="231"/>
        <v>X</v>
      </c>
      <c r="AS284" s="22" t="str">
        <f t="shared" si="232"/>
        <v>X</v>
      </c>
      <c r="AT284" s="22" t="str">
        <f t="shared" si="233"/>
        <v>X</v>
      </c>
      <c r="AU284" s="22" t="str">
        <f t="shared" si="234"/>
        <v>X</v>
      </c>
      <c r="AV284" s="22" t="str">
        <f t="shared" si="235"/>
        <v>X</v>
      </c>
      <c r="AW284" s="22" t="str">
        <f t="shared" si="236"/>
        <v>X</v>
      </c>
      <c r="AX284" s="22" t="str">
        <f t="shared" si="237"/>
        <v>O</v>
      </c>
      <c r="AY284" s="22" t="str">
        <f t="shared" si="238"/>
        <v>X</v>
      </c>
      <c r="AZ284" s="22" t="str">
        <f t="shared" si="239"/>
        <v>X</v>
      </c>
      <c r="BA284" s="22" t="str">
        <f t="shared" si="240"/>
        <v>O</v>
      </c>
      <c r="BB284" s="22">
        <f t="shared" si="241"/>
        <v>3</v>
      </c>
      <c r="BC284" s="22" t="str">
        <f t="shared" si="212"/>
        <v>1G</v>
      </c>
      <c r="BD284" s="22" t="str">
        <f t="shared" si="213"/>
        <v>1G</v>
      </c>
      <c r="BE284" s="22" t="str">
        <f t="shared" si="214"/>
        <v>2G</v>
      </c>
      <c r="BF284" s="22" t="str">
        <f t="shared" si="215"/>
        <v>2G</v>
      </c>
      <c r="BG284" s="22" t="str">
        <f t="shared" si="216"/>
        <v>3G</v>
      </c>
      <c r="BH284" s="22" t="str">
        <f t="shared" si="217"/>
        <v>3G</v>
      </c>
      <c r="BI284" s="22">
        <f t="shared" si="242"/>
        <v>2</v>
      </c>
      <c r="BJ284" s="22">
        <f t="shared" si="243"/>
        <v>2</v>
      </c>
      <c r="BK284" s="22">
        <f t="shared" si="244"/>
        <v>2</v>
      </c>
      <c r="BL284" s="22" t="str">
        <f t="shared" si="245"/>
        <v>222</v>
      </c>
      <c r="BS284"/>
      <c r="CL284" s="23">
        <v>143</v>
      </c>
      <c r="CM284" s="23">
        <v>140</v>
      </c>
      <c r="CO284"/>
    </row>
    <row r="285" spans="2:93" ht="17" hidden="1">
      <c r="B285" s="15">
        <v>281</v>
      </c>
      <c r="C285" s="23" t="s">
        <v>311</v>
      </c>
      <c r="D285" s="16">
        <v>6</v>
      </c>
      <c r="E285" s="17">
        <v>1554683200</v>
      </c>
      <c r="F285" s="16">
        <v>37</v>
      </c>
      <c r="G285" s="17">
        <v>42018465</v>
      </c>
      <c r="H285" s="17">
        <v>1491</v>
      </c>
      <c r="I285" s="17">
        <v>1042712</v>
      </c>
      <c r="J285" s="17">
        <v>74543</v>
      </c>
      <c r="K285" s="17">
        <v>41713</v>
      </c>
      <c r="L285" s="17">
        <v>970685</v>
      </c>
      <c r="M285" s="17">
        <v>5000</v>
      </c>
      <c r="N285" s="23">
        <v>1</v>
      </c>
      <c r="O285" s="23">
        <v>3</v>
      </c>
      <c r="P285" s="23">
        <v>4</v>
      </c>
      <c r="Q285" s="23">
        <v>6</v>
      </c>
      <c r="R285" s="23">
        <v>14</v>
      </c>
      <c r="S285" s="23">
        <v>41</v>
      </c>
      <c r="T285" s="23">
        <v>12</v>
      </c>
      <c r="U285" s="23">
        <f t="shared" si="218"/>
        <v>69</v>
      </c>
      <c r="W285" s="22" t="str">
        <f t="shared" si="203"/>
        <v>홀수</v>
      </c>
      <c r="X285" s="22" t="str">
        <f t="shared" si="204"/>
        <v>홀수</v>
      </c>
      <c r="Y285" s="22" t="str">
        <f t="shared" si="205"/>
        <v>짝수</v>
      </c>
      <c r="Z285" s="22" t="str">
        <f t="shared" si="206"/>
        <v>짝수</v>
      </c>
      <c r="AA285" s="22" t="str">
        <f t="shared" si="207"/>
        <v>짝수</v>
      </c>
      <c r="AB285" s="22" t="str">
        <f t="shared" si="208"/>
        <v>홀수</v>
      </c>
      <c r="AC285" s="52" t="str">
        <f t="shared" si="209"/>
        <v>3 : 3</v>
      </c>
      <c r="AD285" s="22">
        <f t="shared" si="210"/>
        <v>3</v>
      </c>
      <c r="AE285" s="22">
        <f t="shared" si="211"/>
        <v>3</v>
      </c>
      <c r="AF285" s="22" t="str">
        <f t="shared" si="219"/>
        <v>저수</v>
      </c>
      <c r="AG285" s="22" t="str">
        <f t="shared" si="220"/>
        <v>저수</v>
      </c>
      <c r="AH285" s="22" t="str">
        <f t="shared" si="221"/>
        <v>저수</v>
      </c>
      <c r="AI285" s="22" t="str">
        <f t="shared" si="222"/>
        <v>저수</v>
      </c>
      <c r="AJ285" s="22" t="str">
        <f t="shared" si="223"/>
        <v>저수</v>
      </c>
      <c r="AK285" s="22" t="str">
        <f t="shared" si="224"/>
        <v>고수</v>
      </c>
      <c r="AL285" s="52" t="str">
        <f t="shared" si="225"/>
        <v>5 : 1</v>
      </c>
      <c r="AM285" s="22">
        <f t="shared" si="226"/>
        <v>5</v>
      </c>
      <c r="AN285" s="22">
        <f t="shared" si="227"/>
        <v>1</v>
      </c>
      <c r="AO285" s="22">
        <f t="shared" si="228"/>
        <v>19</v>
      </c>
      <c r="AP285" s="22" t="str">
        <f t="shared" si="229"/>
        <v>X</v>
      </c>
      <c r="AQ285" s="22" t="str">
        <f t="shared" si="230"/>
        <v>O</v>
      </c>
      <c r="AR285" s="22" t="str">
        <f t="shared" si="231"/>
        <v>X</v>
      </c>
      <c r="AS285" s="22" t="str">
        <f t="shared" si="232"/>
        <v>X</v>
      </c>
      <c r="AT285" s="22" t="str">
        <f t="shared" si="233"/>
        <v>X</v>
      </c>
      <c r="AU285" s="22" t="str">
        <f t="shared" si="234"/>
        <v>X</v>
      </c>
      <c r="AV285" s="22" t="str">
        <f t="shared" si="235"/>
        <v>X</v>
      </c>
      <c r="AW285" s="22" t="str">
        <f t="shared" si="236"/>
        <v>X</v>
      </c>
      <c r="AX285" s="22" t="str">
        <f t="shared" si="237"/>
        <v>X</v>
      </c>
      <c r="AY285" s="22" t="str">
        <f t="shared" si="238"/>
        <v>X</v>
      </c>
      <c r="AZ285" s="22" t="str">
        <f t="shared" si="239"/>
        <v>X</v>
      </c>
      <c r="BA285" s="22" t="str">
        <f t="shared" si="240"/>
        <v>O</v>
      </c>
      <c r="BB285" s="22">
        <f t="shared" si="241"/>
        <v>2</v>
      </c>
      <c r="BC285" s="22" t="str">
        <f t="shared" si="212"/>
        <v>1G</v>
      </c>
      <c r="BD285" s="22" t="str">
        <f t="shared" si="213"/>
        <v>1G</v>
      </c>
      <c r="BE285" s="22" t="str">
        <f t="shared" si="214"/>
        <v>1G</v>
      </c>
      <c r="BF285" s="22" t="str">
        <f t="shared" si="215"/>
        <v>1G</v>
      </c>
      <c r="BG285" s="22" t="str">
        <f t="shared" si="216"/>
        <v>1G</v>
      </c>
      <c r="BH285" s="22" t="str">
        <f t="shared" si="217"/>
        <v>3G</v>
      </c>
      <c r="BI285" s="22">
        <f t="shared" si="242"/>
        <v>5</v>
      </c>
      <c r="BJ285" s="22">
        <f t="shared" si="243"/>
        <v>0</v>
      </c>
      <c r="BK285" s="22">
        <f t="shared" si="244"/>
        <v>1</v>
      </c>
      <c r="BL285" s="22" t="str">
        <f t="shared" si="245"/>
        <v>501</v>
      </c>
      <c r="BS285"/>
      <c r="CL285" s="23">
        <v>143</v>
      </c>
      <c r="CM285" s="23">
        <v>140</v>
      </c>
      <c r="CO285"/>
    </row>
    <row r="286" spans="2:93" ht="17" hidden="1">
      <c r="B286" s="15">
        <v>282</v>
      </c>
      <c r="C286" s="23" t="s">
        <v>312</v>
      </c>
      <c r="D286" s="16">
        <v>7</v>
      </c>
      <c r="E286" s="17">
        <v>1322052643</v>
      </c>
      <c r="F286" s="16">
        <v>32</v>
      </c>
      <c r="G286" s="17">
        <v>48199836</v>
      </c>
      <c r="H286" s="17">
        <v>1523</v>
      </c>
      <c r="I286" s="17">
        <v>1012735</v>
      </c>
      <c r="J286" s="17">
        <v>66297</v>
      </c>
      <c r="K286" s="17">
        <v>46530</v>
      </c>
      <c r="L286" s="17">
        <v>1020328</v>
      </c>
      <c r="M286" s="17">
        <v>5000</v>
      </c>
      <c r="N286" s="23">
        <v>2</v>
      </c>
      <c r="O286" s="23">
        <v>5</v>
      </c>
      <c r="P286" s="23">
        <v>10</v>
      </c>
      <c r="Q286" s="23">
        <v>18</v>
      </c>
      <c r="R286" s="23">
        <v>31</v>
      </c>
      <c r="S286" s="23">
        <v>32</v>
      </c>
      <c r="T286" s="23">
        <v>30</v>
      </c>
      <c r="U286" s="23">
        <f t="shared" si="218"/>
        <v>98</v>
      </c>
      <c r="W286" s="22" t="str">
        <f t="shared" si="203"/>
        <v>짝수</v>
      </c>
      <c r="X286" s="22" t="str">
        <f t="shared" si="204"/>
        <v>홀수</v>
      </c>
      <c r="Y286" s="22" t="str">
        <f t="shared" si="205"/>
        <v>짝수</v>
      </c>
      <c r="Z286" s="22" t="str">
        <f t="shared" si="206"/>
        <v>짝수</v>
      </c>
      <c r="AA286" s="22" t="str">
        <f t="shared" si="207"/>
        <v>홀수</v>
      </c>
      <c r="AB286" s="22" t="str">
        <f t="shared" si="208"/>
        <v>짝수</v>
      </c>
      <c r="AC286" s="52" t="str">
        <f t="shared" si="209"/>
        <v>2 : 4</v>
      </c>
      <c r="AD286" s="22">
        <f t="shared" si="210"/>
        <v>2</v>
      </c>
      <c r="AE286" s="22">
        <f t="shared" si="211"/>
        <v>4</v>
      </c>
      <c r="AF286" s="22" t="str">
        <f t="shared" si="219"/>
        <v>저수</v>
      </c>
      <c r="AG286" s="22" t="str">
        <f t="shared" si="220"/>
        <v>저수</v>
      </c>
      <c r="AH286" s="22" t="str">
        <f t="shared" si="221"/>
        <v>저수</v>
      </c>
      <c r="AI286" s="22" t="str">
        <f t="shared" si="222"/>
        <v>저수</v>
      </c>
      <c r="AJ286" s="22" t="str">
        <f t="shared" si="223"/>
        <v>고수</v>
      </c>
      <c r="AK286" s="22" t="str">
        <f t="shared" si="224"/>
        <v>고수</v>
      </c>
      <c r="AL286" s="52" t="str">
        <f t="shared" si="225"/>
        <v>4 : 2</v>
      </c>
      <c r="AM286" s="22">
        <f t="shared" si="226"/>
        <v>4</v>
      </c>
      <c r="AN286" s="22">
        <f t="shared" si="227"/>
        <v>2</v>
      </c>
      <c r="AO286" s="22">
        <f t="shared" si="228"/>
        <v>18</v>
      </c>
      <c r="AP286" s="22" t="str">
        <f t="shared" si="229"/>
        <v>O</v>
      </c>
      <c r="AQ286" s="22" t="str">
        <f t="shared" si="230"/>
        <v>O</v>
      </c>
      <c r="AR286" s="22" t="str">
        <f t="shared" si="231"/>
        <v>X</v>
      </c>
      <c r="AS286" s="22" t="str">
        <f t="shared" si="232"/>
        <v>X</v>
      </c>
      <c r="AT286" s="22" t="str">
        <f t="shared" si="233"/>
        <v>X</v>
      </c>
      <c r="AU286" s="22" t="str">
        <f t="shared" si="234"/>
        <v>X</v>
      </c>
      <c r="AV286" s="22" t="str">
        <f t="shared" si="235"/>
        <v>X</v>
      </c>
      <c r="AW286" s="22" t="str">
        <f t="shared" si="236"/>
        <v>X</v>
      </c>
      <c r="AX286" s="22" t="str">
        <f t="shared" si="237"/>
        <v>X</v>
      </c>
      <c r="AY286" s="22" t="str">
        <f t="shared" si="238"/>
        <v>X</v>
      </c>
      <c r="AZ286" s="22" t="str">
        <f t="shared" si="239"/>
        <v>O</v>
      </c>
      <c r="BA286" s="22" t="str">
        <f t="shared" si="240"/>
        <v>X</v>
      </c>
      <c r="BB286" s="22">
        <f t="shared" si="241"/>
        <v>3</v>
      </c>
      <c r="BC286" s="22" t="str">
        <f t="shared" si="212"/>
        <v>1G</v>
      </c>
      <c r="BD286" s="22" t="str">
        <f t="shared" si="213"/>
        <v>1G</v>
      </c>
      <c r="BE286" s="22" t="str">
        <f t="shared" si="214"/>
        <v>1G</v>
      </c>
      <c r="BF286" s="22" t="str">
        <f t="shared" si="215"/>
        <v>2G</v>
      </c>
      <c r="BG286" s="22" t="str">
        <f t="shared" si="216"/>
        <v>3G</v>
      </c>
      <c r="BH286" s="22" t="str">
        <f t="shared" si="217"/>
        <v>3G</v>
      </c>
      <c r="BI286" s="22">
        <f t="shared" si="242"/>
        <v>3</v>
      </c>
      <c r="BJ286" s="22">
        <f t="shared" si="243"/>
        <v>1</v>
      </c>
      <c r="BK286" s="22">
        <f t="shared" si="244"/>
        <v>2</v>
      </c>
      <c r="BL286" s="22" t="str">
        <f t="shared" si="245"/>
        <v>312</v>
      </c>
      <c r="BS286"/>
      <c r="CL286" s="23">
        <v>144</v>
      </c>
      <c r="CM286" s="23">
        <v>140</v>
      </c>
      <c r="CO286"/>
    </row>
    <row r="287" spans="2:93" ht="17" hidden="1">
      <c r="B287" s="15">
        <v>283</v>
      </c>
      <c r="C287" s="23" t="s">
        <v>313</v>
      </c>
      <c r="D287" s="16">
        <v>3</v>
      </c>
      <c r="E287" s="17">
        <v>3137224600</v>
      </c>
      <c r="F287" s="16">
        <v>24</v>
      </c>
      <c r="G287" s="17">
        <v>65358846</v>
      </c>
      <c r="H287" s="17">
        <v>1061</v>
      </c>
      <c r="I287" s="17">
        <v>1478429</v>
      </c>
      <c r="J287" s="17">
        <v>52989</v>
      </c>
      <c r="K287" s="17">
        <v>59206</v>
      </c>
      <c r="L287" s="17">
        <v>876107</v>
      </c>
      <c r="M287" s="17">
        <v>5000</v>
      </c>
      <c r="N287" s="23">
        <v>6</v>
      </c>
      <c r="O287" s="23">
        <v>8</v>
      </c>
      <c r="P287" s="23">
        <v>18</v>
      </c>
      <c r="Q287" s="23">
        <v>31</v>
      </c>
      <c r="R287" s="23">
        <v>38</v>
      </c>
      <c r="S287" s="23">
        <v>45</v>
      </c>
      <c r="T287" s="23">
        <v>42</v>
      </c>
      <c r="U287" s="23">
        <f t="shared" si="218"/>
        <v>146</v>
      </c>
      <c r="W287" s="22" t="str">
        <f t="shared" si="203"/>
        <v>짝수</v>
      </c>
      <c r="X287" s="22" t="str">
        <f t="shared" si="204"/>
        <v>짝수</v>
      </c>
      <c r="Y287" s="22" t="str">
        <f t="shared" si="205"/>
        <v>짝수</v>
      </c>
      <c r="Z287" s="22" t="str">
        <f t="shared" si="206"/>
        <v>홀수</v>
      </c>
      <c r="AA287" s="22" t="str">
        <f t="shared" si="207"/>
        <v>짝수</v>
      </c>
      <c r="AB287" s="22" t="str">
        <f t="shared" si="208"/>
        <v>홀수</v>
      </c>
      <c r="AC287" s="52" t="str">
        <f t="shared" si="209"/>
        <v>2 : 4</v>
      </c>
      <c r="AD287" s="22">
        <f t="shared" si="210"/>
        <v>2</v>
      </c>
      <c r="AE287" s="22">
        <f t="shared" si="211"/>
        <v>4</v>
      </c>
      <c r="AF287" s="22" t="str">
        <f t="shared" si="219"/>
        <v>저수</v>
      </c>
      <c r="AG287" s="22" t="str">
        <f t="shared" si="220"/>
        <v>저수</v>
      </c>
      <c r="AH287" s="22" t="str">
        <f t="shared" si="221"/>
        <v>저수</v>
      </c>
      <c r="AI287" s="22" t="str">
        <f t="shared" si="222"/>
        <v>고수</v>
      </c>
      <c r="AJ287" s="22" t="str">
        <f t="shared" si="223"/>
        <v>고수</v>
      </c>
      <c r="AK287" s="22" t="str">
        <f t="shared" si="224"/>
        <v>고수</v>
      </c>
      <c r="AL287" s="52" t="str">
        <f t="shared" si="225"/>
        <v>3 : 3</v>
      </c>
      <c r="AM287" s="22">
        <f t="shared" si="226"/>
        <v>3</v>
      </c>
      <c r="AN287" s="22">
        <f t="shared" si="227"/>
        <v>3</v>
      </c>
      <c r="AO287" s="22">
        <f t="shared" si="228"/>
        <v>36</v>
      </c>
      <c r="AP287" s="22" t="str">
        <f t="shared" si="229"/>
        <v>X</v>
      </c>
      <c r="AQ287" s="22" t="str">
        <f t="shared" si="230"/>
        <v>X</v>
      </c>
      <c r="AR287" s="22" t="str">
        <f t="shared" si="231"/>
        <v>X</v>
      </c>
      <c r="AS287" s="22" t="str">
        <f t="shared" si="232"/>
        <v>X</v>
      </c>
      <c r="AT287" s="22" t="str">
        <f t="shared" si="233"/>
        <v>X</v>
      </c>
      <c r="AU287" s="22" t="str">
        <f t="shared" si="234"/>
        <v>X</v>
      </c>
      <c r="AV287" s="22" t="str">
        <f t="shared" si="235"/>
        <v>X</v>
      </c>
      <c r="AW287" s="22" t="str">
        <f t="shared" si="236"/>
        <v>X</v>
      </c>
      <c r="AX287" s="22" t="str">
        <f t="shared" si="237"/>
        <v>X</v>
      </c>
      <c r="AY287" s="22" t="str">
        <f t="shared" si="238"/>
        <v>O</v>
      </c>
      <c r="AZ287" s="22" t="str">
        <f t="shared" si="239"/>
        <v>X</v>
      </c>
      <c r="BA287" s="22" t="str">
        <f t="shared" si="240"/>
        <v>X</v>
      </c>
      <c r="BB287" s="22">
        <f t="shared" si="241"/>
        <v>1</v>
      </c>
      <c r="BC287" s="22" t="str">
        <f t="shared" si="212"/>
        <v>1G</v>
      </c>
      <c r="BD287" s="22" t="str">
        <f t="shared" si="213"/>
        <v>1G</v>
      </c>
      <c r="BE287" s="22" t="str">
        <f t="shared" si="214"/>
        <v>2G</v>
      </c>
      <c r="BF287" s="22" t="str">
        <f t="shared" si="215"/>
        <v>3G</v>
      </c>
      <c r="BG287" s="22" t="str">
        <f t="shared" si="216"/>
        <v>3G</v>
      </c>
      <c r="BH287" s="22" t="str">
        <f t="shared" si="217"/>
        <v>3G</v>
      </c>
      <c r="BI287" s="22">
        <f t="shared" si="242"/>
        <v>2</v>
      </c>
      <c r="BJ287" s="22">
        <f t="shared" si="243"/>
        <v>1</v>
      </c>
      <c r="BK287" s="22">
        <f t="shared" si="244"/>
        <v>3</v>
      </c>
      <c r="BL287" s="22" t="str">
        <f t="shared" si="245"/>
        <v>213</v>
      </c>
      <c r="BS287"/>
      <c r="CL287" s="23">
        <v>144</v>
      </c>
      <c r="CM287" s="23">
        <v>140</v>
      </c>
      <c r="CO287"/>
    </row>
    <row r="288" spans="2:93" ht="17" hidden="1">
      <c r="B288" s="15">
        <v>284</v>
      </c>
      <c r="C288" s="23" t="s">
        <v>314</v>
      </c>
      <c r="D288" s="16">
        <v>3</v>
      </c>
      <c r="E288" s="17">
        <v>3117640300</v>
      </c>
      <c r="F288" s="16">
        <v>14</v>
      </c>
      <c r="G288" s="17">
        <v>111344297</v>
      </c>
      <c r="H288" s="16">
        <v>955</v>
      </c>
      <c r="I288" s="17">
        <v>1632273</v>
      </c>
      <c r="J288" s="17">
        <v>50537</v>
      </c>
      <c r="K288" s="17">
        <v>61691</v>
      </c>
      <c r="L288" s="17">
        <v>859700</v>
      </c>
      <c r="M288" s="17">
        <v>5000</v>
      </c>
      <c r="N288" s="23">
        <v>2</v>
      </c>
      <c r="O288" s="23">
        <v>7</v>
      </c>
      <c r="P288" s="23">
        <v>15</v>
      </c>
      <c r="Q288" s="23">
        <v>24</v>
      </c>
      <c r="R288" s="23">
        <v>30</v>
      </c>
      <c r="S288" s="23">
        <v>45</v>
      </c>
      <c r="T288" s="23">
        <v>28</v>
      </c>
      <c r="U288" s="23">
        <f t="shared" si="218"/>
        <v>123</v>
      </c>
      <c r="W288" s="22" t="str">
        <f t="shared" si="203"/>
        <v>짝수</v>
      </c>
      <c r="X288" s="22" t="str">
        <f t="shared" si="204"/>
        <v>홀수</v>
      </c>
      <c r="Y288" s="22" t="str">
        <f t="shared" si="205"/>
        <v>홀수</v>
      </c>
      <c r="Z288" s="22" t="str">
        <f t="shared" si="206"/>
        <v>짝수</v>
      </c>
      <c r="AA288" s="22" t="str">
        <f t="shared" si="207"/>
        <v>짝수</v>
      </c>
      <c r="AB288" s="22" t="str">
        <f t="shared" si="208"/>
        <v>홀수</v>
      </c>
      <c r="AC288" s="52" t="str">
        <f t="shared" si="209"/>
        <v>3 : 3</v>
      </c>
      <c r="AD288" s="22">
        <f t="shared" si="210"/>
        <v>3</v>
      </c>
      <c r="AE288" s="22">
        <f t="shared" si="211"/>
        <v>3</v>
      </c>
      <c r="AF288" s="22" t="str">
        <f t="shared" si="219"/>
        <v>저수</v>
      </c>
      <c r="AG288" s="22" t="str">
        <f t="shared" si="220"/>
        <v>저수</v>
      </c>
      <c r="AH288" s="22" t="str">
        <f t="shared" si="221"/>
        <v>저수</v>
      </c>
      <c r="AI288" s="22" t="str">
        <f t="shared" si="222"/>
        <v>고수</v>
      </c>
      <c r="AJ288" s="22" t="str">
        <f t="shared" si="223"/>
        <v>고수</v>
      </c>
      <c r="AK288" s="22" t="str">
        <f t="shared" si="224"/>
        <v>고수</v>
      </c>
      <c r="AL288" s="52" t="str">
        <f t="shared" si="225"/>
        <v>3 : 3</v>
      </c>
      <c r="AM288" s="22">
        <f t="shared" si="226"/>
        <v>3</v>
      </c>
      <c r="AN288" s="22">
        <f t="shared" si="227"/>
        <v>3</v>
      </c>
      <c r="AO288" s="22">
        <f t="shared" si="228"/>
        <v>23</v>
      </c>
      <c r="AP288" s="22" t="str">
        <f t="shared" si="229"/>
        <v>O</v>
      </c>
      <c r="AQ288" s="22" t="str">
        <f t="shared" si="230"/>
        <v>O</v>
      </c>
      <c r="AR288" s="22" t="str">
        <f t="shared" si="231"/>
        <v>X</v>
      </c>
      <c r="AS288" s="22" t="str">
        <f t="shared" si="232"/>
        <v>X</v>
      </c>
      <c r="AT288" s="22" t="str">
        <f t="shared" si="233"/>
        <v>X</v>
      </c>
      <c r="AU288" s="22" t="str">
        <f t="shared" si="234"/>
        <v>X</v>
      </c>
      <c r="AV288" s="22" t="str">
        <f t="shared" si="235"/>
        <v>X</v>
      </c>
      <c r="AW288" s="22" t="str">
        <f t="shared" si="236"/>
        <v>X</v>
      </c>
      <c r="AX288" s="22" t="str">
        <f t="shared" si="237"/>
        <v>X</v>
      </c>
      <c r="AY288" s="22" t="str">
        <f t="shared" si="238"/>
        <v>X</v>
      </c>
      <c r="AZ288" s="22" t="str">
        <f t="shared" si="239"/>
        <v>X</v>
      </c>
      <c r="BA288" s="22" t="str">
        <f t="shared" si="240"/>
        <v>X</v>
      </c>
      <c r="BB288" s="22">
        <f t="shared" si="241"/>
        <v>2</v>
      </c>
      <c r="BC288" s="22" t="str">
        <f t="shared" si="212"/>
        <v>1G</v>
      </c>
      <c r="BD288" s="22" t="str">
        <f t="shared" si="213"/>
        <v>1G</v>
      </c>
      <c r="BE288" s="22" t="str">
        <f t="shared" si="214"/>
        <v>1G</v>
      </c>
      <c r="BF288" s="22" t="str">
        <f t="shared" si="215"/>
        <v>2G</v>
      </c>
      <c r="BG288" s="22" t="str">
        <f t="shared" si="216"/>
        <v>2G</v>
      </c>
      <c r="BH288" s="22" t="str">
        <f t="shared" si="217"/>
        <v>3G</v>
      </c>
      <c r="BI288" s="22">
        <f t="shared" si="242"/>
        <v>3</v>
      </c>
      <c r="BJ288" s="22">
        <f t="shared" si="243"/>
        <v>2</v>
      </c>
      <c r="BK288" s="22">
        <f t="shared" si="244"/>
        <v>1</v>
      </c>
      <c r="BL288" s="22" t="str">
        <f t="shared" si="245"/>
        <v>321</v>
      </c>
      <c r="BS288"/>
      <c r="CL288" s="23">
        <v>144</v>
      </c>
      <c r="CM288" s="23">
        <v>140</v>
      </c>
      <c r="CO288"/>
    </row>
    <row r="289" spans="2:93" ht="17" hidden="1">
      <c r="B289" s="15">
        <v>285</v>
      </c>
      <c r="C289" s="23" t="s">
        <v>315</v>
      </c>
      <c r="D289" s="16">
        <v>3</v>
      </c>
      <c r="E289" s="17">
        <v>3164370100</v>
      </c>
      <c r="F289" s="16">
        <v>26</v>
      </c>
      <c r="G289" s="17">
        <v>60853272</v>
      </c>
      <c r="H289" s="17">
        <v>1017</v>
      </c>
      <c r="I289" s="17">
        <v>1555738</v>
      </c>
      <c r="J289" s="17">
        <v>51283</v>
      </c>
      <c r="K289" s="17">
        <v>61705</v>
      </c>
      <c r="L289" s="17">
        <v>872117</v>
      </c>
      <c r="M289" s="17">
        <v>5000</v>
      </c>
      <c r="N289" s="23">
        <v>13</v>
      </c>
      <c r="O289" s="23">
        <v>33</v>
      </c>
      <c r="P289" s="23">
        <v>37</v>
      </c>
      <c r="Q289" s="23">
        <v>40</v>
      </c>
      <c r="R289" s="23">
        <v>41</v>
      </c>
      <c r="S289" s="23">
        <v>45</v>
      </c>
      <c r="T289" s="23">
        <v>2</v>
      </c>
      <c r="U289" s="23">
        <f t="shared" si="218"/>
        <v>209</v>
      </c>
      <c r="W289" s="22" t="str">
        <f t="shared" si="203"/>
        <v>홀수</v>
      </c>
      <c r="X289" s="22" t="str">
        <f t="shared" si="204"/>
        <v>홀수</v>
      </c>
      <c r="Y289" s="22" t="str">
        <f t="shared" si="205"/>
        <v>홀수</v>
      </c>
      <c r="Z289" s="22" t="str">
        <f t="shared" si="206"/>
        <v>짝수</v>
      </c>
      <c r="AA289" s="22" t="str">
        <f t="shared" si="207"/>
        <v>홀수</v>
      </c>
      <c r="AB289" s="22" t="str">
        <f t="shared" si="208"/>
        <v>홀수</v>
      </c>
      <c r="AC289" s="52" t="str">
        <f t="shared" si="209"/>
        <v>5 : 1</v>
      </c>
      <c r="AD289" s="22">
        <f t="shared" si="210"/>
        <v>5</v>
      </c>
      <c r="AE289" s="22">
        <f t="shared" si="211"/>
        <v>1</v>
      </c>
      <c r="AF289" s="22" t="str">
        <f t="shared" si="219"/>
        <v>저수</v>
      </c>
      <c r="AG289" s="22" t="str">
        <f t="shared" si="220"/>
        <v>고수</v>
      </c>
      <c r="AH289" s="22" t="str">
        <f t="shared" si="221"/>
        <v>고수</v>
      </c>
      <c r="AI289" s="22" t="str">
        <f t="shared" si="222"/>
        <v>고수</v>
      </c>
      <c r="AJ289" s="22" t="str">
        <f t="shared" si="223"/>
        <v>고수</v>
      </c>
      <c r="AK289" s="22" t="str">
        <f t="shared" si="224"/>
        <v>고수</v>
      </c>
      <c r="AL289" s="52" t="str">
        <f t="shared" si="225"/>
        <v>1 : 5</v>
      </c>
      <c r="AM289" s="22">
        <f t="shared" si="226"/>
        <v>1</v>
      </c>
      <c r="AN289" s="22">
        <f t="shared" si="227"/>
        <v>5</v>
      </c>
      <c r="AO289" s="22">
        <f t="shared" si="228"/>
        <v>19</v>
      </c>
      <c r="AP289" s="22" t="str">
        <f t="shared" si="229"/>
        <v>O</v>
      </c>
      <c r="AQ289" s="22" t="str">
        <f t="shared" si="230"/>
        <v>X</v>
      </c>
      <c r="AR289" s="22" t="str">
        <f t="shared" si="231"/>
        <v>X</v>
      </c>
      <c r="AS289" s="22" t="str">
        <f t="shared" si="232"/>
        <v>X</v>
      </c>
      <c r="AT289" s="22" t="str">
        <f t="shared" si="233"/>
        <v>X</v>
      </c>
      <c r="AU289" s="22" t="str">
        <f t="shared" si="234"/>
        <v>X</v>
      </c>
      <c r="AV289" s="22" t="str">
        <f t="shared" si="235"/>
        <v>X</v>
      </c>
      <c r="AW289" s="22" t="str">
        <f t="shared" si="236"/>
        <v>X</v>
      </c>
      <c r="AX289" s="22" t="str">
        <f t="shared" si="237"/>
        <v>O</v>
      </c>
      <c r="AY289" s="22" t="str">
        <f t="shared" si="238"/>
        <v>X</v>
      </c>
      <c r="AZ289" s="22" t="str">
        <f t="shared" si="239"/>
        <v>O</v>
      </c>
      <c r="BA289" s="22" t="str">
        <f t="shared" si="240"/>
        <v>X</v>
      </c>
      <c r="BB289" s="22">
        <f t="shared" si="241"/>
        <v>3</v>
      </c>
      <c r="BC289" s="22" t="str">
        <f t="shared" si="212"/>
        <v>1G</v>
      </c>
      <c r="BD289" s="22" t="str">
        <f t="shared" si="213"/>
        <v>3G</v>
      </c>
      <c r="BE289" s="22" t="str">
        <f t="shared" si="214"/>
        <v>3G</v>
      </c>
      <c r="BF289" s="22" t="str">
        <f t="shared" si="215"/>
        <v>3G</v>
      </c>
      <c r="BG289" s="22" t="str">
        <f t="shared" si="216"/>
        <v>3G</v>
      </c>
      <c r="BH289" s="22" t="str">
        <f t="shared" si="217"/>
        <v>3G</v>
      </c>
      <c r="BI289" s="22">
        <f t="shared" si="242"/>
        <v>1</v>
      </c>
      <c r="BJ289" s="22">
        <f t="shared" si="243"/>
        <v>0</v>
      </c>
      <c r="BK289" s="22">
        <f t="shared" si="244"/>
        <v>5</v>
      </c>
      <c r="BL289" s="22" t="str">
        <f t="shared" si="245"/>
        <v>105</v>
      </c>
      <c r="BS289"/>
      <c r="CL289" s="23">
        <v>144</v>
      </c>
      <c r="CM289" s="23">
        <v>140</v>
      </c>
      <c r="CO289"/>
    </row>
    <row r="290" spans="2:93" ht="17" hidden="1">
      <c r="B290" s="15">
        <v>286</v>
      </c>
      <c r="C290" s="23" t="s">
        <v>316</v>
      </c>
      <c r="D290" s="16">
        <v>3</v>
      </c>
      <c r="E290" s="17">
        <v>3236566300</v>
      </c>
      <c r="F290" s="16">
        <v>27</v>
      </c>
      <c r="G290" s="17">
        <v>59936413</v>
      </c>
      <c r="H290" s="17">
        <v>1033</v>
      </c>
      <c r="I290" s="17">
        <v>1566586</v>
      </c>
      <c r="J290" s="17">
        <v>48857</v>
      </c>
      <c r="K290" s="17">
        <v>66246</v>
      </c>
      <c r="L290" s="17">
        <v>857882</v>
      </c>
      <c r="M290" s="17">
        <v>5000</v>
      </c>
      <c r="N290" s="23">
        <v>1</v>
      </c>
      <c r="O290" s="23">
        <v>15</v>
      </c>
      <c r="P290" s="23">
        <v>19</v>
      </c>
      <c r="Q290" s="23">
        <v>40</v>
      </c>
      <c r="R290" s="23">
        <v>42</v>
      </c>
      <c r="S290" s="23">
        <v>44</v>
      </c>
      <c r="T290" s="23">
        <v>17</v>
      </c>
      <c r="U290" s="23">
        <f t="shared" si="218"/>
        <v>161</v>
      </c>
      <c r="W290" s="22" t="str">
        <f t="shared" si="203"/>
        <v>홀수</v>
      </c>
      <c r="X290" s="22" t="str">
        <f t="shared" si="204"/>
        <v>홀수</v>
      </c>
      <c r="Y290" s="22" t="str">
        <f t="shared" si="205"/>
        <v>홀수</v>
      </c>
      <c r="Z290" s="22" t="str">
        <f t="shared" si="206"/>
        <v>짝수</v>
      </c>
      <c r="AA290" s="22" t="str">
        <f t="shared" si="207"/>
        <v>짝수</v>
      </c>
      <c r="AB290" s="22" t="str">
        <f t="shared" si="208"/>
        <v>짝수</v>
      </c>
      <c r="AC290" s="52" t="str">
        <f t="shared" si="209"/>
        <v>3 : 3</v>
      </c>
      <c r="AD290" s="22">
        <f t="shared" si="210"/>
        <v>3</v>
      </c>
      <c r="AE290" s="22">
        <f t="shared" si="211"/>
        <v>3</v>
      </c>
      <c r="AF290" s="22" t="str">
        <f t="shared" si="219"/>
        <v>저수</v>
      </c>
      <c r="AG290" s="22" t="str">
        <f t="shared" si="220"/>
        <v>저수</v>
      </c>
      <c r="AH290" s="22" t="str">
        <f t="shared" si="221"/>
        <v>저수</v>
      </c>
      <c r="AI290" s="22" t="str">
        <f t="shared" si="222"/>
        <v>고수</v>
      </c>
      <c r="AJ290" s="22" t="str">
        <f t="shared" si="223"/>
        <v>고수</v>
      </c>
      <c r="AK290" s="22" t="str">
        <f t="shared" si="224"/>
        <v>고수</v>
      </c>
      <c r="AL290" s="52" t="str">
        <f t="shared" si="225"/>
        <v>3 : 3</v>
      </c>
      <c r="AM290" s="22">
        <f t="shared" si="226"/>
        <v>3</v>
      </c>
      <c r="AN290" s="22">
        <f t="shared" si="227"/>
        <v>3</v>
      </c>
      <c r="AO290" s="22">
        <f t="shared" si="228"/>
        <v>21</v>
      </c>
      <c r="AP290" s="22" t="str">
        <f t="shared" si="229"/>
        <v>X</v>
      </c>
      <c r="AQ290" s="22" t="str">
        <f t="shared" si="230"/>
        <v>X</v>
      </c>
      <c r="AR290" s="22" t="str">
        <f t="shared" si="231"/>
        <v>O</v>
      </c>
      <c r="AS290" s="22" t="str">
        <f t="shared" si="232"/>
        <v>X</v>
      </c>
      <c r="AT290" s="22" t="str">
        <f t="shared" si="233"/>
        <v>X</v>
      </c>
      <c r="AU290" s="22" t="str">
        <f t="shared" si="234"/>
        <v>X</v>
      </c>
      <c r="AV290" s="22" t="str">
        <f t="shared" si="235"/>
        <v>X</v>
      </c>
      <c r="AW290" s="22" t="str">
        <f t="shared" si="236"/>
        <v>X</v>
      </c>
      <c r="AX290" s="22" t="str">
        <f t="shared" si="237"/>
        <v>X</v>
      </c>
      <c r="AY290" s="22" t="str">
        <f t="shared" si="238"/>
        <v>X</v>
      </c>
      <c r="AZ290" s="22" t="str">
        <f t="shared" si="239"/>
        <v>X</v>
      </c>
      <c r="BA290" s="22" t="str">
        <f t="shared" si="240"/>
        <v>X</v>
      </c>
      <c r="BB290" s="22">
        <f t="shared" si="241"/>
        <v>1</v>
      </c>
      <c r="BC290" s="22" t="str">
        <f t="shared" si="212"/>
        <v>1G</v>
      </c>
      <c r="BD290" s="22" t="str">
        <f t="shared" si="213"/>
        <v>1G</v>
      </c>
      <c r="BE290" s="22" t="str">
        <f t="shared" si="214"/>
        <v>2G</v>
      </c>
      <c r="BF290" s="22" t="str">
        <f t="shared" si="215"/>
        <v>3G</v>
      </c>
      <c r="BG290" s="22" t="str">
        <f t="shared" si="216"/>
        <v>3G</v>
      </c>
      <c r="BH290" s="22" t="str">
        <f t="shared" si="217"/>
        <v>3G</v>
      </c>
      <c r="BI290" s="22">
        <f t="shared" si="242"/>
        <v>2</v>
      </c>
      <c r="BJ290" s="22">
        <f t="shared" si="243"/>
        <v>1</v>
      </c>
      <c r="BK290" s="22">
        <f t="shared" si="244"/>
        <v>3</v>
      </c>
      <c r="BL290" s="22" t="str">
        <f t="shared" si="245"/>
        <v>213</v>
      </c>
      <c r="BS290"/>
      <c r="CL290" s="23">
        <v>144</v>
      </c>
      <c r="CM290" s="23">
        <v>140</v>
      </c>
      <c r="CO290"/>
    </row>
    <row r="291" spans="2:93" ht="17" hidden="1">
      <c r="B291" s="15">
        <v>287</v>
      </c>
      <c r="C291" s="23" t="s">
        <v>317</v>
      </c>
      <c r="D291" s="16">
        <v>7</v>
      </c>
      <c r="E291" s="17">
        <v>1328657100</v>
      </c>
      <c r="F291" s="16">
        <v>37</v>
      </c>
      <c r="G291" s="17">
        <v>41894594</v>
      </c>
      <c r="H291" s="17">
        <v>1330</v>
      </c>
      <c r="I291" s="17">
        <v>1165489</v>
      </c>
      <c r="J291" s="17">
        <v>60597</v>
      </c>
      <c r="K291" s="17">
        <v>51161</v>
      </c>
      <c r="L291" s="17">
        <v>962149</v>
      </c>
      <c r="M291" s="17">
        <v>5000</v>
      </c>
      <c r="N291" s="23">
        <v>6</v>
      </c>
      <c r="O291" s="23">
        <v>12</v>
      </c>
      <c r="P291" s="23">
        <v>24</v>
      </c>
      <c r="Q291" s="23">
        <v>27</v>
      </c>
      <c r="R291" s="23">
        <v>35</v>
      </c>
      <c r="S291" s="23">
        <v>37</v>
      </c>
      <c r="T291" s="23">
        <v>41</v>
      </c>
      <c r="U291" s="23">
        <f t="shared" si="218"/>
        <v>141</v>
      </c>
      <c r="W291" s="22" t="str">
        <f t="shared" si="203"/>
        <v>짝수</v>
      </c>
      <c r="X291" s="22" t="str">
        <f t="shared" si="204"/>
        <v>짝수</v>
      </c>
      <c r="Y291" s="22" t="str">
        <f t="shared" si="205"/>
        <v>짝수</v>
      </c>
      <c r="Z291" s="22" t="str">
        <f t="shared" si="206"/>
        <v>홀수</v>
      </c>
      <c r="AA291" s="22" t="str">
        <f t="shared" si="207"/>
        <v>홀수</v>
      </c>
      <c r="AB291" s="22" t="str">
        <f t="shared" si="208"/>
        <v>홀수</v>
      </c>
      <c r="AC291" s="52" t="str">
        <f t="shared" si="209"/>
        <v>3 : 3</v>
      </c>
      <c r="AD291" s="22">
        <f t="shared" si="210"/>
        <v>3</v>
      </c>
      <c r="AE291" s="22">
        <f t="shared" si="211"/>
        <v>3</v>
      </c>
      <c r="AF291" s="22" t="str">
        <f t="shared" si="219"/>
        <v>저수</v>
      </c>
      <c r="AG291" s="22" t="str">
        <f t="shared" si="220"/>
        <v>저수</v>
      </c>
      <c r="AH291" s="22" t="str">
        <f t="shared" si="221"/>
        <v>고수</v>
      </c>
      <c r="AI291" s="22" t="str">
        <f t="shared" si="222"/>
        <v>고수</v>
      </c>
      <c r="AJ291" s="22" t="str">
        <f t="shared" si="223"/>
        <v>고수</v>
      </c>
      <c r="AK291" s="22" t="str">
        <f t="shared" si="224"/>
        <v>고수</v>
      </c>
      <c r="AL291" s="52" t="str">
        <f t="shared" si="225"/>
        <v>2 : 4</v>
      </c>
      <c r="AM291" s="22">
        <f t="shared" si="226"/>
        <v>2</v>
      </c>
      <c r="AN291" s="22">
        <f t="shared" si="227"/>
        <v>4</v>
      </c>
      <c r="AO291" s="22">
        <f t="shared" si="228"/>
        <v>31</v>
      </c>
      <c r="AP291" s="22" t="str">
        <f t="shared" si="229"/>
        <v>X</v>
      </c>
      <c r="AQ291" s="22" t="str">
        <f t="shared" si="230"/>
        <v>X</v>
      </c>
      <c r="AR291" s="22" t="str">
        <f t="shared" si="231"/>
        <v>X</v>
      </c>
      <c r="AS291" s="22" t="str">
        <f t="shared" si="232"/>
        <v>X</v>
      </c>
      <c r="AT291" s="22" t="str">
        <f t="shared" si="233"/>
        <v>X</v>
      </c>
      <c r="AU291" s="22" t="str">
        <f t="shared" si="234"/>
        <v>X</v>
      </c>
      <c r="AV291" s="22" t="str">
        <f t="shared" si="235"/>
        <v>X</v>
      </c>
      <c r="AW291" s="22" t="str">
        <f t="shared" si="236"/>
        <v>X</v>
      </c>
      <c r="AX291" s="22" t="str">
        <f t="shared" si="237"/>
        <v>X</v>
      </c>
      <c r="AY291" s="22" t="str">
        <f t="shared" si="238"/>
        <v>X</v>
      </c>
      <c r="AZ291" s="22" t="str">
        <f t="shared" si="239"/>
        <v>X</v>
      </c>
      <c r="BA291" s="22" t="str">
        <f t="shared" si="240"/>
        <v>O</v>
      </c>
      <c r="BB291" s="22">
        <f t="shared" si="241"/>
        <v>1</v>
      </c>
      <c r="BC291" s="22" t="str">
        <f t="shared" si="212"/>
        <v>1G</v>
      </c>
      <c r="BD291" s="22" t="str">
        <f t="shared" si="213"/>
        <v>1G</v>
      </c>
      <c r="BE291" s="22" t="str">
        <f t="shared" si="214"/>
        <v>2G</v>
      </c>
      <c r="BF291" s="22" t="str">
        <f t="shared" si="215"/>
        <v>2G</v>
      </c>
      <c r="BG291" s="22" t="str">
        <f t="shared" si="216"/>
        <v>3G</v>
      </c>
      <c r="BH291" s="22" t="str">
        <f t="shared" si="217"/>
        <v>3G</v>
      </c>
      <c r="BI291" s="22">
        <f t="shared" si="242"/>
        <v>2</v>
      </c>
      <c r="BJ291" s="22">
        <f t="shared" si="243"/>
        <v>2</v>
      </c>
      <c r="BK291" s="22">
        <f t="shared" si="244"/>
        <v>2</v>
      </c>
      <c r="BL291" s="22" t="str">
        <f t="shared" si="245"/>
        <v>222</v>
      </c>
      <c r="BS291"/>
      <c r="CL291" s="23">
        <v>144</v>
      </c>
      <c r="CM291" s="23">
        <v>140</v>
      </c>
      <c r="CO291"/>
    </row>
    <row r="292" spans="2:93" ht="17" hidden="1">
      <c r="B292" s="15">
        <v>288</v>
      </c>
      <c r="C292" s="23" t="s">
        <v>318</v>
      </c>
      <c r="D292" s="16">
        <v>4</v>
      </c>
      <c r="E292" s="17">
        <v>2357261550</v>
      </c>
      <c r="F292" s="16">
        <v>24</v>
      </c>
      <c r="G292" s="17">
        <v>65479488</v>
      </c>
      <c r="H292" s="17">
        <v>1056</v>
      </c>
      <c r="I292" s="17">
        <v>1488171</v>
      </c>
      <c r="J292" s="17">
        <v>50246</v>
      </c>
      <c r="K292" s="17">
        <v>62553</v>
      </c>
      <c r="L292" s="17">
        <v>853998</v>
      </c>
      <c r="M292" s="17">
        <v>5000</v>
      </c>
      <c r="N292" s="23">
        <v>1</v>
      </c>
      <c r="O292" s="23">
        <v>12</v>
      </c>
      <c r="P292" s="23">
        <v>17</v>
      </c>
      <c r="Q292" s="23">
        <v>28</v>
      </c>
      <c r="R292" s="23">
        <v>35</v>
      </c>
      <c r="S292" s="23">
        <v>41</v>
      </c>
      <c r="T292" s="23">
        <v>10</v>
      </c>
      <c r="U292" s="23">
        <f t="shared" si="218"/>
        <v>134</v>
      </c>
      <c r="W292" s="22" t="str">
        <f t="shared" si="203"/>
        <v>홀수</v>
      </c>
      <c r="X292" s="22" t="str">
        <f t="shared" si="204"/>
        <v>짝수</v>
      </c>
      <c r="Y292" s="22" t="str">
        <f t="shared" si="205"/>
        <v>홀수</v>
      </c>
      <c r="Z292" s="22" t="str">
        <f t="shared" si="206"/>
        <v>짝수</v>
      </c>
      <c r="AA292" s="22" t="str">
        <f t="shared" si="207"/>
        <v>홀수</v>
      </c>
      <c r="AB292" s="22" t="str">
        <f t="shared" si="208"/>
        <v>홀수</v>
      </c>
      <c r="AC292" s="52" t="str">
        <f t="shared" si="209"/>
        <v>4 : 2</v>
      </c>
      <c r="AD292" s="22">
        <f t="shared" si="210"/>
        <v>4</v>
      </c>
      <c r="AE292" s="22">
        <f t="shared" si="211"/>
        <v>2</v>
      </c>
      <c r="AF292" s="22" t="str">
        <f t="shared" si="219"/>
        <v>저수</v>
      </c>
      <c r="AG292" s="22" t="str">
        <f t="shared" si="220"/>
        <v>저수</v>
      </c>
      <c r="AH292" s="22" t="str">
        <f t="shared" si="221"/>
        <v>저수</v>
      </c>
      <c r="AI292" s="22" t="str">
        <f t="shared" si="222"/>
        <v>고수</v>
      </c>
      <c r="AJ292" s="22" t="str">
        <f t="shared" si="223"/>
        <v>고수</v>
      </c>
      <c r="AK292" s="22" t="str">
        <f t="shared" si="224"/>
        <v>고수</v>
      </c>
      <c r="AL292" s="52" t="str">
        <f t="shared" si="225"/>
        <v>3 : 3</v>
      </c>
      <c r="AM292" s="22">
        <f t="shared" si="226"/>
        <v>3</v>
      </c>
      <c r="AN292" s="22">
        <f t="shared" si="227"/>
        <v>3</v>
      </c>
      <c r="AO292" s="22">
        <f t="shared" si="228"/>
        <v>24</v>
      </c>
      <c r="AP292" s="22" t="str">
        <f t="shared" si="229"/>
        <v>X</v>
      </c>
      <c r="AQ292" s="22" t="str">
        <f t="shared" si="230"/>
        <v>X</v>
      </c>
      <c r="AR292" s="22" t="str">
        <f t="shared" si="231"/>
        <v>O</v>
      </c>
      <c r="AS292" s="22" t="str">
        <f t="shared" si="232"/>
        <v>X</v>
      </c>
      <c r="AT292" s="22" t="str">
        <f t="shared" si="233"/>
        <v>X</v>
      </c>
      <c r="AU292" s="22" t="str">
        <f t="shared" si="234"/>
        <v>X</v>
      </c>
      <c r="AV292" s="22" t="str">
        <f t="shared" si="235"/>
        <v>X</v>
      </c>
      <c r="AW292" s="22" t="str">
        <f t="shared" si="236"/>
        <v>X</v>
      </c>
      <c r="AX292" s="22" t="str">
        <f t="shared" si="237"/>
        <v>X</v>
      </c>
      <c r="AY292" s="22" t="str">
        <f t="shared" si="238"/>
        <v>X</v>
      </c>
      <c r="AZ292" s="22" t="str">
        <f t="shared" si="239"/>
        <v>X</v>
      </c>
      <c r="BA292" s="22" t="str">
        <f t="shared" si="240"/>
        <v>O</v>
      </c>
      <c r="BB292" s="22">
        <f t="shared" si="241"/>
        <v>2</v>
      </c>
      <c r="BC292" s="22" t="str">
        <f t="shared" si="212"/>
        <v>1G</v>
      </c>
      <c r="BD292" s="22" t="str">
        <f t="shared" si="213"/>
        <v>1G</v>
      </c>
      <c r="BE292" s="22" t="str">
        <f t="shared" si="214"/>
        <v>2G</v>
      </c>
      <c r="BF292" s="22" t="str">
        <f t="shared" si="215"/>
        <v>2G</v>
      </c>
      <c r="BG292" s="22" t="str">
        <f t="shared" si="216"/>
        <v>3G</v>
      </c>
      <c r="BH292" s="22" t="str">
        <f t="shared" si="217"/>
        <v>3G</v>
      </c>
      <c r="BI292" s="22">
        <f t="shared" si="242"/>
        <v>2</v>
      </c>
      <c r="BJ292" s="22">
        <f t="shared" si="243"/>
        <v>2</v>
      </c>
      <c r="BK292" s="22">
        <f t="shared" si="244"/>
        <v>2</v>
      </c>
      <c r="BL292" s="22" t="str">
        <f t="shared" si="245"/>
        <v>222</v>
      </c>
      <c r="BS292"/>
      <c r="CL292" s="23">
        <v>144</v>
      </c>
      <c r="CM292" s="23">
        <v>140</v>
      </c>
      <c r="CO292"/>
    </row>
    <row r="293" spans="2:93" ht="17" hidden="1">
      <c r="B293" s="15">
        <v>289</v>
      </c>
      <c r="C293" s="23" t="s">
        <v>319</v>
      </c>
      <c r="D293" s="16">
        <v>0</v>
      </c>
      <c r="E293" s="16">
        <v>0</v>
      </c>
      <c r="F293" s="16">
        <v>24</v>
      </c>
      <c r="G293" s="17">
        <v>63761694</v>
      </c>
      <c r="H293" s="17">
        <v>1019</v>
      </c>
      <c r="I293" s="17">
        <v>1501748</v>
      </c>
      <c r="J293" s="17">
        <v>52281</v>
      </c>
      <c r="K293" s="17">
        <v>58541</v>
      </c>
      <c r="L293" s="17">
        <v>880103</v>
      </c>
      <c r="M293" s="17">
        <v>5000</v>
      </c>
      <c r="N293" s="23">
        <v>3</v>
      </c>
      <c r="O293" s="23">
        <v>14</v>
      </c>
      <c r="P293" s="23">
        <v>33</v>
      </c>
      <c r="Q293" s="23">
        <v>37</v>
      </c>
      <c r="R293" s="23">
        <v>38</v>
      </c>
      <c r="S293" s="23">
        <v>42</v>
      </c>
      <c r="T293" s="23">
        <v>10</v>
      </c>
      <c r="U293" s="23">
        <f t="shared" si="218"/>
        <v>167</v>
      </c>
      <c r="W293" s="22" t="str">
        <f t="shared" si="203"/>
        <v>홀수</v>
      </c>
      <c r="X293" s="22" t="str">
        <f t="shared" si="204"/>
        <v>짝수</v>
      </c>
      <c r="Y293" s="22" t="str">
        <f t="shared" si="205"/>
        <v>홀수</v>
      </c>
      <c r="Z293" s="22" t="str">
        <f t="shared" si="206"/>
        <v>홀수</v>
      </c>
      <c r="AA293" s="22" t="str">
        <f t="shared" si="207"/>
        <v>짝수</v>
      </c>
      <c r="AB293" s="22" t="str">
        <f t="shared" si="208"/>
        <v>짝수</v>
      </c>
      <c r="AC293" s="52" t="str">
        <f t="shared" si="209"/>
        <v>3 : 3</v>
      </c>
      <c r="AD293" s="22">
        <f t="shared" si="210"/>
        <v>3</v>
      </c>
      <c r="AE293" s="22">
        <f t="shared" si="211"/>
        <v>3</v>
      </c>
      <c r="AF293" s="22" t="str">
        <f t="shared" si="219"/>
        <v>저수</v>
      </c>
      <c r="AG293" s="22" t="str">
        <f t="shared" si="220"/>
        <v>저수</v>
      </c>
      <c r="AH293" s="22" t="str">
        <f t="shared" si="221"/>
        <v>고수</v>
      </c>
      <c r="AI293" s="22" t="str">
        <f t="shared" si="222"/>
        <v>고수</v>
      </c>
      <c r="AJ293" s="22" t="str">
        <f t="shared" si="223"/>
        <v>고수</v>
      </c>
      <c r="AK293" s="22" t="str">
        <f t="shared" si="224"/>
        <v>고수</v>
      </c>
      <c r="AL293" s="52" t="str">
        <f t="shared" si="225"/>
        <v>2 : 4</v>
      </c>
      <c r="AM293" s="22">
        <f t="shared" si="226"/>
        <v>2</v>
      </c>
      <c r="AN293" s="22">
        <f t="shared" si="227"/>
        <v>4</v>
      </c>
      <c r="AO293" s="22">
        <f t="shared" si="228"/>
        <v>27</v>
      </c>
      <c r="AP293" s="22" t="str">
        <f t="shared" si="229"/>
        <v>O</v>
      </c>
      <c r="AQ293" s="22" t="str">
        <f t="shared" si="230"/>
        <v>X</v>
      </c>
      <c r="AR293" s="22" t="str">
        <f t="shared" si="231"/>
        <v>X</v>
      </c>
      <c r="AS293" s="22" t="str">
        <f t="shared" si="232"/>
        <v>X</v>
      </c>
      <c r="AT293" s="22" t="str">
        <f t="shared" si="233"/>
        <v>X</v>
      </c>
      <c r="AU293" s="22" t="str">
        <f t="shared" si="234"/>
        <v>X</v>
      </c>
      <c r="AV293" s="22" t="str">
        <f t="shared" si="235"/>
        <v>X</v>
      </c>
      <c r="AW293" s="22" t="str">
        <f t="shared" si="236"/>
        <v>X</v>
      </c>
      <c r="AX293" s="22" t="str">
        <f t="shared" si="237"/>
        <v>X</v>
      </c>
      <c r="AY293" s="22" t="str">
        <f t="shared" si="238"/>
        <v>O</v>
      </c>
      <c r="AZ293" s="22" t="str">
        <f t="shared" si="239"/>
        <v>X</v>
      </c>
      <c r="BA293" s="22" t="str">
        <f t="shared" si="240"/>
        <v>X</v>
      </c>
      <c r="BB293" s="22">
        <f t="shared" si="241"/>
        <v>2</v>
      </c>
      <c r="BC293" s="22" t="str">
        <f t="shared" si="212"/>
        <v>1G</v>
      </c>
      <c r="BD293" s="22" t="str">
        <f t="shared" si="213"/>
        <v>1G</v>
      </c>
      <c r="BE293" s="22" t="str">
        <f t="shared" si="214"/>
        <v>3G</v>
      </c>
      <c r="BF293" s="22" t="str">
        <f t="shared" si="215"/>
        <v>3G</v>
      </c>
      <c r="BG293" s="22" t="str">
        <f t="shared" si="216"/>
        <v>3G</v>
      </c>
      <c r="BH293" s="22" t="str">
        <f t="shared" si="217"/>
        <v>3G</v>
      </c>
      <c r="BI293" s="22">
        <f t="shared" si="242"/>
        <v>2</v>
      </c>
      <c r="BJ293" s="22">
        <f t="shared" si="243"/>
        <v>0</v>
      </c>
      <c r="BK293" s="22">
        <f t="shared" si="244"/>
        <v>4</v>
      </c>
      <c r="BL293" s="22" t="str">
        <f t="shared" si="245"/>
        <v>204</v>
      </c>
      <c r="BS293"/>
      <c r="CL293" s="23">
        <v>145</v>
      </c>
      <c r="CM293" s="23">
        <v>140</v>
      </c>
      <c r="CO293"/>
    </row>
    <row r="294" spans="2:93" ht="17" hidden="1">
      <c r="B294" s="15">
        <v>290</v>
      </c>
      <c r="C294" s="23" t="s">
        <v>320</v>
      </c>
      <c r="D294" s="16">
        <v>13</v>
      </c>
      <c r="E294" s="17">
        <v>2149214424</v>
      </c>
      <c r="F294" s="16">
        <v>61</v>
      </c>
      <c r="G294" s="17">
        <v>51251650</v>
      </c>
      <c r="H294" s="17">
        <v>2297</v>
      </c>
      <c r="I294" s="17">
        <v>1361059</v>
      </c>
      <c r="J294" s="17">
        <v>106752</v>
      </c>
      <c r="K294" s="17">
        <v>58573</v>
      </c>
      <c r="L294" s="17">
        <v>1783529</v>
      </c>
      <c r="M294" s="17">
        <v>5000</v>
      </c>
      <c r="N294" s="23">
        <v>8</v>
      </c>
      <c r="O294" s="23">
        <v>13</v>
      </c>
      <c r="P294" s="23">
        <v>18</v>
      </c>
      <c r="Q294" s="23">
        <v>32</v>
      </c>
      <c r="R294" s="23">
        <v>39</v>
      </c>
      <c r="S294" s="23">
        <v>45</v>
      </c>
      <c r="T294" s="23">
        <v>7</v>
      </c>
      <c r="U294" s="23">
        <f t="shared" si="218"/>
        <v>155</v>
      </c>
      <c r="W294" s="22" t="str">
        <f t="shared" si="203"/>
        <v>짝수</v>
      </c>
      <c r="X294" s="22" t="str">
        <f t="shared" si="204"/>
        <v>홀수</v>
      </c>
      <c r="Y294" s="22" t="str">
        <f t="shared" si="205"/>
        <v>짝수</v>
      </c>
      <c r="Z294" s="22" t="str">
        <f t="shared" si="206"/>
        <v>짝수</v>
      </c>
      <c r="AA294" s="22" t="str">
        <f t="shared" si="207"/>
        <v>홀수</v>
      </c>
      <c r="AB294" s="22" t="str">
        <f t="shared" si="208"/>
        <v>홀수</v>
      </c>
      <c r="AC294" s="52" t="str">
        <f t="shared" si="209"/>
        <v>3 : 3</v>
      </c>
      <c r="AD294" s="22">
        <f t="shared" si="210"/>
        <v>3</v>
      </c>
      <c r="AE294" s="22">
        <f t="shared" si="211"/>
        <v>3</v>
      </c>
      <c r="AF294" s="22" t="str">
        <f t="shared" si="219"/>
        <v>저수</v>
      </c>
      <c r="AG294" s="22" t="str">
        <f t="shared" si="220"/>
        <v>저수</v>
      </c>
      <c r="AH294" s="22" t="str">
        <f t="shared" si="221"/>
        <v>저수</v>
      </c>
      <c r="AI294" s="22" t="str">
        <f t="shared" si="222"/>
        <v>고수</v>
      </c>
      <c r="AJ294" s="22" t="str">
        <f t="shared" si="223"/>
        <v>고수</v>
      </c>
      <c r="AK294" s="22" t="str">
        <f t="shared" si="224"/>
        <v>고수</v>
      </c>
      <c r="AL294" s="52" t="str">
        <f t="shared" si="225"/>
        <v>3 : 3</v>
      </c>
      <c r="AM294" s="22">
        <f t="shared" si="226"/>
        <v>3</v>
      </c>
      <c r="AN294" s="22">
        <f t="shared" si="227"/>
        <v>3</v>
      </c>
      <c r="AO294" s="22">
        <f t="shared" si="228"/>
        <v>35</v>
      </c>
      <c r="AP294" s="22" t="str">
        <f t="shared" si="229"/>
        <v>X</v>
      </c>
      <c r="AQ294" s="22" t="str">
        <f t="shared" si="230"/>
        <v>O</v>
      </c>
      <c r="AR294" s="22" t="str">
        <f t="shared" si="231"/>
        <v>X</v>
      </c>
      <c r="AS294" s="22" t="str">
        <f t="shared" si="232"/>
        <v>X</v>
      </c>
      <c r="AT294" s="22" t="str">
        <f t="shared" si="233"/>
        <v>X</v>
      </c>
      <c r="AU294" s="22" t="str">
        <f t="shared" si="234"/>
        <v>X</v>
      </c>
      <c r="AV294" s="22" t="str">
        <f t="shared" si="235"/>
        <v>X</v>
      </c>
      <c r="AW294" s="22" t="str">
        <f t="shared" si="236"/>
        <v>X</v>
      </c>
      <c r="AX294" s="22" t="str">
        <f t="shared" si="237"/>
        <v>X</v>
      </c>
      <c r="AY294" s="22" t="str">
        <f t="shared" si="238"/>
        <v>X</v>
      </c>
      <c r="AZ294" s="22" t="str">
        <f t="shared" si="239"/>
        <v>X</v>
      </c>
      <c r="BA294" s="22" t="str">
        <f t="shared" si="240"/>
        <v>X</v>
      </c>
      <c r="BB294" s="22">
        <f t="shared" si="241"/>
        <v>1</v>
      </c>
      <c r="BC294" s="22" t="str">
        <f t="shared" si="212"/>
        <v>1G</v>
      </c>
      <c r="BD294" s="22" t="str">
        <f t="shared" si="213"/>
        <v>1G</v>
      </c>
      <c r="BE294" s="22" t="str">
        <f t="shared" si="214"/>
        <v>2G</v>
      </c>
      <c r="BF294" s="22" t="str">
        <f t="shared" si="215"/>
        <v>3G</v>
      </c>
      <c r="BG294" s="22" t="str">
        <f t="shared" si="216"/>
        <v>3G</v>
      </c>
      <c r="BH294" s="22" t="str">
        <f t="shared" si="217"/>
        <v>3G</v>
      </c>
      <c r="BI294" s="22">
        <f t="shared" si="242"/>
        <v>2</v>
      </c>
      <c r="BJ294" s="22">
        <f t="shared" si="243"/>
        <v>1</v>
      </c>
      <c r="BK294" s="22">
        <f t="shared" si="244"/>
        <v>3</v>
      </c>
      <c r="BL294" s="22" t="str">
        <f t="shared" si="245"/>
        <v>213</v>
      </c>
      <c r="BS294"/>
      <c r="CL294" s="23">
        <v>145</v>
      </c>
      <c r="CM294" s="23">
        <v>140</v>
      </c>
      <c r="CO294"/>
    </row>
    <row r="295" spans="2:93" ht="17" hidden="1">
      <c r="B295" s="15">
        <v>291</v>
      </c>
      <c r="C295" s="23" t="s">
        <v>321</v>
      </c>
      <c r="D295" s="16">
        <v>7</v>
      </c>
      <c r="E295" s="17">
        <v>1450585200</v>
      </c>
      <c r="F295" s="16">
        <v>39</v>
      </c>
      <c r="G295" s="17">
        <v>43393575</v>
      </c>
      <c r="H295" s="17">
        <v>1227</v>
      </c>
      <c r="I295" s="17">
        <v>1379258</v>
      </c>
      <c r="J295" s="17">
        <v>62513</v>
      </c>
      <c r="K295" s="17">
        <v>54144</v>
      </c>
      <c r="L295" s="17">
        <v>1029643</v>
      </c>
      <c r="M295" s="17">
        <v>5000</v>
      </c>
      <c r="N295" s="23">
        <v>3</v>
      </c>
      <c r="O295" s="23">
        <v>7</v>
      </c>
      <c r="P295" s="23">
        <v>8</v>
      </c>
      <c r="Q295" s="23">
        <v>18</v>
      </c>
      <c r="R295" s="23">
        <v>20</v>
      </c>
      <c r="S295" s="23">
        <v>42</v>
      </c>
      <c r="T295" s="23">
        <v>45</v>
      </c>
      <c r="U295" s="23">
        <f t="shared" si="218"/>
        <v>98</v>
      </c>
      <c r="W295" s="22" t="str">
        <f t="shared" si="203"/>
        <v>홀수</v>
      </c>
      <c r="X295" s="22" t="str">
        <f t="shared" si="204"/>
        <v>홀수</v>
      </c>
      <c r="Y295" s="22" t="str">
        <f t="shared" si="205"/>
        <v>짝수</v>
      </c>
      <c r="Z295" s="22" t="str">
        <f t="shared" si="206"/>
        <v>짝수</v>
      </c>
      <c r="AA295" s="22" t="str">
        <f t="shared" si="207"/>
        <v>짝수</v>
      </c>
      <c r="AB295" s="22" t="str">
        <f t="shared" si="208"/>
        <v>짝수</v>
      </c>
      <c r="AC295" s="52" t="str">
        <f t="shared" si="209"/>
        <v>2 : 4</v>
      </c>
      <c r="AD295" s="22">
        <f t="shared" si="210"/>
        <v>2</v>
      </c>
      <c r="AE295" s="22">
        <f t="shared" si="211"/>
        <v>4</v>
      </c>
      <c r="AF295" s="22" t="str">
        <f t="shared" si="219"/>
        <v>저수</v>
      </c>
      <c r="AG295" s="22" t="str">
        <f t="shared" si="220"/>
        <v>저수</v>
      </c>
      <c r="AH295" s="22" t="str">
        <f t="shared" si="221"/>
        <v>저수</v>
      </c>
      <c r="AI295" s="22" t="str">
        <f t="shared" si="222"/>
        <v>저수</v>
      </c>
      <c r="AJ295" s="22" t="str">
        <f t="shared" si="223"/>
        <v>저수</v>
      </c>
      <c r="AK295" s="22" t="str">
        <f t="shared" si="224"/>
        <v>고수</v>
      </c>
      <c r="AL295" s="52" t="str">
        <f t="shared" si="225"/>
        <v>5 : 1</v>
      </c>
      <c r="AM295" s="22">
        <f t="shared" si="226"/>
        <v>5</v>
      </c>
      <c r="AN295" s="22">
        <f t="shared" si="227"/>
        <v>1</v>
      </c>
      <c r="AO295" s="22">
        <f t="shared" si="228"/>
        <v>28</v>
      </c>
      <c r="AP295" s="22" t="str">
        <f t="shared" si="229"/>
        <v>O</v>
      </c>
      <c r="AQ295" s="22" t="str">
        <f t="shared" si="230"/>
        <v>O</v>
      </c>
      <c r="AR295" s="22" t="str">
        <f t="shared" si="231"/>
        <v>X</v>
      </c>
      <c r="AS295" s="22" t="str">
        <f t="shared" si="232"/>
        <v>X</v>
      </c>
      <c r="AT295" s="22" t="str">
        <f t="shared" si="233"/>
        <v>X</v>
      </c>
      <c r="AU295" s="22" t="str">
        <f t="shared" si="234"/>
        <v>X</v>
      </c>
      <c r="AV295" s="22" t="str">
        <f t="shared" si="235"/>
        <v>X</v>
      </c>
      <c r="AW295" s="22" t="str">
        <f t="shared" si="236"/>
        <v>X</v>
      </c>
      <c r="AX295" s="22" t="str">
        <f t="shared" si="237"/>
        <v>X</v>
      </c>
      <c r="AY295" s="22" t="str">
        <f t="shared" si="238"/>
        <v>X</v>
      </c>
      <c r="AZ295" s="22" t="str">
        <f t="shared" si="239"/>
        <v>X</v>
      </c>
      <c r="BA295" s="22" t="str">
        <f t="shared" si="240"/>
        <v>X</v>
      </c>
      <c r="BB295" s="22">
        <f t="shared" si="241"/>
        <v>2</v>
      </c>
      <c r="BC295" s="22" t="str">
        <f t="shared" si="212"/>
        <v>1G</v>
      </c>
      <c r="BD295" s="22" t="str">
        <f t="shared" si="213"/>
        <v>1G</v>
      </c>
      <c r="BE295" s="22" t="str">
        <f t="shared" si="214"/>
        <v>1G</v>
      </c>
      <c r="BF295" s="22" t="str">
        <f t="shared" si="215"/>
        <v>2G</v>
      </c>
      <c r="BG295" s="22" t="str">
        <f t="shared" si="216"/>
        <v>2G</v>
      </c>
      <c r="BH295" s="22" t="str">
        <f t="shared" si="217"/>
        <v>3G</v>
      </c>
      <c r="BI295" s="22">
        <f t="shared" si="242"/>
        <v>3</v>
      </c>
      <c r="BJ295" s="22">
        <f t="shared" si="243"/>
        <v>2</v>
      </c>
      <c r="BK295" s="22">
        <f t="shared" si="244"/>
        <v>1</v>
      </c>
      <c r="BL295" s="22" t="str">
        <f t="shared" si="245"/>
        <v>321</v>
      </c>
      <c r="BS295"/>
      <c r="CL295" s="23">
        <v>145</v>
      </c>
      <c r="CM295" s="23">
        <v>140</v>
      </c>
      <c r="CO295"/>
    </row>
    <row r="296" spans="2:93" ht="17" hidden="1">
      <c r="B296" s="15">
        <v>292</v>
      </c>
      <c r="C296" s="23" t="s">
        <v>322</v>
      </c>
      <c r="D296" s="16">
        <v>14</v>
      </c>
      <c r="E296" s="17">
        <v>720373950</v>
      </c>
      <c r="F296" s="16">
        <v>37</v>
      </c>
      <c r="G296" s="17">
        <v>45428988</v>
      </c>
      <c r="H296" s="17">
        <v>1688</v>
      </c>
      <c r="I296" s="17">
        <v>995778</v>
      </c>
      <c r="J296" s="17">
        <v>66893</v>
      </c>
      <c r="K296" s="17">
        <v>50256</v>
      </c>
      <c r="L296" s="17">
        <v>977718</v>
      </c>
      <c r="M296" s="17">
        <v>5000</v>
      </c>
      <c r="N296" s="23">
        <v>17</v>
      </c>
      <c r="O296" s="23">
        <v>18</v>
      </c>
      <c r="P296" s="23">
        <v>31</v>
      </c>
      <c r="Q296" s="23">
        <v>32</v>
      </c>
      <c r="R296" s="23">
        <v>33</v>
      </c>
      <c r="S296" s="23">
        <v>34</v>
      </c>
      <c r="T296" s="23">
        <v>10</v>
      </c>
      <c r="U296" s="23">
        <f t="shared" si="218"/>
        <v>165</v>
      </c>
      <c r="W296" s="22" t="str">
        <f t="shared" si="203"/>
        <v>홀수</v>
      </c>
      <c r="X296" s="22" t="str">
        <f t="shared" si="204"/>
        <v>짝수</v>
      </c>
      <c r="Y296" s="22" t="str">
        <f t="shared" si="205"/>
        <v>홀수</v>
      </c>
      <c r="Z296" s="22" t="str">
        <f t="shared" si="206"/>
        <v>짝수</v>
      </c>
      <c r="AA296" s="22" t="str">
        <f t="shared" si="207"/>
        <v>홀수</v>
      </c>
      <c r="AB296" s="22" t="str">
        <f t="shared" si="208"/>
        <v>짝수</v>
      </c>
      <c r="AC296" s="52" t="str">
        <f t="shared" si="209"/>
        <v>3 : 3</v>
      </c>
      <c r="AD296" s="22">
        <f t="shared" si="210"/>
        <v>3</v>
      </c>
      <c r="AE296" s="22">
        <f t="shared" si="211"/>
        <v>3</v>
      </c>
      <c r="AF296" s="22" t="str">
        <f t="shared" si="219"/>
        <v>저수</v>
      </c>
      <c r="AG296" s="22" t="str">
        <f t="shared" si="220"/>
        <v>저수</v>
      </c>
      <c r="AH296" s="22" t="str">
        <f t="shared" si="221"/>
        <v>고수</v>
      </c>
      <c r="AI296" s="22" t="str">
        <f t="shared" si="222"/>
        <v>고수</v>
      </c>
      <c r="AJ296" s="22" t="str">
        <f t="shared" si="223"/>
        <v>고수</v>
      </c>
      <c r="AK296" s="22" t="str">
        <f t="shared" si="224"/>
        <v>고수</v>
      </c>
      <c r="AL296" s="52" t="str">
        <f t="shared" si="225"/>
        <v>2 : 4</v>
      </c>
      <c r="AM296" s="22">
        <f t="shared" si="226"/>
        <v>2</v>
      </c>
      <c r="AN296" s="22">
        <f t="shared" si="227"/>
        <v>4</v>
      </c>
      <c r="AO296" s="22">
        <f t="shared" si="228"/>
        <v>25</v>
      </c>
      <c r="AP296" s="22" t="str">
        <f t="shared" si="229"/>
        <v>O</v>
      </c>
      <c r="AQ296" s="22" t="str">
        <f t="shared" si="230"/>
        <v>X</v>
      </c>
      <c r="AR296" s="22" t="str">
        <f t="shared" si="231"/>
        <v>X</v>
      </c>
      <c r="AS296" s="22" t="str">
        <f t="shared" si="232"/>
        <v>X</v>
      </c>
      <c r="AT296" s="22" t="str">
        <f t="shared" si="233"/>
        <v>X</v>
      </c>
      <c r="AU296" s="22" t="str">
        <f t="shared" si="234"/>
        <v>X</v>
      </c>
      <c r="AV296" s="22" t="str">
        <f t="shared" si="235"/>
        <v>X</v>
      </c>
      <c r="AW296" s="22" t="str">
        <f t="shared" si="236"/>
        <v>X</v>
      </c>
      <c r="AX296" s="22" t="str">
        <f t="shared" si="237"/>
        <v>O</v>
      </c>
      <c r="AY296" s="22" t="str">
        <f t="shared" si="238"/>
        <v>X</v>
      </c>
      <c r="AZ296" s="22" t="str">
        <f t="shared" si="239"/>
        <v>X</v>
      </c>
      <c r="BA296" s="22" t="str">
        <f t="shared" si="240"/>
        <v>X</v>
      </c>
      <c r="BB296" s="22">
        <f t="shared" si="241"/>
        <v>2</v>
      </c>
      <c r="BC296" s="22" t="str">
        <f t="shared" si="212"/>
        <v>2G</v>
      </c>
      <c r="BD296" s="22" t="str">
        <f t="shared" si="213"/>
        <v>2G</v>
      </c>
      <c r="BE296" s="22" t="str">
        <f t="shared" si="214"/>
        <v>3G</v>
      </c>
      <c r="BF296" s="22" t="str">
        <f t="shared" si="215"/>
        <v>3G</v>
      </c>
      <c r="BG296" s="22" t="str">
        <f t="shared" si="216"/>
        <v>3G</v>
      </c>
      <c r="BH296" s="22" t="str">
        <f t="shared" si="217"/>
        <v>3G</v>
      </c>
      <c r="BI296" s="22">
        <f t="shared" si="242"/>
        <v>0</v>
      </c>
      <c r="BJ296" s="22">
        <f t="shared" si="243"/>
        <v>2</v>
      </c>
      <c r="BK296" s="22">
        <f t="shared" si="244"/>
        <v>4</v>
      </c>
      <c r="BL296" s="22" t="str">
        <f t="shared" si="245"/>
        <v>024</v>
      </c>
      <c r="BS296"/>
      <c r="CL296" s="23">
        <v>145</v>
      </c>
      <c r="CM296" s="23">
        <v>140</v>
      </c>
      <c r="CO296"/>
    </row>
    <row r="297" spans="2:93" ht="17" hidden="1">
      <c r="B297" s="15">
        <v>293</v>
      </c>
      <c r="C297" s="23" t="s">
        <v>323</v>
      </c>
      <c r="D297" s="16">
        <v>6</v>
      </c>
      <c r="E297" s="17">
        <v>1656764400</v>
      </c>
      <c r="F297" s="16">
        <v>21</v>
      </c>
      <c r="G297" s="17">
        <v>78893543</v>
      </c>
      <c r="H297" s="17">
        <v>1154</v>
      </c>
      <c r="I297" s="17">
        <v>1435672</v>
      </c>
      <c r="J297" s="17">
        <v>61059</v>
      </c>
      <c r="K297" s="17">
        <v>54268</v>
      </c>
      <c r="L297" s="17">
        <v>926442</v>
      </c>
      <c r="M297" s="17">
        <v>5000</v>
      </c>
      <c r="N297" s="23">
        <v>1</v>
      </c>
      <c r="O297" s="23">
        <v>9</v>
      </c>
      <c r="P297" s="23">
        <v>17</v>
      </c>
      <c r="Q297" s="23">
        <v>21</v>
      </c>
      <c r="R297" s="23">
        <v>29</v>
      </c>
      <c r="S297" s="23">
        <v>33</v>
      </c>
      <c r="T297" s="23">
        <v>24</v>
      </c>
      <c r="U297" s="23">
        <f t="shared" si="218"/>
        <v>110</v>
      </c>
      <c r="W297" s="22" t="str">
        <f t="shared" si="203"/>
        <v>홀수</v>
      </c>
      <c r="X297" s="22" t="str">
        <f t="shared" si="204"/>
        <v>홀수</v>
      </c>
      <c r="Y297" s="22" t="str">
        <f t="shared" si="205"/>
        <v>홀수</v>
      </c>
      <c r="Z297" s="22" t="str">
        <f t="shared" si="206"/>
        <v>홀수</v>
      </c>
      <c r="AA297" s="22" t="str">
        <f t="shared" si="207"/>
        <v>홀수</v>
      </c>
      <c r="AB297" s="22" t="str">
        <f t="shared" si="208"/>
        <v>홀수</v>
      </c>
      <c r="AC297" s="52" t="str">
        <f t="shared" si="209"/>
        <v>6 : 0</v>
      </c>
      <c r="AD297" s="22">
        <f t="shared" si="210"/>
        <v>6</v>
      </c>
      <c r="AE297" s="22">
        <f t="shared" si="211"/>
        <v>0</v>
      </c>
      <c r="AF297" s="22" t="str">
        <f t="shared" si="219"/>
        <v>저수</v>
      </c>
      <c r="AG297" s="22" t="str">
        <f t="shared" si="220"/>
        <v>저수</v>
      </c>
      <c r="AH297" s="22" t="str">
        <f t="shared" si="221"/>
        <v>저수</v>
      </c>
      <c r="AI297" s="22" t="str">
        <f t="shared" si="222"/>
        <v>저수</v>
      </c>
      <c r="AJ297" s="22" t="str">
        <f t="shared" si="223"/>
        <v>고수</v>
      </c>
      <c r="AK297" s="22" t="str">
        <f t="shared" si="224"/>
        <v>고수</v>
      </c>
      <c r="AL297" s="52" t="str">
        <f t="shared" si="225"/>
        <v>4 : 2</v>
      </c>
      <c r="AM297" s="22">
        <f t="shared" si="226"/>
        <v>4</v>
      </c>
      <c r="AN297" s="22">
        <f t="shared" si="227"/>
        <v>2</v>
      </c>
      <c r="AO297" s="22">
        <f t="shared" si="228"/>
        <v>30</v>
      </c>
      <c r="AP297" s="22" t="str">
        <f t="shared" si="229"/>
        <v>X</v>
      </c>
      <c r="AQ297" s="22" t="str">
        <f t="shared" si="230"/>
        <v>X</v>
      </c>
      <c r="AR297" s="22" t="str">
        <f t="shared" si="231"/>
        <v>O</v>
      </c>
      <c r="AS297" s="22" t="str">
        <f t="shared" si="232"/>
        <v>X</v>
      </c>
      <c r="AT297" s="22" t="str">
        <f t="shared" si="233"/>
        <v>X</v>
      </c>
      <c r="AU297" s="22" t="str">
        <f t="shared" si="234"/>
        <v>X</v>
      </c>
      <c r="AV297" s="22" t="str">
        <f t="shared" si="235"/>
        <v>X</v>
      </c>
      <c r="AW297" s="22" t="str">
        <f t="shared" si="236"/>
        <v>X</v>
      </c>
      <c r="AX297" s="22" t="str">
        <f t="shared" si="237"/>
        <v>X</v>
      </c>
      <c r="AY297" s="22" t="str">
        <f t="shared" si="238"/>
        <v>X</v>
      </c>
      <c r="AZ297" s="22" t="str">
        <f t="shared" si="239"/>
        <v>O</v>
      </c>
      <c r="BA297" s="22" t="str">
        <f t="shared" si="240"/>
        <v>X</v>
      </c>
      <c r="BB297" s="22">
        <f t="shared" si="241"/>
        <v>2</v>
      </c>
      <c r="BC297" s="22" t="str">
        <f t="shared" si="212"/>
        <v>1G</v>
      </c>
      <c r="BD297" s="22" t="str">
        <f t="shared" si="213"/>
        <v>1G</v>
      </c>
      <c r="BE297" s="22" t="str">
        <f t="shared" si="214"/>
        <v>2G</v>
      </c>
      <c r="BF297" s="22" t="str">
        <f t="shared" si="215"/>
        <v>2G</v>
      </c>
      <c r="BG297" s="22" t="str">
        <f t="shared" si="216"/>
        <v>2G</v>
      </c>
      <c r="BH297" s="22" t="str">
        <f t="shared" si="217"/>
        <v>3G</v>
      </c>
      <c r="BI297" s="22">
        <f t="shared" si="242"/>
        <v>2</v>
      </c>
      <c r="BJ297" s="22">
        <f t="shared" si="243"/>
        <v>3</v>
      </c>
      <c r="BK297" s="22">
        <f t="shared" si="244"/>
        <v>1</v>
      </c>
      <c r="BL297" s="22" t="str">
        <f t="shared" si="245"/>
        <v>231</v>
      </c>
      <c r="BS297"/>
      <c r="CL297" s="23">
        <v>145</v>
      </c>
      <c r="CM297" s="23">
        <v>140</v>
      </c>
      <c r="CO297"/>
    </row>
    <row r="298" spans="2:93" ht="17" hidden="1">
      <c r="B298" s="15">
        <v>294</v>
      </c>
      <c r="C298" s="23" t="s">
        <v>324</v>
      </c>
      <c r="D298" s="16">
        <v>4</v>
      </c>
      <c r="E298" s="17">
        <v>2406504975</v>
      </c>
      <c r="F298" s="16">
        <v>26</v>
      </c>
      <c r="G298" s="17">
        <v>61705256</v>
      </c>
      <c r="H298" s="17">
        <v>1137</v>
      </c>
      <c r="I298" s="17">
        <v>1411027</v>
      </c>
      <c r="J298" s="17">
        <v>56795</v>
      </c>
      <c r="K298" s="17">
        <v>56496</v>
      </c>
      <c r="L298" s="17">
        <v>947708</v>
      </c>
      <c r="M298" s="17">
        <v>5000</v>
      </c>
      <c r="N298" s="23">
        <v>6</v>
      </c>
      <c r="O298" s="23">
        <v>10</v>
      </c>
      <c r="P298" s="23">
        <v>17</v>
      </c>
      <c r="Q298" s="23">
        <v>30</v>
      </c>
      <c r="R298" s="23">
        <v>37</v>
      </c>
      <c r="S298" s="23">
        <v>38</v>
      </c>
      <c r="T298" s="23">
        <v>40</v>
      </c>
      <c r="U298" s="23">
        <f t="shared" si="218"/>
        <v>138</v>
      </c>
      <c r="W298" s="22" t="str">
        <f t="shared" si="203"/>
        <v>짝수</v>
      </c>
      <c r="X298" s="22" t="str">
        <f t="shared" si="204"/>
        <v>짝수</v>
      </c>
      <c r="Y298" s="22" t="str">
        <f t="shared" si="205"/>
        <v>홀수</v>
      </c>
      <c r="Z298" s="22" t="str">
        <f t="shared" si="206"/>
        <v>짝수</v>
      </c>
      <c r="AA298" s="22" t="str">
        <f t="shared" si="207"/>
        <v>홀수</v>
      </c>
      <c r="AB298" s="22" t="str">
        <f t="shared" si="208"/>
        <v>짝수</v>
      </c>
      <c r="AC298" s="52" t="str">
        <f t="shared" si="209"/>
        <v>2 : 4</v>
      </c>
      <c r="AD298" s="22">
        <f t="shared" si="210"/>
        <v>2</v>
      </c>
      <c r="AE298" s="22">
        <f t="shared" si="211"/>
        <v>4</v>
      </c>
      <c r="AF298" s="22" t="str">
        <f t="shared" si="219"/>
        <v>저수</v>
      </c>
      <c r="AG298" s="22" t="str">
        <f t="shared" si="220"/>
        <v>저수</v>
      </c>
      <c r="AH298" s="22" t="str">
        <f t="shared" si="221"/>
        <v>저수</v>
      </c>
      <c r="AI298" s="22" t="str">
        <f t="shared" si="222"/>
        <v>고수</v>
      </c>
      <c r="AJ298" s="22" t="str">
        <f t="shared" si="223"/>
        <v>고수</v>
      </c>
      <c r="AK298" s="22" t="str">
        <f t="shared" si="224"/>
        <v>고수</v>
      </c>
      <c r="AL298" s="52" t="str">
        <f t="shared" si="225"/>
        <v>3 : 3</v>
      </c>
      <c r="AM298" s="22">
        <f t="shared" si="226"/>
        <v>3</v>
      </c>
      <c r="AN298" s="22">
        <f t="shared" si="227"/>
        <v>3</v>
      </c>
      <c r="AO298" s="22">
        <f t="shared" si="228"/>
        <v>28</v>
      </c>
      <c r="AP298" s="22" t="str">
        <f t="shared" si="229"/>
        <v>X</v>
      </c>
      <c r="AQ298" s="22" t="str">
        <f t="shared" si="230"/>
        <v>X</v>
      </c>
      <c r="AR298" s="22" t="str">
        <f t="shared" si="231"/>
        <v>O</v>
      </c>
      <c r="AS298" s="22" t="str">
        <f t="shared" si="232"/>
        <v>X</v>
      </c>
      <c r="AT298" s="22" t="str">
        <f t="shared" si="233"/>
        <v>X</v>
      </c>
      <c r="AU298" s="22" t="str">
        <f t="shared" si="234"/>
        <v>X</v>
      </c>
      <c r="AV298" s="22" t="str">
        <f t="shared" si="235"/>
        <v>X</v>
      </c>
      <c r="AW298" s="22" t="str">
        <f t="shared" si="236"/>
        <v>X</v>
      </c>
      <c r="AX298" s="22" t="str">
        <f t="shared" si="237"/>
        <v>X</v>
      </c>
      <c r="AY298" s="22" t="str">
        <f t="shared" si="238"/>
        <v>X</v>
      </c>
      <c r="AZ298" s="22" t="str">
        <f t="shared" si="239"/>
        <v>O</v>
      </c>
      <c r="BA298" s="22" t="str">
        <f t="shared" si="240"/>
        <v>X</v>
      </c>
      <c r="BB298" s="22">
        <f t="shared" si="241"/>
        <v>2</v>
      </c>
      <c r="BC298" s="22" t="str">
        <f t="shared" si="212"/>
        <v>1G</v>
      </c>
      <c r="BD298" s="22" t="str">
        <f t="shared" si="213"/>
        <v>1G</v>
      </c>
      <c r="BE298" s="22" t="str">
        <f t="shared" si="214"/>
        <v>2G</v>
      </c>
      <c r="BF298" s="22" t="str">
        <f t="shared" si="215"/>
        <v>2G</v>
      </c>
      <c r="BG298" s="22" t="str">
        <f t="shared" si="216"/>
        <v>3G</v>
      </c>
      <c r="BH298" s="22" t="str">
        <f t="shared" si="217"/>
        <v>3G</v>
      </c>
      <c r="BI298" s="22">
        <f t="shared" si="242"/>
        <v>2</v>
      </c>
      <c r="BJ298" s="22">
        <f t="shared" si="243"/>
        <v>2</v>
      </c>
      <c r="BK298" s="22">
        <f t="shared" si="244"/>
        <v>2</v>
      </c>
      <c r="BL298" s="22" t="str">
        <f t="shared" si="245"/>
        <v>222</v>
      </c>
      <c r="BS298"/>
      <c r="CL298" s="23">
        <v>145</v>
      </c>
      <c r="CM298" s="23">
        <v>140</v>
      </c>
      <c r="CO298"/>
    </row>
    <row r="299" spans="2:93" ht="17" hidden="1">
      <c r="B299" s="15">
        <v>295</v>
      </c>
      <c r="C299" s="23" t="s">
        <v>325</v>
      </c>
      <c r="D299" s="16">
        <v>0</v>
      </c>
      <c r="E299" s="16">
        <v>0</v>
      </c>
      <c r="F299" s="16">
        <v>26</v>
      </c>
      <c r="G299" s="17">
        <v>62969875</v>
      </c>
      <c r="H299" s="17">
        <v>1013</v>
      </c>
      <c r="I299" s="17">
        <v>1616207</v>
      </c>
      <c r="J299" s="17">
        <v>55376</v>
      </c>
      <c r="K299" s="17">
        <v>59131</v>
      </c>
      <c r="L299" s="17">
        <v>950380</v>
      </c>
      <c r="M299" s="17">
        <v>5000</v>
      </c>
      <c r="N299" s="23">
        <v>1</v>
      </c>
      <c r="O299" s="23">
        <v>4</v>
      </c>
      <c r="P299" s="23">
        <v>12</v>
      </c>
      <c r="Q299" s="23">
        <v>16</v>
      </c>
      <c r="R299" s="23">
        <v>18</v>
      </c>
      <c r="S299" s="23">
        <v>38</v>
      </c>
      <c r="T299" s="23">
        <v>8</v>
      </c>
      <c r="U299" s="23">
        <f t="shared" si="218"/>
        <v>89</v>
      </c>
      <c r="W299" s="22" t="str">
        <f t="shared" si="203"/>
        <v>홀수</v>
      </c>
      <c r="X299" s="22" t="str">
        <f t="shared" si="204"/>
        <v>짝수</v>
      </c>
      <c r="Y299" s="22" t="str">
        <f t="shared" si="205"/>
        <v>짝수</v>
      </c>
      <c r="Z299" s="22" t="str">
        <f t="shared" si="206"/>
        <v>짝수</v>
      </c>
      <c r="AA299" s="22" t="str">
        <f t="shared" si="207"/>
        <v>짝수</v>
      </c>
      <c r="AB299" s="22" t="str">
        <f t="shared" si="208"/>
        <v>짝수</v>
      </c>
      <c r="AC299" s="52" t="str">
        <f t="shared" si="209"/>
        <v>1 : 5</v>
      </c>
      <c r="AD299" s="22">
        <f t="shared" si="210"/>
        <v>1</v>
      </c>
      <c r="AE299" s="22">
        <f t="shared" si="211"/>
        <v>5</v>
      </c>
      <c r="AF299" s="22" t="str">
        <f t="shared" si="219"/>
        <v>저수</v>
      </c>
      <c r="AG299" s="22" t="str">
        <f t="shared" si="220"/>
        <v>저수</v>
      </c>
      <c r="AH299" s="22" t="str">
        <f t="shared" si="221"/>
        <v>저수</v>
      </c>
      <c r="AI299" s="22" t="str">
        <f t="shared" si="222"/>
        <v>저수</v>
      </c>
      <c r="AJ299" s="22" t="str">
        <f t="shared" si="223"/>
        <v>저수</v>
      </c>
      <c r="AK299" s="22" t="str">
        <f t="shared" si="224"/>
        <v>고수</v>
      </c>
      <c r="AL299" s="52" t="str">
        <f t="shared" si="225"/>
        <v>5 : 1</v>
      </c>
      <c r="AM299" s="22">
        <f t="shared" si="226"/>
        <v>5</v>
      </c>
      <c r="AN299" s="22">
        <f t="shared" si="227"/>
        <v>1</v>
      </c>
      <c r="AO299" s="22">
        <f t="shared" si="228"/>
        <v>29</v>
      </c>
      <c r="AP299" s="22" t="str">
        <f t="shared" si="229"/>
        <v>X</v>
      </c>
      <c r="AQ299" s="22" t="str">
        <f t="shared" si="230"/>
        <v>X</v>
      </c>
      <c r="AR299" s="22" t="str">
        <f t="shared" si="231"/>
        <v>X</v>
      </c>
      <c r="AS299" s="22" t="str">
        <f t="shared" si="232"/>
        <v>X</v>
      </c>
      <c r="AT299" s="22" t="str">
        <f t="shared" si="233"/>
        <v>X</v>
      </c>
      <c r="AU299" s="22" t="str">
        <f t="shared" si="234"/>
        <v>X</v>
      </c>
      <c r="AV299" s="22" t="str">
        <f t="shared" si="235"/>
        <v>X</v>
      </c>
      <c r="AW299" s="22" t="str">
        <f t="shared" si="236"/>
        <v>X</v>
      </c>
      <c r="AX299" s="22" t="str">
        <f t="shared" si="237"/>
        <v>X</v>
      </c>
      <c r="AY299" s="22" t="str">
        <f t="shared" si="238"/>
        <v>X</v>
      </c>
      <c r="AZ299" s="22" t="str">
        <f t="shared" si="239"/>
        <v>X</v>
      </c>
      <c r="BA299" s="22" t="str">
        <f t="shared" si="240"/>
        <v>X</v>
      </c>
      <c r="BB299" s="22">
        <f t="shared" si="241"/>
        <v>0</v>
      </c>
      <c r="BC299" s="22" t="str">
        <f t="shared" si="212"/>
        <v>1G</v>
      </c>
      <c r="BD299" s="22" t="str">
        <f t="shared" si="213"/>
        <v>1G</v>
      </c>
      <c r="BE299" s="22" t="str">
        <f t="shared" si="214"/>
        <v>1G</v>
      </c>
      <c r="BF299" s="22" t="str">
        <f t="shared" si="215"/>
        <v>2G</v>
      </c>
      <c r="BG299" s="22" t="str">
        <f t="shared" si="216"/>
        <v>2G</v>
      </c>
      <c r="BH299" s="22" t="str">
        <f t="shared" si="217"/>
        <v>3G</v>
      </c>
      <c r="BI299" s="22">
        <f t="shared" si="242"/>
        <v>3</v>
      </c>
      <c r="BJ299" s="22">
        <f t="shared" si="243"/>
        <v>2</v>
      </c>
      <c r="BK299" s="22">
        <f t="shared" si="244"/>
        <v>1</v>
      </c>
      <c r="BL299" s="22" t="str">
        <f t="shared" si="245"/>
        <v>321</v>
      </c>
      <c r="BS299"/>
      <c r="CL299" s="23">
        <v>146</v>
      </c>
      <c r="CM299" s="23">
        <v>140</v>
      </c>
      <c r="CO299"/>
    </row>
    <row r="300" spans="2:93" ht="17" hidden="1">
      <c r="B300" s="15">
        <v>296</v>
      </c>
      <c r="C300" s="23" t="s">
        <v>326</v>
      </c>
      <c r="D300" s="16">
        <v>8</v>
      </c>
      <c r="E300" s="17">
        <v>3066088275</v>
      </c>
      <c r="F300" s="16">
        <v>53</v>
      </c>
      <c r="G300" s="17">
        <v>46243415</v>
      </c>
      <c r="H300" s="17">
        <v>2066</v>
      </c>
      <c r="I300" s="17">
        <v>1186303</v>
      </c>
      <c r="J300" s="17">
        <v>89945</v>
      </c>
      <c r="K300" s="17">
        <v>54498</v>
      </c>
      <c r="L300" s="17">
        <v>1435988</v>
      </c>
      <c r="M300" s="17">
        <v>5000</v>
      </c>
      <c r="N300" s="23">
        <v>3</v>
      </c>
      <c r="O300" s="23">
        <v>8</v>
      </c>
      <c r="P300" s="23">
        <v>15</v>
      </c>
      <c r="Q300" s="23">
        <v>27</v>
      </c>
      <c r="R300" s="23">
        <v>30</v>
      </c>
      <c r="S300" s="23">
        <v>45</v>
      </c>
      <c r="T300" s="23">
        <v>44</v>
      </c>
      <c r="U300" s="23">
        <f t="shared" si="218"/>
        <v>128</v>
      </c>
      <c r="W300" s="22" t="str">
        <f t="shared" si="203"/>
        <v>홀수</v>
      </c>
      <c r="X300" s="22" t="str">
        <f t="shared" si="204"/>
        <v>짝수</v>
      </c>
      <c r="Y300" s="22" t="str">
        <f t="shared" si="205"/>
        <v>홀수</v>
      </c>
      <c r="Z300" s="22" t="str">
        <f t="shared" si="206"/>
        <v>홀수</v>
      </c>
      <c r="AA300" s="22" t="str">
        <f t="shared" si="207"/>
        <v>짝수</v>
      </c>
      <c r="AB300" s="22" t="str">
        <f t="shared" si="208"/>
        <v>홀수</v>
      </c>
      <c r="AC300" s="52" t="str">
        <f t="shared" si="209"/>
        <v>4 : 2</v>
      </c>
      <c r="AD300" s="22">
        <f t="shared" si="210"/>
        <v>4</v>
      </c>
      <c r="AE300" s="22">
        <f t="shared" si="211"/>
        <v>2</v>
      </c>
      <c r="AF300" s="22" t="str">
        <f t="shared" si="219"/>
        <v>저수</v>
      </c>
      <c r="AG300" s="22" t="str">
        <f t="shared" si="220"/>
        <v>저수</v>
      </c>
      <c r="AH300" s="22" t="str">
        <f t="shared" si="221"/>
        <v>저수</v>
      </c>
      <c r="AI300" s="22" t="str">
        <f t="shared" si="222"/>
        <v>고수</v>
      </c>
      <c r="AJ300" s="22" t="str">
        <f t="shared" si="223"/>
        <v>고수</v>
      </c>
      <c r="AK300" s="22" t="str">
        <f t="shared" si="224"/>
        <v>고수</v>
      </c>
      <c r="AL300" s="52" t="str">
        <f t="shared" si="225"/>
        <v>3 : 3</v>
      </c>
      <c r="AM300" s="22">
        <f t="shared" si="226"/>
        <v>3</v>
      </c>
      <c r="AN300" s="22">
        <f t="shared" si="227"/>
        <v>3</v>
      </c>
      <c r="AO300" s="22">
        <f t="shared" si="228"/>
        <v>28</v>
      </c>
      <c r="AP300" s="22" t="str">
        <f t="shared" si="229"/>
        <v>O</v>
      </c>
      <c r="AQ300" s="22" t="str">
        <f t="shared" si="230"/>
        <v>X</v>
      </c>
      <c r="AR300" s="22" t="str">
        <f t="shared" si="231"/>
        <v>X</v>
      </c>
      <c r="AS300" s="22" t="str">
        <f t="shared" si="232"/>
        <v>X</v>
      </c>
      <c r="AT300" s="22" t="str">
        <f t="shared" si="233"/>
        <v>X</v>
      </c>
      <c r="AU300" s="22" t="str">
        <f t="shared" si="234"/>
        <v>X</v>
      </c>
      <c r="AV300" s="22" t="str">
        <f t="shared" si="235"/>
        <v>X</v>
      </c>
      <c r="AW300" s="22" t="str">
        <f t="shared" si="236"/>
        <v>X</v>
      </c>
      <c r="AX300" s="22" t="str">
        <f t="shared" si="237"/>
        <v>X</v>
      </c>
      <c r="AY300" s="22" t="str">
        <f t="shared" si="238"/>
        <v>X</v>
      </c>
      <c r="AZ300" s="22" t="str">
        <f t="shared" si="239"/>
        <v>X</v>
      </c>
      <c r="BA300" s="22" t="str">
        <f t="shared" si="240"/>
        <v>X</v>
      </c>
      <c r="BB300" s="22">
        <f t="shared" si="241"/>
        <v>1</v>
      </c>
      <c r="BC300" s="22" t="str">
        <f t="shared" si="212"/>
        <v>1G</v>
      </c>
      <c r="BD300" s="22" t="str">
        <f t="shared" si="213"/>
        <v>1G</v>
      </c>
      <c r="BE300" s="22" t="str">
        <f t="shared" si="214"/>
        <v>1G</v>
      </c>
      <c r="BF300" s="22" t="str">
        <f t="shared" si="215"/>
        <v>2G</v>
      </c>
      <c r="BG300" s="22" t="str">
        <f t="shared" si="216"/>
        <v>2G</v>
      </c>
      <c r="BH300" s="22" t="str">
        <f t="shared" si="217"/>
        <v>3G</v>
      </c>
      <c r="BI300" s="22">
        <f t="shared" si="242"/>
        <v>3</v>
      </c>
      <c r="BJ300" s="22">
        <f t="shared" si="243"/>
        <v>2</v>
      </c>
      <c r="BK300" s="22">
        <f t="shared" si="244"/>
        <v>1</v>
      </c>
      <c r="BL300" s="22" t="str">
        <f t="shared" si="245"/>
        <v>321</v>
      </c>
      <c r="BS300"/>
      <c r="CL300" s="23">
        <v>146</v>
      </c>
      <c r="CM300" s="23">
        <v>140</v>
      </c>
      <c r="CO300"/>
    </row>
    <row r="301" spans="2:93" ht="17" hidden="1">
      <c r="B301" s="15">
        <v>297</v>
      </c>
      <c r="C301" s="23" t="s">
        <v>327</v>
      </c>
      <c r="D301" s="16">
        <v>2</v>
      </c>
      <c r="E301" s="17">
        <v>5056668750</v>
      </c>
      <c r="F301" s="16">
        <v>28</v>
      </c>
      <c r="G301" s="17">
        <v>60198438</v>
      </c>
      <c r="H301" s="17">
        <v>1275</v>
      </c>
      <c r="I301" s="17">
        <v>1322005</v>
      </c>
      <c r="J301" s="17">
        <v>61258</v>
      </c>
      <c r="K301" s="17">
        <v>55032</v>
      </c>
      <c r="L301" s="17">
        <v>993035</v>
      </c>
      <c r="M301" s="17">
        <v>5000</v>
      </c>
      <c r="N301" s="23">
        <v>6</v>
      </c>
      <c r="O301" s="23">
        <v>11</v>
      </c>
      <c r="P301" s="23">
        <v>19</v>
      </c>
      <c r="Q301" s="23">
        <v>20</v>
      </c>
      <c r="R301" s="23">
        <v>28</v>
      </c>
      <c r="S301" s="23">
        <v>32</v>
      </c>
      <c r="T301" s="23">
        <v>34</v>
      </c>
      <c r="U301" s="23">
        <f t="shared" si="218"/>
        <v>116</v>
      </c>
      <c r="W301" s="22" t="str">
        <f t="shared" si="203"/>
        <v>짝수</v>
      </c>
      <c r="X301" s="22" t="str">
        <f t="shared" si="204"/>
        <v>홀수</v>
      </c>
      <c r="Y301" s="22" t="str">
        <f t="shared" si="205"/>
        <v>홀수</v>
      </c>
      <c r="Z301" s="22" t="str">
        <f t="shared" si="206"/>
        <v>짝수</v>
      </c>
      <c r="AA301" s="22" t="str">
        <f t="shared" si="207"/>
        <v>짝수</v>
      </c>
      <c r="AB301" s="22" t="str">
        <f t="shared" si="208"/>
        <v>짝수</v>
      </c>
      <c r="AC301" s="52" t="str">
        <f t="shared" si="209"/>
        <v>2 : 4</v>
      </c>
      <c r="AD301" s="22">
        <f t="shared" si="210"/>
        <v>2</v>
      </c>
      <c r="AE301" s="22">
        <f t="shared" si="211"/>
        <v>4</v>
      </c>
      <c r="AF301" s="22" t="str">
        <f t="shared" si="219"/>
        <v>저수</v>
      </c>
      <c r="AG301" s="22" t="str">
        <f t="shared" si="220"/>
        <v>저수</v>
      </c>
      <c r="AH301" s="22" t="str">
        <f t="shared" si="221"/>
        <v>저수</v>
      </c>
      <c r="AI301" s="22" t="str">
        <f t="shared" si="222"/>
        <v>저수</v>
      </c>
      <c r="AJ301" s="22" t="str">
        <f t="shared" si="223"/>
        <v>고수</v>
      </c>
      <c r="AK301" s="22" t="str">
        <f t="shared" si="224"/>
        <v>고수</v>
      </c>
      <c r="AL301" s="52" t="str">
        <f t="shared" si="225"/>
        <v>4 : 2</v>
      </c>
      <c r="AM301" s="22">
        <f t="shared" si="226"/>
        <v>4</v>
      </c>
      <c r="AN301" s="22">
        <f t="shared" si="227"/>
        <v>2</v>
      </c>
      <c r="AO301" s="22">
        <f t="shared" si="228"/>
        <v>26</v>
      </c>
      <c r="AP301" s="22" t="str">
        <f t="shared" si="229"/>
        <v>X</v>
      </c>
      <c r="AQ301" s="22" t="str">
        <f t="shared" si="230"/>
        <v>O</v>
      </c>
      <c r="AR301" s="22" t="str">
        <f t="shared" si="231"/>
        <v>O</v>
      </c>
      <c r="AS301" s="22" t="str">
        <f t="shared" si="232"/>
        <v>X</v>
      </c>
      <c r="AT301" s="22" t="str">
        <f t="shared" si="233"/>
        <v>X</v>
      </c>
      <c r="AU301" s="22" t="str">
        <f t="shared" si="234"/>
        <v>X</v>
      </c>
      <c r="AV301" s="22" t="str">
        <f t="shared" si="235"/>
        <v>X</v>
      </c>
      <c r="AW301" s="22" t="str">
        <f t="shared" si="236"/>
        <v>X</v>
      </c>
      <c r="AX301" s="22" t="str">
        <f t="shared" si="237"/>
        <v>X</v>
      </c>
      <c r="AY301" s="22" t="str">
        <f t="shared" si="238"/>
        <v>X</v>
      </c>
      <c r="AZ301" s="22" t="str">
        <f t="shared" si="239"/>
        <v>X</v>
      </c>
      <c r="BA301" s="22" t="str">
        <f t="shared" si="240"/>
        <v>X</v>
      </c>
      <c r="BB301" s="22">
        <f t="shared" si="241"/>
        <v>2</v>
      </c>
      <c r="BC301" s="22" t="str">
        <f t="shared" si="212"/>
        <v>1G</v>
      </c>
      <c r="BD301" s="22" t="str">
        <f t="shared" si="213"/>
        <v>1G</v>
      </c>
      <c r="BE301" s="22" t="str">
        <f t="shared" si="214"/>
        <v>2G</v>
      </c>
      <c r="BF301" s="22" t="str">
        <f t="shared" si="215"/>
        <v>2G</v>
      </c>
      <c r="BG301" s="22" t="str">
        <f t="shared" si="216"/>
        <v>2G</v>
      </c>
      <c r="BH301" s="22" t="str">
        <f t="shared" si="217"/>
        <v>3G</v>
      </c>
      <c r="BI301" s="22">
        <f t="shared" si="242"/>
        <v>2</v>
      </c>
      <c r="BJ301" s="22">
        <f t="shared" si="243"/>
        <v>3</v>
      </c>
      <c r="BK301" s="22">
        <f t="shared" si="244"/>
        <v>1</v>
      </c>
      <c r="BL301" s="22" t="str">
        <f t="shared" si="245"/>
        <v>231</v>
      </c>
      <c r="BS301"/>
      <c r="CL301" s="23">
        <v>146</v>
      </c>
      <c r="CM301" s="23">
        <v>140</v>
      </c>
      <c r="CO301"/>
    </row>
    <row r="302" spans="2:93" ht="17" hidden="1">
      <c r="B302" s="15">
        <v>298</v>
      </c>
      <c r="C302" s="23" t="s">
        <v>328</v>
      </c>
      <c r="D302" s="16">
        <v>1</v>
      </c>
      <c r="E302" s="17">
        <v>9909778500</v>
      </c>
      <c r="F302" s="16">
        <v>40</v>
      </c>
      <c r="G302" s="17">
        <v>41290744</v>
      </c>
      <c r="H302" s="17">
        <v>1353</v>
      </c>
      <c r="I302" s="17">
        <v>1220717</v>
      </c>
      <c r="J302" s="17">
        <v>63561</v>
      </c>
      <c r="K302" s="17">
        <v>51970</v>
      </c>
      <c r="L302" s="17">
        <v>1011908</v>
      </c>
      <c r="M302" s="17">
        <v>5000</v>
      </c>
      <c r="N302" s="23">
        <v>5</v>
      </c>
      <c r="O302" s="23">
        <v>9</v>
      </c>
      <c r="P302" s="23">
        <v>27</v>
      </c>
      <c r="Q302" s="23">
        <v>29</v>
      </c>
      <c r="R302" s="23">
        <v>37</v>
      </c>
      <c r="S302" s="23">
        <v>40</v>
      </c>
      <c r="T302" s="23">
        <v>19</v>
      </c>
      <c r="U302" s="23">
        <f t="shared" si="218"/>
        <v>147</v>
      </c>
      <c r="W302" s="22" t="str">
        <f t="shared" si="203"/>
        <v>홀수</v>
      </c>
      <c r="X302" s="22" t="str">
        <f t="shared" si="204"/>
        <v>홀수</v>
      </c>
      <c r="Y302" s="22" t="str">
        <f t="shared" si="205"/>
        <v>홀수</v>
      </c>
      <c r="Z302" s="22" t="str">
        <f t="shared" si="206"/>
        <v>홀수</v>
      </c>
      <c r="AA302" s="22" t="str">
        <f t="shared" si="207"/>
        <v>홀수</v>
      </c>
      <c r="AB302" s="22" t="str">
        <f t="shared" si="208"/>
        <v>짝수</v>
      </c>
      <c r="AC302" s="52" t="str">
        <f t="shared" si="209"/>
        <v>5 : 1</v>
      </c>
      <c r="AD302" s="22">
        <f t="shared" si="210"/>
        <v>5</v>
      </c>
      <c r="AE302" s="22">
        <f t="shared" si="211"/>
        <v>1</v>
      </c>
      <c r="AF302" s="22" t="str">
        <f t="shared" si="219"/>
        <v>저수</v>
      </c>
      <c r="AG302" s="22" t="str">
        <f t="shared" si="220"/>
        <v>저수</v>
      </c>
      <c r="AH302" s="22" t="str">
        <f t="shared" si="221"/>
        <v>고수</v>
      </c>
      <c r="AI302" s="22" t="str">
        <f t="shared" si="222"/>
        <v>고수</v>
      </c>
      <c r="AJ302" s="22" t="str">
        <f t="shared" si="223"/>
        <v>고수</v>
      </c>
      <c r="AK302" s="22" t="str">
        <f t="shared" si="224"/>
        <v>고수</v>
      </c>
      <c r="AL302" s="52" t="str">
        <f t="shared" si="225"/>
        <v>2 : 4</v>
      </c>
      <c r="AM302" s="22">
        <f t="shared" si="226"/>
        <v>2</v>
      </c>
      <c r="AN302" s="22">
        <f t="shared" si="227"/>
        <v>4</v>
      </c>
      <c r="AO302" s="22">
        <f t="shared" si="228"/>
        <v>37</v>
      </c>
      <c r="AP302" s="22" t="str">
        <f t="shared" si="229"/>
        <v>O</v>
      </c>
      <c r="AQ302" s="22" t="str">
        <f t="shared" si="230"/>
        <v>X</v>
      </c>
      <c r="AR302" s="22" t="str">
        <f t="shared" si="231"/>
        <v>X</v>
      </c>
      <c r="AS302" s="22" t="str">
        <f t="shared" si="232"/>
        <v>X</v>
      </c>
      <c r="AT302" s="22" t="str">
        <f t="shared" si="233"/>
        <v>X</v>
      </c>
      <c r="AU302" s="22" t="str">
        <f t="shared" si="234"/>
        <v>X</v>
      </c>
      <c r="AV302" s="22" t="str">
        <f t="shared" si="235"/>
        <v>X</v>
      </c>
      <c r="AW302" s="22" t="str">
        <f t="shared" si="236"/>
        <v>X</v>
      </c>
      <c r="AX302" s="22" t="str">
        <f t="shared" si="237"/>
        <v>X</v>
      </c>
      <c r="AY302" s="22" t="str">
        <f t="shared" si="238"/>
        <v>O</v>
      </c>
      <c r="AZ302" s="22" t="str">
        <f t="shared" si="239"/>
        <v>O</v>
      </c>
      <c r="BA302" s="22" t="str">
        <f t="shared" si="240"/>
        <v>X</v>
      </c>
      <c r="BB302" s="22">
        <f t="shared" si="241"/>
        <v>3</v>
      </c>
      <c r="BC302" s="22" t="str">
        <f t="shared" si="212"/>
        <v>1G</v>
      </c>
      <c r="BD302" s="22" t="str">
        <f t="shared" si="213"/>
        <v>1G</v>
      </c>
      <c r="BE302" s="22" t="str">
        <f t="shared" si="214"/>
        <v>2G</v>
      </c>
      <c r="BF302" s="22" t="str">
        <f t="shared" si="215"/>
        <v>2G</v>
      </c>
      <c r="BG302" s="22" t="str">
        <f t="shared" si="216"/>
        <v>3G</v>
      </c>
      <c r="BH302" s="22" t="str">
        <f t="shared" si="217"/>
        <v>3G</v>
      </c>
      <c r="BI302" s="22">
        <f t="shared" si="242"/>
        <v>2</v>
      </c>
      <c r="BJ302" s="22">
        <f t="shared" si="243"/>
        <v>2</v>
      </c>
      <c r="BK302" s="22">
        <f t="shared" si="244"/>
        <v>2</v>
      </c>
      <c r="BL302" s="22" t="str">
        <f t="shared" si="245"/>
        <v>222</v>
      </c>
      <c r="BS302"/>
      <c r="CL302" s="23">
        <v>146</v>
      </c>
      <c r="CM302" s="23">
        <v>140</v>
      </c>
      <c r="CO302"/>
    </row>
    <row r="303" spans="2:93" ht="17" hidden="1">
      <c r="B303" s="15">
        <v>299</v>
      </c>
      <c r="C303" s="23" t="s">
        <v>329</v>
      </c>
      <c r="D303" s="16">
        <v>7</v>
      </c>
      <c r="E303" s="17">
        <v>1483772529</v>
      </c>
      <c r="F303" s="16">
        <v>29</v>
      </c>
      <c r="G303" s="17">
        <v>59691999</v>
      </c>
      <c r="H303" s="17">
        <v>1118</v>
      </c>
      <c r="I303" s="17">
        <v>1548362</v>
      </c>
      <c r="J303" s="17">
        <v>58114</v>
      </c>
      <c r="K303" s="17">
        <v>59575</v>
      </c>
      <c r="L303" s="17">
        <v>984255</v>
      </c>
      <c r="M303" s="17">
        <v>5000</v>
      </c>
      <c r="N303" s="23">
        <v>1</v>
      </c>
      <c r="O303" s="23">
        <v>3</v>
      </c>
      <c r="P303" s="23">
        <v>20</v>
      </c>
      <c r="Q303" s="23">
        <v>25</v>
      </c>
      <c r="R303" s="23">
        <v>36</v>
      </c>
      <c r="S303" s="23">
        <v>45</v>
      </c>
      <c r="T303" s="23">
        <v>24</v>
      </c>
      <c r="U303" s="23">
        <f t="shared" si="218"/>
        <v>130</v>
      </c>
      <c r="W303" s="22" t="str">
        <f t="shared" si="203"/>
        <v>홀수</v>
      </c>
      <c r="X303" s="22" t="str">
        <f t="shared" si="204"/>
        <v>홀수</v>
      </c>
      <c r="Y303" s="22" t="str">
        <f t="shared" si="205"/>
        <v>짝수</v>
      </c>
      <c r="Z303" s="22" t="str">
        <f t="shared" si="206"/>
        <v>홀수</v>
      </c>
      <c r="AA303" s="22" t="str">
        <f t="shared" si="207"/>
        <v>짝수</v>
      </c>
      <c r="AB303" s="22" t="str">
        <f t="shared" si="208"/>
        <v>홀수</v>
      </c>
      <c r="AC303" s="52" t="str">
        <f t="shared" si="209"/>
        <v>4 : 2</v>
      </c>
      <c r="AD303" s="22">
        <f t="shared" si="210"/>
        <v>4</v>
      </c>
      <c r="AE303" s="22">
        <f t="shared" si="211"/>
        <v>2</v>
      </c>
      <c r="AF303" s="22" t="str">
        <f t="shared" si="219"/>
        <v>저수</v>
      </c>
      <c r="AG303" s="22" t="str">
        <f t="shared" si="220"/>
        <v>저수</v>
      </c>
      <c r="AH303" s="22" t="str">
        <f t="shared" si="221"/>
        <v>저수</v>
      </c>
      <c r="AI303" s="22" t="str">
        <f t="shared" si="222"/>
        <v>고수</v>
      </c>
      <c r="AJ303" s="22" t="str">
        <f t="shared" si="223"/>
        <v>고수</v>
      </c>
      <c r="AK303" s="22" t="str">
        <f t="shared" si="224"/>
        <v>고수</v>
      </c>
      <c r="AL303" s="52" t="str">
        <f t="shared" si="225"/>
        <v>3 : 3</v>
      </c>
      <c r="AM303" s="22">
        <f t="shared" si="226"/>
        <v>3</v>
      </c>
      <c r="AN303" s="22">
        <f t="shared" si="227"/>
        <v>3</v>
      </c>
      <c r="AO303" s="22">
        <f t="shared" si="228"/>
        <v>20</v>
      </c>
      <c r="AP303" s="22" t="str">
        <f t="shared" si="229"/>
        <v>X</v>
      </c>
      <c r="AQ303" s="22" t="str">
        <f t="shared" si="230"/>
        <v>O</v>
      </c>
      <c r="AR303" s="22" t="str">
        <f t="shared" si="231"/>
        <v>X</v>
      </c>
      <c r="AS303" s="22" t="str">
        <f t="shared" si="232"/>
        <v>X</v>
      </c>
      <c r="AT303" s="22" t="str">
        <f t="shared" si="233"/>
        <v>X</v>
      </c>
      <c r="AU303" s="22" t="str">
        <f t="shared" si="234"/>
        <v>X</v>
      </c>
      <c r="AV303" s="22" t="str">
        <f t="shared" si="235"/>
        <v>X</v>
      </c>
      <c r="AW303" s="22" t="str">
        <f t="shared" si="236"/>
        <v>X</v>
      </c>
      <c r="AX303" s="22" t="str">
        <f t="shared" si="237"/>
        <v>X</v>
      </c>
      <c r="AY303" s="22" t="str">
        <f t="shared" si="238"/>
        <v>X</v>
      </c>
      <c r="AZ303" s="22" t="str">
        <f t="shared" si="239"/>
        <v>X</v>
      </c>
      <c r="BA303" s="22" t="str">
        <f t="shared" si="240"/>
        <v>X</v>
      </c>
      <c r="BB303" s="22">
        <f t="shared" si="241"/>
        <v>1</v>
      </c>
      <c r="BC303" s="22" t="str">
        <f t="shared" si="212"/>
        <v>1G</v>
      </c>
      <c r="BD303" s="22" t="str">
        <f t="shared" si="213"/>
        <v>1G</v>
      </c>
      <c r="BE303" s="22" t="str">
        <f t="shared" si="214"/>
        <v>2G</v>
      </c>
      <c r="BF303" s="22" t="str">
        <f t="shared" si="215"/>
        <v>2G</v>
      </c>
      <c r="BG303" s="22" t="str">
        <f t="shared" si="216"/>
        <v>3G</v>
      </c>
      <c r="BH303" s="22" t="str">
        <f t="shared" si="217"/>
        <v>3G</v>
      </c>
      <c r="BI303" s="22">
        <f t="shared" si="242"/>
        <v>2</v>
      </c>
      <c r="BJ303" s="22">
        <f t="shared" si="243"/>
        <v>2</v>
      </c>
      <c r="BK303" s="22">
        <f t="shared" si="244"/>
        <v>2</v>
      </c>
      <c r="BL303" s="22" t="str">
        <f t="shared" si="245"/>
        <v>222</v>
      </c>
      <c r="BS303"/>
      <c r="CL303" s="23">
        <v>146</v>
      </c>
      <c r="CM303" s="23">
        <v>140</v>
      </c>
      <c r="CO303"/>
    </row>
    <row r="304" spans="2:93" ht="17" hidden="1">
      <c r="B304" s="15">
        <v>300</v>
      </c>
      <c r="C304" s="23" t="s">
        <v>330</v>
      </c>
      <c r="D304" s="16">
        <v>12</v>
      </c>
      <c r="E304" s="17">
        <v>836092425</v>
      </c>
      <c r="F304" s="16">
        <v>34</v>
      </c>
      <c r="G304" s="17">
        <v>49181908</v>
      </c>
      <c r="H304" s="17">
        <v>1416</v>
      </c>
      <c r="I304" s="17">
        <v>1180922</v>
      </c>
      <c r="J304" s="17">
        <v>70193</v>
      </c>
      <c r="K304" s="17">
        <v>47646</v>
      </c>
      <c r="L304" s="17">
        <v>1102135</v>
      </c>
      <c r="M304" s="17">
        <v>5000</v>
      </c>
      <c r="N304" s="23">
        <v>7</v>
      </c>
      <c r="O304" s="23">
        <v>9</v>
      </c>
      <c r="P304" s="23">
        <v>10</v>
      </c>
      <c r="Q304" s="23">
        <v>12</v>
      </c>
      <c r="R304" s="23">
        <v>26</v>
      </c>
      <c r="S304" s="23">
        <v>38</v>
      </c>
      <c r="T304" s="23">
        <v>39</v>
      </c>
      <c r="U304" s="23">
        <f t="shared" si="218"/>
        <v>102</v>
      </c>
      <c r="W304" s="22" t="str">
        <f t="shared" si="203"/>
        <v>홀수</v>
      </c>
      <c r="X304" s="22" t="str">
        <f t="shared" si="204"/>
        <v>홀수</v>
      </c>
      <c r="Y304" s="22" t="str">
        <f t="shared" si="205"/>
        <v>짝수</v>
      </c>
      <c r="Z304" s="22" t="str">
        <f t="shared" si="206"/>
        <v>짝수</v>
      </c>
      <c r="AA304" s="22" t="str">
        <f t="shared" si="207"/>
        <v>짝수</v>
      </c>
      <c r="AB304" s="22" t="str">
        <f t="shared" si="208"/>
        <v>짝수</v>
      </c>
      <c r="AC304" s="52" t="str">
        <f t="shared" si="209"/>
        <v>2 : 4</v>
      </c>
      <c r="AD304" s="22">
        <f t="shared" si="210"/>
        <v>2</v>
      </c>
      <c r="AE304" s="22">
        <f t="shared" si="211"/>
        <v>4</v>
      </c>
      <c r="AF304" s="22" t="str">
        <f t="shared" si="219"/>
        <v>저수</v>
      </c>
      <c r="AG304" s="22" t="str">
        <f t="shared" si="220"/>
        <v>저수</v>
      </c>
      <c r="AH304" s="22" t="str">
        <f t="shared" si="221"/>
        <v>저수</v>
      </c>
      <c r="AI304" s="22" t="str">
        <f t="shared" si="222"/>
        <v>저수</v>
      </c>
      <c r="AJ304" s="22" t="str">
        <f t="shared" si="223"/>
        <v>고수</v>
      </c>
      <c r="AK304" s="22" t="str">
        <f t="shared" si="224"/>
        <v>고수</v>
      </c>
      <c r="AL304" s="52" t="str">
        <f t="shared" si="225"/>
        <v>4 : 2</v>
      </c>
      <c r="AM304" s="22">
        <f t="shared" si="226"/>
        <v>4</v>
      </c>
      <c r="AN304" s="22">
        <f t="shared" si="227"/>
        <v>2</v>
      </c>
      <c r="AO304" s="22">
        <f t="shared" si="228"/>
        <v>32</v>
      </c>
      <c r="AP304" s="22" t="str">
        <f t="shared" si="229"/>
        <v>O</v>
      </c>
      <c r="AQ304" s="22" t="str">
        <f t="shared" si="230"/>
        <v>X</v>
      </c>
      <c r="AR304" s="22" t="str">
        <f t="shared" si="231"/>
        <v>X</v>
      </c>
      <c r="AS304" s="22" t="str">
        <f t="shared" si="232"/>
        <v>X</v>
      </c>
      <c r="AT304" s="22" t="str">
        <f t="shared" si="233"/>
        <v>X</v>
      </c>
      <c r="AU304" s="22" t="str">
        <f t="shared" si="234"/>
        <v>X</v>
      </c>
      <c r="AV304" s="22" t="str">
        <f t="shared" si="235"/>
        <v>X</v>
      </c>
      <c r="AW304" s="22" t="str">
        <f t="shared" si="236"/>
        <v>X</v>
      </c>
      <c r="AX304" s="22" t="str">
        <f t="shared" si="237"/>
        <v>X</v>
      </c>
      <c r="AY304" s="22" t="str">
        <f t="shared" si="238"/>
        <v>X</v>
      </c>
      <c r="AZ304" s="22" t="str">
        <f t="shared" si="239"/>
        <v>X</v>
      </c>
      <c r="BA304" s="22" t="str">
        <f t="shared" si="240"/>
        <v>X</v>
      </c>
      <c r="BB304" s="22">
        <f t="shared" si="241"/>
        <v>1</v>
      </c>
      <c r="BC304" s="22" t="str">
        <f t="shared" si="212"/>
        <v>1G</v>
      </c>
      <c r="BD304" s="22" t="str">
        <f t="shared" si="213"/>
        <v>1G</v>
      </c>
      <c r="BE304" s="22" t="str">
        <f t="shared" si="214"/>
        <v>1G</v>
      </c>
      <c r="BF304" s="22" t="str">
        <f t="shared" si="215"/>
        <v>1G</v>
      </c>
      <c r="BG304" s="22" t="str">
        <f t="shared" si="216"/>
        <v>2G</v>
      </c>
      <c r="BH304" s="22" t="str">
        <f t="shared" si="217"/>
        <v>3G</v>
      </c>
      <c r="BI304" s="22">
        <f t="shared" si="242"/>
        <v>4</v>
      </c>
      <c r="BJ304" s="22">
        <f t="shared" si="243"/>
        <v>1</v>
      </c>
      <c r="BK304" s="22">
        <f t="shared" si="244"/>
        <v>1</v>
      </c>
      <c r="BL304" s="22" t="str">
        <f t="shared" si="245"/>
        <v>411</v>
      </c>
      <c r="BS304"/>
      <c r="CL304" s="23">
        <v>147</v>
      </c>
      <c r="CM304" s="23">
        <v>140</v>
      </c>
      <c r="CO304"/>
    </row>
    <row r="305" spans="2:93" ht="17" hidden="1">
      <c r="B305" s="15">
        <v>301</v>
      </c>
      <c r="C305" s="23" t="s">
        <v>331</v>
      </c>
      <c r="D305" s="16">
        <v>7</v>
      </c>
      <c r="E305" s="17">
        <v>1447385015</v>
      </c>
      <c r="F305" s="16">
        <v>47</v>
      </c>
      <c r="G305" s="17">
        <v>35927997</v>
      </c>
      <c r="H305" s="17">
        <v>1271</v>
      </c>
      <c r="I305" s="17">
        <v>1328573</v>
      </c>
      <c r="J305" s="17">
        <v>65756</v>
      </c>
      <c r="K305" s="17">
        <v>51361</v>
      </c>
      <c r="L305" s="17">
        <v>1060486</v>
      </c>
      <c r="M305" s="17">
        <v>5000</v>
      </c>
      <c r="N305" s="23">
        <v>7</v>
      </c>
      <c r="O305" s="23">
        <v>11</v>
      </c>
      <c r="P305" s="23">
        <v>13</v>
      </c>
      <c r="Q305" s="23">
        <v>33</v>
      </c>
      <c r="R305" s="23">
        <v>37</v>
      </c>
      <c r="S305" s="23">
        <v>43</v>
      </c>
      <c r="T305" s="23">
        <v>26</v>
      </c>
      <c r="U305" s="23">
        <f t="shared" si="218"/>
        <v>144</v>
      </c>
      <c r="W305" s="22" t="str">
        <f t="shared" si="203"/>
        <v>홀수</v>
      </c>
      <c r="X305" s="22" t="str">
        <f t="shared" si="204"/>
        <v>홀수</v>
      </c>
      <c r="Y305" s="22" t="str">
        <f t="shared" si="205"/>
        <v>홀수</v>
      </c>
      <c r="Z305" s="22" t="str">
        <f t="shared" si="206"/>
        <v>홀수</v>
      </c>
      <c r="AA305" s="22" t="str">
        <f t="shared" si="207"/>
        <v>홀수</v>
      </c>
      <c r="AB305" s="22" t="str">
        <f t="shared" si="208"/>
        <v>홀수</v>
      </c>
      <c r="AC305" s="52" t="str">
        <f t="shared" si="209"/>
        <v>6 : 0</v>
      </c>
      <c r="AD305" s="22">
        <f t="shared" si="210"/>
        <v>6</v>
      </c>
      <c r="AE305" s="22">
        <f t="shared" si="211"/>
        <v>0</v>
      </c>
      <c r="AF305" s="22" t="str">
        <f t="shared" si="219"/>
        <v>저수</v>
      </c>
      <c r="AG305" s="22" t="str">
        <f t="shared" si="220"/>
        <v>저수</v>
      </c>
      <c r="AH305" s="22" t="str">
        <f t="shared" si="221"/>
        <v>저수</v>
      </c>
      <c r="AI305" s="22" t="str">
        <f t="shared" si="222"/>
        <v>고수</v>
      </c>
      <c r="AJ305" s="22" t="str">
        <f t="shared" si="223"/>
        <v>고수</v>
      </c>
      <c r="AK305" s="22" t="str">
        <f t="shared" si="224"/>
        <v>고수</v>
      </c>
      <c r="AL305" s="52" t="str">
        <f t="shared" si="225"/>
        <v>3 : 3</v>
      </c>
      <c r="AM305" s="22">
        <f t="shared" si="226"/>
        <v>3</v>
      </c>
      <c r="AN305" s="22">
        <f t="shared" si="227"/>
        <v>3</v>
      </c>
      <c r="AO305" s="22">
        <f t="shared" si="228"/>
        <v>24</v>
      </c>
      <c r="AP305" s="22" t="str">
        <f t="shared" si="229"/>
        <v>O</v>
      </c>
      <c r="AQ305" s="22" t="str">
        <f t="shared" si="230"/>
        <v>O</v>
      </c>
      <c r="AR305" s="22" t="str">
        <f t="shared" si="231"/>
        <v>O</v>
      </c>
      <c r="AS305" s="22" t="str">
        <f t="shared" si="232"/>
        <v>X</v>
      </c>
      <c r="AT305" s="22" t="str">
        <f t="shared" si="233"/>
        <v>X</v>
      </c>
      <c r="AU305" s="22" t="str">
        <f t="shared" si="234"/>
        <v>X</v>
      </c>
      <c r="AV305" s="22" t="str">
        <f t="shared" si="235"/>
        <v>X</v>
      </c>
      <c r="AW305" s="22" t="str">
        <f t="shared" si="236"/>
        <v>X</v>
      </c>
      <c r="AX305" s="22" t="str">
        <f t="shared" si="237"/>
        <v>X</v>
      </c>
      <c r="AY305" s="22" t="str">
        <f t="shared" si="238"/>
        <v>X</v>
      </c>
      <c r="AZ305" s="22" t="str">
        <f t="shared" si="239"/>
        <v>O</v>
      </c>
      <c r="BA305" s="22" t="str">
        <f t="shared" si="240"/>
        <v>O</v>
      </c>
      <c r="BB305" s="22">
        <f t="shared" si="241"/>
        <v>5</v>
      </c>
      <c r="BC305" s="22" t="str">
        <f t="shared" si="212"/>
        <v>1G</v>
      </c>
      <c r="BD305" s="22" t="str">
        <f t="shared" si="213"/>
        <v>1G</v>
      </c>
      <c r="BE305" s="22" t="str">
        <f t="shared" si="214"/>
        <v>1G</v>
      </c>
      <c r="BF305" s="22" t="str">
        <f t="shared" si="215"/>
        <v>3G</v>
      </c>
      <c r="BG305" s="22" t="str">
        <f t="shared" si="216"/>
        <v>3G</v>
      </c>
      <c r="BH305" s="22" t="str">
        <f t="shared" si="217"/>
        <v>3G</v>
      </c>
      <c r="BI305" s="22">
        <f t="shared" si="242"/>
        <v>3</v>
      </c>
      <c r="BJ305" s="22">
        <f t="shared" si="243"/>
        <v>0</v>
      </c>
      <c r="BK305" s="22">
        <f t="shared" si="244"/>
        <v>3</v>
      </c>
      <c r="BL305" s="22" t="str">
        <f t="shared" si="245"/>
        <v>303</v>
      </c>
      <c r="BS305"/>
      <c r="CL305" s="23">
        <v>147</v>
      </c>
      <c r="CM305" s="23">
        <v>140</v>
      </c>
      <c r="CO305"/>
    </row>
    <row r="306" spans="2:93" ht="17" hidden="1">
      <c r="B306" s="15">
        <v>302</v>
      </c>
      <c r="C306" s="23" t="s">
        <v>332</v>
      </c>
      <c r="D306" s="16">
        <v>2</v>
      </c>
      <c r="E306" s="17">
        <v>5472167250</v>
      </c>
      <c r="F306" s="16">
        <v>44</v>
      </c>
      <c r="G306" s="17">
        <v>41455813</v>
      </c>
      <c r="H306" s="17">
        <v>1134</v>
      </c>
      <c r="I306" s="17">
        <v>1608515</v>
      </c>
      <c r="J306" s="17">
        <v>59455</v>
      </c>
      <c r="K306" s="17">
        <v>61360</v>
      </c>
      <c r="L306" s="17">
        <v>990149</v>
      </c>
      <c r="M306" s="17">
        <v>5000</v>
      </c>
      <c r="N306" s="23">
        <v>13</v>
      </c>
      <c r="O306" s="23">
        <v>19</v>
      </c>
      <c r="P306" s="23">
        <v>20</v>
      </c>
      <c r="Q306" s="23">
        <v>32</v>
      </c>
      <c r="R306" s="23">
        <v>38</v>
      </c>
      <c r="S306" s="23">
        <v>42</v>
      </c>
      <c r="T306" s="23">
        <v>4</v>
      </c>
      <c r="U306" s="23">
        <f t="shared" si="218"/>
        <v>164</v>
      </c>
      <c r="W306" s="22" t="str">
        <f t="shared" si="203"/>
        <v>홀수</v>
      </c>
      <c r="X306" s="22" t="str">
        <f t="shared" si="204"/>
        <v>홀수</v>
      </c>
      <c r="Y306" s="22" t="str">
        <f t="shared" si="205"/>
        <v>짝수</v>
      </c>
      <c r="Z306" s="22" t="str">
        <f t="shared" si="206"/>
        <v>짝수</v>
      </c>
      <c r="AA306" s="22" t="str">
        <f t="shared" si="207"/>
        <v>짝수</v>
      </c>
      <c r="AB306" s="22" t="str">
        <f t="shared" si="208"/>
        <v>짝수</v>
      </c>
      <c r="AC306" s="52" t="str">
        <f t="shared" si="209"/>
        <v>2 : 4</v>
      </c>
      <c r="AD306" s="22">
        <f t="shared" si="210"/>
        <v>2</v>
      </c>
      <c r="AE306" s="22">
        <f t="shared" si="211"/>
        <v>4</v>
      </c>
      <c r="AF306" s="22" t="str">
        <f t="shared" si="219"/>
        <v>저수</v>
      </c>
      <c r="AG306" s="22" t="str">
        <f t="shared" si="220"/>
        <v>저수</v>
      </c>
      <c r="AH306" s="22" t="str">
        <f t="shared" si="221"/>
        <v>저수</v>
      </c>
      <c r="AI306" s="22" t="str">
        <f t="shared" si="222"/>
        <v>고수</v>
      </c>
      <c r="AJ306" s="22" t="str">
        <f t="shared" si="223"/>
        <v>고수</v>
      </c>
      <c r="AK306" s="22" t="str">
        <f t="shared" si="224"/>
        <v>고수</v>
      </c>
      <c r="AL306" s="52" t="str">
        <f t="shared" si="225"/>
        <v>3 : 3</v>
      </c>
      <c r="AM306" s="22">
        <f t="shared" si="226"/>
        <v>3</v>
      </c>
      <c r="AN306" s="22">
        <f t="shared" si="227"/>
        <v>3</v>
      </c>
      <c r="AO306" s="22">
        <f t="shared" si="228"/>
        <v>24</v>
      </c>
      <c r="AP306" s="22" t="str">
        <f t="shared" si="229"/>
        <v>O</v>
      </c>
      <c r="AQ306" s="22" t="str">
        <f t="shared" si="230"/>
        <v>O</v>
      </c>
      <c r="AR306" s="22" t="str">
        <f t="shared" si="231"/>
        <v>X</v>
      </c>
      <c r="AS306" s="22" t="str">
        <f t="shared" si="232"/>
        <v>X</v>
      </c>
      <c r="AT306" s="22" t="str">
        <f t="shared" si="233"/>
        <v>X</v>
      </c>
      <c r="AU306" s="22" t="str">
        <f t="shared" si="234"/>
        <v>X</v>
      </c>
      <c r="AV306" s="22" t="str">
        <f t="shared" si="235"/>
        <v>X</v>
      </c>
      <c r="AW306" s="22" t="str">
        <f t="shared" si="236"/>
        <v>X</v>
      </c>
      <c r="AX306" s="22" t="str">
        <f t="shared" si="237"/>
        <v>X</v>
      </c>
      <c r="AY306" s="22" t="str">
        <f t="shared" si="238"/>
        <v>X</v>
      </c>
      <c r="AZ306" s="22" t="str">
        <f t="shared" si="239"/>
        <v>X</v>
      </c>
      <c r="BA306" s="22" t="str">
        <f t="shared" si="240"/>
        <v>X</v>
      </c>
      <c r="BB306" s="22">
        <f t="shared" si="241"/>
        <v>2</v>
      </c>
      <c r="BC306" s="22" t="str">
        <f t="shared" si="212"/>
        <v>1G</v>
      </c>
      <c r="BD306" s="22" t="str">
        <f t="shared" si="213"/>
        <v>2G</v>
      </c>
      <c r="BE306" s="22" t="str">
        <f t="shared" si="214"/>
        <v>2G</v>
      </c>
      <c r="BF306" s="22" t="str">
        <f t="shared" si="215"/>
        <v>3G</v>
      </c>
      <c r="BG306" s="22" t="str">
        <f t="shared" si="216"/>
        <v>3G</v>
      </c>
      <c r="BH306" s="22" t="str">
        <f t="shared" si="217"/>
        <v>3G</v>
      </c>
      <c r="BI306" s="22">
        <f t="shared" si="242"/>
        <v>1</v>
      </c>
      <c r="BJ306" s="22">
        <f t="shared" si="243"/>
        <v>2</v>
      </c>
      <c r="BK306" s="22">
        <f t="shared" si="244"/>
        <v>3</v>
      </c>
      <c r="BL306" s="22" t="str">
        <f t="shared" si="245"/>
        <v>123</v>
      </c>
      <c r="BS306"/>
      <c r="CL306" s="23">
        <v>147</v>
      </c>
      <c r="CM306" s="23">
        <v>140</v>
      </c>
      <c r="CO306"/>
    </row>
    <row r="307" spans="2:93" ht="17" hidden="1">
      <c r="B307" s="15">
        <v>303</v>
      </c>
      <c r="C307" s="23" t="s">
        <v>333</v>
      </c>
      <c r="D307" s="16">
        <v>6</v>
      </c>
      <c r="E307" s="17">
        <v>1672749000</v>
      </c>
      <c r="F307" s="16">
        <v>29</v>
      </c>
      <c r="G307" s="17">
        <v>57681000</v>
      </c>
      <c r="H307" s="17">
        <v>1158</v>
      </c>
      <c r="I307" s="17">
        <v>1444516</v>
      </c>
      <c r="J307" s="17">
        <v>56266</v>
      </c>
      <c r="K307" s="17">
        <v>59459</v>
      </c>
      <c r="L307" s="17">
        <v>938678</v>
      </c>
      <c r="M307" s="17">
        <v>5000</v>
      </c>
      <c r="N307" s="23">
        <v>2</v>
      </c>
      <c r="O307" s="23">
        <v>14</v>
      </c>
      <c r="P307" s="23">
        <v>17</v>
      </c>
      <c r="Q307" s="23">
        <v>30</v>
      </c>
      <c r="R307" s="23">
        <v>38</v>
      </c>
      <c r="S307" s="23">
        <v>45</v>
      </c>
      <c r="T307" s="23">
        <v>43</v>
      </c>
      <c r="U307" s="23">
        <f t="shared" si="218"/>
        <v>146</v>
      </c>
      <c r="W307" s="22" t="str">
        <f t="shared" si="203"/>
        <v>짝수</v>
      </c>
      <c r="X307" s="22" t="str">
        <f t="shared" si="204"/>
        <v>짝수</v>
      </c>
      <c r="Y307" s="22" t="str">
        <f t="shared" si="205"/>
        <v>홀수</v>
      </c>
      <c r="Z307" s="22" t="str">
        <f t="shared" si="206"/>
        <v>짝수</v>
      </c>
      <c r="AA307" s="22" t="str">
        <f t="shared" si="207"/>
        <v>짝수</v>
      </c>
      <c r="AB307" s="22" t="str">
        <f t="shared" si="208"/>
        <v>홀수</v>
      </c>
      <c r="AC307" s="52" t="str">
        <f t="shared" si="209"/>
        <v>2 : 4</v>
      </c>
      <c r="AD307" s="22">
        <f t="shared" si="210"/>
        <v>2</v>
      </c>
      <c r="AE307" s="22">
        <f t="shared" si="211"/>
        <v>4</v>
      </c>
      <c r="AF307" s="22" t="str">
        <f t="shared" si="219"/>
        <v>저수</v>
      </c>
      <c r="AG307" s="22" t="str">
        <f t="shared" si="220"/>
        <v>저수</v>
      </c>
      <c r="AH307" s="22" t="str">
        <f t="shared" si="221"/>
        <v>저수</v>
      </c>
      <c r="AI307" s="22" t="str">
        <f t="shared" si="222"/>
        <v>고수</v>
      </c>
      <c r="AJ307" s="22" t="str">
        <f t="shared" si="223"/>
        <v>고수</v>
      </c>
      <c r="AK307" s="22" t="str">
        <f t="shared" si="224"/>
        <v>고수</v>
      </c>
      <c r="AL307" s="52" t="str">
        <f t="shared" si="225"/>
        <v>3 : 3</v>
      </c>
      <c r="AM307" s="22">
        <f t="shared" si="226"/>
        <v>3</v>
      </c>
      <c r="AN307" s="22">
        <f t="shared" si="227"/>
        <v>3</v>
      </c>
      <c r="AO307" s="22">
        <f t="shared" si="228"/>
        <v>26</v>
      </c>
      <c r="AP307" s="22" t="str">
        <f t="shared" si="229"/>
        <v>O</v>
      </c>
      <c r="AQ307" s="22" t="str">
        <f t="shared" si="230"/>
        <v>X</v>
      </c>
      <c r="AR307" s="22" t="str">
        <f t="shared" si="231"/>
        <v>O</v>
      </c>
      <c r="AS307" s="22" t="str">
        <f t="shared" si="232"/>
        <v>X</v>
      </c>
      <c r="AT307" s="22" t="str">
        <f t="shared" si="233"/>
        <v>X</v>
      </c>
      <c r="AU307" s="22" t="str">
        <f t="shared" si="234"/>
        <v>X</v>
      </c>
      <c r="AV307" s="22" t="str">
        <f t="shared" si="235"/>
        <v>X</v>
      </c>
      <c r="AW307" s="22" t="str">
        <f t="shared" si="236"/>
        <v>X</v>
      </c>
      <c r="AX307" s="22" t="str">
        <f t="shared" si="237"/>
        <v>X</v>
      </c>
      <c r="AY307" s="22" t="str">
        <f t="shared" si="238"/>
        <v>X</v>
      </c>
      <c r="AZ307" s="22" t="str">
        <f t="shared" si="239"/>
        <v>X</v>
      </c>
      <c r="BA307" s="22" t="str">
        <f t="shared" si="240"/>
        <v>X</v>
      </c>
      <c r="BB307" s="22">
        <f t="shared" si="241"/>
        <v>2</v>
      </c>
      <c r="BC307" s="22" t="str">
        <f t="shared" si="212"/>
        <v>1G</v>
      </c>
      <c r="BD307" s="22" t="str">
        <f t="shared" si="213"/>
        <v>1G</v>
      </c>
      <c r="BE307" s="22" t="str">
        <f t="shared" si="214"/>
        <v>2G</v>
      </c>
      <c r="BF307" s="22" t="str">
        <f t="shared" si="215"/>
        <v>2G</v>
      </c>
      <c r="BG307" s="22" t="str">
        <f t="shared" si="216"/>
        <v>3G</v>
      </c>
      <c r="BH307" s="22" t="str">
        <f t="shared" si="217"/>
        <v>3G</v>
      </c>
      <c r="BI307" s="22">
        <f t="shared" si="242"/>
        <v>2</v>
      </c>
      <c r="BJ307" s="22">
        <f t="shared" si="243"/>
        <v>2</v>
      </c>
      <c r="BK307" s="22">
        <f t="shared" si="244"/>
        <v>2</v>
      </c>
      <c r="BL307" s="22" t="str">
        <f t="shared" si="245"/>
        <v>222</v>
      </c>
      <c r="BS307"/>
      <c r="CL307" s="23">
        <v>148</v>
      </c>
      <c r="CM307" s="23">
        <v>140</v>
      </c>
      <c r="CO307"/>
    </row>
    <row r="308" spans="2:93" ht="17" hidden="1">
      <c r="B308" s="15">
        <v>304</v>
      </c>
      <c r="C308" s="23" t="s">
        <v>334</v>
      </c>
      <c r="D308" s="16">
        <v>6</v>
      </c>
      <c r="E308" s="17">
        <v>1661646150</v>
      </c>
      <c r="F308" s="16">
        <v>37</v>
      </c>
      <c r="G308" s="17">
        <v>44909356</v>
      </c>
      <c r="H308" s="17">
        <v>1426</v>
      </c>
      <c r="I308" s="17">
        <v>1165250</v>
      </c>
      <c r="J308" s="17">
        <v>62096</v>
      </c>
      <c r="K308" s="17">
        <v>53519</v>
      </c>
      <c r="L308" s="17">
        <v>992573</v>
      </c>
      <c r="M308" s="17">
        <v>5000</v>
      </c>
      <c r="N308" s="23">
        <v>4</v>
      </c>
      <c r="O308" s="23">
        <v>10</v>
      </c>
      <c r="P308" s="23">
        <v>16</v>
      </c>
      <c r="Q308" s="23">
        <v>26</v>
      </c>
      <c r="R308" s="23">
        <v>33</v>
      </c>
      <c r="S308" s="23">
        <v>41</v>
      </c>
      <c r="T308" s="23">
        <v>38</v>
      </c>
      <c r="U308" s="23">
        <f t="shared" si="218"/>
        <v>130</v>
      </c>
      <c r="W308" s="22" t="str">
        <f t="shared" si="203"/>
        <v>짝수</v>
      </c>
      <c r="X308" s="22" t="str">
        <f t="shared" si="204"/>
        <v>짝수</v>
      </c>
      <c r="Y308" s="22" t="str">
        <f t="shared" si="205"/>
        <v>짝수</v>
      </c>
      <c r="Z308" s="22" t="str">
        <f t="shared" si="206"/>
        <v>짝수</v>
      </c>
      <c r="AA308" s="22" t="str">
        <f t="shared" si="207"/>
        <v>홀수</v>
      </c>
      <c r="AB308" s="22" t="str">
        <f t="shared" si="208"/>
        <v>홀수</v>
      </c>
      <c r="AC308" s="52" t="str">
        <f t="shared" si="209"/>
        <v>2 : 4</v>
      </c>
      <c r="AD308" s="22">
        <f t="shared" si="210"/>
        <v>2</v>
      </c>
      <c r="AE308" s="22">
        <f t="shared" si="211"/>
        <v>4</v>
      </c>
      <c r="AF308" s="22" t="str">
        <f t="shared" si="219"/>
        <v>저수</v>
      </c>
      <c r="AG308" s="22" t="str">
        <f t="shared" si="220"/>
        <v>저수</v>
      </c>
      <c r="AH308" s="22" t="str">
        <f t="shared" si="221"/>
        <v>저수</v>
      </c>
      <c r="AI308" s="22" t="str">
        <f t="shared" si="222"/>
        <v>고수</v>
      </c>
      <c r="AJ308" s="22" t="str">
        <f t="shared" si="223"/>
        <v>고수</v>
      </c>
      <c r="AK308" s="22" t="str">
        <f t="shared" si="224"/>
        <v>고수</v>
      </c>
      <c r="AL308" s="52" t="str">
        <f t="shared" si="225"/>
        <v>3 : 3</v>
      </c>
      <c r="AM308" s="22">
        <f t="shared" si="226"/>
        <v>3</v>
      </c>
      <c r="AN308" s="22">
        <f t="shared" si="227"/>
        <v>3</v>
      </c>
      <c r="AO308" s="22">
        <f t="shared" si="228"/>
        <v>20</v>
      </c>
      <c r="AP308" s="22" t="str">
        <f t="shared" si="229"/>
        <v>X</v>
      </c>
      <c r="AQ308" s="22" t="str">
        <f t="shared" si="230"/>
        <v>X</v>
      </c>
      <c r="AR308" s="22" t="str">
        <f t="shared" si="231"/>
        <v>X</v>
      </c>
      <c r="AS308" s="22" t="str">
        <f t="shared" si="232"/>
        <v>X</v>
      </c>
      <c r="AT308" s="22" t="str">
        <f t="shared" si="233"/>
        <v>X</v>
      </c>
      <c r="AU308" s="22" t="str">
        <f t="shared" si="234"/>
        <v>X</v>
      </c>
      <c r="AV308" s="22" t="str">
        <f t="shared" si="235"/>
        <v>X</v>
      </c>
      <c r="AW308" s="22" t="str">
        <f t="shared" si="236"/>
        <v>X</v>
      </c>
      <c r="AX308" s="22" t="str">
        <f t="shared" si="237"/>
        <v>X</v>
      </c>
      <c r="AY308" s="22" t="str">
        <f t="shared" si="238"/>
        <v>X</v>
      </c>
      <c r="AZ308" s="22" t="str">
        <f t="shared" si="239"/>
        <v>X</v>
      </c>
      <c r="BA308" s="22" t="str">
        <f t="shared" si="240"/>
        <v>O</v>
      </c>
      <c r="BB308" s="22">
        <f t="shared" si="241"/>
        <v>1</v>
      </c>
      <c r="BC308" s="22" t="str">
        <f t="shared" si="212"/>
        <v>1G</v>
      </c>
      <c r="BD308" s="22" t="str">
        <f t="shared" si="213"/>
        <v>1G</v>
      </c>
      <c r="BE308" s="22" t="str">
        <f t="shared" si="214"/>
        <v>2G</v>
      </c>
      <c r="BF308" s="22" t="str">
        <f t="shared" si="215"/>
        <v>2G</v>
      </c>
      <c r="BG308" s="22" t="str">
        <f t="shared" si="216"/>
        <v>3G</v>
      </c>
      <c r="BH308" s="22" t="str">
        <f t="shared" si="217"/>
        <v>3G</v>
      </c>
      <c r="BI308" s="22">
        <f t="shared" si="242"/>
        <v>2</v>
      </c>
      <c r="BJ308" s="22">
        <f t="shared" si="243"/>
        <v>2</v>
      </c>
      <c r="BK308" s="22">
        <f t="shared" si="244"/>
        <v>2</v>
      </c>
      <c r="BL308" s="22" t="str">
        <f t="shared" si="245"/>
        <v>222</v>
      </c>
      <c r="BS308"/>
      <c r="CL308" s="23">
        <v>148</v>
      </c>
      <c r="CM308" s="23">
        <v>140</v>
      </c>
      <c r="CO308"/>
    </row>
    <row r="309" spans="2:93" ht="17" hidden="1">
      <c r="B309" s="15">
        <v>305</v>
      </c>
      <c r="C309" s="23" t="s">
        <v>335</v>
      </c>
      <c r="D309" s="16">
        <v>5</v>
      </c>
      <c r="E309" s="17">
        <v>2008210140</v>
      </c>
      <c r="F309" s="16">
        <v>34</v>
      </c>
      <c r="G309" s="17">
        <v>49220837</v>
      </c>
      <c r="H309" s="17">
        <v>1377</v>
      </c>
      <c r="I309" s="17">
        <v>1215330</v>
      </c>
      <c r="J309" s="17">
        <v>66162</v>
      </c>
      <c r="K309" s="17">
        <v>50589</v>
      </c>
      <c r="L309" s="17">
        <v>1049049</v>
      </c>
      <c r="M309" s="17">
        <v>5000</v>
      </c>
      <c r="N309" s="23">
        <v>7</v>
      </c>
      <c r="O309" s="23">
        <v>8</v>
      </c>
      <c r="P309" s="23">
        <v>18</v>
      </c>
      <c r="Q309" s="23">
        <v>21</v>
      </c>
      <c r="R309" s="23">
        <v>23</v>
      </c>
      <c r="S309" s="23">
        <v>39</v>
      </c>
      <c r="T309" s="23">
        <v>9</v>
      </c>
      <c r="U309" s="23">
        <f t="shared" si="218"/>
        <v>116</v>
      </c>
      <c r="W309" s="22" t="str">
        <f t="shared" si="203"/>
        <v>홀수</v>
      </c>
      <c r="X309" s="22" t="str">
        <f t="shared" si="204"/>
        <v>짝수</v>
      </c>
      <c r="Y309" s="22" t="str">
        <f t="shared" si="205"/>
        <v>짝수</v>
      </c>
      <c r="Z309" s="22" t="str">
        <f t="shared" si="206"/>
        <v>홀수</v>
      </c>
      <c r="AA309" s="22" t="str">
        <f t="shared" si="207"/>
        <v>홀수</v>
      </c>
      <c r="AB309" s="22" t="str">
        <f t="shared" si="208"/>
        <v>홀수</v>
      </c>
      <c r="AC309" s="52" t="str">
        <f t="shared" si="209"/>
        <v>4 : 2</v>
      </c>
      <c r="AD309" s="22">
        <f t="shared" si="210"/>
        <v>4</v>
      </c>
      <c r="AE309" s="22">
        <f t="shared" si="211"/>
        <v>2</v>
      </c>
      <c r="AF309" s="22" t="str">
        <f t="shared" si="219"/>
        <v>저수</v>
      </c>
      <c r="AG309" s="22" t="str">
        <f t="shared" si="220"/>
        <v>저수</v>
      </c>
      <c r="AH309" s="22" t="str">
        <f t="shared" si="221"/>
        <v>저수</v>
      </c>
      <c r="AI309" s="22" t="str">
        <f t="shared" si="222"/>
        <v>저수</v>
      </c>
      <c r="AJ309" s="22" t="str">
        <f t="shared" si="223"/>
        <v>고수</v>
      </c>
      <c r="AK309" s="22" t="str">
        <f t="shared" si="224"/>
        <v>고수</v>
      </c>
      <c r="AL309" s="52" t="str">
        <f t="shared" si="225"/>
        <v>4 : 2</v>
      </c>
      <c r="AM309" s="22">
        <f t="shared" si="226"/>
        <v>4</v>
      </c>
      <c r="AN309" s="22">
        <f t="shared" si="227"/>
        <v>2</v>
      </c>
      <c r="AO309" s="22">
        <f t="shared" si="228"/>
        <v>36</v>
      </c>
      <c r="AP309" s="22" t="str">
        <f t="shared" si="229"/>
        <v>O</v>
      </c>
      <c r="AQ309" s="22" t="str">
        <f t="shared" si="230"/>
        <v>X</v>
      </c>
      <c r="AR309" s="22" t="str">
        <f t="shared" si="231"/>
        <v>X</v>
      </c>
      <c r="AS309" s="22" t="str">
        <f t="shared" si="232"/>
        <v>X</v>
      </c>
      <c r="AT309" s="22" t="str">
        <f t="shared" si="233"/>
        <v>X</v>
      </c>
      <c r="AU309" s="22" t="str">
        <f t="shared" si="234"/>
        <v>X</v>
      </c>
      <c r="AV309" s="22" t="str">
        <f t="shared" si="235"/>
        <v>X</v>
      </c>
      <c r="AW309" s="22" t="str">
        <f t="shared" si="236"/>
        <v>X</v>
      </c>
      <c r="AX309" s="22" t="str">
        <f t="shared" si="237"/>
        <v>X</v>
      </c>
      <c r="AY309" s="22" t="str">
        <f t="shared" si="238"/>
        <v>X</v>
      </c>
      <c r="AZ309" s="22" t="str">
        <f t="shared" si="239"/>
        <v>O</v>
      </c>
      <c r="BA309" s="22" t="str">
        <f t="shared" si="240"/>
        <v>X</v>
      </c>
      <c r="BB309" s="22">
        <f t="shared" si="241"/>
        <v>2</v>
      </c>
      <c r="BC309" s="22" t="str">
        <f t="shared" si="212"/>
        <v>1G</v>
      </c>
      <c r="BD309" s="22" t="str">
        <f t="shared" si="213"/>
        <v>1G</v>
      </c>
      <c r="BE309" s="22" t="str">
        <f t="shared" si="214"/>
        <v>2G</v>
      </c>
      <c r="BF309" s="22" t="str">
        <f t="shared" si="215"/>
        <v>2G</v>
      </c>
      <c r="BG309" s="22" t="str">
        <f t="shared" si="216"/>
        <v>2G</v>
      </c>
      <c r="BH309" s="22" t="str">
        <f t="shared" si="217"/>
        <v>3G</v>
      </c>
      <c r="BI309" s="22">
        <f t="shared" si="242"/>
        <v>2</v>
      </c>
      <c r="BJ309" s="22">
        <f t="shared" si="243"/>
        <v>3</v>
      </c>
      <c r="BK309" s="22">
        <f t="shared" si="244"/>
        <v>1</v>
      </c>
      <c r="BL309" s="22" t="str">
        <f t="shared" si="245"/>
        <v>231</v>
      </c>
      <c r="BS309"/>
      <c r="CL309" s="23">
        <v>148</v>
      </c>
      <c r="CM309" s="23">
        <v>140</v>
      </c>
      <c r="CO309"/>
    </row>
    <row r="310" spans="2:93" ht="17" hidden="1">
      <c r="B310" s="15">
        <v>306</v>
      </c>
      <c r="C310" s="23" t="s">
        <v>336</v>
      </c>
      <c r="D310" s="16">
        <v>5</v>
      </c>
      <c r="E310" s="17">
        <v>2102669520</v>
      </c>
      <c r="F310" s="16">
        <v>23</v>
      </c>
      <c r="G310" s="17">
        <v>76183679</v>
      </c>
      <c r="H310" s="17">
        <v>1219</v>
      </c>
      <c r="I310" s="17">
        <v>1437428</v>
      </c>
      <c r="J310" s="17">
        <v>56687</v>
      </c>
      <c r="K310" s="17">
        <v>61822</v>
      </c>
      <c r="L310" s="17">
        <v>937697</v>
      </c>
      <c r="M310" s="17">
        <v>5000</v>
      </c>
      <c r="N310" s="23">
        <v>4</v>
      </c>
      <c r="O310" s="23">
        <v>18</v>
      </c>
      <c r="P310" s="23">
        <v>23</v>
      </c>
      <c r="Q310" s="23">
        <v>30</v>
      </c>
      <c r="R310" s="23">
        <v>34</v>
      </c>
      <c r="S310" s="23">
        <v>41</v>
      </c>
      <c r="T310" s="23">
        <v>19</v>
      </c>
      <c r="U310" s="23">
        <f t="shared" si="218"/>
        <v>150</v>
      </c>
      <c r="W310" s="22" t="str">
        <f t="shared" ref="W310:W373" si="246">IF(RIGHT(N310,1)="1","홀수",IF(RIGHT(N310,1)="3","홀수",IF(RIGHT(N310,1)="5","홀수",IF(RIGHT(N310,1)="7","홀수",IF(RIGHT(N310,1)="9","홀수","짝수")))))</f>
        <v>짝수</v>
      </c>
      <c r="X310" s="22" t="str">
        <f t="shared" ref="X310:X373" si="247">IF(RIGHT(O310,1)="1","홀수",IF(RIGHT(O310,1)="3","홀수",IF(RIGHT(O310,1)="5","홀수",IF(RIGHT(O310,1)="7","홀수",IF(RIGHT(O310,1)="9","홀수","짝수")))))</f>
        <v>짝수</v>
      </c>
      <c r="Y310" s="22" t="str">
        <f t="shared" ref="Y310:Y373" si="248">IF(RIGHT(P310,1)="1","홀수",IF(RIGHT(P310,1)="3","홀수",IF(RIGHT(P310,1)="5","홀수",IF(RIGHT(P310,1)="7","홀수",IF(RIGHT(P310,1)="9","홀수","짝수")))))</f>
        <v>홀수</v>
      </c>
      <c r="Z310" s="22" t="str">
        <f t="shared" ref="Z310:Z373" si="249">IF(RIGHT(Q310,1)="1","홀수",IF(RIGHT(Q310,1)="3","홀수",IF(RIGHT(Q310,1)="5","홀수",IF(RIGHT(Q310,1)="7","홀수",IF(RIGHT(Q310,1)="9","홀수","짝수")))))</f>
        <v>짝수</v>
      </c>
      <c r="AA310" s="22" t="str">
        <f t="shared" ref="AA310:AA373" si="250">IF(RIGHT(R310,1)="1","홀수",IF(RIGHT(R310,1)="3","홀수",IF(RIGHT(R310,1)="5","홀수",IF(RIGHT(R310,1)="7","홀수",IF(RIGHT(R310,1)="9","홀수","짝수")))))</f>
        <v>짝수</v>
      </c>
      <c r="AB310" s="22" t="str">
        <f t="shared" ref="AB310:AB373" si="251">IF(RIGHT(S310,1)="1","홀수",IF(RIGHT(S310,1)="3","홀수",IF(RIGHT(S310,1)="5","홀수",IF(RIGHT(S310,1)="7","홀수",IF(RIGHT(S310,1)="9","홀수","짝수")))))</f>
        <v>홀수</v>
      </c>
      <c r="AC310" s="52" t="str">
        <f t="shared" ref="AC310:AC373" si="252">AD310&amp;" : "&amp;AE310</f>
        <v>2 : 4</v>
      </c>
      <c r="AD310" s="22">
        <f t="shared" ref="AD310:AD373" si="253">COUNTIF(W310:AB310,"홀수")</f>
        <v>2</v>
      </c>
      <c r="AE310" s="22">
        <f t="shared" ref="AE310:AE373" si="254">COUNTIF(W310:AB310,"짝수")</f>
        <v>4</v>
      </c>
      <c r="AF310" s="22" t="str">
        <f t="shared" si="219"/>
        <v>저수</v>
      </c>
      <c r="AG310" s="22" t="str">
        <f t="shared" si="220"/>
        <v>저수</v>
      </c>
      <c r="AH310" s="22" t="str">
        <f t="shared" si="221"/>
        <v>고수</v>
      </c>
      <c r="AI310" s="22" t="str">
        <f t="shared" si="222"/>
        <v>고수</v>
      </c>
      <c r="AJ310" s="22" t="str">
        <f t="shared" si="223"/>
        <v>고수</v>
      </c>
      <c r="AK310" s="22" t="str">
        <f t="shared" si="224"/>
        <v>고수</v>
      </c>
      <c r="AL310" s="52" t="str">
        <f t="shared" si="225"/>
        <v>2 : 4</v>
      </c>
      <c r="AM310" s="22">
        <f t="shared" si="226"/>
        <v>2</v>
      </c>
      <c r="AN310" s="22">
        <f t="shared" si="227"/>
        <v>4</v>
      </c>
      <c r="AO310" s="22">
        <f t="shared" si="228"/>
        <v>20</v>
      </c>
      <c r="AP310" s="22" t="str">
        <f t="shared" si="229"/>
        <v>X</v>
      </c>
      <c r="AQ310" s="22" t="str">
        <f t="shared" si="230"/>
        <v>X</v>
      </c>
      <c r="AR310" s="22" t="str">
        <f t="shared" si="231"/>
        <v>X</v>
      </c>
      <c r="AS310" s="22" t="str">
        <f t="shared" si="232"/>
        <v>X</v>
      </c>
      <c r="AT310" s="22" t="str">
        <f t="shared" si="233"/>
        <v>X</v>
      </c>
      <c r="AU310" s="22" t="str">
        <f t="shared" si="234"/>
        <v>X</v>
      </c>
      <c r="AV310" s="22" t="str">
        <f t="shared" si="235"/>
        <v>X</v>
      </c>
      <c r="AW310" s="22" t="str">
        <f t="shared" si="236"/>
        <v>X</v>
      </c>
      <c r="AX310" s="22" t="str">
        <f t="shared" si="237"/>
        <v>O</v>
      </c>
      <c r="AY310" s="22" t="str">
        <f t="shared" si="238"/>
        <v>X</v>
      </c>
      <c r="AZ310" s="22" t="str">
        <f t="shared" si="239"/>
        <v>X</v>
      </c>
      <c r="BA310" s="22" t="str">
        <f t="shared" si="240"/>
        <v>O</v>
      </c>
      <c r="BB310" s="22">
        <f t="shared" si="241"/>
        <v>2</v>
      </c>
      <c r="BC310" s="22" t="str">
        <f t="shared" si="212"/>
        <v>1G</v>
      </c>
      <c r="BD310" s="22" t="str">
        <f t="shared" si="213"/>
        <v>2G</v>
      </c>
      <c r="BE310" s="22" t="str">
        <f t="shared" si="214"/>
        <v>2G</v>
      </c>
      <c r="BF310" s="22" t="str">
        <f t="shared" si="215"/>
        <v>2G</v>
      </c>
      <c r="BG310" s="22" t="str">
        <f t="shared" si="216"/>
        <v>3G</v>
      </c>
      <c r="BH310" s="22" t="str">
        <f t="shared" si="217"/>
        <v>3G</v>
      </c>
      <c r="BI310" s="22">
        <f t="shared" si="242"/>
        <v>1</v>
      </c>
      <c r="BJ310" s="22">
        <f t="shared" si="243"/>
        <v>3</v>
      </c>
      <c r="BK310" s="22">
        <f t="shared" si="244"/>
        <v>2</v>
      </c>
      <c r="BL310" s="22" t="str">
        <f t="shared" si="245"/>
        <v>132</v>
      </c>
      <c r="BS310"/>
      <c r="CL310" s="23">
        <v>148</v>
      </c>
      <c r="CM310" s="23">
        <v>140</v>
      </c>
      <c r="CO310"/>
    </row>
    <row r="311" spans="2:93" ht="17" hidden="1">
      <c r="B311" s="15">
        <v>307</v>
      </c>
      <c r="C311" s="23" t="s">
        <v>337</v>
      </c>
      <c r="D311" s="16">
        <v>4</v>
      </c>
      <c r="E311" s="17">
        <v>2587643250</v>
      </c>
      <c r="F311" s="16">
        <v>28</v>
      </c>
      <c r="G311" s="17">
        <v>61610554</v>
      </c>
      <c r="H311" s="17">
        <v>1177</v>
      </c>
      <c r="I311" s="17">
        <v>1465672</v>
      </c>
      <c r="J311" s="17">
        <v>59400</v>
      </c>
      <c r="K311" s="17">
        <v>58085</v>
      </c>
      <c r="L311" s="17">
        <v>937908</v>
      </c>
      <c r="M311" s="17">
        <v>5000</v>
      </c>
      <c r="N311" s="23">
        <v>5</v>
      </c>
      <c r="O311" s="23">
        <v>15</v>
      </c>
      <c r="P311" s="23">
        <v>21</v>
      </c>
      <c r="Q311" s="23">
        <v>23</v>
      </c>
      <c r="R311" s="23">
        <v>25</v>
      </c>
      <c r="S311" s="23">
        <v>45</v>
      </c>
      <c r="T311" s="23">
        <v>12</v>
      </c>
      <c r="U311" s="23">
        <f t="shared" si="218"/>
        <v>134</v>
      </c>
      <c r="W311" s="22" t="str">
        <f t="shared" si="246"/>
        <v>홀수</v>
      </c>
      <c r="X311" s="22" t="str">
        <f t="shared" si="247"/>
        <v>홀수</v>
      </c>
      <c r="Y311" s="22" t="str">
        <f t="shared" si="248"/>
        <v>홀수</v>
      </c>
      <c r="Z311" s="22" t="str">
        <f t="shared" si="249"/>
        <v>홀수</v>
      </c>
      <c r="AA311" s="22" t="str">
        <f t="shared" si="250"/>
        <v>홀수</v>
      </c>
      <c r="AB311" s="22" t="str">
        <f t="shared" si="251"/>
        <v>홀수</v>
      </c>
      <c r="AC311" s="52" t="str">
        <f t="shared" si="252"/>
        <v>6 : 0</v>
      </c>
      <c r="AD311" s="22">
        <f t="shared" si="253"/>
        <v>6</v>
      </c>
      <c r="AE311" s="22">
        <f t="shared" si="254"/>
        <v>0</v>
      </c>
      <c r="AF311" s="22" t="str">
        <f t="shared" si="219"/>
        <v>저수</v>
      </c>
      <c r="AG311" s="22" t="str">
        <f t="shared" si="220"/>
        <v>저수</v>
      </c>
      <c r="AH311" s="22" t="str">
        <f t="shared" si="221"/>
        <v>저수</v>
      </c>
      <c r="AI311" s="22" t="str">
        <f t="shared" si="222"/>
        <v>고수</v>
      </c>
      <c r="AJ311" s="22" t="str">
        <f t="shared" si="223"/>
        <v>고수</v>
      </c>
      <c r="AK311" s="22" t="str">
        <f t="shared" si="224"/>
        <v>고수</v>
      </c>
      <c r="AL311" s="52" t="str">
        <f t="shared" si="225"/>
        <v>3 : 3</v>
      </c>
      <c r="AM311" s="22">
        <f t="shared" si="226"/>
        <v>3</v>
      </c>
      <c r="AN311" s="22">
        <f t="shared" si="227"/>
        <v>3</v>
      </c>
      <c r="AO311" s="22">
        <f t="shared" si="228"/>
        <v>24</v>
      </c>
      <c r="AP311" s="22" t="str">
        <f t="shared" si="229"/>
        <v>O</v>
      </c>
      <c r="AQ311" s="22" t="str">
        <f t="shared" si="230"/>
        <v>X</v>
      </c>
      <c r="AR311" s="22" t="str">
        <f t="shared" si="231"/>
        <v>X</v>
      </c>
      <c r="AS311" s="22" t="str">
        <f t="shared" si="232"/>
        <v>X</v>
      </c>
      <c r="AT311" s="22" t="str">
        <f t="shared" si="233"/>
        <v>X</v>
      </c>
      <c r="AU311" s="22" t="str">
        <f t="shared" si="234"/>
        <v>X</v>
      </c>
      <c r="AV311" s="22" t="str">
        <f t="shared" si="235"/>
        <v>X</v>
      </c>
      <c r="AW311" s="22" t="str">
        <f t="shared" si="236"/>
        <v>X</v>
      </c>
      <c r="AX311" s="22" t="str">
        <f t="shared" si="237"/>
        <v>X</v>
      </c>
      <c r="AY311" s="22" t="str">
        <f t="shared" si="238"/>
        <v>O</v>
      </c>
      <c r="AZ311" s="22" t="str">
        <f t="shared" si="239"/>
        <v>X</v>
      </c>
      <c r="BA311" s="22" t="str">
        <f t="shared" si="240"/>
        <v>X</v>
      </c>
      <c r="BB311" s="22">
        <f t="shared" si="241"/>
        <v>2</v>
      </c>
      <c r="BC311" s="22" t="str">
        <f t="shared" si="212"/>
        <v>1G</v>
      </c>
      <c r="BD311" s="22" t="str">
        <f t="shared" si="213"/>
        <v>1G</v>
      </c>
      <c r="BE311" s="22" t="str">
        <f t="shared" si="214"/>
        <v>2G</v>
      </c>
      <c r="BF311" s="22" t="str">
        <f t="shared" si="215"/>
        <v>2G</v>
      </c>
      <c r="BG311" s="22" t="str">
        <f t="shared" si="216"/>
        <v>2G</v>
      </c>
      <c r="BH311" s="22" t="str">
        <f t="shared" si="217"/>
        <v>3G</v>
      </c>
      <c r="BI311" s="22">
        <f t="shared" si="242"/>
        <v>2</v>
      </c>
      <c r="BJ311" s="22">
        <f t="shared" si="243"/>
        <v>3</v>
      </c>
      <c r="BK311" s="22">
        <f t="shared" si="244"/>
        <v>1</v>
      </c>
      <c r="BL311" s="22" t="str">
        <f t="shared" si="245"/>
        <v>231</v>
      </c>
      <c r="BS311"/>
      <c r="CL311" s="23">
        <v>148</v>
      </c>
      <c r="CM311" s="23">
        <v>140</v>
      </c>
      <c r="CO311"/>
    </row>
    <row r="312" spans="2:93" ht="17" hidden="1">
      <c r="B312" s="15">
        <v>308</v>
      </c>
      <c r="C312" s="23" t="s">
        <v>338</v>
      </c>
      <c r="D312" s="16">
        <v>1</v>
      </c>
      <c r="E312" s="17">
        <v>10232872800</v>
      </c>
      <c r="F312" s="16">
        <v>27</v>
      </c>
      <c r="G312" s="17">
        <v>63165882</v>
      </c>
      <c r="H312" s="16">
        <v>978</v>
      </c>
      <c r="I312" s="17">
        <v>1743844</v>
      </c>
      <c r="J312" s="17">
        <v>53749</v>
      </c>
      <c r="K312" s="17">
        <v>63461</v>
      </c>
      <c r="L312" s="17">
        <v>922984</v>
      </c>
      <c r="M312" s="17">
        <v>5000</v>
      </c>
      <c r="N312" s="23">
        <v>14</v>
      </c>
      <c r="O312" s="23">
        <v>15</v>
      </c>
      <c r="P312" s="23">
        <v>17</v>
      </c>
      <c r="Q312" s="23">
        <v>19</v>
      </c>
      <c r="R312" s="23">
        <v>37</v>
      </c>
      <c r="S312" s="23">
        <v>45</v>
      </c>
      <c r="T312" s="23">
        <v>40</v>
      </c>
      <c r="U312" s="23">
        <f t="shared" si="218"/>
        <v>147</v>
      </c>
      <c r="W312" s="22" t="str">
        <f t="shared" si="246"/>
        <v>짝수</v>
      </c>
      <c r="X312" s="22" t="str">
        <f t="shared" si="247"/>
        <v>홀수</v>
      </c>
      <c r="Y312" s="22" t="str">
        <f t="shared" si="248"/>
        <v>홀수</v>
      </c>
      <c r="Z312" s="22" t="str">
        <f t="shared" si="249"/>
        <v>홀수</v>
      </c>
      <c r="AA312" s="22" t="str">
        <f t="shared" si="250"/>
        <v>홀수</v>
      </c>
      <c r="AB312" s="22" t="str">
        <f t="shared" si="251"/>
        <v>홀수</v>
      </c>
      <c r="AC312" s="52" t="str">
        <f t="shared" si="252"/>
        <v>5 : 1</v>
      </c>
      <c r="AD312" s="22">
        <f t="shared" si="253"/>
        <v>5</v>
      </c>
      <c r="AE312" s="22">
        <f t="shared" si="254"/>
        <v>1</v>
      </c>
      <c r="AF312" s="22" t="str">
        <f t="shared" si="219"/>
        <v>저수</v>
      </c>
      <c r="AG312" s="22" t="str">
        <f t="shared" si="220"/>
        <v>저수</v>
      </c>
      <c r="AH312" s="22" t="str">
        <f t="shared" si="221"/>
        <v>저수</v>
      </c>
      <c r="AI312" s="22" t="str">
        <f t="shared" si="222"/>
        <v>저수</v>
      </c>
      <c r="AJ312" s="22" t="str">
        <f t="shared" si="223"/>
        <v>고수</v>
      </c>
      <c r="AK312" s="22" t="str">
        <f t="shared" si="224"/>
        <v>고수</v>
      </c>
      <c r="AL312" s="52" t="str">
        <f t="shared" si="225"/>
        <v>4 : 2</v>
      </c>
      <c r="AM312" s="22">
        <f t="shared" si="226"/>
        <v>4</v>
      </c>
      <c r="AN312" s="22">
        <f t="shared" si="227"/>
        <v>2</v>
      </c>
      <c r="AO312" s="22">
        <f t="shared" si="228"/>
        <v>37</v>
      </c>
      <c r="AP312" s="22" t="str">
        <f t="shared" si="229"/>
        <v>X</v>
      </c>
      <c r="AQ312" s="22" t="str">
        <f t="shared" si="230"/>
        <v>X</v>
      </c>
      <c r="AR312" s="22" t="str">
        <f t="shared" si="231"/>
        <v>O</v>
      </c>
      <c r="AS312" s="22" t="str">
        <f t="shared" si="232"/>
        <v>O</v>
      </c>
      <c r="AT312" s="22" t="str">
        <f t="shared" si="233"/>
        <v>X</v>
      </c>
      <c r="AU312" s="22" t="str">
        <f t="shared" si="234"/>
        <v>X</v>
      </c>
      <c r="AV312" s="22" t="str">
        <f t="shared" si="235"/>
        <v>X</v>
      </c>
      <c r="AW312" s="22" t="str">
        <f t="shared" si="236"/>
        <v>X</v>
      </c>
      <c r="AX312" s="22" t="str">
        <f t="shared" si="237"/>
        <v>X</v>
      </c>
      <c r="AY312" s="22" t="str">
        <f t="shared" si="238"/>
        <v>X</v>
      </c>
      <c r="AZ312" s="22" t="str">
        <f t="shared" si="239"/>
        <v>O</v>
      </c>
      <c r="BA312" s="22" t="str">
        <f t="shared" si="240"/>
        <v>X</v>
      </c>
      <c r="BB312" s="22">
        <f t="shared" si="241"/>
        <v>3</v>
      </c>
      <c r="BC312" s="22" t="str">
        <f t="shared" si="212"/>
        <v>1G</v>
      </c>
      <c r="BD312" s="22" t="str">
        <f t="shared" si="213"/>
        <v>1G</v>
      </c>
      <c r="BE312" s="22" t="str">
        <f t="shared" si="214"/>
        <v>2G</v>
      </c>
      <c r="BF312" s="22" t="str">
        <f t="shared" si="215"/>
        <v>2G</v>
      </c>
      <c r="BG312" s="22" t="str">
        <f t="shared" si="216"/>
        <v>3G</v>
      </c>
      <c r="BH312" s="22" t="str">
        <f t="shared" si="217"/>
        <v>3G</v>
      </c>
      <c r="BI312" s="22">
        <f t="shared" si="242"/>
        <v>2</v>
      </c>
      <c r="BJ312" s="22">
        <f t="shared" si="243"/>
        <v>2</v>
      </c>
      <c r="BK312" s="22">
        <f t="shared" si="244"/>
        <v>2</v>
      </c>
      <c r="BL312" s="22" t="str">
        <f t="shared" si="245"/>
        <v>222</v>
      </c>
      <c r="BS312"/>
      <c r="CL312" s="23">
        <v>148</v>
      </c>
      <c r="CM312" s="23">
        <v>140</v>
      </c>
      <c r="CO312"/>
    </row>
    <row r="313" spans="2:93" ht="17" hidden="1">
      <c r="B313" s="15">
        <v>309</v>
      </c>
      <c r="C313" s="23" t="s">
        <v>339</v>
      </c>
      <c r="D313" s="16">
        <v>11</v>
      </c>
      <c r="E313" s="17">
        <v>901622946</v>
      </c>
      <c r="F313" s="16">
        <v>25</v>
      </c>
      <c r="G313" s="17">
        <v>66119016</v>
      </c>
      <c r="H313" s="17">
        <v>1390</v>
      </c>
      <c r="I313" s="17">
        <v>1189191</v>
      </c>
      <c r="J313" s="17">
        <v>69125</v>
      </c>
      <c r="K313" s="17">
        <v>47826</v>
      </c>
      <c r="L313" s="17">
        <v>1109802</v>
      </c>
      <c r="M313" s="17">
        <v>5000</v>
      </c>
      <c r="N313" s="23">
        <v>1</v>
      </c>
      <c r="O313" s="23">
        <v>2</v>
      </c>
      <c r="P313" s="23">
        <v>5</v>
      </c>
      <c r="Q313" s="23">
        <v>11</v>
      </c>
      <c r="R313" s="23">
        <v>18</v>
      </c>
      <c r="S313" s="23">
        <v>36</v>
      </c>
      <c r="T313" s="23">
        <v>22</v>
      </c>
      <c r="U313" s="23">
        <f t="shared" si="218"/>
        <v>73</v>
      </c>
      <c r="W313" s="22" t="str">
        <f t="shared" si="246"/>
        <v>홀수</v>
      </c>
      <c r="X313" s="22" t="str">
        <f t="shared" si="247"/>
        <v>짝수</v>
      </c>
      <c r="Y313" s="22" t="str">
        <f t="shared" si="248"/>
        <v>홀수</v>
      </c>
      <c r="Z313" s="22" t="str">
        <f t="shared" si="249"/>
        <v>홀수</v>
      </c>
      <c r="AA313" s="22" t="str">
        <f t="shared" si="250"/>
        <v>짝수</v>
      </c>
      <c r="AB313" s="22" t="str">
        <f t="shared" si="251"/>
        <v>짝수</v>
      </c>
      <c r="AC313" s="52" t="str">
        <f t="shared" si="252"/>
        <v>3 : 3</v>
      </c>
      <c r="AD313" s="22">
        <f t="shared" si="253"/>
        <v>3</v>
      </c>
      <c r="AE313" s="22">
        <f t="shared" si="254"/>
        <v>3</v>
      </c>
      <c r="AF313" s="22" t="str">
        <f t="shared" si="219"/>
        <v>저수</v>
      </c>
      <c r="AG313" s="22" t="str">
        <f t="shared" si="220"/>
        <v>저수</v>
      </c>
      <c r="AH313" s="22" t="str">
        <f t="shared" si="221"/>
        <v>저수</v>
      </c>
      <c r="AI313" s="22" t="str">
        <f t="shared" si="222"/>
        <v>저수</v>
      </c>
      <c r="AJ313" s="22" t="str">
        <f t="shared" si="223"/>
        <v>저수</v>
      </c>
      <c r="AK313" s="22" t="str">
        <f t="shared" si="224"/>
        <v>고수</v>
      </c>
      <c r="AL313" s="52" t="str">
        <f t="shared" si="225"/>
        <v>5 : 1</v>
      </c>
      <c r="AM313" s="22">
        <f t="shared" si="226"/>
        <v>5</v>
      </c>
      <c r="AN313" s="22">
        <f t="shared" si="227"/>
        <v>1</v>
      </c>
      <c r="AO313" s="22">
        <f t="shared" si="228"/>
        <v>23</v>
      </c>
      <c r="AP313" s="22" t="str">
        <f t="shared" si="229"/>
        <v>X</v>
      </c>
      <c r="AQ313" s="22" t="str">
        <f t="shared" si="230"/>
        <v>O</v>
      </c>
      <c r="AR313" s="22" t="str">
        <f t="shared" si="231"/>
        <v>O</v>
      </c>
      <c r="AS313" s="22" t="str">
        <f t="shared" si="232"/>
        <v>O</v>
      </c>
      <c r="AT313" s="22" t="str">
        <f t="shared" si="233"/>
        <v>X</v>
      </c>
      <c r="AU313" s="22" t="str">
        <f t="shared" si="234"/>
        <v>X</v>
      </c>
      <c r="AV313" s="22" t="str">
        <f t="shared" si="235"/>
        <v>X</v>
      </c>
      <c r="AW313" s="22" t="str">
        <f t="shared" si="236"/>
        <v>X</v>
      </c>
      <c r="AX313" s="22" t="str">
        <f t="shared" si="237"/>
        <v>X</v>
      </c>
      <c r="AY313" s="22" t="str">
        <f t="shared" si="238"/>
        <v>X</v>
      </c>
      <c r="AZ313" s="22" t="str">
        <f t="shared" si="239"/>
        <v>X</v>
      </c>
      <c r="BA313" s="22" t="str">
        <f t="shared" si="240"/>
        <v>X</v>
      </c>
      <c r="BB313" s="22">
        <f t="shared" si="241"/>
        <v>3</v>
      </c>
      <c r="BC313" s="22" t="str">
        <f t="shared" si="212"/>
        <v>1G</v>
      </c>
      <c r="BD313" s="22" t="str">
        <f t="shared" si="213"/>
        <v>1G</v>
      </c>
      <c r="BE313" s="22" t="str">
        <f t="shared" si="214"/>
        <v>1G</v>
      </c>
      <c r="BF313" s="22" t="str">
        <f t="shared" si="215"/>
        <v>1G</v>
      </c>
      <c r="BG313" s="22" t="str">
        <f t="shared" si="216"/>
        <v>2G</v>
      </c>
      <c r="BH313" s="22" t="str">
        <f t="shared" si="217"/>
        <v>3G</v>
      </c>
      <c r="BI313" s="22">
        <f t="shared" si="242"/>
        <v>4</v>
      </c>
      <c r="BJ313" s="22">
        <f t="shared" si="243"/>
        <v>1</v>
      </c>
      <c r="BK313" s="22">
        <f t="shared" si="244"/>
        <v>1</v>
      </c>
      <c r="BL313" s="22" t="str">
        <f t="shared" si="245"/>
        <v>411</v>
      </c>
      <c r="BS313"/>
      <c r="CL313" s="23">
        <v>148</v>
      </c>
      <c r="CM313" s="23">
        <v>140</v>
      </c>
      <c r="CO313"/>
    </row>
    <row r="314" spans="2:93" ht="17" hidden="1">
      <c r="B314" s="15">
        <v>310</v>
      </c>
      <c r="C314" s="23" t="s">
        <v>340</v>
      </c>
      <c r="D314" s="16">
        <v>8</v>
      </c>
      <c r="E314" s="17">
        <v>1296713325</v>
      </c>
      <c r="F314" s="16">
        <v>29</v>
      </c>
      <c r="G314" s="17">
        <v>59619004</v>
      </c>
      <c r="H314" s="17">
        <v>1086</v>
      </c>
      <c r="I314" s="17">
        <v>1592036</v>
      </c>
      <c r="J314" s="17">
        <v>53956</v>
      </c>
      <c r="K314" s="17">
        <v>64088</v>
      </c>
      <c r="L314" s="17">
        <v>913906</v>
      </c>
      <c r="M314" s="17">
        <v>5000</v>
      </c>
      <c r="N314" s="23">
        <v>1</v>
      </c>
      <c r="O314" s="23">
        <v>5</v>
      </c>
      <c r="P314" s="23">
        <v>19</v>
      </c>
      <c r="Q314" s="23">
        <v>28</v>
      </c>
      <c r="R314" s="23">
        <v>34</v>
      </c>
      <c r="S314" s="23">
        <v>41</v>
      </c>
      <c r="T314" s="23">
        <v>16</v>
      </c>
      <c r="U314" s="23">
        <f t="shared" si="218"/>
        <v>128</v>
      </c>
      <c r="W314" s="22" t="str">
        <f t="shared" si="246"/>
        <v>홀수</v>
      </c>
      <c r="X314" s="22" t="str">
        <f t="shared" si="247"/>
        <v>홀수</v>
      </c>
      <c r="Y314" s="22" t="str">
        <f t="shared" si="248"/>
        <v>홀수</v>
      </c>
      <c r="Z314" s="22" t="str">
        <f t="shared" si="249"/>
        <v>짝수</v>
      </c>
      <c r="AA314" s="22" t="str">
        <f t="shared" si="250"/>
        <v>짝수</v>
      </c>
      <c r="AB314" s="22" t="str">
        <f t="shared" si="251"/>
        <v>홀수</v>
      </c>
      <c r="AC314" s="52" t="str">
        <f t="shared" si="252"/>
        <v>4 : 2</v>
      </c>
      <c r="AD314" s="22">
        <f t="shared" si="253"/>
        <v>4</v>
      </c>
      <c r="AE314" s="22">
        <f t="shared" si="254"/>
        <v>2</v>
      </c>
      <c r="AF314" s="22" t="str">
        <f t="shared" si="219"/>
        <v>저수</v>
      </c>
      <c r="AG314" s="22" t="str">
        <f t="shared" si="220"/>
        <v>저수</v>
      </c>
      <c r="AH314" s="22" t="str">
        <f t="shared" si="221"/>
        <v>저수</v>
      </c>
      <c r="AI314" s="22" t="str">
        <f t="shared" si="222"/>
        <v>고수</v>
      </c>
      <c r="AJ314" s="22" t="str">
        <f t="shared" si="223"/>
        <v>고수</v>
      </c>
      <c r="AK314" s="22" t="str">
        <f t="shared" si="224"/>
        <v>고수</v>
      </c>
      <c r="AL314" s="52" t="str">
        <f t="shared" si="225"/>
        <v>3 : 3</v>
      </c>
      <c r="AM314" s="22">
        <f t="shared" si="226"/>
        <v>3</v>
      </c>
      <c r="AN314" s="22">
        <f t="shared" si="227"/>
        <v>3</v>
      </c>
      <c r="AO314" s="22">
        <f t="shared" si="228"/>
        <v>28</v>
      </c>
      <c r="AP314" s="22" t="str">
        <f t="shared" si="229"/>
        <v>X</v>
      </c>
      <c r="AQ314" s="22" t="str">
        <f t="shared" si="230"/>
        <v>O</v>
      </c>
      <c r="AR314" s="22" t="str">
        <f t="shared" si="231"/>
        <v>O</v>
      </c>
      <c r="AS314" s="22" t="str">
        <f t="shared" si="232"/>
        <v>X</v>
      </c>
      <c r="AT314" s="22" t="str">
        <f t="shared" si="233"/>
        <v>X</v>
      </c>
      <c r="AU314" s="22" t="str">
        <f t="shared" si="234"/>
        <v>X</v>
      </c>
      <c r="AV314" s="22" t="str">
        <f t="shared" si="235"/>
        <v>X</v>
      </c>
      <c r="AW314" s="22" t="str">
        <f t="shared" si="236"/>
        <v>X</v>
      </c>
      <c r="AX314" s="22" t="str">
        <f t="shared" si="237"/>
        <v>X</v>
      </c>
      <c r="AY314" s="22" t="str">
        <f t="shared" si="238"/>
        <v>X</v>
      </c>
      <c r="AZ314" s="22" t="str">
        <f t="shared" si="239"/>
        <v>X</v>
      </c>
      <c r="BA314" s="22" t="str">
        <f t="shared" si="240"/>
        <v>O</v>
      </c>
      <c r="BB314" s="22">
        <f t="shared" si="241"/>
        <v>3</v>
      </c>
      <c r="BC314" s="22" t="str">
        <f t="shared" si="212"/>
        <v>1G</v>
      </c>
      <c r="BD314" s="22" t="str">
        <f t="shared" si="213"/>
        <v>1G</v>
      </c>
      <c r="BE314" s="22" t="str">
        <f t="shared" si="214"/>
        <v>2G</v>
      </c>
      <c r="BF314" s="22" t="str">
        <f t="shared" si="215"/>
        <v>2G</v>
      </c>
      <c r="BG314" s="22" t="str">
        <f t="shared" si="216"/>
        <v>3G</v>
      </c>
      <c r="BH314" s="22" t="str">
        <f t="shared" si="217"/>
        <v>3G</v>
      </c>
      <c r="BI314" s="22">
        <f t="shared" si="242"/>
        <v>2</v>
      </c>
      <c r="BJ314" s="22">
        <f t="shared" si="243"/>
        <v>2</v>
      </c>
      <c r="BK314" s="22">
        <f t="shared" si="244"/>
        <v>2</v>
      </c>
      <c r="BL314" s="22" t="str">
        <f t="shared" si="245"/>
        <v>222</v>
      </c>
      <c r="BS314"/>
      <c r="CL314" s="23">
        <v>149</v>
      </c>
      <c r="CM314" s="23">
        <v>140</v>
      </c>
      <c r="CO314"/>
    </row>
    <row r="315" spans="2:93" ht="17" hidden="1">
      <c r="B315" s="15">
        <v>311</v>
      </c>
      <c r="C315" s="23" t="s">
        <v>341</v>
      </c>
      <c r="D315" s="16">
        <v>8</v>
      </c>
      <c r="E315" s="17">
        <v>1237691063</v>
      </c>
      <c r="F315" s="16">
        <v>43</v>
      </c>
      <c r="G315" s="17">
        <v>38378018</v>
      </c>
      <c r="H315" s="17">
        <v>1363</v>
      </c>
      <c r="I315" s="17">
        <v>1210752</v>
      </c>
      <c r="J315" s="17">
        <v>64780</v>
      </c>
      <c r="K315" s="17">
        <v>50950</v>
      </c>
      <c r="L315" s="17">
        <v>1020412</v>
      </c>
      <c r="M315" s="17">
        <v>5000</v>
      </c>
      <c r="N315" s="23">
        <v>4</v>
      </c>
      <c r="O315" s="23">
        <v>12</v>
      </c>
      <c r="P315" s="23">
        <v>24</v>
      </c>
      <c r="Q315" s="23">
        <v>27</v>
      </c>
      <c r="R315" s="23">
        <v>28</v>
      </c>
      <c r="S315" s="23">
        <v>32</v>
      </c>
      <c r="T315" s="23">
        <v>10</v>
      </c>
      <c r="U315" s="23">
        <f t="shared" si="218"/>
        <v>127</v>
      </c>
      <c r="W315" s="22" t="str">
        <f t="shared" si="246"/>
        <v>짝수</v>
      </c>
      <c r="X315" s="22" t="str">
        <f t="shared" si="247"/>
        <v>짝수</v>
      </c>
      <c r="Y315" s="22" t="str">
        <f t="shared" si="248"/>
        <v>짝수</v>
      </c>
      <c r="Z315" s="22" t="str">
        <f t="shared" si="249"/>
        <v>홀수</v>
      </c>
      <c r="AA315" s="22" t="str">
        <f t="shared" si="250"/>
        <v>짝수</v>
      </c>
      <c r="AB315" s="22" t="str">
        <f t="shared" si="251"/>
        <v>짝수</v>
      </c>
      <c r="AC315" s="52" t="str">
        <f t="shared" si="252"/>
        <v>1 : 5</v>
      </c>
      <c r="AD315" s="22">
        <f t="shared" si="253"/>
        <v>1</v>
      </c>
      <c r="AE315" s="22">
        <f t="shared" si="254"/>
        <v>5</v>
      </c>
      <c r="AF315" s="22" t="str">
        <f t="shared" si="219"/>
        <v>저수</v>
      </c>
      <c r="AG315" s="22" t="str">
        <f t="shared" si="220"/>
        <v>저수</v>
      </c>
      <c r="AH315" s="22" t="str">
        <f t="shared" si="221"/>
        <v>고수</v>
      </c>
      <c r="AI315" s="22" t="str">
        <f t="shared" si="222"/>
        <v>고수</v>
      </c>
      <c r="AJ315" s="22" t="str">
        <f t="shared" si="223"/>
        <v>고수</v>
      </c>
      <c r="AK315" s="22" t="str">
        <f t="shared" si="224"/>
        <v>고수</v>
      </c>
      <c r="AL315" s="52" t="str">
        <f t="shared" si="225"/>
        <v>2 : 4</v>
      </c>
      <c r="AM315" s="22">
        <f t="shared" si="226"/>
        <v>2</v>
      </c>
      <c r="AN315" s="22">
        <f t="shared" si="227"/>
        <v>4</v>
      </c>
      <c r="AO315" s="22">
        <f t="shared" si="228"/>
        <v>27</v>
      </c>
      <c r="AP315" s="22" t="str">
        <f t="shared" si="229"/>
        <v>X</v>
      </c>
      <c r="AQ315" s="22" t="str">
        <f t="shared" si="230"/>
        <v>X</v>
      </c>
      <c r="AR315" s="22" t="str">
        <f t="shared" si="231"/>
        <v>X</v>
      </c>
      <c r="AS315" s="22" t="str">
        <f t="shared" si="232"/>
        <v>X</v>
      </c>
      <c r="AT315" s="22" t="str">
        <f t="shared" si="233"/>
        <v>X</v>
      </c>
      <c r="AU315" s="22" t="str">
        <f t="shared" si="234"/>
        <v>X</v>
      </c>
      <c r="AV315" s="22" t="str">
        <f t="shared" si="235"/>
        <v>X</v>
      </c>
      <c r="AW315" s="22" t="str">
        <f t="shared" si="236"/>
        <v>X</v>
      </c>
      <c r="AX315" s="22" t="str">
        <f t="shared" si="237"/>
        <v>X</v>
      </c>
      <c r="AY315" s="22" t="str">
        <f t="shared" si="238"/>
        <v>X</v>
      </c>
      <c r="AZ315" s="22" t="str">
        <f t="shared" si="239"/>
        <v>X</v>
      </c>
      <c r="BA315" s="22" t="str">
        <f t="shared" si="240"/>
        <v>X</v>
      </c>
      <c r="BB315" s="22">
        <f t="shared" si="241"/>
        <v>0</v>
      </c>
      <c r="BC315" s="22" t="str">
        <f t="shared" si="212"/>
        <v>1G</v>
      </c>
      <c r="BD315" s="22" t="str">
        <f t="shared" si="213"/>
        <v>1G</v>
      </c>
      <c r="BE315" s="22" t="str">
        <f t="shared" si="214"/>
        <v>2G</v>
      </c>
      <c r="BF315" s="22" t="str">
        <f t="shared" si="215"/>
        <v>2G</v>
      </c>
      <c r="BG315" s="22" t="str">
        <f t="shared" si="216"/>
        <v>2G</v>
      </c>
      <c r="BH315" s="22" t="str">
        <f t="shared" si="217"/>
        <v>3G</v>
      </c>
      <c r="BI315" s="22">
        <f t="shared" si="242"/>
        <v>2</v>
      </c>
      <c r="BJ315" s="22">
        <f t="shared" si="243"/>
        <v>3</v>
      </c>
      <c r="BK315" s="22">
        <f t="shared" si="244"/>
        <v>1</v>
      </c>
      <c r="BL315" s="22" t="str">
        <f t="shared" si="245"/>
        <v>231</v>
      </c>
      <c r="BS315"/>
      <c r="CL315" s="23">
        <v>149</v>
      </c>
      <c r="CM315" s="23">
        <v>140</v>
      </c>
      <c r="CO315"/>
    </row>
    <row r="316" spans="2:93" ht="17" hidden="1">
      <c r="B316" s="15">
        <v>312</v>
      </c>
      <c r="C316" s="23" t="s">
        <v>342</v>
      </c>
      <c r="D316" s="16">
        <v>15</v>
      </c>
      <c r="E316" s="17">
        <v>629017820</v>
      </c>
      <c r="F316" s="16">
        <v>58</v>
      </c>
      <c r="G316" s="17">
        <v>27112838</v>
      </c>
      <c r="H316" s="17">
        <v>2064</v>
      </c>
      <c r="I316" s="17">
        <v>761892</v>
      </c>
      <c r="J316" s="17">
        <v>91934</v>
      </c>
      <c r="K316" s="17">
        <v>34211</v>
      </c>
      <c r="L316" s="17">
        <v>1080450</v>
      </c>
      <c r="M316" s="17">
        <v>5000</v>
      </c>
      <c r="N316" s="23">
        <v>2</v>
      </c>
      <c r="O316" s="23">
        <v>3</v>
      </c>
      <c r="P316" s="23">
        <v>5</v>
      </c>
      <c r="Q316" s="23">
        <v>6</v>
      </c>
      <c r="R316" s="23">
        <v>12</v>
      </c>
      <c r="S316" s="23">
        <v>20</v>
      </c>
      <c r="T316" s="23">
        <v>25</v>
      </c>
      <c r="U316" s="23">
        <f t="shared" si="218"/>
        <v>48</v>
      </c>
      <c r="W316" s="22" t="str">
        <f t="shared" si="246"/>
        <v>짝수</v>
      </c>
      <c r="X316" s="22" t="str">
        <f t="shared" si="247"/>
        <v>홀수</v>
      </c>
      <c r="Y316" s="22" t="str">
        <f t="shared" si="248"/>
        <v>홀수</v>
      </c>
      <c r="Z316" s="22" t="str">
        <f t="shared" si="249"/>
        <v>짝수</v>
      </c>
      <c r="AA316" s="22" t="str">
        <f t="shared" si="250"/>
        <v>짝수</v>
      </c>
      <c r="AB316" s="22" t="str">
        <f t="shared" si="251"/>
        <v>짝수</v>
      </c>
      <c r="AC316" s="52" t="str">
        <f t="shared" si="252"/>
        <v>2 : 4</v>
      </c>
      <c r="AD316" s="22">
        <f t="shared" si="253"/>
        <v>2</v>
      </c>
      <c r="AE316" s="22">
        <f t="shared" si="254"/>
        <v>4</v>
      </c>
      <c r="AF316" s="22" t="str">
        <f t="shared" si="219"/>
        <v>저수</v>
      </c>
      <c r="AG316" s="22" t="str">
        <f t="shared" si="220"/>
        <v>저수</v>
      </c>
      <c r="AH316" s="22" t="str">
        <f t="shared" si="221"/>
        <v>저수</v>
      </c>
      <c r="AI316" s="22" t="str">
        <f t="shared" si="222"/>
        <v>저수</v>
      </c>
      <c r="AJ316" s="22" t="str">
        <f t="shared" si="223"/>
        <v>저수</v>
      </c>
      <c r="AK316" s="22" t="str">
        <f t="shared" si="224"/>
        <v>저수</v>
      </c>
      <c r="AL316" s="52" t="str">
        <f t="shared" si="225"/>
        <v>6 : 0</v>
      </c>
      <c r="AM316" s="22">
        <f t="shared" si="226"/>
        <v>6</v>
      </c>
      <c r="AN316" s="22">
        <f t="shared" si="227"/>
        <v>0</v>
      </c>
      <c r="AO316" s="22">
        <f t="shared" si="228"/>
        <v>18</v>
      </c>
      <c r="AP316" s="22" t="str">
        <f t="shared" si="229"/>
        <v>O</v>
      </c>
      <c r="AQ316" s="22" t="str">
        <f t="shared" si="230"/>
        <v>O</v>
      </c>
      <c r="AR316" s="22" t="str">
        <f t="shared" si="231"/>
        <v>O</v>
      </c>
      <c r="AS316" s="22" t="str">
        <f t="shared" si="232"/>
        <v>X</v>
      </c>
      <c r="AT316" s="22" t="str">
        <f t="shared" si="233"/>
        <v>X</v>
      </c>
      <c r="AU316" s="22" t="str">
        <f t="shared" si="234"/>
        <v>X</v>
      </c>
      <c r="AV316" s="22" t="str">
        <f t="shared" si="235"/>
        <v>X</v>
      </c>
      <c r="AW316" s="22" t="str">
        <f t="shared" si="236"/>
        <v>X</v>
      </c>
      <c r="AX316" s="22" t="str">
        <f t="shared" si="237"/>
        <v>X</v>
      </c>
      <c r="AY316" s="22" t="str">
        <f t="shared" si="238"/>
        <v>X</v>
      </c>
      <c r="AZ316" s="22" t="str">
        <f t="shared" si="239"/>
        <v>X</v>
      </c>
      <c r="BA316" s="22" t="str">
        <f t="shared" si="240"/>
        <v>X</v>
      </c>
      <c r="BB316" s="22">
        <f t="shared" si="241"/>
        <v>3</v>
      </c>
      <c r="BC316" s="22" t="str">
        <f t="shared" si="212"/>
        <v>1G</v>
      </c>
      <c r="BD316" s="22" t="str">
        <f t="shared" si="213"/>
        <v>1G</v>
      </c>
      <c r="BE316" s="22" t="str">
        <f t="shared" si="214"/>
        <v>1G</v>
      </c>
      <c r="BF316" s="22" t="str">
        <f t="shared" si="215"/>
        <v>1G</v>
      </c>
      <c r="BG316" s="22" t="str">
        <f t="shared" si="216"/>
        <v>1G</v>
      </c>
      <c r="BH316" s="22" t="str">
        <f t="shared" si="217"/>
        <v>2G</v>
      </c>
      <c r="BI316" s="22">
        <f t="shared" si="242"/>
        <v>5</v>
      </c>
      <c r="BJ316" s="22">
        <f t="shared" si="243"/>
        <v>1</v>
      </c>
      <c r="BK316" s="22">
        <f t="shared" si="244"/>
        <v>0</v>
      </c>
      <c r="BL316" s="22" t="str">
        <f t="shared" si="245"/>
        <v>510</v>
      </c>
      <c r="BS316"/>
      <c r="CL316" s="23">
        <v>149</v>
      </c>
      <c r="CM316" s="23">
        <v>140</v>
      </c>
      <c r="CO316"/>
    </row>
    <row r="317" spans="2:93" ht="17" hidden="1">
      <c r="B317" s="15">
        <v>313</v>
      </c>
      <c r="C317" s="23" t="s">
        <v>343</v>
      </c>
      <c r="D317" s="16">
        <v>6</v>
      </c>
      <c r="E317" s="17">
        <v>1715422800</v>
      </c>
      <c r="F317" s="16">
        <v>26</v>
      </c>
      <c r="G317" s="17">
        <v>65977800</v>
      </c>
      <c r="H317" s="17">
        <v>1120</v>
      </c>
      <c r="I317" s="17">
        <v>1531628</v>
      </c>
      <c r="J317" s="17">
        <v>55743</v>
      </c>
      <c r="K317" s="17">
        <v>61548</v>
      </c>
      <c r="L317" s="17">
        <v>936364</v>
      </c>
      <c r="M317" s="17">
        <v>5000</v>
      </c>
      <c r="N317" s="23">
        <v>9</v>
      </c>
      <c r="O317" s="23">
        <v>17</v>
      </c>
      <c r="P317" s="23">
        <v>34</v>
      </c>
      <c r="Q317" s="23">
        <v>35</v>
      </c>
      <c r="R317" s="23">
        <v>43</v>
      </c>
      <c r="S317" s="23">
        <v>45</v>
      </c>
      <c r="T317" s="23">
        <v>2</v>
      </c>
      <c r="U317" s="23">
        <f t="shared" si="218"/>
        <v>183</v>
      </c>
      <c r="W317" s="22" t="str">
        <f t="shared" si="246"/>
        <v>홀수</v>
      </c>
      <c r="X317" s="22" t="str">
        <f t="shared" si="247"/>
        <v>홀수</v>
      </c>
      <c r="Y317" s="22" t="str">
        <f t="shared" si="248"/>
        <v>짝수</v>
      </c>
      <c r="Z317" s="22" t="str">
        <f t="shared" si="249"/>
        <v>홀수</v>
      </c>
      <c r="AA317" s="22" t="str">
        <f t="shared" si="250"/>
        <v>홀수</v>
      </c>
      <c r="AB317" s="22" t="str">
        <f t="shared" si="251"/>
        <v>홀수</v>
      </c>
      <c r="AC317" s="52" t="str">
        <f t="shared" si="252"/>
        <v>5 : 1</v>
      </c>
      <c r="AD317" s="22">
        <f t="shared" si="253"/>
        <v>5</v>
      </c>
      <c r="AE317" s="22">
        <f t="shared" si="254"/>
        <v>1</v>
      </c>
      <c r="AF317" s="22" t="str">
        <f t="shared" si="219"/>
        <v>저수</v>
      </c>
      <c r="AG317" s="22" t="str">
        <f t="shared" si="220"/>
        <v>저수</v>
      </c>
      <c r="AH317" s="22" t="str">
        <f t="shared" si="221"/>
        <v>고수</v>
      </c>
      <c r="AI317" s="22" t="str">
        <f t="shared" si="222"/>
        <v>고수</v>
      </c>
      <c r="AJ317" s="22" t="str">
        <f t="shared" si="223"/>
        <v>고수</v>
      </c>
      <c r="AK317" s="22" t="str">
        <f t="shared" si="224"/>
        <v>고수</v>
      </c>
      <c r="AL317" s="52" t="str">
        <f t="shared" si="225"/>
        <v>2 : 4</v>
      </c>
      <c r="AM317" s="22">
        <f t="shared" si="226"/>
        <v>2</v>
      </c>
      <c r="AN317" s="22">
        <f t="shared" si="227"/>
        <v>4</v>
      </c>
      <c r="AO317" s="22">
        <f t="shared" si="228"/>
        <v>33</v>
      </c>
      <c r="AP317" s="22" t="str">
        <f t="shared" si="229"/>
        <v>X</v>
      </c>
      <c r="AQ317" s="22" t="str">
        <f t="shared" si="230"/>
        <v>O</v>
      </c>
      <c r="AR317" s="22" t="str">
        <f t="shared" si="231"/>
        <v>X</v>
      </c>
      <c r="AS317" s="22" t="str">
        <f t="shared" si="232"/>
        <v>X</v>
      </c>
      <c r="AT317" s="22" t="str">
        <f t="shared" si="233"/>
        <v>X</v>
      </c>
      <c r="AU317" s="22" t="str">
        <f t="shared" si="234"/>
        <v>X</v>
      </c>
      <c r="AV317" s="22" t="str">
        <f t="shared" si="235"/>
        <v>X</v>
      </c>
      <c r="AW317" s="22" t="str">
        <f t="shared" si="236"/>
        <v>X</v>
      </c>
      <c r="AX317" s="22" t="str">
        <f t="shared" si="237"/>
        <v>X</v>
      </c>
      <c r="AY317" s="22" t="str">
        <f t="shared" si="238"/>
        <v>X</v>
      </c>
      <c r="AZ317" s="22" t="str">
        <f t="shared" si="239"/>
        <v>O</v>
      </c>
      <c r="BA317" s="22" t="str">
        <f t="shared" si="240"/>
        <v>X</v>
      </c>
      <c r="BB317" s="22">
        <f t="shared" si="241"/>
        <v>2</v>
      </c>
      <c r="BC317" s="22" t="str">
        <f t="shared" si="212"/>
        <v>1G</v>
      </c>
      <c r="BD317" s="22" t="str">
        <f t="shared" si="213"/>
        <v>2G</v>
      </c>
      <c r="BE317" s="22" t="str">
        <f t="shared" si="214"/>
        <v>3G</v>
      </c>
      <c r="BF317" s="22" t="str">
        <f t="shared" si="215"/>
        <v>3G</v>
      </c>
      <c r="BG317" s="22" t="str">
        <f t="shared" si="216"/>
        <v>3G</v>
      </c>
      <c r="BH317" s="22" t="str">
        <f t="shared" si="217"/>
        <v>3G</v>
      </c>
      <c r="BI317" s="22">
        <f t="shared" si="242"/>
        <v>1</v>
      </c>
      <c r="BJ317" s="22">
        <f t="shared" si="243"/>
        <v>1</v>
      </c>
      <c r="BK317" s="22">
        <f t="shared" si="244"/>
        <v>4</v>
      </c>
      <c r="BL317" s="22" t="str">
        <f t="shared" si="245"/>
        <v>114</v>
      </c>
      <c r="BS317"/>
      <c r="CL317" s="23">
        <v>149</v>
      </c>
      <c r="CM317" s="23">
        <v>140</v>
      </c>
      <c r="CO317"/>
    </row>
    <row r="318" spans="2:93" ht="17" hidden="1">
      <c r="B318" s="15">
        <v>314</v>
      </c>
      <c r="C318" s="23" t="s">
        <v>344</v>
      </c>
      <c r="D318" s="16">
        <v>6</v>
      </c>
      <c r="E318" s="17">
        <v>1660512200</v>
      </c>
      <c r="F318" s="16">
        <v>24</v>
      </c>
      <c r="G318" s="17">
        <v>69188009</v>
      </c>
      <c r="H318" s="17">
        <v>1067</v>
      </c>
      <c r="I318" s="17">
        <v>1556244</v>
      </c>
      <c r="J318" s="17">
        <v>54892</v>
      </c>
      <c r="K318" s="17">
        <v>60502</v>
      </c>
      <c r="L318" s="17">
        <v>911785</v>
      </c>
      <c r="M318" s="17">
        <v>5000</v>
      </c>
      <c r="N318" s="23">
        <v>15</v>
      </c>
      <c r="O318" s="23">
        <v>17</v>
      </c>
      <c r="P318" s="23">
        <v>19</v>
      </c>
      <c r="Q318" s="23">
        <v>34</v>
      </c>
      <c r="R318" s="23">
        <v>38</v>
      </c>
      <c r="S318" s="23">
        <v>41</v>
      </c>
      <c r="T318" s="23">
        <v>2</v>
      </c>
      <c r="U318" s="23">
        <f t="shared" si="218"/>
        <v>164</v>
      </c>
      <c r="W318" s="22" t="str">
        <f t="shared" si="246"/>
        <v>홀수</v>
      </c>
      <c r="X318" s="22" t="str">
        <f t="shared" si="247"/>
        <v>홀수</v>
      </c>
      <c r="Y318" s="22" t="str">
        <f t="shared" si="248"/>
        <v>홀수</v>
      </c>
      <c r="Z318" s="22" t="str">
        <f t="shared" si="249"/>
        <v>짝수</v>
      </c>
      <c r="AA318" s="22" t="str">
        <f t="shared" si="250"/>
        <v>짝수</v>
      </c>
      <c r="AB318" s="22" t="str">
        <f t="shared" si="251"/>
        <v>홀수</v>
      </c>
      <c r="AC318" s="52" t="str">
        <f t="shared" si="252"/>
        <v>4 : 2</v>
      </c>
      <c r="AD318" s="22">
        <f t="shared" si="253"/>
        <v>4</v>
      </c>
      <c r="AE318" s="22">
        <f t="shared" si="254"/>
        <v>2</v>
      </c>
      <c r="AF318" s="22" t="str">
        <f t="shared" si="219"/>
        <v>저수</v>
      </c>
      <c r="AG318" s="22" t="str">
        <f t="shared" si="220"/>
        <v>저수</v>
      </c>
      <c r="AH318" s="22" t="str">
        <f t="shared" si="221"/>
        <v>저수</v>
      </c>
      <c r="AI318" s="22" t="str">
        <f t="shared" si="222"/>
        <v>고수</v>
      </c>
      <c r="AJ318" s="22" t="str">
        <f t="shared" si="223"/>
        <v>고수</v>
      </c>
      <c r="AK318" s="22" t="str">
        <f t="shared" si="224"/>
        <v>고수</v>
      </c>
      <c r="AL318" s="52" t="str">
        <f t="shared" si="225"/>
        <v>3 : 3</v>
      </c>
      <c r="AM318" s="22">
        <f t="shared" si="226"/>
        <v>3</v>
      </c>
      <c r="AN318" s="22">
        <f t="shared" si="227"/>
        <v>3</v>
      </c>
      <c r="AO318" s="22">
        <f t="shared" si="228"/>
        <v>34</v>
      </c>
      <c r="AP318" s="22" t="str">
        <f t="shared" si="229"/>
        <v>X</v>
      </c>
      <c r="AQ318" s="22" t="str">
        <f t="shared" si="230"/>
        <v>O</v>
      </c>
      <c r="AR318" s="22" t="str">
        <f t="shared" si="231"/>
        <v>O</v>
      </c>
      <c r="AS318" s="22" t="str">
        <f t="shared" si="232"/>
        <v>X</v>
      </c>
      <c r="AT318" s="22" t="str">
        <f t="shared" si="233"/>
        <v>X</v>
      </c>
      <c r="AU318" s="22" t="str">
        <f t="shared" si="234"/>
        <v>X</v>
      </c>
      <c r="AV318" s="22" t="str">
        <f t="shared" si="235"/>
        <v>X</v>
      </c>
      <c r="AW318" s="22" t="str">
        <f t="shared" si="236"/>
        <v>X</v>
      </c>
      <c r="AX318" s="22" t="str">
        <f t="shared" si="237"/>
        <v>X</v>
      </c>
      <c r="AY318" s="22" t="str">
        <f t="shared" si="238"/>
        <v>X</v>
      </c>
      <c r="AZ318" s="22" t="str">
        <f t="shared" si="239"/>
        <v>X</v>
      </c>
      <c r="BA318" s="22" t="str">
        <f t="shared" si="240"/>
        <v>O</v>
      </c>
      <c r="BB318" s="22">
        <f t="shared" si="241"/>
        <v>3</v>
      </c>
      <c r="BC318" s="22" t="str">
        <f t="shared" si="212"/>
        <v>1G</v>
      </c>
      <c r="BD318" s="22" t="str">
        <f t="shared" si="213"/>
        <v>2G</v>
      </c>
      <c r="BE318" s="22" t="str">
        <f t="shared" si="214"/>
        <v>2G</v>
      </c>
      <c r="BF318" s="22" t="str">
        <f t="shared" si="215"/>
        <v>3G</v>
      </c>
      <c r="BG318" s="22" t="str">
        <f t="shared" si="216"/>
        <v>3G</v>
      </c>
      <c r="BH318" s="22" t="str">
        <f t="shared" si="217"/>
        <v>3G</v>
      </c>
      <c r="BI318" s="22">
        <f t="shared" si="242"/>
        <v>1</v>
      </c>
      <c r="BJ318" s="22">
        <f t="shared" si="243"/>
        <v>2</v>
      </c>
      <c r="BK318" s="22">
        <f t="shared" si="244"/>
        <v>3</v>
      </c>
      <c r="BL318" s="22" t="str">
        <f t="shared" si="245"/>
        <v>123</v>
      </c>
      <c r="BS318"/>
      <c r="CL318" s="23">
        <v>150</v>
      </c>
      <c r="CM318" s="23">
        <v>150</v>
      </c>
      <c r="CO318"/>
    </row>
    <row r="319" spans="2:93" ht="17" hidden="1">
      <c r="B319" s="15">
        <v>315</v>
      </c>
      <c r="C319" s="23" t="s">
        <v>345</v>
      </c>
      <c r="D319" s="16">
        <v>8</v>
      </c>
      <c r="E319" s="17">
        <v>1308728625</v>
      </c>
      <c r="F319" s="16">
        <v>32</v>
      </c>
      <c r="G319" s="17">
        <v>54530360</v>
      </c>
      <c r="H319" s="17">
        <v>1063</v>
      </c>
      <c r="I319" s="17">
        <v>1641554</v>
      </c>
      <c r="J319" s="17">
        <v>56207</v>
      </c>
      <c r="K319" s="17">
        <v>62091</v>
      </c>
      <c r="L319" s="17">
        <v>943975</v>
      </c>
      <c r="M319" s="17">
        <v>5000</v>
      </c>
      <c r="N319" s="23">
        <v>1</v>
      </c>
      <c r="O319" s="23">
        <v>13</v>
      </c>
      <c r="P319" s="23">
        <v>33</v>
      </c>
      <c r="Q319" s="23">
        <v>35</v>
      </c>
      <c r="R319" s="23">
        <v>43</v>
      </c>
      <c r="S319" s="23">
        <v>45</v>
      </c>
      <c r="T319" s="23">
        <v>23</v>
      </c>
      <c r="U319" s="23">
        <f t="shared" si="218"/>
        <v>170</v>
      </c>
      <c r="W319" s="22" t="str">
        <f t="shared" si="246"/>
        <v>홀수</v>
      </c>
      <c r="X319" s="22" t="str">
        <f t="shared" si="247"/>
        <v>홀수</v>
      </c>
      <c r="Y319" s="22" t="str">
        <f t="shared" si="248"/>
        <v>홀수</v>
      </c>
      <c r="Z319" s="22" t="str">
        <f t="shared" si="249"/>
        <v>홀수</v>
      </c>
      <c r="AA319" s="22" t="str">
        <f t="shared" si="250"/>
        <v>홀수</v>
      </c>
      <c r="AB319" s="22" t="str">
        <f t="shared" si="251"/>
        <v>홀수</v>
      </c>
      <c r="AC319" s="52" t="str">
        <f t="shared" si="252"/>
        <v>6 : 0</v>
      </c>
      <c r="AD319" s="22">
        <f t="shared" si="253"/>
        <v>6</v>
      </c>
      <c r="AE319" s="22">
        <f t="shared" si="254"/>
        <v>0</v>
      </c>
      <c r="AF319" s="22" t="str">
        <f t="shared" si="219"/>
        <v>저수</v>
      </c>
      <c r="AG319" s="22" t="str">
        <f t="shared" si="220"/>
        <v>저수</v>
      </c>
      <c r="AH319" s="22" t="str">
        <f t="shared" si="221"/>
        <v>고수</v>
      </c>
      <c r="AI319" s="22" t="str">
        <f t="shared" si="222"/>
        <v>고수</v>
      </c>
      <c r="AJ319" s="22" t="str">
        <f t="shared" si="223"/>
        <v>고수</v>
      </c>
      <c r="AK319" s="22" t="str">
        <f t="shared" si="224"/>
        <v>고수</v>
      </c>
      <c r="AL319" s="52" t="str">
        <f t="shared" si="225"/>
        <v>2 : 4</v>
      </c>
      <c r="AM319" s="22">
        <f t="shared" si="226"/>
        <v>2</v>
      </c>
      <c r="AN319" s="22">
        <f t="shared" si="227"/>
        <v>4</v>
      </c>
      <c r="AO319" s="22">
        <f t="shared" si="228"/>
        <v>20</v>
      </c>
      <c r="AP319" s="22" t="str">
        <f t="shared" si="229"/>
        <v>X</v>
      </c>
      <c r="AQ319" s="22" t="str">
        <f t="shared" si="230"/>
        <v>O</v>
      </c>
      <c r="AR319" s="22" t="str">
        <f t="shared" si="231"/>
        <v>X</v>
      </c>
      <c r="AS319" s="22" t="str">
        <f t="shared" si="232"/>
        <v>X</v>
      </c>
      <c r="AT319" s="22" t="str">
        <f t="shared" si="233"/>
        <v>X</v>
      </c>
      <c r="AU319" s="22" t="str">
        <f t="shared" si="234"/>
        <v>X</v>
      </c>
      <c r="AV319" s="22" t="str">
        <f t="shared" si="235"/>
        <v>X</v>
      </c>
      <c r="AW319" s="22" t="str">
        <f t="shared" si="236"/>
        <v>X</v>
      </c>
      <c r="AX319" s="22" t="str">
        <f t="shared" si="237"/>
        <v>X</v>
      </c>
      <c r="AY319" s="22" t="str">
        <f t="shared" si="238"/>
        <v>X</v>
      </c>
      <c r="AZ319" s="22" t="str">
        <f t="shared" si="239"/>
        <v>O</v>
      </c>
      <c r="BA319" s="22" t="str">
        <f t="shared" si="240"/>
        <v>X</v>
      </c>
      <c r="BB319" s="22">
        <f t="shared" si="241"/>
        <v>2</v>
      </c>
      <c r="BC319" s="22" t="str">
        <f t="shared" si="212"/>
        <v>1G</v>
      </c>
      <c r="BD319" s="22" t="str">
        <f t="shared" si="213"/>
        <v>1G</v>
      </c>
      <c r="BE319" s="22" t="str">
        <f t="shared" si="214"/>
        <v>3G</v>
      </c>
      <c r="BF319" s="22" t="str">
        <f t="shared" si="215"/>
        <v>3G</v>
      </c>
      <c r="BG319" s="22" t="str">
        <f t="shared" si="216"/>
        <v>3G</v>
      </c>
      <c r="BH319" s="22" t="str">
        <f t="shared" si="217"/>
        <v>3G</v>
      </c>
      <c r="BI319" s="22">
        <f t="shared" si="242"/>
        <v>2</v>
      </c>
      <c r="BJ319" s="22">
        <f t="shared" si="243"/>
        <v>0</v>
      </c>
      <c r="BK319" s="22">
        <f t="shared" si="244"/>
        <v>4</v>
      </c>
      <c r="BL319" s="22" t="str">
        <f t="shared" si="245"/>
        <v>204</v>
      </c>
      <c r="BS319"/>
      <c r="CL319" s="23">
        <v>150</v>
      </c>
      <c r="CM319" s="23">
        <v>150</v>
      </c>
      <c r="CO319"/>
    </row>
    <row r="320" spans="2:93" ht="17" hidden="1">
      <c r="B320" s="15">
        <v>316</v>
      </c>
      <c r="C320" s="23" t="s">
        <v>346</v>
      </c>
      <c r="D320" s="16">
        <v>6</v>
      </c>
      <c r="E320" s="17">
        <v>1673586400</v>
      </c>
      <c r="F320" s="16">
        <v>29</v>
      </c>
      <c r="G320" s="17">
        <v>57709876</v>
      </c>
      <c r="H320" s="17">
        <v>1398</v>
      </c>
      <c r="I320" s="17">
        <v>1197130</v>
      </c>
      <c r="J320" s="17">
        <v>68356</v>
      </c>
      <c r="K320" s="17">
        <v>48967</v>
      </c>
      <c r="L320" s="17">
        <v>1060204</v>
      </c>
      <c r="M320" s="17">
        <v>5000</v>
      </c>
      <c r="N320" s="23">
        <v>10</v>
      </c>
      <c r="O320" s="23">
        <v>11</v>
      </c>
      <c r="P320" s="23">
        <v>21</v>
      </c>
      <c r="Q320" s="23">
        <v>27</v>
      </c>
      <c r="R320" s="23">
        <v>31</v>
      </c>
      <c r="S320" s="23">
        <v>39</v>
      </c>
      <c r="T320" s="23">
        <v>43</v>
      </c>
      <c r="U320" s="23">
        <f t="shared" si="218"/>
        <v>139</v>
      </c>
      <c r="W320" s="22" t="str">
        <f t="shared" si="246"/>
        <v>짝수</v>
      </c>
      <c r="X320" s="22" t="str">
        <f t="shared" si="247"/>
        <v>홀수</v>
      </c>
      <c r="Y320" s="22" t="str">
        <f t="shared" si="248"/>
        <v>홀수</v>
      </c>
      <c r="Z320" s="22" t="str">
        <f t="shared" si="249"/>
        <v>홀수</v>
      </c>
      <c r="AA320" s="22" t="str">
        <f t="shared" si="250"/>
        <v>홀수</v>
      </c>
      <c r="AB320" s="22" t="str">
        <f t="shared" si="251"/>
        <v>홀수</v>
      </c>
      <c r="AC320" s="52" t="str">
        <f t="shared" si="252"/>
        <v>5 : 1</v>
      </c>
      <c r="AD320" s="22">
        <f t="shared" si="253"/>
        <v>5</v>
      </c>
      <c r="AE320" s="22">
        <f t="shared" si="254"/>
        <v>1</v>
      </c>
      <c r="AF320" s="22" t="str">
        <f t="shared" si="219"/>
        <v>저수</v>
      </c>
      <c r="AG320" s="22" t="str">
        <f t="shared" si="220"/>
        <v>저수</v>
      </c>
      <c r="AH320" s="22" t="str">
        <f t="shared" si="221"/>
        <v>저수</v>
      </c>
      <c r="AI320" s="22" t="str">
        <f t="shared" si="222"/>
        <v>고수</v>
      </c>
      <c r="AJ320" s="22" t="str">
        <f t="shared" si="223"/>
        <v>고수</v>
      </c>
      <c r="AK320" s="22" t="str">
        <f t="shared" si="224"/>
        <v>고수</v>
      </c>
      <c r="AL320" s="52" t="str">
        <f t="shared" si="225"/>
        <v>3 : 3</v>
      </c>
      <c r="AM320" s="22">
        <f t="shared" si="226"/>
        <v>3</v>
      </c>
      <c r="AN320" s="22">
        <f t="shared" si="227"/>
        <v>3</v>
      </c>
      <c r="AO320" s="22">
        <f t="shared" si="228"/>
        <v>19</v>
      </c>
      <c r="AP320" s="22" t="str">
        <f t="shared" si="229"/>
        <v>X</v>
      </c>
      <c r="AQ320" s="22" t="str">
        <f t="shared" si="230"/>
        <v>O</v>
      </c>
      <c r="AR320" s="22" t="str">
        <f t="shared" si="231"/>
        <v>X</v>
      </c>
      <c r="AS320" s="22" t="str">
        <f t="shared" si="232"/>
        <v>X</v>
      </c>
      <c r="AT320" s="22" t="str">
        <f t="shared" si="233"/>
        <v>X</v>
      </c>
      <c r="AU320" s="22" t="str">
        <f t="shared" si="234"/>
        <v>X</v>
      </c>
      <c r="AV320" s="22" t="str">
        <f t="shared" si="235"/>
        <v>X</v>
      </c>
      <c r="AW320" s="22" t="str">
        <f t="shared" si="236"/>
        <v>X</v>
      </c>
      <c r="AX320" s="22" t="str">
        <f t="shared" si="237"/>
        <v>X</v>
      </c>
      <c r="AY320" s="22" t="str">
        <f t="shared" si="238"/>
        <v>X</v>
      </c>
      <c r="AZ320" s="22" t="str">
        <f t="shared" si="239"/>
        <v>O</v>
      </c>
      <c r="BA320" s="22" t="str">
        <f t="shared" si="240"/>
        <v>X</v>
      </c>
      <c r="BB320" s="22">
        <f t="shared" si="241"/>
        <v>2</v>
      </c>
      <c r="BC320" s="22" t="str">
        <f t="shared" si="212"/>
        <v>1G</v>
      </c>
      <c r="BD320" s="22" t="str">
        <f t="shared" si="213"/>
        <v>1G</v>
      </c>
      <c r="BE320" s="22" t="str">
        <f t="shared" si="214"/>
        <v>2G</v>
      </c>
      <c r="BF320" s="22" t="str">
        <f t="shared" si="215"/>
        <v>2G</v>
      </c>
      <c r="BG320" s="22" t="str">
        <f t="shared" si="216"/>
        <v>3G</v>
      </c>
      <c r="BH320" s="22" t="str">
        <f t="shared" si="217"/>
        <v>3G</v>
      </c>
      <c r="BI320" s="22">
        <f t="shared" si="242"/>
        <v>2</v>
      </c>
      <c r="BJ320" s="22">
        <f t="shared" si="243"/>
        <v>2</v>
      </c>
      <c r="BK320" s="22">
        <f t="shared" si="244"/>
        <v>2</v>
      </c>
      <c r="BL320" s="22" t="str">
        <f t="shared" si="245"/>
        <v>222</v>
      </c>
      <c r="BS320"/>
      <c r="CL320" s="23">
        <v>150</v>
      </c>
      <c r="CM320" s="23">
        <v>150</v>
      </c>
      <c r="CO320"/>
    </row>
    <row r="321" spans="1:93" ht="17" hidden="1">
      <c r="B321" s="15">
        <v>317</v>
      </c>
      <c r="C321" s="23" t="s">
        <v>347</v>
      </c>
      <c r="D321" s="16">
        <v>4</v>
      </c>
      <c r="E321" s="17">
        <v>2576258550</v>
      </c>
      <c r="F321" s="16">
        <v>25</v>
      </c>
      <c r="G321" s="17">
        <v>68700228</v>
      </c>
      <c r="H321" s="17">
        <v>1132</v>
      </c>
      <c r="I321" s="17">
        <v>1517232</v>
      </c>
      <c r="J321" s="17">
        <v>57565</v>
      </c>
      <c r="K321" s="17">
        <v>59672</v>
      </c>
      <c r="L321" s="17">
        <v>978500</v>
      </c>
      <c r="M321" s="17">
        <v>5000</v>
      </c>
      <c r="N321" s="23">
        <v>3</v>
      </c>
      <c r="O321" s="23">
        <v>10</v>
      </c>
      <c r="P321" s="23">
        <v>11</v>
      </c>
      <c r="Q321" s="23">
        <v>22</v>
      </c>
      <c r="R321" s="23">
        <v>36</v>
      </c>
      <c r="S321" s="23">
        <v>39</v>
      </c>
      <c r="T321" s="23">
        <v>8</v>
      </c>
      <c r="U321" s="23">
        <f t="shared" si="218"/>
        <v>121</v>
      </c>
      <c r="W321" s="22" t="str">
        <f t="shared" si="246"/>
        <v>홀수</v>
      </c>
      <c r="X321" s="22" t="str">
        <f t="shared" si="247"/>
        <v>짝수</v>
      </c>
      <c r="Y321" s="22" t="str">
        <f t="shared" si="248"/>
        <v>홀수</v>
      </c>
      <c r="Z321" s="22" t="str">
        <f t="shared" si="249"/>
        <v>짝수</v>
      </c>
      <c r="AA321" s="22" t="str">
        <f t="shared" si="250"/>
        <v>짝수</v>
      </c>
      <c r="AB321" s="22" t="str">
        <f t="shared" si="251"/>
        <v>홀수</v>
      </c>
      <c r="AC321" s="52" t="str">
        <f t="shared" si="252"/>
        <v>3 : 3</v>
      </c>
      <c r="AD321" s="22">
        <f t="shared" si="253"/>
        <v>3</v>
      </c>
      <c r="AE321" s="22">
        <f t="shared" si="254"/>
        <v>3</v>
      </c>
      <c r="AF321" s="22" t="str">
        <f t="shared" si="219"/>
        <v>저수</v>
      </c>
      <c r="AG321" s="22" t="str">
        <f t="shared" si="220"/>
        <v>저수</v>
      </c>
      <c r="AH321" s="22" t="str">
        <f t="shared" si="221"/>
        <v>저수</v>
      </c>
      <c r="AI321" s="22" t="str">
        <f t="shared" si="222"/>
        <v>저수</v>
      </c>
      <c r="AJ321" s="22" t="str">
        <f t="shared" si="223"/>
        <v>고수</v>
      </c>
      <c r="AK321" s="22" t="str">
        <f t="shared" si="224"/>
        <v>고수</v>
      </c>
      <c r="AL321" s="52" t="str">
        <f t="shared" si="225"/>
        <v>4 : 2</v>
      </c>
      <c r="AM321" s="22">
        <f t="shared" si="226"/>
        <v>4</v>
      </c>
      <c r="AN321" s="22">
        <f t="shared" si="227"/>
        <v>2</v>
      </c>
      <c r="AO321" s="22">
        <f t="shared" si="228"/>
        <v>21</v>
      </c>
      <c r="AP321" s="22" t="str">
        <f t="shared" si="229"/>
        <v>O</v>
      </c>
      <c r="AQ321" s="22" t="str">
        <f t="shared" si="230"/>
        <v>X</v>
      </c>
      <c r="AR321" s="22" t="str">
        <f t="shared" si="231"/>
        <v>O</v>
      </c>
      <c r="AS321" s="22" t="str">
        <f t="shared" si="232"/>
        <v>X</v>
      </c>
      <c r="AT321" s="22" t="str">
        <f t="shared" si="233"/>
        <v>X</v>
      </c>
      <c r="AU321" s="22" t="str">
        <f t="shared" si="234"/>
        <v>X</v>
      </c>
      <c r="AV321" s="22" t="str">
        <f t="shared" si="235"/>
        <v>X</v>
      </c>
      <c r="AW321" s="22" t="str">
        <f t="shared" si="236"/>
        <v>X</v>
      </c>
      <c r="AX321" s="22" t="str">
        <f t="shared" si="237"/>
        <v>X</v>
      </c>
      <c r="AY321" s="22" t="str">
        <f t="shared" si="238"/>
        <v>X</v>
      </c>
      <c r="AZ321" s="22" t="str">
        <f t="shared" si="239"/>
        <v>X</v>
      </c>
      <c r="BA321" s="22" t="str">
        <f t="shared" si="240"/>
        <v>X</v>
      </c>
      <c r="BB321" s="22">
        <f t="shared" si="241"/>
        <v>2</v>
      </c>
      <c r="BC321" s="22" t="str">
        <f t="shared" si="212"/>
        <v>1G</v>
      </c>
      <c r="BD321" s="22" t="str">
        <f t="shared" si="213"/>
        <v>1G</v>
      </c>
      <c r="BE321" s="22" t="str">
        <f t="shared" si="214"/>
        <v>1G</v>
      </c>
      <c r="BF321" s="22" t="str">
        <f t="shared" si="215"/>
        <v>2G</v>
      </c>
      <c r="BG321" s="22" t="str">
        <f t="shared" si="216"/>
        <v>3G</v>
      </c>
      <c r="BH321" s="22" t="str">
        <f t="shared" si="217"/>
        <v>3G</v>
      </c>
      <c r="BI321" s="22">
        <f t="shared" si="242"/>
        <v>3</v>
      </c>
      <c r="BJ321" s="22">
        <f t="shared" si="243"/>
        <v>1</v>
      </c>
      <c r="BK321" s="22">
        <f t="shared" si="244"/>
        <v>2</v>
      </c>
      <c r="BL321" s="22" t="str">
        <f t="shared" si="245"/>
        <v>312</v>
      </c>
      <c r="BS321"/>
      <c r="CL321" s="23">
        <v>150</v>
      </c>
      <c r="CM321" s="23">
        <v>150</v>
      </c>
      <c r="CO321"/>
    </row>
    <row r="322" spans="1:93" ht="17" hidden="1">
      <c r="A322" s="16">
        <v>2009</v>
      </c>
      <c r="B322" s="15">
        <v>318</v>
      </c>
      <c r="C322" s="23" t="s">
        <v>348</v>
      </c>
      <c r="D322" s="16">
        <v>9</v>
      </c>
      <c r="E322" s="17">
        <v>1207436600</v>
      </c>
      <c r="F322" s="16">
        <v>28</v>
      </c>
      <c r="G322" s="17">
        <v>64684104</v>
      </c>
      <c r="H322" s="17">
        <v>1381</v>
      </c>
      <c r="I322" s="17">
        <v>1311481</v>
      </c>
      <c r="J322" s="17">
        <v>64077</v>
      </c>
      <c r="K322" s="17">
        <v>56531</v>
      </c>
      <c r="L322" s="17">
        <v>1044063</v>
      </c>
      <c r="M322" s="17">
        <v>5000</v>
      </c>
      <c r="N322" s="23">
        <v>2</v>
      </c>
      <c r="O322" s="23">
        <v>17</v>
      </c>
      <c r="P322" s="23">
        <v>19</v>
      </c>
      <c r="Q322" s="23">
        <v>20</v>
      </c>
      <c r="R322" s="23">
        <v>34</v>
      </c>
      <c r="S322" s="23">
        <v>45</v>
      </c>
      <c r="T322" s="23">
        <v>21</v>
      </c>
      <c r="U322" s="23">
        <f t="shared" si="218"/>
        <v>137</v>
      </c>
      <c r="W322" s="22" t="str">
        <f t="shared" si="246"/>
        <v>짝수</v>
      </c>
      <c r="X322" s="22" t="str">
        <f t="shared" si="247"/>
        <v>홀수</v>
      </c>
      <c r="Y322" s="22" t="str">
        <f t="shared" si="248"/>
        <v>홀수</v>
      </c>
      <c r="Z322" s="22" t="str">
        <f t="shared" si="249"/>
        <v>짝수</v>
      </c>
      <c r="AA322" s="22" t="str">
        <f t="shared" si="250"/>
        <v>짝수</v>
      </c>
      <c r="AB322" s="22" t="str">
        <f t="shared" si="251"/>
        <v>홀수</v>
      </c>
      <c r="AC322" s="52" t="str">
        <f t="shared" si="252"/>
        <v>3 : 3</v>
      </c>
      <c r="AD322" s="22">
        <f t="shared" si="253"/>
        <v>3</v>
      </c>
      <c r="AE322" s="22">
        <f t="shared" si="254"/>
        <v>3</v>
      </c>
      <c r="AF322" s="22" t="str">
        <f t="shared" si="219"/>
        <v>저수</v>
      </c>
      <c r="AG322" s="22" t="str">
        <f t="shared" si="220"/>
        <v>저수</v>
      </c>
      <c r="AH322" s="22" t="str">
        <f t="shared" si="221"/>
        <v>저수</v>
      </c>
      <c r="AI322" s="22" t="str">
        <f t="shared" si="222"/>
        <v>저수</v>
      </c>
      <c r="AJ322" s="22" t="str">
        <f t="shared" si="223"/>
        <v>고수</v>
      </c>
      <c r="AK322" s="22" t="str">
        <f t="shared" si="224"/>
        <v>고수</v>
      </c>
      <c r="AL322" s="52" t="str">
        <f t="shared" si="225"/>
        <v>4 : 2</v>
      </c>
      <c r="AM322" s="22">
        <f t="shared" si="226"/>
        <v>4</v>
      </c>
      <c r="AN322" s="22">
        <f t="shared" si="227"/>
        <v>2</v>
      </c>
      <c r="AO322" s="22">
        <f t="shared" si="228"/>
        <v>27</v>
      </c>
      <c r="AP322" s="22" t="str">
        <f t="shared" si="229"/>
        <v>O</v>
      </c>
      <c r="AQ322" s="22" t="str">
        <f t="shared" si="230"/>
        <v>O</v>
      </c>
      <c r="AR322" s="22" t="str">
        <f t="shared" si="231"/>
        <v>O</v>
      </c>
      <c r="AS322" s="22" t="str">
        <f t="shared" si="232"/>
        <v>X</v>
      </c>
      <c r="AT322" s="22" t="str">
        <f t="shared" si="233"/>
        <v>X</v>
      </c>
      <c r="AU322" s="22" t="str">
        <f t="shared" si="234"/>
        <v>X</v>
      </c>
      <c r="AV322" s="22" t="str">
        <f t="shared" si="235"/>
        <v>X</v>
      </c>
      <c r="AW322" s="22" t="str">
        <f t="shared" si="236"/>
        <v>X</v>
      </c>
      <c r="AX322" s="22" t="str">
        <f t="shared" si="237"/>
        <v>X</v>
      </c>
      <c r="AY322" s="22" t="str">
        <f t="shared" si="238"/>
        <v>X</v>
      </c>
      <c r="AZ322" s="22" t="str">
        <f t="shared" si="239"/>
        <v>X</v>
      </c>
      <c r="BA322" s="22" t="str">
        <f t="shared" si="240"/>
        <v>X</v>
      </c>
      <c r="BB322" s="22">
        <f t="shared" si="241"/>
        <v>3</v>
      </c>
      <c r="BC322" s="22" t="str">
        <f t="shared" si="212"/>
        <v>1G</v>
      </c>
      <c r="BD322" s="22" t="str">
        <f t="shared" si="213"/>
        <v>2G</v>
      </c>
      <c r="BE322" s="22" t="str">
        <f t="shared" si="214"/>
        <v>2G</v>
      </c>
      <c r="BF322" s="22" t="str">
        <f t="shared" si="215"/>
        <v>2G</v>
      </c>
      <c r="BG322" s="22" t="str">
        <f t="shared" si="216"/>
        <v>3G</v>
      </c>
      <c r="BH322" s="22" t="str">
        <f t="shared" si="217"/>
        <v>3G</v>
      </c>
      <c r="BI322" s="22">
        <f t="shared" si="242"/>
        <v>1</v>
      </c>
      <c r="BJ322" s="22">
        <f t="shared" si="243"/>
        <v>3</v>
      </c>
      <c r="BK322" s="22">
        <f t="shared" si="244"/>
        <v>2</v>
      </c>
      <c r="BL322" s="22" t="str">
        <f t="shared" si="245"/>
        <v>132</v>
      </c>
      <c r="BS322"/>
      <c r="CL322" s="23">
        <v>150</v>
      </c>
      <c r="CM322" s="23">
        <v>150</v>
      </c>
      <c r="CO322"/>
    </row>
    <row r="323" spans="1:93" ht="17" hidden="1">
      <c r="B323" s="15">
        <v>319</v>
      </c>
      <c r="C323" s="23" t="s">
        <v>349</v>
      </c>
      <c r="D323" s="16">
        <v>5</v>
      </c>
      <c r="E323" s="17">
        <v>2135659380</v>
      </c>
      <c r="F323" s="16">
        <v>26</v>
      </c>
      <c r="G323" s="17">
        <v>68450622</v>
      </c>
      <c r="H323" s="17">
        <v>1151</v>
      </c>
      <c r="I323" s="17">
        <v>1546235</v>
      </c>
      <c r="J323" s="17">
        <v>59490</v>
      </c>
      <c r="K323" s="17">
        <v>59833</v>
      </c>
      <c r="L323" s="17">
        <v>984086</v>
      </c>
      <c r="M323" s="17">
        <v>5000</v>
      </c>
      <c r="N323" s="23">
        <v>5</v>
      </c>
      <c r="O323" s="23">
        <v>8</v>
      </c>
      <c r="P323" s="23">
        <v>22</v>
      </c>
      <c r="Q323" s="23">
        <v>28</v>
      </c>
      <c r="R323" s="23">
        <v>33</v>
      </c>
      <c r="S323" s="23">
        <v>42</v>
      </c>
      <c r="T323" s="23">
        <v>37</v>
      </c>
      <c r="U323" s="23">
        <f t="shared" si="218"/>
        <v>138</v>
      </c>
      <c r="W323" s="22" t="str">
        <f t="shared" si="246"/>
        <v>홀수</v>
      </c>
      <c r="X323" s="22" t="str">
        <f t="shared" si="247"/>
        <v>짝수</v>
      </c>
      <c r="Y323" s="22" t="str">
        <f t="shared" si="248"/>
        <v>짝수</v>
      </c>
      <c r="Z323" s="22" t="str">
        <f t="shared" si="249"/>
        <v>짝수</v>
      </c>
      <c r="AA323" s="22" t="str">
        <f t="shared" si="250"/>
        <v>홀수</v>
      </c>
      <c r="AB323" s="22" t="str">
        <f t="shared" si="251"/>
        <v>짝수</v>
      </c>
      <c r="AC323" s="52" t="str">
        <f t="shared" si="252"/>
        <v>2 : 4</v>
      </c>
      <c r="AD323" s="22">
        <f t="shared" si="253"/>
        <v>2</v>
      </c>
      <c r="AE323" s="22">
        <f t="shared" si="254"/>
        <v>4</v>
      </c>
      <c r="AF323" s="22" t="str">
        <f t="shared" si="219"/>
        <v>저수</v>
      </c>
      <c r="AG323" s="22" t="str">
        <f t="shared" si="220"/>
        <v>저수</v>
      </c>
      <c r="AH323" s="22" t="str">
        <f t="shared" si="221"/>
        <v>저수</v>
      </c>
      <c r="AI323" s="22" t="str">
        <f t="shared" si="222"/>
        <v>고수</v>
      </c>
      <c r="AJ323" s="22" t="str">
        <f t="shared" si="223"/>
        <v>고수</v>
      </c>
      <c r="AK323" s="22" t="str">
        <f t="shared" si="224"/>
        <v>고수</v>
      </c>
      <c r="AL323" s="52" t="str">
        <f t="shared" si="225"/>
        <v>3 : 3</v>
      </c>
      <c r="AM323" s="22">
        <f t="shared" si="226"/>
        <v>3</v>
      </c>
      <c r="AN323" s="22">
        <f t="shared" si="227"/>
        <v>3</v>
      </c>
      <c r="AO323" s="22">
        <f t="shared" si="228"/>
        <v>28</v>
      </c>
      <c r="AP323" s="22" t="str">
        <f t="shared" si="229"/>
        <v>O</v>
      </c>
      <c r="AQ323" s="22" t="str">
        <f t="shared" si="230"/>
        <v>X</v>
      </c>
      <c r="AR323" s="22" t="str">
        <f t="shared" si="231"/>
        <v>X</v>
      </c>
      <c r="AS323" s="22" t="str">
        <f t="shared" si="232"/>
        <v>X</v>
      </c>
      <c r="AT323" s="22" t="str">
        <f t="shared" si="233"/>
        <v>X</v>
      </c>
      <c r="AU323" s="22" t="str">
        <f t="shared" si="234"/>
        <v>X</v>
      </c>
      <c r="AV323" s="22" t="str">
        <f t="shared" si="235"/>
        <v>X</v>
      </c>
      <c r="AW323" s="22" t="str">
        <f t="shared" si="236"/>
        <v>X</v>
      </c>
      <c r="AX323" s="22" t="str">
        <f t="shared" si="237"/>
        <v>X</v>
      </c>
      <c r="AY323" s="22" t="str">
        <f t="shared" si="238"/>
        <v>X</v>
      </c>
      <c r="AZ323" s="22" t="str">
        <f t="shared" si="239"/>
        <v>X</v>
      </c>
      <c r="BA323" s="22" t="str">
        <f t="shared" si="240"/>
        <v>X</v>
      </c>
      <c r="BB323" s="22">
        <f t="shared" si="241"/>
        <v>1</v>
      </c>
      <c r="BC323" s="22" t="str">
        <f t="shared" si="212"/>
        <v>1G</v>
      </c>
      <c r="BD323" s="22" t="str">
        <f t="shared" si="213"/>
        <v>1G</v>
      </c>
      <c r="BE323" s="22" t="str">
        <f t="shared" si="214"/>
        <v>2G</v>
      </c>
      <c r="BF323" s="22" t="str">
        <f t="shared" si="215"/>
        <v>2G</v>
      </c>
      <c r="BG323" s="22" t="str">
        <f t="shared" si="216"/>
        <v>3G</v>
      </c>
      <c r="BH323" s="22" t="str">
        <f t="shared" si="217"/>
        <v>3G</v>
      </c>
      <c r="BI323" s="22">
        <f t="shared" si="242"/>
        <v>2</v>
      </c>
      <c r="BJ323" s="22">
        <f t="shared" si="243"/>
        <v>2</v>
      </c>
      <c r="BK323" s="22">
        <f t="shared" si="244"/>
        <v>2</v>
      </c>
      <c r="BL323" s="22" t="str">
        <f t="shared" si="245"/>
        <v>222</v>
      </c>
      <c r="BS323"/>
      <c r="CL323" s="23">
        <v>151</v>
      </c>
      <c r="CM323" s="23">
        <v>150</v>
      </c>
      <c r="CO323"/>
    </row>
    <row r="324" spans="1:93" ht="17" hidden="1">
      <c r="B324" s="15">
        <v>320</v>
      </c>
      <c r="C324" s="23" t="s">
        <v>350</v>
      </c>
      <c r="D324" s="16">
        <v>2</v>
      </c>
      <c r="E324" s="17">
        <v>5513067900</v>
      </c>
      <c r="F324" s="16">
        <v>25</v>
      </c>
      <c r="G324" s="17">
        <v>73507572</v>
      </c>
      <c r="H324" s="17">
        <v>1081</v>
      </c>
      <c r="I324" s="17">
        <v>1699991</v>
      </c>
      <c r="J324" s="17">
        <v>57061</v>
      </c>
      <c r="K324" s="17">
        <v>64412</v>
      </c>
      <c r="L324" s="17">
        <v>990610</v>
      </c>
      <c r="M324" s="17">
        <v>5000</v>
      </c>
      <c r="N324" s="23">
        <v>16</v>
      </c>
      <c r="O324" s="23">
        <v>19</v>
      </c>
      <c r="P324" s="23">
        <v>23</v>
      </c>
      <c r="Q324" s="23">
        <v>25</v>
      </c>
      <c r="R324" s="23">
        <v>41</v>
      </c>
      <c r="S324" s="23">
        <v>45</v>
      </c>
      <c r="T324" s="23">
        <v>3</v>
      </c>
      <c r="U324" s="23">
        <f t="shared" si="218"/>
        <v>169</v>
      </c>
      <c r="W324" s="22" t="str">
        <f t="shared" si="246"/>
        <v>짝수</v>
      </c>
      <c r="X324" s="22" t="str">
        <f t="shared" si="247"/>
        <v>홀수</v>
      </c>
      <c r="Y324" s="22" t="str">
        <f t="shared" si="248"/>
        <v>홀수</v>
      </c>
      <c r="Z324" s="22" t="str">
        <f t="shared" si="249"/>
        <v>홀수</v>
      </c>
      <c r="AA324" s="22" t="str">
        <f t="shared" si="250"/>
        <v>홀수</v>
      </c>
      <c r="AB324" s="22" t="str">
        <f t="shared" si="251"/>
        <v>홀수</v>
      </c>
      <c r="AC324" s="52" t="str">
        <f t="shared" si="252"/>
        <v>5 : 1</v>
      </c>
      <c r="AD324" s="22">
        <f t="shared" si="253"/>
        <v>5</v>
      </c>
      <c r="AE324" s="22">
        <f t="shared" si="254"/>
        <v>1</v>
      </c>
      <c r="AF324" s="22" t="str">
        <f t="shared" si="219"/>
        <v>저수</v>
      </c>
      <c r="AG324" s="22" t="str">
        <f t="shared" si="220"/>
        <v>저수</v>
      </c>
      <c r="AH324" s="22" t="str">
        <f t="shared" si="221"/>
        <v>고수</v>
      </c>
      <c r="AI324" s="22" t="str">
        <f t="shared" si="222"/>
        <v>고수</v>
      </c>
      <c r="AJ324" s="22" t="str">
        <f t="shared" si="223"/>
        <v>고수</v>
      </c>
      <c r="AK324" s="22" t="str">
        <f t="shared" si="224"/>
        <v>고수</v>
      </c>
      <c r="AL324" s="52" t="str">
        <f t="shared" si="225"/>
        <v>2 : 4</v>
      </c>
      <c r="AM324" s="22">
        <f t="shared" si="226"/>
        <v>2</v>
      </c>
      <c r="AN324" s="22">
        <f t="shared" si="227"/>
        <v>4</v>
      </c>
      <c r="AO324" s="22">
        <f t="shared" si="228"/>
        <v>29</v>
      </c>
      <c r="AP324" s="22" t="str">
        <f t="shared" si="229"/>
        <v>X</v>
      </c>
      <c r="AQ324" s="22" t="str">
        <f t="shared" si="230"/>
        <v>O</v>
      </c>
      <c r="AR324" s="22" t="str">
        <f t="shared" si="231"/>
        <v>X</v>
      </c>
      <c r="AS324" s="22" t="str">
        <f t="shared" si="232"/>
        <v>X</v>
      </c>
      <c r="AT324" s="22" t="str">
        <f t="shared" si="233"/>
        <v>X</v>
      </c>
      <c r="AU324" s="22" t="str">
        <f t="shared" si="234"/>
        <v>X</v>
      </c>
      <c r="AV324" s="22" t="str">
        <f t="shared" si="235"/>
        <v>X</v>
      </c>
      <c r="AW324" s="22" t="str">
        <f t="shared" si="236"/>
        <v>X</v>
      </c>
      <c r="AX324" s="22" t="str">
        <f t="shared" si="237"/>
        <v>O</v>
      </c>
      <c r="AY324" s="22" t="str">
        <f t="shared" si="238"/>
        <v>X</v>
      </c>
      <c r="AZ324" s="22" t="str">
        <f t="shared" si="239"/>
        <v>O</v>
      </c>
      <c r="BA324" s="22" t="str">
        <f t="shared" si="240"/>
        <v>X</v>
      </c>
      <c r="BB324" s="22">
        <f t="shared" si="241"/>
        <v>3</v>
      </c>
      <c r="BC324" s="22" t="str">
        <f t="shared" si="212"/>
        <v>2G</v>
      </c>
      <c r="BD324" s="22" t="str">
        <f t="shared" si="213"/>
        <v>2G</v>
      </c>
      <c r="BE324" s="22" t="str">
        <f t="shared" si="214"/>
        <v>2G</v>
      </c>
      <c r="BF324" s="22" t="str">
        <f t="shared" si="215"/>
        <v>2G</v>
      </c>
      <c r="BG324" s="22" t="str">
        <f t="shared" si="216"/>
        <v>3G</v>
      </c>
      <c r="BH324" s="22" t="str">
        <f t="shared" si="217"/>
        <v>3G</v>
      </c>
      <c r="BI324" s="22">
        <f t="shared" si="242"/>
        <v>0</v>
      </c>
      <c r="BJ324" s="22">
        <f t="shared" si="243"/>
        <v>4</v>
      </c>
      <c r="BK324" s="22">
        <f t="shared" si="244"/>
        <v>2</v>
      </c>
      <c r="BL324" s="22" t="str">
        <f t="shared" si="245"/>
        <v>042</v>
      </c>
      <c r="BS324"/>
      <c r="CL324" s="23">
        <v>151</v>
      </c>
      <c r="CM324" s="23">
        <v>150</v>
      </c>
      <c r="CO324"/>
    </row>
    <row r="325" spans="1:93" ht="17" hidden="1">
      <c r="B325" s="15">
        <v>321</v>
      </c>
      <c r="C325" s="23" t="s">
        <v>351</v>
      </c>
      <c r="D325" s="16">
        <v>6</v>
      </c>
      <c r="E325" s="17">
        <v>1959136100</v>
      </c>
      <c r="F325" s="16">
        <v>35</v>
      </c>
      <c r="G325" s="17">
        <v>55975318</v>
      </c>
      <c r="H325" s="17">
        <v>1276</v>
      </c>
      <c r="I325" s="17">
        <v>1535374</v>
      </c>
      <c r="J325" s="17">
        <v>68791</v>
      </c>
      <c r="K325" s="17">
        <v>56960</v>
      </c>
      <c r="L325" s="17">
        <v>1143526</v>
      </c>
      <c r="M325" s="17">
        <v>5000</v>
      </c>
      <c r="N325" s="23">
        <v>12</v>
      </c>
      <c r="O325" s="23">
        <v>18</v>
      </c>
      <c r="P325" s="23">
        <v>20</v>
      </c>
      <c r="Q325" s="23">
        <v>21</v>
      </c>
      <c r="R325" s="23">
        <v>25</v>
      </c>
      <c r="S325" s="23">
        <v>34</v>
      </c>
      <c r="T325" s="23">
        <v>42</v>
      </c>
      <c r="U325" s="23">
        <f t="shared" si="218"/>
        <v>130</v>
      </c>
      <c r="W325" s="22" t="str">
        <f t="shared" si="246"/>
        <v>짝수</v>
      </c>
      <c r="X325" s="22" t="str">
        <f t="shared" si="247"/>
        <v>짝수</v>
      </c>
      <c r="Y325" s="22" t="str">
        <f t="shared" si="248"/>
        <v>짝수</v>
      </c>
      <c r="Z325" s="22" t="str">
        <f t="shared" si="249"/>
        <v>홀수</v>
      </c>
      <c r="AA325" s="22" t="str">
        <f t="shared" si="250"/>
        <v>홀수</v>
      </c>
      <c r="AB325" s="22" t="str">
        <f t="shared" si="251"/>
        <v>짝수</v>
      </c>
      <c r="AC325" s="52" t="str">
        <f t="shared" si="252"/>
        <v>2 : 4</v>
      </c>
      <c r="AD325" s="22">
        <f t="shared" si="253"/>
        <v>2</v>
      </c>
      <c r="AE325" s="22">
        <f t="shared" si="254"/>
        <v>4</v>
      </c>
      <c r="AF325" s="22" t="str">
        <f t="shared" si="219"/>
        <v>저수</v>
      </c>
      <c r="AG325" s="22" t="str">
        <f t="shared" si="220"/>
        <v>저수</v>
      </c>
      <c r="AH325" s="22" t="str">
        <f t="shared" si="221"/>
        <v>저수</v>
      </c>
      <c r="AI325" s="22" t="str">
        <f t="shared" si="222"/>
        <v>저수</v>
      </c>
      <c r="AJ325" s="22" t="str">
        <f t="shared" si="223"/>
        <v>고수</v>
      </c>
      <c r="AK325" s="22" t="str">
        <f t="shared" si="224"/>
        <v>고수</v>
      </c>
      <c r="AL325" s="52" t="str">
        <f t="shared" si="225"/>
        <v>4 : 2</v>
      </c>
      <c r="AM325" s="22">
        <f t="shared" si="226"/>
        <v>4</v>
      </c>
      <c r="AN325" s="22">
        <f t="shared" si="227"/>
        <v>2</v>
      </c>
      <c r="AO325" s="22">
        <f t="shared" si="228"/>
        <v>20</v>
      </c>
      <c r="AP325" s="22" t="str">
        <f t="shared" si="229"/>
        <v>X</v>
      </c>
      <c r="AQ325" s="22" t="str">
        <f t="shared" si="230"/>
        <v>X</v>
      </c>
      <c r="AR325" s="22" t="str">
        <f t="shared" si="231"/>
        <v>X</v>
      </c>
      <c r="AS325" s="22" t="str">
        <f t="shared" si="232"/>
        <v>X</v>
      </c>
      <c r="AT325" s="22" t="str">
        <f t="shared" si="233"/>
        <v>X</v>
      </c>
      <c r="AU325" s="22" t="str">
        <f t="shared" si="234"/>
        <v>X</v>
      </c>
      <c r="AV325" s="22" t="str">
        <f t="shared" si="235"/>
        <v>X</v>
      </c>
      <c r="AW325" s="22" t="str">
        <f t="shared" si="236"/>
        <v>X</v>
      </c>
      <c r="AX325" s="22" t="str">
        <f t="shared" si="237"/>
        <v>X</v>
      </c>
      <c r="AY325" s="22" t="str">
        <f t="shared" si="238"/>
        <v>X</v>
      </c>
      <c r="AZ325" s="22" t="str">
        <f t="shared" si="239"/>
        <v>X</v>
      </c>
      <c r="BA325" s="22" t="str">
        <f t="shared" si="240"/>
        <v>X</v>
      </c>
      <c r="BB325" s="22">
        <f t="shared" si="241"/>
        <v>0</v>
      </c>
      <c r="BC325" s="22" t="str">
        <f t="shared" ref="BC325:BC388" si="255">VLOOKUP(N325,삼그룹,6,FALSE)</f>
        <v>1G</v>
      </c>
      <c r="BD325" s="22" t="str">
        <f t="shared" ref="BD325:BD388" si="256">VLOOKUP(O325,삼그룹,6,FALSE)</f>
        <v>2G</v>
      </c>
      <c r="BE325" s="22" t="str">
        <f t="shared" ref="BE325:BE388" si="257">VLOOKUP(P325,삼그룹,6,FALSE)</f>
        <v>2G</v>
      </c>
      <c r="BF325" s="22" t="str">
        <f t="shared" ref="BF325:BF388" si="258">VLOOKUP(Q325,삼그룹,6,FALSE)</f>
        <v>2G</v>
      </c>
      <c r="BG325" s="22" t="str">
        <f t="shared" ref="BG325:BG388" si="259">VLOOKUP(R325,삼그룹,6,FALSE)</f>
        <v>2G</v>
      </c>
      <c r="BH325" s="22" t="str">
        <f t="shared" ref="BH325:BH388" si="260">VLOOKUP(S325,삼그룹,6,FALSE)</f>
        <v>3G</v>
      </c>
      <c r="BI325" s="22">
        <f t="shared" si="242"/>
        <v>1</v>
      </c>
      <c r="BJ325" s="22">
        <f t="shared" si="243"/>
        <v>4</v>
      </c>
      <c r="BK325" s="22">
        <f t="shared" si="244"/>
        <v>1</v>
      </c>
      <c r="BL325" s="22" t="str">
        <f t="shared" si="245"/>
        <v>141</v>
      </c>
      <c r="BS325"/>
      <c r="CL325" s="23">
        <v>151</v>
      </c>
      <c r="CM325" s="23">
        <v>150</v>
      </c>
      <c r="CO325"/>
    </row>
    <row r="326" spans="1:93" ht="17" hidden="1">
      <c r="B326" s="15">
        <v>322</v>
      </c>
      <c r="C326" s="23" t="s">
        <v>352</v>
      </c>
      <c r="D326" s="16">
        <v>6</v>
      </c>
      <c r="E326" s="17">
        <v>1904544700</v>
      </c>
      <c r="F326" s="16">
        <v>29</v>
      </c>
      <c r="G326" s="17">
        <v>65673956</v>
      </c>
      <c r="H326" s="17">
        <v>1465</v>
      </c>
      <c r="I326" s="17">
        <v>1300031</v>
      </c>
      <c r="J326" s="17">
        <v>67829</v>
      </c>
      <c r="K326" s="17">
        <v>56158</v>
      </c>
      <c r="L326" s="17">
        <v>1085740</v>
      </c>
      <c r="M326" s="17">
        <v>5000</v>
      </c>
      <c r="N326" s="23">
        <v>9</v>
      </c>
      <c r="O326" s="23">
        <v>18</v>
      </c>
      <c r="P326" s="23">
        <v>29</v>
      </c>
      <c r="Q326" s="23">
        <v>32</v>
      </c>
      <c r="R326" s="23">
        <v>38</v>
      </c>
      <c r="S326" s="23">
        <v>43</v>
      </c>
      <c r="T326" s="23">
        <v>20</v>
      </c>
      <c r="U326" s="23">
        <f t="shared" ref="U326:U389" si="261">SUM(N326:S326)</f>
        <v>169</v>
      </c>
      <c r="W326" s="22" t="str">
        <f t="shared" si="246"/>
        <v>홀수</v>
      </c>
      <c r="X326" s="22" t="str">
        <f t="shared" si="247"/>
        <v>짝수</v>
      </c>
      <c r="Y326" s="22" t="str">
        <f t="shared" si="248"/>
        <v>홀수</v>
      </c>
      <c r="Z326" s="22" t="str">
        <f t="shared" si="249"/>
        <v>짝수</v>
      </c>
      <c r="AA326" s="22" t="str">
        <f t="shared" si="250"/>
        <v>짝수</v>
      </c>
      <c r="AB326" s="22" t="str">
        <f t="shared" si="251"/>
        <v>홀수</v>
      </c>
      <c r="AC326" s="52" t="str">
        <f t="shared" si="252"/>
        <v>3 : 3</v>
      </c>
      <c r="AD326" s="22">
        <f t="shared" si="253"/>
        <v>3</v>
      </c>
      <c r="AE326" s="22">
        <f t="shared" si="254"/>
        <v>3</v>
      </c>
      <c r="AF326" s="22" t="str">
        <f t="shared" ref="AF326:AF389" si="262">IF(N326&lt;23,"저수","고수")</f>
        <v>저수</v>
      </c>
      <c r="AG326" s="22" t="str">
        <f t="shared" ref="AG326:AG389" si="263">IF(O326&lt;23,"저수","고수")</f>
        <v>저수</v>
      </c>
      <c r="AH326" s="22" t="str">
        <f t="shared" ref="AH326:AH389" si="264">IF(P326&lt;23,"저수","고수")</f>
        <v>고수</v>
      </c>
      <c r="AI326" s="22" t="str">
        <f t="shared" ref="AI326:AI389" si="265">IF(Q326&lt;23,"저수","고수")</f>
        <v>고수</v>
      </c>
      <c r="AJ326" s="22" t="str">
        <f t="shared" ref="AJ326:AJ389" si="266">IF(R326&lt;23,"저수","고수")</f>
        <v>고수</v>
      </c>
      <c r="AK326" s="22" t="str">
        <f t="shared" ref="AK326:AK389" si="267">IF(S326&lt;23,"저수","고수")</f>
        <v>고수</v>
      </c>
      <c r="AL326" s="52" t="str">
        <f t="shared" ref="AL326:AL389" si="268">AM326&amp;" : "&amp;AN326</f>
        <v>2 : 4</v>
      </c>
      <c r="AM326" s="22">
        <f t="shared" ref="AM326:AM389" si="269">COUNTIF(AF326:AK326,"저수")</f>
        <v>2</v>
      </c>
      <c r="AN326" s="22">
        <f t="shared" ref="AN326:AN389" si="270">COUNTIF(AF326:AK326,"고수")</f>
        <v>4</v>
      </c>
      <c r="AO326" s="22">
        <f t="shared" ref="AO326:AO389" si="271">RIGHT(N326,1)+RIGHT(O326,1)+RIGHT(P326,1)+RIGHT(Q326,1)+RIGHT(R326,1)+RIGHT(S326,1)</f>
        <v>39</v>
      </c>
      <c r="AP326" s="22" t="str">
        <f t="shared" ref="AP326:AP389" si="272">IF(N326=2,"O",IF(N326=3,"O",IF(N326=5,"O",IF(N326=7,"O",IF(N326=11,"O",IF(N326=13,"O",IF(N326=17,"O",IF(N326=19,"O","X"))))))))</f>
        <v>X</v>
      </c>
      <c r="AQ326" s="22" t="str">
        <f t="shared" ref="AQ326:AQ389" si="273">IF(O326=2,"O",IF(O326=3,"O",IF(O326=5,"O",IF(O326=7,"O",IF(O326=11,"O",IF(O326=13,"O",IF(O326=17,"O",IF(O326=19,"O","X"))))))))</f>
        <v>X</v>
      </c>
      <c r="AR326" s="22" t="str">
        <f t="shared" ref="AR326:AR389" si="274">IF(P326=2,"O",IF(P326=3,"O",IF(P326=5,"O",IF(P326=7,"O",IF(P326=11,"O",IF(P326=13,"O",IF(P326=17,"O",IF(P326=19,"O","X"))))))))</f>
        <v>X</v>
      </c>
      <c r="AS326" s="22" t="str">
        <f t="shared" ref="AS326:AS389" si="275">IF(Q326=2,"O",IF(Q326=3,"O",IF(Q326=5,"O",IF(Q326=7,"O",IF(Q326=11,"O",IF(Q326=13,"O",IF(Q326=17,"O",IF(Q326=19,"O","X"))))))))</f>
        <v>X</v>
      </c>
      <c r="AT326" s="22" t="str">
        <f t="shared" ref="AT326:AT389" si="276">IF(R326=2,"O",IF(R326=3,"O",IF(R326=5,"O",IF(R326=7,"O",IF(R326=11,"O",IF(R326=13,"O",IF(R326=17,"O",IF(R326=19,"O","X"))))))))</f>
        <v>X</v>
      </c>
      <c r="AU326" s="22" t="str">
        <f t="shared" ref="AU326:AU389" si="277">IF(S326=2,"O",IF(S326=3,"O",IF(S326=5,"O",IF(S326=7,"O",IF(S326=11,"O",IF(S326=13,"O",IF(S326=17,"O",IF(S326=19,"O","X"))))))))</f>
        <v>X</v>
      </c>
      <c r="AV326" s="22" t="str">
        <f t="shared" ref="AV326:AV389" si="278">IF(N326=23,"O",IF(N326=29,"O",IF(N326=31,"O",IF(N326=37,"O",IF(N326=41,"O",IF(N326=43,"O","X"))))))</f>
        <v>X</v>
      </c>
      <c r="AW326" s="22" t="str">
        <f t="shared" ref="AW326:AW389" si="279">IF(O326=23,"O",IF(O326=29,"O",IF(O326=31,"O",IF(O326=37,"O",IF(O326=41,"O",IF(O326=43,"O","X"))))))</f>
        <v>X</v>
      </c>
      <c r="AX326" s="22" t="str">
        <f t="shared" ref="AX326:AX389" si="280">IF(P326=23,"O",IF(P326=29,"O",IF(P326=31,"O",IF(P326=37,"O",IF(P326=41,"O",IF(P326=43,"O","X"))))))</f>
        <v>O</v>
      </c>
      <c r="AY326" s="22" t="str">
        <f t="shared" ref="AY326:AY389" si="281">IF(Q326=23,"O",IF(Q326=29,"O",IF(Q326=31,"O",IF(Q326=37,"O",IF(Q326=41,"O",IF(Q326=43,"O","X"))))))</f>
        <v>X</v>
      </c>
      <c r="AZ326" s="22" t="str">
        <f t="shared" ref="AZ326:AZ389" si="282">IF(R326=23,"O",IF(R326=29,"O",IF(R326=31,"O",IF(R326=37,"O",IF(R326=41,"O",IF(R326=43,"O","X"))))))</f>
        <v>X</v>
      </c>
      <c r="BA326" s="22" t="str">
        <f t="shared" ref="BA326:BA389" si="283">IF(S326=23,"O",IF(S326=29,"O",IF(S326=31,"O",IF(S326=37,"O",IF(S326=41,"O",IF(S326=43,"O","X"))))))</f>
        <v>O</v>
      </c>
      <c r="BB326" s="22">
        <f t="shared" ref="BB326:BB389" si="284">COUNTIF(AP326:BA326,"O")</f>
        <v>2</v>
      </c>
      <c r="BC326" s="22" t="str">
        <f t="shared" si="255"/>
        <v>1G</v>
      </c>
      <c r="BD326" s="22" t="str">
        <f t="shared" si="256"/>
        <v>2G</v>
      </c>
      <c r="BE326" s="22" t="str">
        <f t="shared" si="257"/>
        <v>2G</v>
      </c>
      <c r="BF326" s="22" t="str">
        <f t="shared" si="258"/>
        <v>3G</v>
      </c>
      <c r="BG326" s="22" t="str">
        <f t="shared" si="259"/>
        <v>3G</v>
      </c>
      <c r="BH326" s="22" t="str">
        <f t="shared" si="260"/>
        <v>3G</v>
      </c>
      <c r="BI326" s="22">
        <f t="shared" ref="BI326:BI389" si="285">COUNTIF($BC326:$BH326,"1G")</f>
        <v>1</v>
      </c>
      <c r="BJ326" s="22">
        <f t="shared" ref="BJ326:BJ389" si="286">COUNTIF($BC326:$BH326,"2G")</f>
        <v>2</v>
      </c>
      <c r="BK326" s="22">
        <f t="shared" ref="BK326:BK389" si="287">COUNTIF($BC326:$BH326,"3G")</f>
        <v>3</v>
      </c>
      <c r="BL326" s="22" t="str">
        <f t="shared" ref="BL326:BL389" si="288">BI326&amp;BJ326&amp;BK326</f>
        <v>123</v>
      </c>
      <c r="BS326"/>
      <c r="CL326" s="23">
        <v>151</v>
      </c>
      <c r="CM326" s="23">
        <v>150</v>
      </c>
      <c r="CO326"/>
    </row>
    <row r="327" spans="1:93" ht="17" hidden="1">
      <c r="B327" s="15">
        <v>323</v>
      </c>
      <c r="C327" s="23" t="s">
        <v>353</v>
      </c>
      <c r="D327" s="16">
        <v>8</v>
      </c>
      <c r="E327" s="17">
        <v>1461025388</v>
      </c>
      <c r="F327" s="16">
        <v>27</v>
      </c>
      <c r="G327" s="17">
        <v>72149402</v>
      </c>
      <c r="H327" s="17">
        <v>1175</v>
      </c>
      <c r="I327" s="17">
        <v>1657902</v>
      </c>
      <c r="J327" s="17">
        <v>60796</v>
      </c>
      <c r="K327" s="17">
        <v>64085</v>
      </c>
      <c r="L327" s="17">
        <v>1024880</v>
      </c>
      <c r="M327" s="17">
        <v>5000</v>
      </c>
      <c r="N327" s="23">
        <v>10</v>
      </c>
      <c r="O327" s="23">
        <v>14</v>
      </c>
      <c r="P327" s="23">
        <v>15</v>
      </c>
      <c r="Q327" s="23">
        <v>32</v>
      </c>
      <c r="R327" s="23">
        <v>36</v>
      </c>
      <c r="S327" s="23">
        <v>42</v>
      </c>
      <c r="T327" s="23">
        <v>3</v>
      </c>
      <c r="U327" s="23">
        <f t="shared" si="261"/>
        <v>149</v>
      </c>
      <c r="W327" s="22" t="str">
        <f t="shared" si="246"/>
        <v>짝수</v>
      </c>
      <c r="X327" s="22" t="str">
        <f t="shared" si="247"/>
        <v>짝수</v>
      </c>
      <c r="Y327" s="22" t="str">
        <f t="shared" si="248"/>
        <v>홀수</v>
      </c>
      <c r="Z327" s="22" t="str">
        <f t="shared" si="249"/>
        <v>짝수</v>
      </c>
      <c r="AA327" s="22" t="str">
        <f t="shared" si="250"/>
        <v>짝수</v>
      </c>
      <c r="AB327" s="22" t="str">
        <f t="shared" si="251"/>
        <v>짝수</v>
      </c>
      <c r="AC327" s="52" t="str">
        <f t="shared" si="252"/>
        <v>1 : 5</v>
      </c>
      <c r="AD327" s="22">
        <f t="shared" si="253"/>
        <v>1</v>
      </c>
      <c r="AE327" s="22">
        <f t="shared" si="254"/>
        <v>5</v>
      </c>
      <c r="AF327" s="22" t="str">
        <f t="shared" si="262"/>
        <v>저수</v>
      </c>
      <c r="AG327" s="22" t="str">
        <f t="shared" si="263"/>
        <v>저수</v>
      </c>
      <c r="AH327" s="22" t="str">
        <f t="shared" si="264"/>
        <v>저수</v>
      </c>
      <c r="AI327" s="22" t="str">
        <f t="shared" si="265"/>
        <v>고수</v>
      </c>
      <c r="AJ327" s="22" t="str">
        <f t="shared" si="266"/>
        <v>고수</v>
      </c>
      <c r="AK327" s="22" t="str">
        <f t="shared" si="267"/>
        <v>고수</v>
      </c>
      <c r="AL327" s="52" t="str">
        <f t="shared" si="268"/>
        <v>3 : 3</v>
      </c>
      <c r="AM327" s="22">
        <f t="shared" si="269"/>
        <v>3</v>
      </c>
      <c r="AN327" s="22">
        <f t="shared" si="270"/>
        <v>3</v>
      </c>
      <c r="AO327" s="22">
        <f t="shared" si="271"/>
        <v>19</v>
      </c>
      <c r="AP327" s="22" t="str">
        <f t="shared" si="272"/>
        <v>X</v>
      </c>
      <c r="AQ327" s="22" t="str">
        <f t="shared" si="273"/>
        <v>X</v>
      </c>
      <c r="AR327" s="22" t="str">
        <f t="shared" si="274"/>
        <v>X</v>
      </c>
      <c r="AS327" s="22" t="str">
        <f t="shared" si="275"/>
        <v>X</v>
      </c>
      <c r="AT327" s="22" t="str">
        <f t="shared" si="276"/>
        <v>X</v>
      </c>
      <c r="AU327" s="22" t="str">
        <f t="shared" si="277"/>
        <v>X</v>
      </c>
      <c r="AV327" s="22" t="str">
        <f t="shared" si="278"/>
        <v>X</v>
      </c>
      <c r="AW327" s="22" t="str">
        <f t="shared" si="279"/>
        <v>X</v>
      </c>
      <c r="AX327" s="22" t="str">
        <f t="shared" si="280"/>
        <v>X</v>
      </c>
      <c r="AY327" s="22" t="str">
        <f t="shared" si="281"/>
        <v>X</v>
      </c>
      <c r="AZ327" s="22" t="str">
        <f t="shared" si="282"/>
        <v>X</v>
      </c>
      <c r="BA327" s="22" t="str">
        <f t="shared" si="283"/>
        <v>X</v>
      </c>
      <c r="BB327" s="22">
        <f t="shared" si="284"/>
        <v>0</v>
      </c>
      <c r="BC327" s="22" t="str">
        <f t="shared" si="255"/>
        <v>1G</v>
      </c>
      <c r="BD327" s="22" t="str">
        <f t="shared" si="256"/>
        <v>1G</v>
      </c>
      <c r="BE327" s="22" t="str">
        <f t="shared" si="257"/>
        <v>1G</v>
      </c>
      <c r="BF327" s="22" t="str">
        <f t="shared" si="258"/>
        <v>3G</v>
      </c>
      <c r="BG327" s="22" t="str">
        <f t="shared" si="259"/>
        <v>3G</v>
      </c>
      <c r="BH327" s="22" t="str">
        <f t="shared" si="260"/>
        <v>3G</v>
      </c>
      <c r="BI327" s="22">
        <f t="shared" si="285"/>
        <v>3</v>
      </c>
      <c r="BJ327" s="22">
        <f t="shared" si="286"/>
        <v>0</v>
      </c>
      <c r="BK327" s="22">
        <f t="shared" si="287"/>
        <v>3</v>
      </c>
      <c r="BL327" s="22" t="str">
        <f t="shared" si="288"/>
        <v>303</v>
      </c>
      <c r="BS327"/>
      <c r="CL327" s="23">
        <v>151</v>
      </c>
      <c r="CM327" s="23">
        <v>150</v>
      </c>
      <c r="CO327"/>
    </row>
    <row r="328" spans="1:93" ht="17" hidden="1">
      <c r="B328" s="15">
        <v>324</v>
      </c>
      <c r="C328" s="23" t="s">
        <v>354</v>
      </c>
      <c r="D328" s="16">
        <v>6</v>
      </c>
      <c r="E328" s="17">
        <v>1865130350</v>
      </c>
      <c r="F328" s="16">
        <v>40</v>
      </c>
      <c r="G328" s="17">
        <v>46628259</v>
      </c>
      <c r="H328" s="17">
        <v>1228</v>
      </c>
      <c r="I328" s="17">
        <v>1518836</v>
      </c>
      <c r="J328" s="17">
        <v>62473</v>
      </c>
      <c r="K328" s="17">
        <v>59710</v>
      </c>
      <c r="L328" s="17">
        <v>1068571</v>
      </c>
      <c r="M328" s="17">
        <v>5000</v>
      </c>
      <c r="N328" s="23">
        <v>2</v>
      </c>
      <c r="O328" s="23">
        <v>4</v>
      </c>
      <c r="P328" s="23">
        <v>21</v>
      </c>
      <c r="Q328" s="23">
        <v>25</v>
      </c>
      <c r="R328" s="23">
        <v>33</v>
      </c>
      <c r="S328" s="23">
        <v>36</v>
      </c>
      <c r="T328" s="23">
        <v>17</v>
      </c>
      <c r="U328" s="23">
        <f t="shared" si="261"/>
        <v>121</v>
      </c>
      <c r="W328" s="22" t="str">
        <f t="shared" si="246"/>
        <v>짝수</v>
      </c>
      <c r="X328" s="22" t="str">
        <f t="shared" si="247"/>
        <v>짝수</v>
      </c>
      <c r="Y328" s="22" t="str">
        <f t="shared" si="248"/>
        <v>홀수</v>
      </c>
      <c r="Z328" s="22" t="str">
        <f t="shared" si="249"/>
        <v>홀수</v>
      </c>
      <c r="AA328" s="22" t="str">
        <f t="shared" si="250"/>
        <v>홀수</v>
      </c>
      <c r="AB328" s="22" t="str">
        <f t="shared" si="251"/>
        <v>짝수</v>
      </c>
      <c r="AC328" s="52" t="str">
        <f t="shared" si="252"/>
        <v>3 : 3</v>
      </c>
      <c r="AD328" s="22">
        <f t="shared" si="253"/>
        <v>3</v>
      </c>
      <c r="AE328" s="22">
        <f t="shared" si="254"/>
        <v>3</v>
      </c>
      <c r="AF328" s="22" t="str">
        <f t="shared" si="262"/>
        <v>저수</v>
      </c>
      <c r="AG328" s="22" t="str">
        <f t="shared" si="263"/>
        <v>저수</v>
      </c>
      <c r="AH328" s="22" t="str">
        <f t="shared" si="264"/>
        <v>저수</v>
      </c>
      <c r="AI328" s="22" t="str">
        <f t="shared" si="265"/>
        <v>고수</v>
      </c>
      <c r="AJ328" s="22" t="str">
        <f t="shared" si="266"/>
        <v>고수</v>
      </c>
      <c r="AK328" s="22" t="str">
        <f t="shared" si="267"/>
        <v>고수</v>
      </c>
      <c r="AL328" s="52" t="str">
        <f t="shared" si="268"/>
        <v>3 : 3</v>
      </c>
      <c r="AM328" s="22">
        <f t="shared" si="269"/>
        <v>3</v>
      </c>
      <c r="AN328" s="22">
        <f t="shared" si="270"/>
        <v>3</v>
      </c>
      <c r="AO328" s="22">
        <f t="shared" si="271"/>
        <v>21</v>
      </c>
      <c r="AP328" s="22" t="str">
        <f t="shared" si="272"/>
        <v>O</v>
      </c>
      <c r="AQ328" s="22" t="str">
        <f t="shared" si="273"/>
        <v>X</v>
      </c>
      <c r="AR328" s="22" t="str">
        <f t="shared" si="274"/>
        <v>X</v>
      </c>
      <c r="AS328" s="22" t="str">
        <f t="shared" si="275"/>
        <v>X</v>
      </c>
      <c r="AT328" s="22" t="str">
        <f t="shared" si="276"/>
        <v>X</v>
      </c>
      <c r="AU328" s="22" t="str">
        <f t="shared" si="277"/>
        <v>X</v>
      </c>
      <c r="AV328" s="22" t="str">
        <f t="shared" si="278"/>
        <v>X</v>
      </c>
      <c r="AW328" s="22" t="str">
        <f t="shared" si="279"/>
        <v>X</v>
      </c>
      <c r="AX328" s="22" t="str">
        <f t="shared" si="280"/>
        <v>X</v>
      </c>
      <c r="AY328" s="22" t="str">
        <f t="shared" si="281"/>
        <v>X</v>
      </c>
      <c r="AZ328" s="22" t="str">
        <f t="shared" si="282"/>
        <v>X</v>
      </c>
      <c r="BA328" s="22" t="str">
        <f t="shared" si="283"/>
        <v>X</v>
      </c>
      <c r="BB328" s="22">
        <f t="shared" si="284"/>
        <v>1</v>
      </c>
      <c r="BC328" s="22" t="str">
        <f t="shared" si="255"/>
        <v>1G</v>
      </c>
      <c r="BD328" s="22" t="str">
        <f t="shared" si="256"/>
        <v>1G</v>
      </c>
      <c r="BE328" s="22" t="str">
        <f t="shared" si="257"/>
        <v>2G</v>
      </c>
      <c r="BF328" s="22" t="str">
        <f t="shared" si="258"/>
        <v>2G</v>
      </c>
      <c r="BG328" s="22" t="str">
        <f t="shared" si="259"/>
        <v>3G</v>
      </c>
      <c r="BH328" s="22" t="str">
        <f t="shared" si="260"/>
        <v>3G</v>
      </c>
      <c r="BI328" s="22">
        <f t="shared" si="285"/>
        <v>2</v>
      </c>
      <c r="BJ328" s="22">
        <f t="shared" si="286"/>
        <v>2</v>
      </c>
      <c r="BK328" s="22">
        <f t="shared" si="287"/>
        <v>2</v>
      </c>
      <c r="BL328" s="22" t="str">
        <f t="shared" si="288"/>
        <v>222</v>
      </c>
      <c r="BS328"/>
      <c r="CL328" s="23">
        <v>151</v>
      </c>
      <c r="CM328" s="23">
        <v>150</v>
      </c>
      <c r="CO328"/>
    </row>
    <row r="329" spans="1:93" ht="17" hidden="1">
      <c r="B329" s="15">
        <v>325</v>
      </c>
      <c r="C329" s="23" t="s">
        <v>355</v>
      </c>
      <c r="D329" s="16">
        <v>6</v>
      </c>
      <c r="E329" s="17">
        <v>1806122450</v>
      </c>
      <c r="F329" s="16">
        <v>33</v>
      </c>
      <c r="G329" s="17">
        <v>54730984</v>
      </c>
      <c r="H329" s="17">
        <v>1258</v>
      </c>
      <c r="I329" s="17">
        <v>1435710</v>
      </c>
      <c r="J329" s="17">
        <v>62629</v>
      </c>
      <c r="K329" s="17">
        <v>57677</v>
      </c>
      <c r="L329" s="17">
        <v>1051453</v>
      </c>
      <c r="M329" s="17">
        <v>5000</v>
      </c>
      <c r="N329" s="23">
        <v>7</v>
      </c>
      <c r="O329" s="23">
        <v>17</v>
      </c>
      <c r="P329" s="23">
        <v>20</v>
      </c>
      <c r="Q329" s="23">
        <v>32</v>
      </c>
      <c r="R329" s="23">
        <v>44</v>
      </c>
      <c r="S329" s="23">
        <v>45</v>
      </c>
      <c r="T329" s="23">
        <v>33</v>
      </c>
      <c r="U329" s="23">
        <f t="shared" si="261"/>
        <v>165</v>
      </c>
      <c r="W329" s="22" t="str">
        <f t="shared" si="246"/>
        <v>홀수</v>
      </c>
      <c r="X329" s="22" t="str">
        <f t="shared" si="247"/>
        <v>홀수</v>
      </c>
      <c r="Y329" s="22" t="str">
        <f t="shared" si="248"/>
        <v>짝수</v>
      </c>
      <c r="Z329" s="22" t="str">
        <f t="shared" si="249"/>
        <v>짝수</v>
      </c>
      <c r="AA329" s="22" t="str">
        <f t="shared" si="250"/>
        <v>짝수</v>
      </c>
      <c r="AB329" s="22" t="str">
        <f t="shared" si="251"/>
        <v>홀수</v>
      </c>
      <c r="AC329" s="52" t="str">
        <f t="shared" si="252"/>
        <v>3 : 3</v>
      </c>
      <c r="AD329" s="22">
        <f t="shared" si="253"/>
        <v>3</v>
      </c>
      <c r="AE329" s="22">
        <f t="shared" si="254"/>
        <v>3</v>
      </c>
      <c r="AF329" s="22" t="str">
        <f t="shared" si="262"/>
        <v>저수</v>
      </c>
      <c r="AG329" s="22" t="str">
        <f t="shared" si="263"/>
        <v>저수</v>
      </c>
      <c r="AH329" s="22" t="str">
        <f t="shared" si="264"/>
        <v>저수</v>
      </c>
      <c r="AI329" s="22" t="str">
        <f t="shared" si="265"/>
        <v>고수</v>
      </c>
      <c r="AJ329" s="22" t="str">
        <f t="shared" si="266"/>
        <v>고수</v>
      </c>
      <c r="AK329" s="22" t="str">
        <f t="shared" si="267"/>
        <v>고수</v>
      </c>
      <c r="AL329" s="52" t="str">
        <f t="shared" si="268"/>
        <v>3 : 3</v>
      </c>
      <c r="AM329" s="22">
        <f t="shared" si="269"/>
        <v>3</v>
      </c>
      <c r="AN329" s="22">
        <f t="shared" si="270"/>
        <v>3</v>
      </c>
      <c r="AO329" s="22">
        <f t="shared" si="271"/>
        <v>25</v>
      </c>
      <c r="AP329" s="22" t="str">
        <f t="shared" si="272"/>
        <v>O</v>
      </c>
      <c r="AQ329" s="22" t="str">
        <f t="shared" si="273"/>
        <v>O</v>
      </c>
      <c r="AR329" s="22" t="str">
        <f t="shared" si="274"/>
        <v>X</v>
      </c>
      <c r="AS329" s="22" t="str">
        <f t="shared" si="275"/>
        <v>X</v>
      </c>
      <c r="AT329" s="22" t="str">
        <f t="shared" si="276"/>
        <v>X</v>
      </c>
      <c r="AU329" s="22" t="str">
        <f t="shared" si="277"/>
        <v>X</v>
      </c>
      <c r="AV329" s="22" t="str">
        <f t="shared" si="278"/>
        <v>X</v>
      </c>
      <c r="AW329" s="22" t="str">
        <f t="shared" si="279"/>
        <v>X</v>
      </c>
      <c r="AX329" s="22" t="str">
        <f t="shared" si="280"/>
        <v>X</v>
      </c>
      <c r="AY329" s="22" t="str">
        <f t="shared" si="281"/>
        <v>X</v>
      </c>
      <c r="AZ329" s="22" t="str">
        <f t="shared" si="282"/>
        <v>X</v>
      </c>
      <c r="BA329" s="22" t="str">
        <f t="shared" si="283"/>
        <v>X</v>
      </c>
      <c r="BB329" s="22">
        <f t="shared" si="284"/>
        <v>2</v>
      </c>
      <c r="BC329" s="22" t="str">
        <f t="shared" si="255"/>
        <v>1G</v>
      </c>
      <c r="BD329" s="22" t="str">
        <f t="shared" si="256"/>
        <v>2G</v>
      </c>
      <c r="BE329" s="22" t="str">
        <f t="shared" si="257"/>
        <v>2G</v>
      </c>
      <c r="BF329" s="22" t="str">
        <f t="shared" si="258"/>
        <v>3G</v>
      </c>
      <c r="BG329" s="22" t="str">
        <f t="shared" si="259"/>
        <v>3G</v>
      </c>
      <c r="BH329" s="22" t="str">
        <f t="shared" si="260"/>
        <v>3G</v>
      </c>
      <c r="BI329" s="22">
        <f t="shared" si="285"/>
        <v>1</v>
      </c>
      <c r="BJ329" s="22">
        <f t="shared" si="286"/>
        <v>2</v>
      </c>
      <c r="BK329" s="22">
        <f t="shared" si="287"/>
        <v>3</v>
      </c>
      <c r="BL329" s="22" t="str">
        <f t="shared" si="288"/>
        <v>123</v>
      </c>
      <c r="BS329"/>
      <c r="CL329" s="23">
        <v>152</v>
      </c>
      <c r="CM329" s="23">
        <v>150</v>
      </c>
      <c r="CO329"/>
    </row>
    <row r="330" spans="1:93" ht="17" hidden="1">
      <c r="B330" s="15">
        <v>326</v>
      </c>
      <c r="C330" s="23" t="s">
        <v>356</v>
      </c>
      <c r="D330" s="16">
        <v>6</v>
      </c>
      <c r="E330" s="17">
        <v>1832134550</v>
      </c>
      <c r="F330" s="16">
        <v>31</v>
      </c>
      <c r="G330" s="17">
        <v>59101115</v>
      </c>
      <c r="H330" s="17">
        <v>1335</v>
      </c>
      <c r="I330" s="17">
        <v>1372386</v>
      </c>
      <c r="J330" s="17">
        <v>64087</v>
      </c>
      <c r="K330" s="17">
        <v>57177</v>
      </c>
      <c r="L330" s="17">
        <v>1058186</v>
      </c>
      <c r="M330" s="17">
        <v>5000</v>
      </c>
      <c r="N330" s="23">
        <v>16</v>
      </c>
      <c r="O330" s="23">
        <v>23</v>
      </c>
      <c r="P330" s="23">
        <v>25</v>
      </c>
      <c r="Q330" s="23">
        <v>33</v>
      </c>
      <c r="R330" s="23">
        <v>36</v>
      </c>
      <c r="S330" s="23">
        <v>39</v>
      </c>
      <c r="T330" s="23">
        <v>40</v>
      </c>
      <c r="U330" s="23">
        <f t="shared" si="261"/>
        <v>172</v>
      </c>
      <c r="W330" s="22" t="str">
        <f t="shared" si="246"/>
        <v>짝수</v>
      </c>
      <c r="X330" s="22" t="str">
        <f t="shared" si="247"/>
        <v>홀수</v>
      </c>
      <c r="Y330" s="22" t="str">
        <f t="shared" si="248"/>
        <v>홀수</v>
      </c>
      <c r="Z330" s="22" t="str">
        <f t="shared" si="249"/>
        <v>홀수</v>
      </c>
      <c r="AA330" s="22" t="str">
        <f t="shared" si="250"/>
        <v>짝수</v>
      </c>
      <c r="AB330" s="22" t="str">
        <f t="shared" si="251"/>
        <v>홀수</v>
      </c>
      <c r="AC330" s="52" t="str">
        <f t="shared" si="252"/>
        <v>4 : 2</v>
      </c>
      <c r="AD330" s="22">
        <f t="shared" si="253"/>
        <v>4</v>
      </c>
      <c r="AE330" s="22">
        <f t="shared" si="254"/>
        <v>2</v>
      </c>
      <c r="AF330" s="22" t="str">
        <f t="shared" si="262"/>
        <v>저수</v>
      </c>
      <c r="AG330" s="22" t="str">
        <f t="shared" si="263"/>
        <v>고수</v>
      </c>
      <c r="AH330" s="22" t="str">
        <f t="shared" si="264"/>
        <v>고수</v>
      </c>
      <c r="AI330" s="22" t="str">
        <f t="shared" si="265"/>
        <v>고수</v>
      </c>
      <c r="AJ330" s="22" t="str">
        <f t="shared" si="266"/>
        <v>고수</v>
      </c>
      <c r="AK330" s="22" t="str">
        <f t="shared" si="267"/>
        <v>고수</v>
      </c>
      <c r="AL330" s="52" t="str">
        <f t="shared" si="268"/>
        <v>1 : 5</v>
      </c>
      <c r="AM330" s="22">
        <f t="shared" si="269"/>
        <v>1</v>
      </c>
      <c r="AN330" s="22">
        <f t="shared" si="270"/>
        <v>5</v>
      </c>
      <c r="AO330" s="22">
        <f t="shared" si="271"/>
        <v>32</v>
      </c>
      <c r="AP330" s="22" t="str">
        <f t="shared" si="272"/>
        <v>X</v>
      </c>
      <c r="AQ330" s="22" t="str">
        <f t="shared" si="273"/>
        <v>X</v>
      </c>
      <c r="AR330" s="22" t="str">
        <f t="shared" si="274"/>
        <v>X</v>
      </c>
      <c r="AS330" s="22" t="str">
        <f t="shared" si="275"/>
        <v>X</v>
      </c>
      <c r="AT330" s="22" t="str">
        <f t="shared" si="276"/>
        <v>X</v>
      </c>
      <c r="AU330" s="22" t="str">
        <f t="shared" si="277"/>
        <v>X</v>
      </c>
      <c r="AV330" s="22" t="str">
        <f t="shared" si="278"/>
        <v>X</v>
      </c>
      <c r="AW330" s="22" t="str">
        <f t="shared" si="279"/>
        <v>O</v>
      </c>
      <c r="AX330" s="22" t="str">
        <f t="shared" si="280"/>
        <v>X</v>
      </c>
      <c r="AY330" s="22" t="str">
        <f t="shared" si="281"/>
        <v>X</v>
      </c>
      <c r="AZ330" s="22" t="str">
        <f t="shared" si="282"/>
        <v>X</v>
      </c>
      <c r="BA330" s="22" t="str">
        <f t="shared" si="283"/>
        <v>X</v>
      </c>
      <c r="BB330" s="22">
        <f t="shared" si="284"/>
        <v>1</v>
      </c>
      <c r="BC330" s="22" t="str">
        <f t="shared" si="255"/>
        <v>2G</v>
      </c>
      <c r="BD330" s="22" t="str">
        <f t="shared" si="256"/>
        <v>2G</v>
      </c>
      <c r="BE330" s="22" t="str">
        <f t="shared" si="257"/>
        <v>2G</v>
      </c>
      <c r="BF330" s="22" t="str">
        <f t="shared" si="258"/>
        <v>3G</v>
      </c>
      <c r="BG330" s="22" t="str">
        <f t="shared" si="259"/>
        <v>3G</v>
      </c>
      <c r="BH330" s="22" t="str">
        <f t="shared" si="260"/>
        <v>3G</v>
      </c>
      <c r="BI330" s="22">
        <f t="shared" si="285"/>
        <v>0</v>
      </c>
      <c r="BJ330" s="22">
        <f t="shared" si="286"/>
        <v>3</v>
      </c>
      <c r="BK330" s="22">
        <f t="shared" si="287"/>
        <v>3</v>
      </c>
      <c r="BL330" s="22" t="str">
        <f t="shared" si="288"/>
        <v>033</v>
      </c>
      <c r="BS330"/>
      <c r="CL330" s="23">
        <v>152</v>
      </c>
      <c r="CM330" s="23">
        <v>150</v>
      </c>
      <c r="CO330"/>
    </row>
    <row r="331" spans="1:93" ht="17" hidden="1">
      <c r="B331" s="15">
        <v>327</v>
      </c>
      <c r="C331" s="23" t="s">
        <v>357</v>
      </c>
      <c r="D331" s="16">
        <v>12</v>
      </c>
      <c r="E331" s="17">
        <v>882674750</v>
      </c>
      <c r="F331" s="16">
        <v>39</v>
      </c>
      <c r="G331" s="17">
        <v>45265372</v>
      </c>
      <c r="H331" s="17">
        <v>1242</v>
      </c>
      <c r="I331" s="17">
        <v>1421377</v>
      </c>
      <c r="J331" s="17">
        <v>63599</v>
      </c>
      <c r="K331" s="17">
        <v>55515</v>
      </c>
      <c r="L331" s="17">
        <v>1048457</v>
      </c>
      <c r="M331" s="17">
        <v>5000</v>
      </c>
      <c r="N331" s="23">
        <v>6</v>
      </c>
      <c r="O331" s="23">
        <v>12</v>
      </c>
      <c r="P331" s="23">
        <v>13</v>
      </c>
      <c r="Q331" s="23">
        <v>17</v>
      </c>
      <c r="R331" s="23">
        <v>32</v>
      </c>
      <c r="S331" s="23">
        <v>44</v>
      </c>
      <c r="T331" s="23">
        <v>24</v>
      </c>
      <c r="U331" s="23">
        <f t="shared" si="261"/>
        <v>124</v>
      </c>
      <c r="W331" s="22" t="str">
        <f t="shared" si="246"/>
        <v>짝수</v>
      </c>
      <c r="X331" s="22" t="str">
        <f t="shared" si="247"/>
        <v>짝수</v>
      </c>
      <c r="Y331" s="22" t="str">
        <f t="shared" si="248"/>
        <v>홀수</v>
      </c>
      <c r="Z331" s="22" t="str">
        <f t="shared" si="249"/>
        <v>홀수</v>
      </c>
      <c r="AA331" s="22" t="str">
        <f t="shared" si="250"/>
        <v>짝수</v>
      </c>
      <c r="AB331" s="22" t="str">
        <f t="shared" si="251"/>
        <v>짝수</v>
      </c>
      <c r="AC331" s="52" t="str">
        <f t="shared" si="252"/>
        <v>2 : 4</v>
      </c>
      <c r="AD331" s="22">
        <f t="shared" si="253"/>
        <v>2</v>
      </c>
      <c r="AE331" s="22">
        <f t="shared" si="254"/>
        <v>4</v>
      </c>
      <c r="AF331" s="22" t="str">
        <f t="shared" si="262"/>
        <v>저수</v>
      </c>
      <c r="AG331" s="22" t="str">
        <f t="shared" si="263"/>
        <v>저수</v>
      </c>
      <c r="AH331" s="22" t="str">
        <f t="shared" si="264"/>
        <v>저수</v>
      </c>
      <c r="AI331" s="22" t="str">
        <f t="shared" si="265"/>
        <v>저수</v>
      </c>
      <c r="AJ331" s="22" t="str">
        <f t="shared" si="266"/>
        <v>고수</v>
      </c>
      <c r="AK331" s="22" t="str">
        <f t="shared" si="267"/>
        <v>고수</v>
      </c>
      <c r="AL331" s="52" t="str">
        <f t="shared" si="268"/>
        <v>4 : 2</v>
      </c>
      <c r="AM331" s="22">
        <f t="shared" si="269"/>
        <v>4</v>
      </c>
      <c r="AN331" s="22">
        <f t="shared" si="270"/>
        <v>2</v>
      </c>
      <c r="AO331" s="22">
        <f t="shared" si="271"/>
        <v>24</v>
      </c>
      <c r="AP331" s="22" t="str">
        <f t="shared" si="272"/>
        <v>X</v>
      </c>
      <c r="AQ331" s="22" t="str">
        <f t="shared" si="273"/>
        <v>X</v>
      </c>
      <c r="AR331" s="22" t="str">
        <f t="shared" si="274"/>
        <v>O</v>
      </c>
      <c r="AS331" s="22" t="str">
        <f t="shared" si="275"/>
        <v>O</v>
      </c>
      <c r="AT331" s="22" t="str">
        <f t="shared" si="276"/>
        <v>X</v>
      </c>
      <c r="AU331" s="22" t="str">
        <f t="shared" si="277"/>
        <v>X</v>
      </c>
      <c r="AV331" s="22" t="str">
        <f t="shared" si="278"/>
        <v>X</v>
      </c>
      <c r="AW331" s="22" t="str">
        <f t="shared" si="279"/>
        <v>X</v>
      </c>
      <c r="AX331" s="22" t="str">
        <f t="shared" si="280"/>
        <v>X</v>
      </c>
      <c r="AY331" s="22" t="str">
        <f t="shared" si="281"/>
        <v>X</v>
      </c>
      <c r="AZ331" s="22" t="str">
        <f t="shared" si="282"/>
        <v>X</v>
      </c>
      <c r="BA331" s="22" t="str">
        <f t="shared" si="283"/>
        <v>X</v>
      </c>
      <c r="BB331" s="22">
        <f t="shared" si="284"/>
        <v>2</v>
      </c>
      <c r="BC331" s="22" t="str">
        <f t="shared" si="255"/>
        <v>1G</v>
      </c>
      <c r="BD331" s="22" t="str">
        <f t="shared" si="256"/>
        <v>1G</v>
      </c>
      <c r="BE331" s="22" t="str">
        <f t="shared" si="257"/>
        <v>1G</v>
      </c>
      <c r="BF331" s="22" t="str">
        <f t="shared" si="258"/>
        <v>2G</v>
      </c>
      <c r="BG331" s="22" t="str">
        <f t="shared" si="259"/>
        <v>3G</v>
      </c>
      <c r="BH331" s="22" t="str">
        <f t="shared" si="260"/>
        <v>3G</v>
      </c>
      <c r="BI331" s="22">
        <f t="shared" si="285"/>
        <v>3</v>
      </c>
      <c r="BJ331" s="22">
        <f t="shared" si="286"/>
        <v>1</v>
      </c>
      <c r="BK331" s="22">
        <f t="shared" si="287"/>
        <v>2</v>
      </c>
      <c r="BL331" s="22" t="str">
        <f t="shared" si="288"/>
        <v>312</v>
      </c>
      <c r="BS331"/>
      <c r="CL331" s="23">
        <v>152</v>
      </c>
      <c r="CM331" s="23">
        <v>150</v>
      </c>
      <c r="CO331"/>
    </row>
    <row r="332" spans="1:93" ht="17" hidden="1">
      <c r="B332" s="15">
        <v>328</v>
      </c>
      <c r="C332" s="23" t="s">
        <v>358</v>
      </c>
      <c r="D332" s="16">
        <v>6</v>
      </c>
      <c r="E332" s="17">
        <v>1819795900</v>
      </c>
      <c r="F332" s="16">
        <v>30</v>
      </c>
      <c r="G332" s="17">
        <v>60659864</v>
      </c>
      <c r="H332" s="17">
        <v>1380</v>
      </c>
      <c r="I332" s="17">
        <v>1318693</v>
      </c>
      <c r="J332" s="17">
        <v>66590</v>
      </c>
      <c r="K332" s="17">
        <v>54657</v>
      </c>
      <c r="L332" s="17">
        <v>1092107</v>
      </c>
      <c r="M332" s="17">
        <v>5000</v>
      </c>
      <c r="N332" s="23">
        <v>1</v>
      </c>
      <c r="O332" s="23">
        <v>6</v>
      </c>
      <c r="P332" s="23">
        <v>9</v>
      </c>
      <c r="Q332" s="23">
        <v>16</v>
      </c>
      <c r="R332" s="23">
        <v>17</v>
      </c>
      <c r="S332" s="23">
        <v>28</v>
      </c>
      <c r="T332" s="23">
        <v>24</v>
      </c>
      <c r="U332" s="23">
        <f t="shared" si="261"/>
        <v>77</v>
      </c>
      <c r="W332" s="22" t="str">
        <f t="shared" si="246"/>
        <v>홀수</v>
      </c>
      <c r="X332" s="22" t="str">
        <f t="shared" si="247"/>
        <v>짝수</v>
      </c>
      <c r="Y332" s="22" t="str">
        <f t="shared" si="248"/>
        <v>홀수</v>
      </c>
      <c r="Z332" s="22" t="str">
        <f t="shared" si="249"/>
        <v>짝수</v>
      </c>
      <c r="AA332" s="22" t="str">
        <f t="shared" si="250"/>
        <v>홀수</v>
      </c>
      <c r="AB332" s="22" t="str">
        <f t="shared" si="251"/>
        <v>짝수</v>
      </c>
      <c r="AC332" s="52" t="str">
        <f t="shared" si="252"/>
        <v>3 : 3</v>
      </c>
      <c r="AD332" s="22">
        <f t="shared" si="253"/>
        <v>3</v>
      </c>
      <c r="AE332" s="22">
        <f t="shared" si="254"/>
        <v>3</v>
      </c>
      <c r="AF332" s="22" t="str">
        <f t="shared" si="262"/>
        <v>저수</v>
      </c>
      <c r="AG332" s="22" t="str">
        <f t="shared" si="263"/>
        <v>저수</v>
      </c>
      <c r="AH332" s="22" t="str">
        <f t="shared" si="264"/>
        <v>저수</v>
      </c>
      <c r="AI332" s="22" t="str">
        <f t="shared" si="265"/>
        <v>저수</v>
      </c>
      <c r="AJ332" s="22" t="str">
        <f t="shared" si="266"/>
        <v>저수</v>
      </c>
      <c r="AK332" s="22" t="str">
        <f t="shared" si="267"/>
        <v>고수</v>
      </c>
      <c r="AL332" s="52" t="str">
        <f t="shared" si="268"/>
        <v>5 : 1</v>
      </c>
      <c r="AM332" s="22">
        <f t="shared" si="269"/>
        <v>5</v>
      </c>
      <c r="AN332" s="22">
        <f t="shared" si="270"/>
        <v>1</v>
      </c>
      <c r="AO332" s="22">
        <f t="shared" si="271"/>
        <v>37</v>
      </c>
      <c r="AP332" s="22" t="str">
        <f t="shared" si="272"/>
        <v>X</v>
      </c>
      <c r="AQ332" s="22" t="str">
        <f t="shared" si="273"/>
        <v>X</v>
      </c>
      <c r="AR332" s="22" t="str">
        <f t="shared" si="274"/>
        <v>X</v>
      </c>
      <c r="AS332" s="22" t="str">
        <f t="shared" si="275"/>
        <v>X</v>
      </c>
      <c r="AT332" s="22" t="str">
        <f t="shared" si="276"/>
        <v>O</v>
      </c>
      <c r="AU332" s="22" t="str">
        <f t="shared" si="277"/>
        <v>X</v>
      </c>
      <c r="AV332" s="22" t="str">
        <f t="shared" si="278"/>
        <v>X</v>
      </c>
      <c r="AW332" s="22" t="str">
        <f t="shared" si="279"/>
        <v>X</v>
      </c>
      <c r="AX332" s="22" t="str">
        <f t="shared" si="280"/>
        <v>X</v>
      </c>
      <c r="AY332" s="22" t="str">
        <f t="shared" si="281"/>
        <v>X</v>
      </c>
      <c r="AZ332" s="22" t="str">
        <f t="shared" si="282"/>
        <v>X</v>
      </c>
      <c r="BA332" s="22" t="str">
        <f t="shared" si="283"/>
        <v>X</v>
      </c>
      <c r="BB332" s="22">
        <f t="shared" si="284"/>
        <v>1</v>
      </c>
      <c r="BC332" s="22" t="str">
        <f t="shared" si="255"/>
        <v>1G</v>
      </c>
      <c r="BD332" s="22" t="str">
        <f t="shared" si="256"/>
        <v>1G</v>
      </c>
      <c r="BE332" s="22" t="str">
        <f t="shared" si="257"/>
        <v>1G</v>
      </c>
      <c r="BF332" s="22" t="str">
        <f t="shared" si="258"/>
        <v>2G</v>
      </c>
      <c r="BG332" s="22" t="str">
        <f t="shared" si="259"/>
        <v>2G</v>
      </c>
      <c r="BH332" s="22" t="str">
        <f t="shared" si="260"/>
        <v>2G</v>
      </c>
      <c r="BI332" s="22">
        <f t="shared" si="285"/>
        <v>3</v>
      </c>
      <c r="BJ332" s="22">
        <f t="shared" si="286"/>
        <v>3</v>
      </c>
      <c r="BK332" s="22">
        <f t="shared" si="287"/>
        <v>0</v>
      </c>
      <c r="BL332" s="22" t="str">
        <f t="shared" si="288"/>
        <v>330</v>
      </c>
      <c r="BS332"/>
      <c r="CL332" s="23">
        <v>152</v>
      </c>
      <c r="CM332" s="23">
        <v>150</v>
      </c>
      <c r="CO332"/>
    </row>
    <row r="333" spans="1:93" ht="17" hidden="1">
      <c r="B333" s="15">
        <v>329</v>
      </c>
      <c r="C333" s="23" t="s">
        <v>359</v>
      </c>
      <c r="D333" s="16">
        <v>6</v>
      </c>
      <c r="E333" s="17">
        <v>1830391200</v>
      </c>
      <c r="F333" s="16">
        <v>33</v>
      </c>
      <c r="G333" s="17">
        <v>55466400</v>
      </c>
      <c r="H333" s="17">
        <v>1215</v>
      </c>
      <c r="I333" s="17">
        <v>1506495</v>
      </c>
      <c r="J333" s="17">
        <v>62711</v>
      </c>
      <c r="K333" s="17">
        <v>58376</v>
      </c>
      <c r="L333" s="17">
        <v>1059068</v>
      </c>
      <c r="M333" s="17">
        <v>5000</v>
      </c>
      <c r="N333" s="23">
        <v>9</v>
      </c>
      <c r="O333" s="23">
        <v>17</v>
      </c>
      <c r="P333" s="23">
        <v>19</v>
      </c>
      <c r="Q333" s="23">
        <v>30</v>
      </c>
      <c r="R333" s="23">
        <v>35</v>
      </c>
      <c r="S333" s="23">
        <v>42</v>
      </c>
      <c r="T333" s="23">
        <v>4</v>
      </c>
      <c r="U333" s="23">
        <f t="shared" si="261"/>
        <v>152</v>
      </c>
      <c r="W333" s="22" t="str">
        <f t="shared" si="246"/>
        <v>홀수</v>
      </c>
      <c r="X333" s="22" t="str">
        <f t="shared" si="247"/>
        <v>홀수</v>
      </c>
      <c r="Y333" s="22" t="str">
        <f t="shared" si="248"/>
        <v>홀수</v>
      </c>
      <c r="Z333" s="22" t="str">
        <f t="shared" si="249"/>
        <v>짝수</v>
      </c>
      <c r="AA333" s="22" t="str">
        <f t="shared" si="250"/>
        <v>홀수</v>
      </c>
      <c r="AB333" s="22" t="str">
        <f t="shared" si="251"/>
        <v>짝수</v>
      </c>
      <c r="AC333" s="52" t="str">
        <f t="shared" si="252"/>
        <v>4 : 2</v>
      </c>
      <c r="AD333" s="22">
        <f t="shared" si="253"/>
        <v>4</v>
      </c>
      <c r="AE333" s="22">
        <f t="shared" si="254"/>
        <v>2</v>
      </c>
      <c r="AF333" s="22" t="str">
        <f t="shared" si="262"/>
        <v>저수</v>
      </c>
      <c r="AG333" s="22" t="str">
        <f t="shared" si="263"/>
        <v>저수</v>
      </c>
      <c r="AH333" s="22" t="str">
        <f t="shared" si="264"/>
        <v>저수</v>
      </c>
      <c r="AI333" s="22" t="str">
        <f t="shared" si="265"/>
        <v>고수</v>
      </c>
      <c r="AJ333" s="22" t="str">
        <f t="shared" si="266"/>
        <v>고수</v>
      </c>
      <c r="AK333" s="22" t="str">
        <f t="shared" si="267"/>
        <v>고수</v>
      </c>
      <c r="AL333" s="52" t="str">
        <f t="shared" si="268"/>
        <v>3 : 3</v>
      </c>
      <c r="AM333" s="22">
        <f t="shared" si="269"/>
        <v>3</v>
      </c>
      <c r="AN333" s="22">
        <f t="shared" si="270"/>
        <v>3</v>
      </c>
      <c r="AO333" s="22">
        <f t="shared" si="271"/>
        <v>32</v>
      </c>
      <c r="AP333" s="22" t="str">
        <f t="shared" si="272"/>
        <v>X</v>
      </c>
      <c r="AQ333" s="22" t="str">
        <f t="shared" si="273"/>
        <v>O</v>
      </c>
      <c r="AR333" s="22" t="str">
        <f t="shared" si="274"/>
        <v>O</v>
      </c>
      <c r="AS333" s="22" t="str">
        <f t="shared" si="275"/>
        <v>X</v>
      </c>
      <c r="AT333" s="22" t="str">
        <f t="shared" si="276"/>
        <v>X</v>
      </c>
      <c r="AU333" s="22" t="str">
        <f t="shared" si="277"/>
        <v>X</v>
      </c>
      <c r="AV333" s="22" t="str">
        <f t="shared" si="278"/>
        <v>X</v>
      </c>
      <c r="AW333" s="22" t="str">
        <f t="shared" si="279"/>
        <v>X</v>
      </c>
      <c r="AX333" s="22" t="str">
        <f t="shared" si="280"/>
        <v>X</v>
      </c>
      <c r="AY333" s="22" t="str">
        <f t="shared" si="281"/>
        <v>X</v>
      </c>
      <c r="AZ333" s="22" t="str">
        <f t="shared" si="282"/>
        <v>X</v>
      </c>
      <c r="BA333" s="22" t="str">
        <f t="shared" si="283"/>
        <v>X</v>
      </c>
      <c r="BB333" s="22">
        <f t="shared" si="284"/>
        <v>2</v>
      </c>
      <c r="BC333" s="22" t="str">
        <f t="shared" si="255"/>
        <v>1G</v>
      </c>
      <c r="BD333" s="22" t="str">
        <f t="shared" si="256"/>
        <v>2G</v>
      </c>
      <c r="BE333" s="22" t="str">
        <f t="shared" si="257"/>
        <v>2G</v>
      </c>
      <c r="BF333" s="22" t="str">
        <f t="shared" si="258"/>
        <v>2G</v>
      </c>
      <c r="BG333" s="22" t="str">
        <f t="shared" si="259"/>
        <v>3G</v>
      </c>
      <c r="BH333" s="22" t="str">
        <f t="shared" si="260"/>
        <v>3G</v>
      </c>
      <c r="BI333" s="22">
        <f t="shared" si="285"/>
        <v>1</v>
      </c>
      <c r="BJ333" s="22">
        <f t="shared" si="286"/>
        <v>3</v>
      </c>
      <c r="BK333" s="22">
        <f t="shared" si="287"/>
        <v>2</v>
      </c>
      <c r="BL333" s="22" t="str">
        <f t="shared" si="288"/>
        <v>132</v>
      </c>
      <c r="BS333"/>
      <c r="CL333" s="23">
        <v>153</v>
      </c>
      <c r="CM333" s="23">
        <v>150</v>
      </c>
      <c r="CO333"/>
    </row>
    <row r="334" spans="1:93" ht="17" hidden="1">
      <c r="B334" s="15">
        <v>330</v>
      </c>
      <c r="C334" s="23" t="s">
        <v>360</v>
      </c>
      <c r="D334" s="16">
        <v>9</v>
      </c>
      <c r="E334" s="17">
        <v>1162280200</v>
      </c>
      <c r="F334" s="16">
        <v>32</v>
      </c>
      <c r="G334" s="17">
        <v>54481885</v>
      </c>
      <c r="H334" s="17">
        <v>1431</v>
      </c>
      <c r="I334" s="17">
        <v>1218324</v>
      </c>
      <c r="J334" s="17">
        <v>69225</v>
      </c>
      <c r="K334" s="17">
        <v>50370</v>
      </c>
      <c r="L334" s="17">
        <v>1099109</v>
      </c>
      <c r="M334" s="17">
        <v>5000</v>
      </c>
      <c r="N334" s="23">
        <v>3</v>
      </c>
      <c r="O334" s="23">
        <v>4</v>
      </c>
      <c r="P334" s="23">
        <v>16</v>
      </c>
      <c r="Q334" s="23">
        <v>17</v>
      </c>
      <c r="R334" s="23">
        <v>19</v>
      </c>
      <c r="S334" s="23">
        <v>20</v>
      </c>
      <c r="T334" s="23">
        <v>23</v>
      </c>
      <c r="U334" s="23">
        <f t="shared" si="261"/>
        <v>79</v>
      </c>
      <c r="W334" s="22" t="str">
        <f t="shared" si="246"/>
        <v>홀수</v>
      </c>
      <c r="X334" s="22" t="str">
        <f t="shared" si="247"/>
        <v>짝수</v>
      </c>
      <c r="Y334" s="22" t="str">
        <f t="shared" si="248"/>
        <v>짝수</v>
      </c>
      <c r="Z334" s="22" t="str">
        <f t="shared" si="249"/>
        <v>홀수</v>
      </c>
      <c r="AA334" s="22" t="str">
        <f t="shared" si="250"/>
        <v>홀수</v>
      </c>
      <c r="AB334" s="22" t="str">
        <f t="shared" si="251"/>
        <v>짝수</v>
      </c>
      <c r="AC334" s="52" t="str">
        <f t="shared" si="252"/>
        <v>3 : 3</v>
      </c>
      <c r="AD334" s="22">
        <f t="shared" si="253"/>
        <v>3</v>
      </c>
      <c r="AE334" s="22">
        <f t="shared" si="254"/>
        <v>3</v>
      </c>
      <c r="AF334" s="22" t="str">
        <f t="shared" si="262"/>
        <v>저수</v>
      </c>
      <c r="AG334" s="22" t="str">
        <f t="shared" si="263"/>
        <v>저수</v>
      </c>
      <c r="AH334" s="22" t="str">
        <f t="shared" si="264"/>
        <v>저수</v>
      </c>
      <c r="AI334" s="22" t="str">
        <f t="shared" si="265"/>
        <v>저수</v>
      </c>
      <c r="AJ334" s="22" t="str">
        <f t="shared" si="266"/>
        <v>저수</v>
      </c>
      <c r="AK334" s="22" t="str">
        <f t="shared" si="267"/>
        <v>저수</v>
      </c>
      <c r="AL334" s="52" t="str">
        <f t="shared" si="268"/>
        <v>6 : 0</v>
      </c>
      <c r="AM334" s="22">
        <f t="shared" si="269"/>
        <v>6</v>
      </c>
      <c r="AN334" s="22">
        <f t="shared" si="270"/>
        <v>0</v>
      </c>
      <c r="AO334" s="22">
        <f t="shared" si="271"/>
        <v>29</v>
      </c>
      <c r="AP334" s="22" t="str">
        <f t="shared" si="272"/>
        <v>O</v>
      </c>
      <c r="AQ334" s="22" t="str">
        <f t="shared" si="273"/>
        <v>X</v>
      </c>
      <c r="AR334" s="22" t="str">
        <f t="shared" si="274"/>
        <v>X</v>
      </c>
      <c r="AS334" s="22" t="str">
        <f t="shared" si="275"/>
        <v>O</v>
      </c>
      <c r="AT334" s="22" t="str">
        <f t="shared" si="276"/>
        <v>O</v>
      </c>
      <c r="AU334" s="22" t="str">
        <f t="shared" si="277"/>
        <v>X</v>
      </c>
      <c r="AV334" s="22" t="str">
        <f t="shared" si="278"/>
        <v>X</v>
      </c>
      <c r="AW334" s="22" t="str">
        <f t="shared" si="279"/>
        <v>X</v>
      </c>
      <c r="AX334" s="22" t="str">
        <f t="shared" si="280"/>
        <v>X</v>
      </c>
      <c r="AY334" s="22" t="str">
        <f t="shared" si="281"/>
        <v>X</v>
      </c>
      <c r="AZ334" s="22" t="str">
        <f t="shared" si="282"/>
        <v>X</v>
      </c>
      <c r="BA334" s="22" t="str">
        <f t="shared" si="283"/>
        <v>X</v>
      </c>
      <c r="BB334" s="22">
        <f t="shared" si="284"/>
        <v>3</v>
      </c>
      <c r="BC334" s="22" t="str">
        <f t="shared" si="255"/>
        <v>1G</v>
      </c>
      <c r="BD334" s="22" t="str">
        <f t="shared" si="256"/>
        <v>1G</v>
      </c>
      <c r="BE334" s="22" t="str">
        <f t="shared" si="257"/>
        <v>2G</v>
      </c>
      <c r="BF334" s="22" t="str">
        <f t="shared" si="258"/>
        <v>2G</v>
      </c>
      <c r="BG334" s="22" t="str">
        <f t="shared" si="259"/>
        <v>2G</v>
      </c>
      <c r="BH334" s="22" t="str">
        <f t="shared" si="260"/>
        <v>2G</v>
      </c>
      <c r="BI334" s="22">
        <f t="shared" si="285"/>
        <v>2</v>
      </c>
      <c r="BJ334" s="22">
        <f t="shared" si="286"/>
        <v>4</v>
      </c>
      <c r="BK334" s="22">
        <f t="shared" si="287"/>
        <v>0</v>
      </c>
      <c r="BL334" s="22" t="str">
        <f t="shared" si="288"/>
        <v>240</v>
      </c>
      <c r="BS334"/>
      <c r="CL334" s="23">
        <v>153</v>
      </c>
      <c r="CM334" s="23">
        <v>150</v>
      </c>
      <c r="CO334"/>
    </row>
    <row r="335" spans="1:93" ht="17" hidden="1">
      <c r="B335" s="15">
        <v>331</v>
      </c>
      <c r="C335" s="23" t="s">
        <v>361</v>
      </c>
      <c r="D335" s="16">
        <v>5</v>
      </c>
      <c r="E335" s="17">
        <v>2165902620</v>
      </c>
      <c r="F335" s="16">
        <v>45</v>
      </c>
      <c r="G335" s="17">
        <v>40109308</v>
      </c>
      <c r="H335" s="17">
        <v>1365</v>
      </c>
      <c r="I335" s="17">
        <v>1322285</v>
      </c>
      <c r="J335" s="17">
        <v>64617</v>
      </c>
      <c r="K335" s="17">
        <v>55866</v>
      </c>
      <c r="L335" s="17">
        <v>1054309</v>
      </c>
      <c r="M335" s="17">
        <v>5000</v>
      </c>
      <c r="N335" s="23">
        <v>4</v>
      </c>
      <c r="O335" s="23">
        <v>9</v>
      </c>
      <c r="P335" s="23">
        <v>14</v>
      </c>
      <c r="Q335" s="23">
        <v>26</v>
      </c>
      <c r="R335" s="23">
        <v>31</v>
      </c>
      <c r="S335" s="23">
        <v>44</v>
      </c>
      <c r="T335" s="23">
        <v>39</v>
      </c>
      <c r="U335" s="23">
        <f t="shared" si="261"/>
        <v>128</v>
      </c>
      <c r="W335" s="22" t="str">
        <f t="shared" si="246"/>
        <v>짝수</v>
      </c>
      <c r="X335" s="22" t="str">
        <f t="shared" si="247"/>
        <v>홀수</v>
      </c>
      <c r="Y335" s="22" t="str">
        <f t="shared" si="248"/>
        <v>짝수</v>
      </c>
      <c r="Z335" s="22" t="str">
        <f t="shared" si="249"/>
        <v>짝수</v>
      </c>
      <c r="AA335" s="22" t="str">
        <f t="shared" si="250"/>
        <v>홀수</v>
      </c>
      <c r="AB335" s="22" t="str">
        <f t="shared" si="251"/>
        <v>짝수</v>
      </c>
      <c r="AC335" s="52" t="str">
        <f t="shared" si="252"/>
        <v>2 : 4</v>
      </c>
      <c r="AD335" s="22">
        <f t="shared" si="253"/>
        <v>2</v>
      </c>
      <c r="AE335" s="22">
        <f t="shared" si="254"/>
        <v>4</v>
      </c>
      <c r="AF335" s="22" t="str">
        <f t="shared" si="262"/>
        <v>저수</v>
      </c>
      <c r="AG335" s="22" t="str">
        <f t="shared" si="263"/>
        <v>저수</v>
      </c>
      <c r="AH335" s="22" t="str">
        <f t="shared" si="264"/>
        <v>저수</v>
      </c>
      <c r="AI335" s="22" t="str">
        <f t="shared" si="265"/>
        <v>고수</v>
      </c>
      <c r="AJ335" s="22" t="str">
        <f t="shared" si="266"/>
        <v>고수</v>
      </c>
      <c r="AK335" s="22" t="str">
        <f t="shared" si="267"/>
        <v>고수</v>
      </c>
      <c r="AL335" s="52" t="str">
        <f t="shared" si="268"/>
        <v>3 : 3</v>
      </c>
      <c r="AM335" s="22">
        <f t="shared" si="269"/>
        <v>3</v>
      </c>
      <c r="AN335" s="22">
        <f t="shared" si="270"/>
        <v>3</v>
      </c>
      <c r="AO335" s="22">
        <f t="shared" si="271"/>
        <v>28</v>
      </c>
      <c r="AP335" s="22" t="str">
        <f t="shared" si="272"/>
        <v>X</v>
      </c>
      <c r="AQ335" s="22" t="str">
        <f t="shared" si="273"/>
        <v>X</v>
      </c>
      <c r="AR335" s="22" t="str">
        <f t="shared" si="274"/>
        <v>X</v>
      </c>
      <c r="AS335" s="22" t="str">
        <f t="shared" si="275"/>
        <v>X</v>
      </c>
      <c r="AT335" s="22" t="str">
        <f t="shared" si="276"/>
        <v>X</v>
      </c>
      <c r="AU335" s="22" t="str">
        <f t="shared" si="277"/>
        <v>X</v>
      </c>
      <c r="AV335" s="22" t="str">
        <f t="shared" si="278"/>
        <v>X</v>
      </c>
      <c r="AW335" s="22" t="str">
        <f t="shared" si="279"/>
        <v>X</v>
      </c>
      <c r="AX335" s="22" t="str">
        <f t="shared" si="280"/>
        <v>X</v>
      </c>
      <c r="AY335" s="22" t="str">
        <f t="shared" si="281"/>
        <v>X</v>
      </c>
      <c r="AZ335" s="22" t="str">
        <f t="shared" si="282"/>
        <v>O</v>
      </c>
      <c r="BA335" s="22" t="str">
        <f t="shared" si="283"/>
        <v>X</v>
      </c>
      <c r="BB335" s="22">
        <f t="shared" si="284"/>
        <v>1</v>
      </c>
      <c r="BC335" s="22" t="str">
        <f t="shared" si="255"/>
        <v>1G</v>
      </c>
      <c r="BD335" s="22" t="str">
        <f t="shared" si="256"/>
        <v>1G</v>
      </c>
      <c r="BE335" s="22" t="str">
        <f t="shared" si="257"/>
        <v>1G</v>
      </c>
      <c r="BF335" s="22" t="str">
        <f t="shared" si="258"/>
        <v>2G</v>
      </c>
      <c r="BG335" s="22" t="str">
        <f t="shared" si="259"/>
        <v>3G</v>
      </c>
      <c r="BH335" s="22" t="str">
        <f t="shared" si="260"/>
        <v>3G</v>
      </c>
      <c r="BI335" s="22">
        <f t="shared" si="285"/>
        <v>3</v>
      </c>
      <c r="BJ335" s="22">
        <f t="shared" si="286"/>
        <v>1</v>
      </c>
      <c r="BK335" s="22">
        <f t="shared" si="287"/>
        <v>2</v>
      </c>
      <c r="BL335" s="22" t="str">
        <f t="shared" si="288"/>
        <v>312</v>
      </c>
      <c r="BS335"/>
      <c r="CL335" s="23">
        <v>153</v>
      </c>
      <c r="CM335" s="23">
        <v>150</v>
      </c>
      <c r="CO335"/>
    </row>
    <row r="336" spans="1:93" ht="17" hidden="1">
      <c r="B336" s="15">
        <v>332</v>
      </c>
      <c r="C336" s="23" t="s">
        <v>362</v>
      </c>
      <c r="D336" s="16">
        <v>8</v>
      </c>
      <c r="E336" s="17">
        <v>1359448388</v>
      </c>
      <c r="F336" s="16">
        <v>37</v>
      </c>
      <c r="G336" s="17">
        <v>48989132</v>
      </c>
      <c r="H336" s="17">
        <v>1098</v>
      </c>
      <c r="I336" s="17">
        <v>1650818</v>
      </c>
      <c r="J336" s="17">
        <v>59833</v>
      </c>
      <c r="K336" s="17">
        <v>60589</v>
      </c>
      <c r="L336" s="17">
        <v>979060</v>
      </c>
      <c r="M336" s="17">
        <v>5000</v>
      </c>
      <c r="N336" s="23">
        <v>16</v>
      </c>
      <c r="O336" s="23">
        <v>17</v>
      </c>
      <c r="P336" s="23">
        <v>34</v>
      </c>
      <c r="Q336" s="23">
        <v>36</v>
      </c>
      <c r="R336" s="23">
        <v>42</v>
      </c>
      <c r="S336" s="23">
        <v>45</v>
      </c>
      <c r="T336" s="23">
        <v>3</v>
      </c>
      <c r="U336" s="23">
        <f t="shared" si="261"/>
        <v>190</v>
      </c>
      <c r="W336" s="22" t="str">
        <f t="shared" si="246"/>
        <v>짝수</v>
      </c>
      <c r="X336" s="22" t="str">
        <f t="shared" si="247"/>
        <v>홀수</v>
      </c>
      <c r="Y336" s="22" t="str">
        <f t="shared" si="248"/>
        <v>짝수</v>
      </c>
      <c r="Z336" s="22" t="str">
        <f t="shared" si="249"/>
        <v>짝수</v>
      </c>
      <c r="AA336" s="22" t="str">
        <f t="shared" si="250"/>
        <v>짝수</v>
      </c>
      <c r="AB336" s="22" t="str">
        <f t="shared" si="251"/>
        <v>홀수</v>
      </c>
      <c r="AC336" s="52" t="str">
        <f t="shared" si="252"/>
        <v>2 : 4</v>
      </c>
      <c r="AD336" s="22">
        <f t="shared" si="253"/>
        <v>2</v>
      </c>
      <c r="AE336" s="22">
        <f t="shared" si="254"/>
        <v>4</v>
      </c>
      <c r="AF336" s="22" t="str">
        <f t="shared" si="262"/>
        <v>저수</v>
      </c>
      <c r="AG336" s="22" t="str">
        <f t="shared" si="263"/>
        <v>저수</v>
      </c>
      <c r="AH336" s="22" t="str">
        <f t="shared" si="264"/>
        <v>고수</v>
      </c>
      <c r="AI336" s="22" t="str">
        <f t="shared" si="265"/>
        <v>고수</v>
      </c>
      <c r="AJ336" s="22" t="str">
        <f t="shared" si="266"/>
        <v>고수</v>
      </c>
      <c r="AK336" s="22" t="str">
        <f t="shared" si="267"/>
        <v>고수</v>
      </c>
      <c r="AL336" s="52" t="str">
        <f t="shared" si="268"/>
        <v>2 : 4</v>
      </c>
      <c r="AM336" s="22">
        <f t="shared" si="269"/>
        <v>2</v>
      </c>
      <c r="AN336" s="22">
        <f t="shared" si="270"/>
        <v>4</v>
      </c>
      <c r="AO336" s="22">
        <f t="shared" si="271"/>
        <v>30</v>
      </c>
      <c r="AP336" s="22" t="str">
        <f t="shared" si="272"/>
        <v>X</v>
      </c>
      <c r="AQ336" s="22" t="str">
        <f t="shared" si="273"/>
        <v>O</v>
      </c>
      <c r="AR336" s="22" t="str">
        <f t="shared" si="274"/>
        <v>X</v>
      </c>
      <c r="AS336" s="22" t="str">
        <f t="shared" si="275"/>
        <v>X</v>
      </c>
      <c r="AT336" s="22" t="str">
        <f t="shared" si="276"/>
        <v>X</v>
      </c>
      <c r="AU336" s="22" t="str">
        <f t="shared" si="277"/>
        <v>X</v>
      </c>
      <c r="AV336" s="22" t="str">
        <f t="shared" si="278"/>
        <v>X</v>
      </c>
      <c r="AW336" s="22" t="str">
        <f t="shared" si="279"/>
        <v>X</v>
      </c>
      <c r="AX336" s="22" t="str">
        <f t="shared" si="280"/>
        <v>X</v>
      </c>
      <c r="AY336" s="22" t="str">
        <f t="shared" si="281"/>
        <v>X</v>
      </c>
      <c r="AZ336" s="22" t="str">
        <f t="shared" si="282"/>
        <v>X</v>
      </c>
      <c r="BA336" s="22" t="str">
        <f t="shared" si="283"/>
        <v>X</v>
      </c>
      <c r="BB336" s="22">
        <f t="shared" si="284"/>
        <v>1</v>
      </c>
      <c r="BC336" s="22" t="str">
        <f t="shared" si="255"/>
        <v>2G</v>
      </c>
      <c r="BD336" s="22" t="str">
        <f t="shared" si="256"/>
        <v>2G</v>
      </c>
      <c r="BE336" s="22" t="str">
        <f t="shared" si="257"/>
        <v>3G</v>
      </c>
      <c r="BF336" s="22" t="str">
        <f t="shared" si="258"/>
        <v>3G</v>
      </c>
      <c r="BG336" s="22" t="str">
        <f t="shared" si="259"/>
        <v>3G</v>
      </c>
      <c r="BH336" s="22" t="str">
        <f t="shared" si="260"/>
        <v>3G</v>
      </c>
      <c r="BI336" s="22">
        <f t="shared" si="285"/>
        <v>0</v>
      </c>
      <c r="BJ336" s="22">
        <f t="shared" si="286"/>
        <v>2</v>
      </c>
      <c r="BK336" s="22">
        <f t="shared" si="287"/>
        <v>4</v>
      </c>
      <c r="BL336" s="22" t="str">
        <f t="shared" si="288"/>
        <v>024</v>
      </c>
      <c r="BS336"/>
      <c r="CL336" s="23">
        <v>154</v>
      </c>
      <c r="CM336" s="23">
        <v>150</v>
      </c>
      <c r="CO336"/>
    </row>
    <row r="337" spans="2:93" ht="17" hidden="1">
      <c r="B337" s="15">
        <v>333</v>
      </c>
      <c r="C337" s="23" t="s">
        <v>363</v>
      </c>
      <c r="D337" s="16">
        <v>7</v>
      </c>
      <c r="E337" s="17">
        <v>1550987143</v>
      </c>
      <c r="F337" s="16">
        <v>36</v>
      </c>
      <c r="G337" s="17">
        <v>50263473</v>
      </c>
      <c r="H337" s="17">
        <v>1365</v>
      </c>
      <c r="I337" s="17">
        <v>1325631</v>
      </c>
      <c r="J337" s="17">
        <v>59991</v>
      </c>
      <c r="K337" s="17">
        <v>60326</v>
      </c>
      <c r="L337" s="17">
        <v>982937</v>
      </c>
      <c r="M337" s="17">
        <v>5000</v>
      </c>
      <c r="N337" s="23">
        <v>5</v>
      </c>
      <c r="O337" s="23">
        <v>14</v>
      </c>
      <c r="P337" s="23">
        <v>27</v>
      </c>
      <c r="Q337" s="23">
        <v>30</v>
      </c>
      <c r="R337" s="23">
        <v>39</v>
      </c>
      <c r="S337" s="23">
        <v>43</v>
      </c>
      <c r="T337" s="23">
        <v>35</v>
      </c>
      <c r="U337" s="23">
        <f t="shared" si="261"/>
        <v>158</v>
      </c>
      <c r="W337" s="22" t="str">
        <f t="shared" si="246"/>
        <v>홀수</v>
      </c>
      <c r="X337" s="22" t="str">
        <f t="shared" si="247"/>
        <v>짝수</v>
      </c>
      <c r="Y337" s="22" t="str">
        <f t="shared" si="248"/>
        <v>홀수</v>
      </c>
      <c r="Z337" s="22" t="str">
        <f t="shared" si="249"/>
        <v>짝수</v>
      </c>
      <c r="AA337" s="22" t="str">
        <f t="shared" si="250"/>
        <v>홀수</v>
      </c>
      <c r="AB337" s="22" t="str">
        <f t="shared" si="251"/>
        <v>홀수</v>
      </c>
      <c r="AC337" s="52" t="str">
        <f t="shared" si="252"/>
        <v>4 : 2</v>
      </c>
      <c r="AD337" s="22">
        <f t="shared" si="253"/>
        <v>4</v>
      </c>
      <c r="AE337" s="22">
        <f t="shared" si="254"/>
        <v>2</v>
      </c>
      <c r="AF337" s="22" t="str">
        <f t="shared" si="262"/>
        <v>저수</v>
      </c>
      <c r="AG337" s="22" t="str">
        <f t="shared" si="263"/>
        <v>저수</v>
      </c>
      <c r="AH337" s="22" t="str">
        <f t="shared" si="264"/>
        <v>고수</v>
      </c>
      <c r="AI337" s="22" t="str">
        <f t="shared" si="265"/>
        <v>고수</v>
      </c>
      <c r="AJ337" s="22" t="str">
        <f t="shared" si="266"/>
        <v>고수</v>
      </c>
      <c r="AK337" s="22" t="str">
        <f t="shared" si="267"/>
        <v>고수</v>
      </c>
      <c r="AL337" s="52" t="str">
        <f t="shared" si="268"/>
        <v>2 : 4</v>
      </c>
      <c r="AM337" s="22">
        <f t="shared" si="269"/>
        <v>2</v>
      </c>
      <c r="AN337" s="22">
        <f t="shared" si="270"/>
        <v>4</v>
      </c>
      <c r="AO337" s="22">
        <f t="shared" si="271"/>
        <v>28</v>
      </c>
      <c r="AP337" s="22" t="str">
        <f t="shared" si="272"/>
        <v>O</v>
      </c>
      <c r="AQ337" s="22" t="str">
        <f t="shared" si="273"/>
        <v>X</v>
      </c>
      <c r="AR337" s="22" t="str">
        <f t="shared" si="274"/>
        <v>X</v>
      </c>
      <c r="AS337" s="22" t="str">
        <f t="shared" si="275"/>
        <v>X</v>
      </c>
      <c r="AT337" s="22" t="str">
        <f t="shared" si="276"/>
        <v>X</v>
      </c>
      <c r="AU337" s="22" t="str">
        <f t="shared" si="277"/>
        <v>X</v>
      </c>
      <c r="AV337" s="22" t="str">
        <f t="shared" si="278"/>
        <v>X</v>
      </c>
      <c r="AW337" s="22" t="str">
        <f t="shared" si="279"/>
        <v>X</v>
      </c>
      <c r="AX337" s="22" t="str">
        <f t="shared" si="280"/>
        <v>X</v>
      </c>
      <c r="AY337" s="22" t="str">
        <f t="shared" si="281"/>
        <v>X</v>
      </c>
      <c r="AZ337" s="22" t="str">
        <f t="shared" si="282"/>
        <v>X</v>
      </c>
      <c r="BA337" s="22" t="str">
        <f t="shared" si="283"/>
        <v>O</v>
      </c>
      <c r="BB337" s="22">
        <f t="shared" si="284"/>
        <v>2</v>
      </c>
      <c r="BC337" s="22" t="str">
        <f t="shared" si="255"/>
        <v>1G</v>
      </c>
      <c r="BD337" s="22" t="str">
        <f t="shared" si="256"/>
        <v>1G</v>
      </c>
      <c r="BE337" s="22" t="str">
        <f t="shared" si="257"/>
        <v>2G</v>
      </c>
      <c r="BF337" s="22" t="str">
        <f t="shared" si="258"/>
        <v>2G</v>
      </c>
      <c r="BG337" s="22" t="str">
        <f t="shared" si="259"/>
        <v>3G</v>
      </c>
      <c r="BH337" s="22" t="str">
        <f t="shared" si="260"/>
        <v>3G</v>
      </c>
      <c r="BI337" s="22">
        <f t="shared" si="285"/>
        <v>2</v>
      </c>
      <c r="BJ337" s="22">
        <f t="shared" si="286"/>
        <v>2</v>
      </c>
      <c r="BK337" s="22">
        <f t="shared" si="287"/>
        <v>2</v>
      </c>
      <c r="BL337" s="22" t="str">
        <f t="shared" si="288"/>
        <v>222</v>
      </c>
      <c r="BS337"/>
      <c r="CL337" s="23">
        <v>154</v>
      </c>
      <c r="CM337" s="23">
        <v>150</v>
      </c>
      <c r="CO337"/>
    </row>
    <row r="338" spans="2:93" ht="17" hidden="1">
      <c r="B338" s="15">
        <v>334</v>
      </c>
      <c r="C338" s="23" t="s">
        <v>364</v>
      </c>
      <c r="D338" s="16">
        <v>7</v>
      </c>
      <c r="E338" s="17">
        <v>1523002972</v>
      </c>
      <c r="F338" s="16">
        <v>31</v>
      </c>
      <c r="G338" s="17">
        <v>57317317</v>
      </c>
      <c r="H338" s="17">
        <v>1055</v>
      </c>
      <c r="I338" s="17">
        <v>1684206</v>
      </c>
      <c r="J338" s="17">
        <v>52311</v>
      </c>
      <c r="K338" s="17">
        <v>67934</v>
      </c>
      <c r="L338" s="17">
        <v>890292</v>
      </c>
      <c r="M338" s="17">
        <v>5000</v>
      </c>
      <c r="N338" s="23">
        <v>13</v>
      </c>
      <c r="O338" s="23">
        <v>15</v>
      </c>
      <c r="P338" s="23">
        <v>21</v>
      </c>
      <c r="Q338" s="23">
        <v>29</v>
      </c>
      <c r="R338" s="23">
        <v>39</v>
      </c>
      <c r="S338" s="23">
        <v>43</v>
      </c>
      <c r="T338" s="23">
        <v>33</v>
      </c>
      <c r="U338" s="23">
        <f t="shared" si="261"/>
        <v>160</v>
      </c>
      <c r="W338" s="22" t="str">
        <f t="shared" si="246"/>
        <v>홀수</v>
      </c>
      <c r="X338" s="22" t="str">
        <f t="shared" si="247"/>
        <v>홀수</v>
      </c>
      <c r="Y338" s="22" t="str">
        <f t="shared" si="248"/>
        <v>홀수</v>
      </c>
      <c r="Z338" s="22" t="str">
        <f t="shared" si="249"/>
        <v>홀수</v>
      </c>
      <c r="AA338" s="22" t="str">
        <f t="shared" si="250"/>
        <v>홀수</v>
      </c>
      <c r="AB338" s="22" t="str">
        <f t="shared" si="251"/>
        <v>홀수</v>
      </c>
      <c r="AC338" s="52" t="str">
        <f t="shared" si="252"/>
        <v>6 : 0</v>
      </c>
      <c r="AD338" s="22">
        <f t="shared" si="253"/>
        <v>6</v>
      </c>
      <c r="AE338" s="22">
        <f t="shared" si="254"/>
        <v>0</v>
      </c>
      <c r="AF338" s="22" t="str">
        <f t="shared" si="262"/>
        <v>저수</v>
      </c>
      <c r="AG338" s="22" t="str">
        <f t="shared" si="263"/>
        <v>저수</v>
      </c>
      <c r="AH338" s="22" t="str">
        <f t="shared" si="264"/>
        <v>저수</v>
      </c>
      <c r="AI338" s="22" t="str">
        <f t="shared" si="265"/>
        <v>고수</v>
      </c>
      <c r="AJ338" s="22" t="str">
        <f t="shared" si="266"/>
        <v>고수</v>
      </c>
      <c r="AK338" s="22" t="str">
        <f t="shared" si="267"/>
        <v>고수</v>
      </c>
      <c r="AL338" s="52" t="str">
        <f t="shared" si="268"/>
        <v>3 : 3</v>
      </c>
      <c r="AM338" s="22">
        <f t="shared" si="269"/>
        <v>3</v>
      </c>
      <c r="AN338" s="22">
        <f t="shared" si="270"/>
        <v>3</v>
      </c>
      <c r="AO338" s="22">
        <f t="shared" si="271"/>
        <v>30</v>
      </c>
      <c r="AP338" s="22" t="str">
        <f t="shared" si="272"/>
        <v>O</v>
      </c>
      <c r="AQ338" s="22" t="str">
        <f t="shared" si="273"/>
        <v>X</v>
      </c>
      <c r="AR338" s="22" t="str">
        <f t="shared" si="274"/>
        <v>X</v>
      </c>
      <c r="AS338" s="22" t="str">
        <f t="shared" si="275"/>
        <v>X</v>
      </c>
      <c r="AT338" s="22" t="str">
        <f t="shared" si="276"/>
        <v>X</v>
      </c>
      <c r="AU338" s="22" t="str">
        <f t="shared" si="277"/>
        <v>X</v>
      </c>
      <c r="AV338" s="22" t="str">
        <f t="shared" si="278"/>
        <v>X</v>
      </c>
      <c r="AW338" s="22" t="str">
        <f t="shared" si="279"/>
        <v>X</v>
      </c>
      <c r="AX338" s="22" t="str">
        <f t="shared" si="280"/>
        <v>X</v>
      </c>
      <c r="AY338" s="22" t="str">
        <f t="shared" si="281"/>
        <v>O</v>
      </c>
      <c r="AZ338" s="22" t="str">
        <f t="shared" si="282"/>
        <v>X</v>
      </c>
      <c r="BA338" s="22" t="str">
        <f t="shared" si="283"/>
        <v>O</v>
      </c>
      <c r="BB338" s="22">
        <f t="shared" si="284"/>
        <v>3</v>
      </c>
      <c r="BC338" s="22" t="str">
        <f t="shared" si="255"/>
        <v>1G</v>
      </c>
      <c r="BD338" s="22" t="str">
        <f t="shared" si="256"/>
        <v>1G</v>
      </c>
      <c r="BE338" s="22" t="str">
        <f t="shared" si="257"/>
        <v>2G</v>
      </c>
      <c r="BF338" s="22" t="str">
        <f t="shared" si="258"/>
        <v>2G</v>
      </c>
      <c r="BG338" s="22" t="str">
        <f t="shared" si="259"/>
        <v>3G</v>
      </c>
      <c r="BH338" s="22" t="str">
        <f t="shared" si="260"/>
        <v>3G</v>
      </c>
      <c r="BI338" s="22">
        <f t="shared" si="285"/>
        <v>2</v>
      </c>
      <c r="BJ338" s="22">
        <f t="shared" si="286"/>
        <v>2</v>
      </c>
      <c r="BK338" s="22">
        <f t="shared" si="287"/>
        <v>2</v>
      </c>
      <c r="BL338" s="22" t="str">
        <f t="shared" si="288"/>
        <v>222</v>
      </c>
      <c r="BS338"/>
      <c r="CL338" s="23">
        <v>154</v>
      </c>
      <c r="CM338" s="23">
        <v>150</v>
      </c>
      <c r="CO338"/>
    </row>
    <row r="339" spans="2:93" ht="17" hidden="1">
      <c r="B339" s="15">
        <v>335</v>
      </c>
      <c r="C339" s="23" t="s">
        <v>365</v>
      </c>
      <c r="D339" s="16">
        <v>5</v>
      </c>
      <c r="E339" s="17">
        <v>2037492480</v>
      </c>
      <c r="F339" s="16">
        <v>28</v>
      </c>
      <c r="G339" s="17">
        <v>60639658</v>
      </c>
      <c r="H339" s="17">
        <v>1222</v>
      </c>
      <c r="I339" s="17">
        <v>1389453</v>
      </c>
      <c r="J339" s="17">
        <v>60578</v>
      </c>
      <c r="K339" s="17">
        <v>56057</v>
      </c>
      <c r="L339" s="17">
        <v>1001927</v>
      </c>
      <c r="M339" s="17">
        <v>5000</v>
      </c>
      <c r="N339" s="23">
        <v>5</v>
      </c>
      <c r="O339" s="23">
        <v>9</v>
      </c>
      <c r="P339" s="23">
        <v>16</v>
      </c>
      <c r="Q339" s="23">
        <v>23</v>
      </c>
      <c r="R339" s="23">
        <v>26</v>
      </c>
      <c r="S339" s="23">
        <v>45</v>
      </c>
      <c r="T339" s="23">
        <v>21</v>
      </c>
      <c r="U339" s="23">
        <f t="shared" si="261"/>
        <v>124</v>
      </c>
      <c r="W339" s="22" t="str">
        <f t="shared" si="246"/>
        <v>홀수</v>
      </c>
      <c r="X339" s="22" t="str">
        <f t="shared" si="247"/>
        <v>홀수</v>
      </c>
      <c r="Y339" s="22" t="str">
        <f t="shared" si="248"/>
        <v>짝수</v>
      </c>
      <c r="Z339" s="22" t="str">
        <f t="shared" si="249"/>
        <v>홀수</v>
      </c>
      <c r="AA339" s="22" t="str">
        <f t="shared" si="250"/>
        <v>짝수</v>
      </c>
      <c r="AB339" s="22" t="str">
        <f t="shared" si="251"/>
        <v>홀수</v>
      </c>
      <c r="AC339" s="52" t="str">
        <f t="shared" si="252"/>
        <v>4 : 2</v>
      </c>
      <c r="AD339" s="22">
        <f t="shared" si="253"/>
        <v>4</v>
      </c>
      <c r="AE339" s="22">
        <f t="shared" si="254"/>
        <v>2</v>
      </c>
      <c r="AF339" s="22" t="str">
        <f t="shared" si="262"/>
        <v>저수</v>
      </c>
      <c r="AG339" s="22" t="str">
        <f t="shared" si="263"/>
        <v>저수</v>
      </c>
      <c r="AH339" s="22" t="str">
        <f t="shared" si="264"/>
        <v>저수</v>
      </c>
      <c r="AI339" s="22" t="str">
        <f t="shared" si="265"/>
        <v>고수</v>
      </c>
      <c r="AJ339" s="22" t="str">
        <f t="shared" si="266"/>
        <v>고수</v>
      </c>
      <c r="AK339" s="22" t="str">
        <f t="shared" si="267"/>
        <v>고수</v>
      </c>
      <c r="AL339" s="52" t="str">
        <f t="shared" si="268"/>
        <v>3 : 3</v>
      </c>
      <c r="AM339" s="22">
        <f t="shared" si="269"/>
        <v>3</v>
      </c>
      <c r="AN339" s="22">
        <f t="shared" si="270"/>
        <v>3</v>
      </c>
      <c r="AO339" s="22">
        <f t="shared" si="271"/>
        <v>34</v>
      </c>
      <c r="AP339" s="22" t="str">
        <f t="shared" si="272"/>
        <v>O</v>
      </c>
      <c r="AQ339" s="22" t="str">
        <f t="shared" si="273"/>
        <v>X</v>
      </c>
      <c r="AR339" s="22" t="str">
        <f t="shared" si="274"/>
        <v>X</v>
      </c>
      <c r="AS339" s="22" t="str">
        <f t="shared" si="275"/>
        <v>X</v>
      </c>
      <c r="AT339" s="22" t="str">
        <f t="shared" si="276"/>
        <v>X</v>
      </c>
      <c r="AU339" s="22" t="str">
        <f t="shared" si="277"/>
        <v>X</v>
      </c>
      <c r="AV339" s="22" t="str">
        <f t="shared" si="278"/>
        <v>X</v>
      </c>
      <c r="AW339" s="22" t="str">
        <f t="shared" si="279"/>
        <v>X</v>
      </c>
      <c r="AX339" s="22" t="str">
        <f t="shared" si="280"/>
        <v>X</v>
      </c>
      <c r="AY339" s="22" t="str">
        <f t="shared" si="281"/>
        <v>O</v>
      </c>
      <c r="AZ339" s="22" t="str">
        <f t="shared" si="282"/>
        <v>X</v>
      </c>
      <c r="BA339" s="22" t="str">
        <f t="shared" si="283"/>
        <v>X</v>
      </c>
      <c r="BB339" s="22">
        <f t="shared" si="284"/>
        <v>2</v>
      </c>
      <c r="BC339" s="22" t="str">
        <f t="shared" si="255"/>
        <v>1G</v>
      </c>
      <c r="BD339" s="22" t="str">
        <f t="shared" si="256"/>
        <v>1G</v>
      </c>
      <c r="BE339" s="22" t="str">
        <f t="shared" si="257"/>
        <v>2G</v>
      </c>
      <c r="BF339" s="22" t="str">
        <f t="shared" si="258"/>
        <v>2G</v>
      </c>
      <c r="BG339" s="22" t="str">
        <f t="shared" si="259"/>
        <v>2G</v>
      </c>
      <c r="BH339" s="22" t="str">
        <f t="shared" si="260"/>
        <v>3G</v>
      </c>
      <c r="BI339" s="22">
        <f t="shared" si="285"/>
        <v>2</v>
      </c>
      <c r="BJ339" s="22">
        <f t="shared" si="286"/>
        <v>3</v>
      </c>
      <c r="BK339" s="22">
        <f t="shared" si="287"/>
        <v>1</v>
      </c>
      <c r="BL339" s="22" t="str">
        <f t="shared" si="288"/>
        <v>231</v>
      </c>
      <c r="BS339"/>
      <c r="CL339" s="23">
        <v>155</v>
      </c>
      <c r="CM339" s="23">
        <v>150</v>
      </c>
      <c r="CO339"/>
    </row>
    <row r="340" spans="2:93" ht="17" hidden="1">
      <c r="B340" s="15">
        <v>336</v>
      </c>
      <c r="C340" s="23" t="s">
        <v>366</v>
      </c>
      <c r="D340" s="16">
        <v>6</v>
      </c>
      <c r="E340" s="17">
        <v>1685632650</v>
      </c>
      <c r="F340" s="16">
        <v>30</v>
      </c>
      <c r="G340" s="17">
        <v>56187755</v>
      </c>
      <c r="H340" s="16">
        <v>989</v>
      </c>
      <c r="I340" s="17">
        <v>1704381</v>
      </c>
      <c r="J340" s="17">
        <v>54887</v>
      </c>
      <c r="K340" s="17">
        <v>61422</v>
      </c>
      <c r="L340" s="17">
        <v>935668</v>
      </c>
      <c r="M340" s="17">
        <v>5000</v>
      </c>
      <c r="N340" s="23">
        <v>3</v>
      </c>
      <c r="O340" s="23">
        <v>5</v>
      </c>
      <c r="P340" s="23">
        <v>20</v>
      </c>
      <c r="Q340" s="23">
        <v>34</v>
      </c>
      <c r="R340" s="23">
        <v>35</v>
      </c>
      <c r="S340" s="23">
        <v>44</v>
      </c>
      <c r="T340" s="23">
        <v>16</v>
      </c>
      <c r="U340" s="23">
        <f t="shared" si="261"/>
        <v>141</v>
      </c>
      <c r="W340" s="22" t="str">
        <f t="shared" si="246"/>
        <v>홀수</v>
      </c>
      <c r="X340" s="22" t="str">
        <f t="shared" si="247"/>
        <v>홀수</v>
      </c>
      <c r="Y340" s="22" t="str">
        <f t="shared" si="248"/>
        <v>짝수</v>
      </c>
      <c r="Z340" s="22" t="str">
        <f t="shared" si="249"/>
        <v>짝수</v>
      </c>
      <c r="AA340" s="22" t="str">
        <f t="shared" si="250"/>
        <v>홀수</v>
      </c>
      <c r="AB340" s="22" t="str">
        <f t="shared" si="251"/>
        <v>짝수</v>
      </c>
      <c r="AC340" s="52" t="str">
        <f t="shared" si="252"/>
        <v>3 : 3</v>
      </c>
      <c r="AD340" s="22">
        <f t="shared" si="253"/>
        <v>3</v>
      </c>
      <c r="AE340" s="22">
        <f t="shared" si="254"/>
        <v>3</v>
      </c>
      <c r="AF340" s="22" t="str">
        <f t="shared" si="262"/>
        <v>저수</v>
      </c>
      <c r="AG340" s="22" t="str">
        <f t="shared" si="263"/>
        <v>저수</v>
      </c>
      <c r="AH340" s="22" t="str">
        <f t="shared" si="264"/>
        <v>저수</v>
      </c>
      <c r="AI340" s="22" t="str">
        <f t="shared" si="265"/>
        <v>고수</v>
      </c>
      <c r="AJ340" s="22" t="str">
        <f t="shared" si="266"/>
        <v>고수</v>
      </c>
      <c r="AK340" s="22" t="str">
        <f t="shared" si="267"/>
        <v>고수</v>
      </c>
      <c r="AL340" s="52" t="str">
        <f t="shared" si="268"/>
        <v>3 : 3</v>
      </c>
      <c r="AM340" s="22">
        <f t="shared" si="269"/>
        <v>3</v>
      </c>
      <c r="AN340" s="22">
        <f t="shared" si="270"/>
        <v>3</v>
      </c>
      <c r="AO340" s="22">
        <f t="shared" si="271"/>
        <v>21</v>
      </c>
      <c r="AP340" s="22" t="str">
        <f t="shared" si="272"/>
        <v>O</v>
      </c>
      <c r="AQ340" s="22" t="str">
        <f t="shared" si="273"/>
        <v>O</v>
      </c>
      <c r="AR340" s="22" t="str">
        <f t="shared" si="274"/>
        <v>X</v>
      </c>
      <c r="AS340" s="22" t="str">
        <f t="shared" si="275"/>
        <v>X</v>
      </c>
      <c r="AT340" s="22" t="str">
        <f t="shared" si="276"/>
        <v>X</v>
      </c>
      <c r="AU340" s="22" t="str">
        <f t="shared" si="277"/>
        <v>X</v>
      </c>
      <c r="AV340" s="22" t="str">
        <f t="shared" si="278"/>
        <v>X</v>
      </c>
      <c r="AW340" s="22" t="str">
        <f t="shared" si="279"/>
        <v>X</v>
      </c>
      <c r="AX340" s="22" t="str">
        <f t="shared" si="280"/>
        <v>X</v>
      </c>
      <c r="AY340" s="22" t="str">
        <f t="shared" si="281"/>
        <v>X</v>
      </c>
      <c r="AZ340" s="22" t="str">
        <f t="shared" si="282"/>
        <v>X</v>
      </c>
      <c r="BA340" s="22" t="str">
        <f t="shared" si="283"/>
        <v>X</v>
      </c>
      <c r="BB340" s="22">
        <f t="shared" si="284"/>
        <v>2</v>
      </c>
      <c r="BC340" s="22" t="str">
        <f t="shared" si="255"/>
        <v>1G</v>
      </c>
      <c r="BD340" s="22" t="str">
        <f t="shared" si="256"/>
        <v>1G</v>
      </c>
      <c r="BE340" s="22" t="str">
        <f t="shared" si="257"/>
        <v>2G</v>
      </c>
      <c r="BF340" s="22" t="str">
        <f t="shared" si="258"/>
        <v>3G</v>
      </c>
      <c r="BG340" s="22" t="str">
        <f t="shared" si="259"/>
        <v>3G</v>
      </c>
      <c r="BH340" s="22" t="str">
        <f t="shared" si="260"/>
        <v>3G</v>
      </c>
      <c r="BI340" s="22">
        <f t="shared" si="285"/>
        <v>2</v>
      </c>
      <c r="BJ340" s="22">
        <f t="shared" si="286"/>
        <v>1</v>
      </c>
      <c r="BK340" s="22">
        <f t="shared" si="287"/>
        <v>3</v>
      </c>
      <c r="BL340" s="22" t="str">
        <f t="shared" si="288"/>
        <v>213</v>
      </c>
      <c r="BS340"/>
      <c r="CL340" s="23">
        <v>155</v>
      </c>
      <c r="CM340" s="23">
        <v>150</v>
      </c>
      <c r="CO340"/>
    </row>
    <row r="341" spans="2:93" ht="17" hidden="1">
      <c r="B341" s="15">
        <v>337</v>
      </c>
      <c r="C341" s="23" t="s">
        <v>367</v>
      </c>
      <c r="D341" s="16">
        <v>8</v>
      </c>
      <c r="E341" s="17">
        <v>1257500513</v>
      </c>
      <c r="F341" s="16">
        <v>33</v>
      </c>
      <c r="G341" s="17">
        <v>50808102</v>
      </c>
      <c r="H341" s="17">
        <v>1194</v>
      </c>
      <c r="I341" s="17">
        <v>1404245</v>
      </c>
      <c r="J341" s="17">
        <v>59392</v>
      </c>
      <c r="K341" s="17">
        <v>56462</v>
      </c>
      <c r="L341" s="17">
        <v>989912</v>
      </c>
      <c r="M341" s="17">
        <v>5000</v>
      </c>
      <c r="N341" s="23">
        <v>1</v>
      </c>
      <c r="O341" s="23">
        <v>5</v>
      </c>
      <c r="P341" s="23">
        <v>14</v>
      </c>
      <c r="Q341" s="23">
        <v>18</v>
      </c>
      <c r="R341" s="23">
        <v>32</v>
      </c>
      <c r="S341" s="23">
        <v>37</v>
      </c>
      <c r="T341" s="23">
        <v>4</v>
      </c>
      <c r="U341" s="23">
        <f t="shared" si="261"/>
        <v>107</v>
      </c>
      <c r="W341" s="22" t="str">
        <f t="shared" si="246"/>
        <v>홀수</v>
      </c>
      <c r="X341" s="22" t="str">
        <f t="shared" si="247"/>
        <v>홀수</v>
      </c>
      <c r="Y341" s="22" t="str">
        <f t="shared" si="248"/>
        <v>짝수</v>
      </c>
      <c r="Z341" s="22" t="str">
        <f t="shared" si="249"/>
        <v>짝수</v>
      </c>
      <c r="AA341" s="22" t="str">
        <f t="shared" si="250"/>
        <v>짝수</v>
      </c>
      <c r="AB341" s="22" t="str">
        <f t="shared" si="251"/>
        <v>홀수</v>
      </c>
      <c r="AC341" s="52" t="str">
        <f t="shared" si="252"/>
        <v>3 : 3</v>
      </c>
      <c r="AD341" s="22">
        <f t="shared" si="253"/>
        <v>3</v>
      </c>
      <c r="AE341" s="22">
        <f t="shared" si="254"/>
        <v>3</v>
      </c>
      <c r="AF341" s="22" t="str">
        <f t="shared" si="262"/>
        <v>저수</v>
      </c>
      <c r="AG341" s="22" t="str">
        <f t="shared" si="263"/>
        <v>저수</v>
      </c>
      <c r="AH341" s="22" t="str">
        <f t="shared" si="264"/>
        <v>저수</v>
      </c>
      <c r="AI341" s="22" t="str">
        <f t="shared" si="265"/>
        <v>저수</v>
      </c>
      <c r="AJ341" s="22" t="str">
        <f t="shared" si="266"/>
        <v>고수</v>
      </c>
      <c r="AK341" s="22" t="str">
        <f t="shared" si="267"/>
        <v>고수</v>
      </c>
      <c r="AL341" s="52" t="str">
        <f t="shared" si="268"/>
        <v>4 : 2</v>
      </c>
      <c r="AM341" s="22">
        <f t="shared" si="269"/>
        <v>4</v>
      </c>
      <c r="AN341" s="22">
        <f t="shared" si="270"/>
        <v>2</v>
      </c>
      <c r="AO341" s="22">
        <f t="shared" si="271"/>
        <v>27</v>
      </c>
      <c r="AP341" s="22" t="str">
        <f t="shared" si="272"/>
        <v>X</v>
      </c>
      <c r="AQ341" s="22" t="str">
        <f t="shared" si="273"/>
        <v>O</v>
      </c>
      <c r="AR341" s="22" t="str">
        <f t="shared" si="274"/>
        <v>X</v>
      </c>
      <c r="AS341" s="22" t="str">
        <f t="shared" si="275"/>
        <v>X</v>
      </c>
      <c r="AT341" s="22" t="str">
        <f t="shared" si="276"/>
        <v>X</v>
      </c>
      <c r="AU341" s="22" t="str">
        <f t="shared" si="277"/>
        <v>X</v>
      </c>
      <c r="AV341" s="22" t="str">
        <f t="shared" si="278"/>
        <v>X</v>
      </c>
      <c r="AW341" s="22" t="str">
        <f t="shared" si="279"/>
        <v>X</v>
      </c>
      <c r="AX341" s="22" t="str">
        <f t="shared" si="280"/>
        <v>X</v>
      </c>
      <c r="AY341" s="22" t="str">
        <f t="shared" si="281"/>
        <v>X</v>
      </c>
      <c r="AZ341" s="22" t="str">
        <f t="shared" si="282"/>
        <v>X</v>
      </c>
      <c r="BA341" s="22" t="str">
        <f t="shared" si="283"/>
        <v>O</v>
      </c>
      <c r="BB341" s="22">
        <f t="shared" si="284"/>
        <v>2</v>
      </c>
      <c r="BC341" s="22" t="str">
        <f t="shared" si="255"/>
        <v>1G</v>
      </c>
      <c r="BD341" s="22" t="str">
        <f t="shared" si="256"/>
        <v>1G</v>
      </c>
      <c r="BE341" s="22" t="str">
        <f t="shared" si="257"/>
        <v>1G</v>
      </c>
      <c r="BF341" s="22" t="str">
        <f t="shared" si="258"/>
        <v>2G</v>
      </c>
      <c r="BG341" s="22" t="str">
        <f t="shared" si="259"/>
        <v>3G</v>
      </c>
      <c r="BH341" s="22" t="str">
        <f t="shared" si="260"/>
        <v>3G</v>
      </c>
      <c r="BI341" s="22">
        <f t="shared" si="285"/>
        <v>3</v>
      </c>
      <c r="BJ341" s="22">
        <f t="shared" si="286"/>
        <v>1</v>
      </c>
      <c r="BK341" s="22">
        <f t="shared" si="287"/>
        <v>2</v>
      </c>
      <c r="BL341" s="22" t="str">
        <f t="shared" si="288"/>
        <v>312</v>
      </c>
      <c r="BS341"/>
      <c r="CL341" s="23">
        <v>155</v>
      </c>
      <c r="CM341" s="23">
        <v>150</v>
      </c>
      <c r="CO341"/>
    </row>
    <row r="342" spans="2:93" ht="17" hidden="1">
      <c r="B342" s="15">
        <v>338</v>
      </c>
      <c r="C342" s="23" t="s">
        <v>368</v>
      </c>
      <c r="D342" s="16">
        <v>3</v>
      </c>
      <c r="E342" s="17">
        <v>3383431000</v>
      </c>
      <c r="F342" s="16">
        <v>39</v>
      </c>
      <c r="G342" s="17">
        <v>43377321</v>
      </c>
      <c r="H342" s="17">
        <v>1123</v>
      </c>
      <c r="I342" s="17">
        <v>1506426</v>
      </c>
      <c r="J342" s="17">
        <v>54492</v>
      </c>
      <c r="K342" s="17">
        <v>62091</v>
      </c>
      <c r="L342" s="17">
        <v>930171</v>
      </c>
      <c r="M342" s="17">
        <v>5000</v>
      </c>
      <c r="N342" s="23">
        <v>2</v>
      </c>
      <c r="O342" s="23">
        <v>13</v>
      </c>
      <c r="P342" s="23">
        <v>34</v>
      </c>
      <c r="Q342" s="23">
        <v>38</v>
      </c>
      <c r="R342" s="23">
        <v>42</v>
      </c>
      <c r="S342" s="23">
        <v>45</v>
      </c>
      <c r="T342" s="23">
        <v>16</v>
      </c>
      <c r="U342" s="23">
        <f t="shared" si="261"/>
        <v>174</v>
      </c>
      <c r="W342" s="22" t="str">
        <f t="shared" si="246"/>
        <v>짝수</v>
      </c>
      <c r="X342" s="22" t="str">
        <f t="shared" si="247"/>
        <v>홀수</v>
      </c>
      <c r="Y342" s="22" t="str">
        <f t="shared" si="248"/>
        <v>짝수</v>
      </c>
      <c r="Z342" s="22" t="str">
        <f t="shared" si="249"/>
        <v>짝수</v>
      </c>
      <c r="AA342" s="22" t="str">
        <f t="shared" si="250"/>
        <v>짝수</v>
      </c>
      <c r="AB342" s="22" t="str">
        <f t="shared" si="251"/>
        <v>홀수</v>
      </c>
      <c r="AC342" s="52" t="str">
        <f t="shared" si="252"/>
        <v>2 : 4</v>
      </c>
      <c r="AD342" s="22">
        <f t="shared" si="253"/>
        <v>2</v>
      </c>
      <c r="AE342" s="22">
        <f t="shared" si="254"/>
        <v>4</v>
      </c>
      <c r="AF342" s="22" t="str">
        <f t="shared" si="262"/>
        <v>저수</v>
      </c>
      <c r="AG342" s="22" t="str">
        <f t="shared" si="263"/>
        <v>저수</v>
      </c>
      <c r="AH342" s="22" t="str">
        <f t="shared" si="264"/>
        <v>고수</v>
      </c>
      <c r="AI342" s="22" t="str">
        <f t="shared" si="265"/>
        <v>고수</v>
      </c>
      <c r="AJ342" s="22" t="str">
        <f t="shared" si="266"/>
        <v>고수</v>
      </c>
      <c r="AK342" s="22" t="str">
        <f t="shared" si="267"/>
        <v>고수</v>
      </c>
      <c r="AL342" s="52" t="str">
        <f t="shared" si="268"/>
        <v>2 : 4</v>
      </c>
      <c r="AM342" s="22">
        <f t="shared" si="269"/>
        <v>2</v>
      </c>
      <c r="AN342" s="22">
        <f t="shared" si="270"/>
        <v>4</v>
      </c>
      <c r="AO342" s="22">
        <f t="shared" si="271"/>
        <v>24</v>
      </c>
      <c r="AP342" s="22" t="str">
        <f t="shared" si="272"/>
        <v>O</v>
      </c>
      <c r="AQ342" s="22" t="str">
        <f t="shared" si="273"/>
        <v>O</v>
      </c>
      <c r="AR342" s="22" t="str">
        <f t="shared" si="274"/>
        <v>X</v>
      </c>
      <c r="AS342" s="22" t="str">
        <f t="shared" si="275"/>
        <v>X</v>
      </c>
      <c r="AT342" s="22" t="str">
        <f t="shared" si="276"/>
        <v>X</v>
      </c>
      <c r="AU342" s="22" t="str">
        <f t="shared" si="277"/>
        <v>X</v>
      </c>
      <c r="AV342" s="22" t="str">
        <f t="shared" si="278"/>
        <v>X</v>
      </c>
      <c r="AW342" s="22" t="str">
        <f t="shared" si="279"/>
        <v>X</v>
      </c>
      <c r="AX342" s="22" t="str">
        <f t="shared" si="280"/>
        <v>X</v>
      </c>
      <c r="AY342" s="22" t="str">
        <f t="shared" si="281"/>
        <v>X</v>
      </c>
      <c r="AZ342" s="22" t="str">
        <f t="shared" si="282"/>
        <v>X</v>
      </c>
      <c r="BA342" s="22" t="str">
        <f t="shared" si="283"/>
        <v>X</v>
      </c>
      <c r="BB342" s="22">
        <f t="shared" si="284"/>
        <v>2</v>
      </c>
      <c r="BC342" s="22" t="str">
        <f t="shared" si="255"/>
        <v>1G</v>
      </c>
      <c r="BD342" s="22" t="str">
        <f t="shared" si="256"/>
        <v>1G</v>
      </c>
      <c r="BE342" s="22" t="str">
        <f t="shared" si="257"/>
        <v>3G</v>
      </c>
      <c r="BF342" s="22" t="str">
        <f t="shared" si="258"/>
        <v>3G</v>
      </c>
      <c r="BG342" s="22" t="str">
        <f t="shared" si="259"/>
        <v>3G</v>
      </c>
      <c r="BH342" s="22" t="str">
        <f t="shared" si="260"/>
        <v>3G</v>
      </c>
      <c r="BI342" s="22">
        <f t="shared" si="285"/>
        <v>2</v>
      </c>
      <c r="BJ342" s="22">
        <f t="shared" si="286"/>
        <v>0</v>
      </c>
      <c r="BK342" s="22">
        <f t="shared" si="287"/>
        <v>4</v>
      </c>
      <c r="BL342" s="22" t="str">
        <f t="shared" si="288"/>
        <v>204</v>
      </c>
      <c r="BS342"/>
      <c r="CL342" s="23">
        <v>155</v>
      </c>
      <c r="CM342" s="23">
        <v>150</v>
      </c>
      <c r="CO342"/>
    </row>
    <row r="343" spans="2:93" ht="17" hidden="1">
      <c r="B343" s="15">
        <v>339</v>
      </c>
      <c r="C343" s="23" t="s">
        <v>369</v>
      </c>
      <c r="D343" s="16">
        <v>9</v>
      </c>
      <c r="E343" s="17">
        <v>1096778334</v>
      </c>
      <c r="F343" s="16">
        <v>32</v>
      </c>
      <c r="G343" s="17">
        <v>51411485</v>
      </c>
      <c r="H343" s="17">
        <v>1107</v>
      </c>
      <c r="I343" s="17">
        <v>1486150</v>
      </c>
      <c r="J343" s="17">
        <v>54545</v>
      </c>
      <c r="K343" s="17">
        <v>60324</v>
      </c>
      <c r="L343" s="17">
        <v>913229</v>
      </c>
      <c r="M343" s="17">
        <v>5000</v>
      </c>
      <c r="N343" s="23">
        <v>6</v>
      </c>
      <c r="O343" s="23">
        <v>8</v>
      </c>
      <c r="P343" s="23">
        <v>14</v>
      </c>
      <c r="Q343" s="23">
        <v>21</v>
      </c>
      <c r="R343" s="23">
        <v>30</v>
      </c>
      <c r="S343" s="23">
        <v>37</v>
      </c>
      <c r="T343" s="23">
        <v>45</v>
      </c>
      <c r="U343" s="23">
        <f t="shared" si="261"/>
        <v>116</v>
      </c>
      <c r="W343" s="22" t="str">
        <f t="shared" si="246"/>
        <v>짝수</v>
      </c>
      <c r="X343" s="22" t="str">
        <f t="shared" si="247"/>
        <v>짝수</v>
      </c>
      <c r="Y343" s="22" t="str">
        <f t="shared" si="248"/>
        <v>짝수</v>
      </c>
      <c r="Z343" s="22" t="str">
        <f t="shared" si="249"/>
        <v>홀수</v>
      </c>
      <c r="AA343" s="22" t="str">
        <f t="shared" si="250"/>
        <v>짝수</v>
      </c>
      <c r="AB343" s="22" t="str">
        <f t="shared" si="251"/>
        <v>홀수</v>
      </c>
      <c r="AC343" s="52" t="str">
        <f t="shared" si="252"/>
        <v>2 : 4</v>
      </c>
      <c r="AD343" s="22">
        <f t="shared" si="253"/>
        <v>2</v>
      </c>
      <c r="AE343" s="22">
        <f t="shared" si="254"/>
        <v>4</v>
      </c>
      <c r="AF343" s="22" t="str">
        <f t="shared" si="262"/>
        <v>저수</v>
      </c>
      <c r="AG343" s="22" t="str">
        <f t="shared" si="263"/>
        <v>저수</v>
      </c>
      <c r="AH343" s="22" t="str">
        <f t="shared" si="264"/>
        <v>저수</v>
      </c>
      <c r="AI343" s="22" t="str">
        <f t="shared" si="265"/>
        <v>저수</v>
      </c>
      <c r="AJ343" s="22" t="str">
        <f t="shared" si="266"/>
        <v>고수</v>
      </c>
      <c r="AK343" s="22" t="str">
        <f t="shared" si="267"/>
        <v>고수</v>
      </c>
      <c r="AL343" s="52" t="str">
        <f t="shared" si="268"/>
        <v>4 : 2</v>
      </c>
      <c r="AM343" s="22">
        <f t="shared" si="269"/>
        <v>4</v>
      </c>
      <c r="AN343" s="22">
        <f t="shared" si="270"/>
        <v>2</v>
      </c>
      <c r="AO343" s="22">
        <f t="shared" si="271"/>
        <v>26</v>
      </c>
      <c r="AP343" s="22" t="str">
        <f t="shared" si="272"/>
        <v>X</v>
      </c>
      <c r="AQ343" s="22" t="str">
        <f t="shared" si="273"/>
        <v>X</v>
      </c>
      <c r="AR343" s="22" t="str">
        <f t="shared" si="274"/>
        <v>X</v>
      </c>
      <c r="AS343" s="22" t="str">
        <f t="shared" si="275"/>
        <v>X</v>
      </c>
      <c r="AT343" s="22" t="str">
        <f t="shared" si="276"/>
        <v>X</v>
      </c>
      <c r="AU343" s="22" t="str">
        <f t="shared" si="277"/>
        <v>X</v>
      </c>
      <c r="AV343" s="22" t="str">
        <f t="shared" si="278"/>
        <v>X</v>
      </c>
      <c r="AW343" s="22" t="str">
        <f t="shared" si="279"/>
        <v>X</v>
      </c>
      <c r="AX343" s="22" t="str">
        <f t="shared" si="280"/>
        <v>X</v>
      </c>
      <c r="AY343" s="22" t="str">
        <f t="shared" si="281"/>
        <v>X</v>
      </c>
      <c r="AZ343" s="22" t="str">
        <f t="shared" si="282"/>
        <v>X</v>
      </c>
      <c r="BA343" s="22" t="str">
        <f t="shared" si="283"/>
        <v>O</v>
      </c>
      <c r="BB343" s="22">
        <f t="shared" si="284"/>
        <v>1</v>
      </c>
      <c r="BC343" s="22" t="str">
        <f t="shared" si="255"/>
        <v>1G</v>
      </c>
      <c r="BD343" s="22" t="str">
        <f t="shared" si="256"/>
        <v>1G</v>
      </c>
      <c r="BE343" s="22" t="str">
        <f t="shared" si="257"/>
        <v>1G</v>
      </c>
      <c r="BF343" s="22" t="str">
        <f t="shared" si="258"/>
        <v>2G</v>
      </c>
      <c r="BG343" s="22" t="str">
        <f t="shared" si="259"/>
        <v>2G</v>
      </c>
      <c r="BH343" s="22" t="str">
        <f t="shared" si="260"/>
        <v>3G</v>
      </c>
      <c r="BI343" s="22">
        <f t="shared" si="285"/>
        <v>3</v>
      </c>
      <c r="BJ343" s="22">
        <f t="shared" si="286"/>
        <v>2</v>
      </c>
      <c r="BK343" s="22">
        <f t="shared" si="287"/>
        <v>1</v>
      </c>
      <c r="BL343" s="22" t="str">
        <f t="shared" si="288"/>
        <v>321</v>
      </c>
      <c r="BS343"/>
      <c r="CL343" s="23">
        <v>155</v>
      </c>
      <c r="CM343" s="23">
        <v>150</v>
      </c>
      <c r="CO343"/>
    </row>
    <row r="344" spans="2:93" ht="17" hidden="1">
      <c r="B344" s="15">
        <v>340</v>
      </c>
      <c r="C344" s="23" t="s">
        <v>370</v>
      </c>
      <c r="D344" s="16">
        <v>7</v>
      </c>
      <c r="E344" s="17">
        <v>1439393186</v>
      </c>
      <c r="F344" s="16">
        <v>35</v>
      </c>
      <c r="G344" s="17">
        <v>47979773</v>
      </c>
      <c r="H344" s="17">
        <v>1125</v>
      </c>
      <c r="I344" s="17">
        <v>1492705</v>
      </c>
      <c r="J344" s="17">
        <v>56209</v>
      </c>
      <c r="K344" s="17">
        <v>59752</v>
      </c>
      <c r="L344" s="17">
        <v>930628</v>
      </c>
      <c r="M344" s="17">
        <v>5000</v>
      </c>
      <c r="N344" s="23">
        <v>18</v>
      </c>
      <c r="O344" s="23">
        <v>24</v>
      </c>
      <c r="P344" s="23">
        <v>26</v>
      </c>
      <c r="Q344" s="23">
        <v>29</v>
      </c>
      <c r="R344" s="23">
        <v>34</v>
      </c>
      <c r="S344" s="23">
        <v>38</v>
      </c>
      <c r="T344" s="23">
        <v>32</v>
      </c>
      <c r="U344" s="23">
        <f t="shared" si="261"/>
        <v>169</v>
      </c>
      <c r="W344" s="22" t="str">
        <f t="shared" si="246"/>
        <v>짝수</v>
      </c>
      <c r="X344" s="22" t="str">
        <f t="shared" si="247"/>
        <v>짝수</v>
      </c>
      <c r="Y344" s="22" t="str">
        <f t="shared" si="248"/>
        <v>짝수</v>
      </c>
      <c r="Z344" s="22" t="str">
        <f t="shared" si="249"/>
        <v>홀수</v>
      </c>
      <c r="AA344" s="22" t="str">
        <f t="shared" si="250"/>
        <v>짝수</v>
      </c>
      <c r="AB344" s="22" t="str">
        <f t="shared" si="251"/>
        <v>짝수</v>
      </c>
      <c r="AC344" s="52" t="str">
        <f t="shared" si="252"/>
        <v>1 : 5</v>
      </c>
      <c r="AD344" s="22">
        <f t="shared" si="253"/>
        <v>1</v>
      </c>
      <c r="AE344" s="22">
        <f t="shared" si="254"/>
        <v>5</v>
      </c>
      <c r="AF344" s="22" t="str">
        <f t="shared" si="262"/>
        <v>저수</v>
      </c>
      <c r="AG344" s="22" t="str">
        <f t="shared" si="263"/>
        <v>고수</v>
      </c>
      <c r="AH344" s="22" t="str">
        <f t="shared" si="264"/>
        <v>고수</v>
      </c>
      <c r="AI344" s="22" t="str">
        <f t="shared" si="265"/>
        <v>고수</v>
      </c>
      <c r="AJ344" s="22" t="str">
        <f t="shared" si="266"/>
        <v>고수</v>
      </c>
      <c r="AK344" s="22" t="str">
        <f t="shared" si="267"/>
        <v>고수</v>
      </c>
      <c r="AL344" s="52" t="str">
        <f t="shared" si="268"/>
        <v>1 : 5</v>
      </c>
      <c r="AM344" s="22">
        <f t="shared" si="269"/>
        <v>1</v>
      </c>
      <c r="AN344" s="22">
        <f t="shared" si="270"/>
        <v>5</v>
      </c>
      <c r="AO344" s="22">
        <f t="shared" si="271"/>
        <v>39</v>
      </c>
      <c r="AP344" s="22" t="str">
        <f t="shared" si="272"/>
        <v>X</v>
      </c>
      <c r="AQ344" s="22" t="str">
        <f t="shared" si="273"/>
        <v>X</v>
      </c>
      <c r="AR344" s="22" t="str">
        <f t="shared" si="274"/>
        <v>X</v>
      </c>
      <c r="AS344" s="22" t="str">
        <f t="shared" si="275"/>
        <v>X</v>
      </c>
      <c r="AT344" s="22" t="str">
        <f t="shared" si="276"/>
        <v>X</v>
      </c>
      <c r="AU344" s="22" t="str">
        <f t="shared" si="277"/>
        <v>X</v>
      </c>
      <c r="AV344" s="22" t="str">
        <f t="shared" si="278"/>
        <v>X</v>
      </c>
      <c r="AW344" s="22" t="str">
        <f t="shared" si="279"/>
        <v>X</v>
      </c>
      <c r="AX344" s="22" t="str">
        <f t="shared" si="280"/>
        <v>X</v>
      </c>
      <c r="AY344" s="22" t="str">
        <f t="shared" si="281"/>
        <v>O</v>
      </c>
      <c r="AZ344" s="22" t="str">
        <f t="shared" si="282"/>
        <v>X</v>
      </c>
      <c r="BA344" s="22" t="str">
        <f t="shared" si="283"/>
        <v>X</v>
      </c>
      <c r="BB344" s="22">
        <f t="shared" si="284"/>
        <v>1</v>
      </c>
      <c r="BC344" s="22" t="str">
        <f t="shared" si="255"/>
        <v>2G</v>
      </c>
      <c r="BD344" s="22" t="str">
        <f t="shared" si="256"/>
        <v>2G</v>
      </c>
      <c r="BE344" s="22" t="str">
        <f t="shared" si="257"/>
        <v>2G</v>
      </c>
      <c r="BF344" s="22" t="str">
        <f t="shared" si="258"/>
        <v>2G</v>
      </c>
      <c r="BG344" s="22" t="str">
        <f t="shared" si="259"/>
        <v>3G</v>
      </c>
      <c r="BH344" s="22" t="str">
        <f t="shared" si="260"/>
        <v>3G</v>
      </c>
      <c r="BI344" s="22">
        <f t="shared" si="285"/>
        <v>0</v>
      </c>
      <c r="BJ344" s="22">
        <f t="shared" si="286"/>
        <v>4</v>
      </c>
      <c r="BK344" s="22">
        <f t="shared" si="287"/>
        <v>2</v>
      </c>
      <c r="BL344" s="22" t="str">
        <f t="shared" si="288"/>
        <v>042</v>
      </c>
      <c r="BS344"/>
      <c r="CL344" s="23">
        <v>156</v>
      </c>
      <c r="CM344" s="23">
        <v>150</v>
      </c>
      <c r="CO344"/>
    </row>
    <row r="345" spans="2:93" ht="17" hidden="1">
      <c r="B345" s="15">
        <v>341</v>
      </c>
      <c r="C345" s="23" t="s">
        <v>371</v>
      </c>
      <c r="D345" s="16">
        <v>7</v>
      </c>
      <c r="E345" s="17">
        <v>1497207772</v>
      </c>
      <c r="F345" s="16">
        <v>33</v>
      </c>
      <c r="G345" s="17">
        <v>52931588</v>
      </c>
      <c r="H345" s="17">
        <v>1235</v>
      </c>
      <c r="I345" s="17">
        <v>1414367</v>
      </c>
      <c r="J345" s="17">
        <v>58756</v>
      </c>
      <c r="K345" s="17">
        <v>59458</v>
      </c>
      <c r="L345" s="17">
        <v>978760</v>
      </c>
      <c r="M345" s="17">
        <v>5000</v>
      </c>
      <c r="N345" s="23">
        <v>1</v>
      </c>
      <c r="O345" s="23">
        <v>8</v>
      </c>
      <c r="P345" s="23">
        <v>19</v>
      </c>
      <c r="Q345" s="23">
        <v>34</v>
      </c>
      <c r="R345" s="23">
        <v>39</v>
      </c>
      <c r="S345" s="23">
        <v>43</v>
      </c>
      <c r="T345" s="23">
        <v>41</v>
      </c>
      <c r="U345" s="23">
        <f t="shared" si="261"/>
        <v>144</v>
      </c>
      <c r="W345" s="22" t="str">
        <f t="shared" si="246"/>
        <v>홀수</v>
      </c>
      <c r="X345" s="22" t="str">
        <f t="shared" si="247"/>
        <v>짝수</v>
      </c>
      <c r="Y345" s="22" t="str">
        <f t="shared" si="248"/>
        <v>홀수</v>
      </c>
      <c r="Z345" s="22" t="str">
        <f t="shared" si="249"/>
        <v>짝수</v>
      </c>
      <c r="AA345" s="22" t="str">
        <f t="shared" si="250"/>
        <v>홀수</v>
      </c>
      <c r="AB345" s="22" t="str">
        <f t="shared" si="251"/>
        <v>홀수</v>
      </c>
      <c r="AC345" s="52" t="str">
        <f t="shared" si="252"/>
        <v>4 : 2</v>
      </c>
      <c r="AD345" s="22">
        <f t="shared" si="253"/>
        <v>4</v>
      </c>
      <c r="AE345" s="22">
        <f t="shared" si="254"/>
        <v>2</v>
      </c>
      <c r="AF345" s="22" t="str">
        <f t="shared" si="262"/>
        <v>저수</v>
      </c>
      <c r="AG345" s="22" t="str">
        <f t="shared" si="263"/>
        <v>저수</v>
      </c>
      <c r="AH345" s="22" t="str">
        <f t="shared" si="264"/>
        <v>저수</v>
      </c>
      <c r="AI345" s="22" t="str">
        <f t="shared" si="265"/>
        <v>고수</v>
      </c>
      <c r="AJ345" s="22" t="str">
        <f t="shared" si="266"/>
        <v>고수</v>
      </c>
      <c r="AK345" s="22" t="str">
        <f t="shared" si="267"/>
        <v>고수</v>
      </c>
      <c r="AL345" s="52" t="str">
        <f t="shared" si="268"/>
        <v>3 : 3</v>
      </c>
      <c r="AM345" s="22">
        <f t="shared" si="269"/>
        <v>3</v>
      </c>
      <c r="AN345" s="22">
        <f t="shared" si="270"/>
        <v>3</v>
      </c>
      <c r="AO345" s="22">
        <f t="shared" si="271"/>
        <v>34</v>
      </c>
      <c r="AP345" s="22" t="str">
        <f t="shared" si="272"/>
        <v>X</v>
      </c>
      <c r="AQ345" s="22" t="str">
        <f t="shared" si="273"/>
        <v>X</v>
      </c>
      <c r="AR345" s="22" t="str">
        <f t="shared" si="274"/>
        <v>O</v>
      </c>
      <c r="AS345" s="22" t="str">
        <f t="shared" si="275"/>
        <v>X</v>
      </c>
      <c r="AT345" s="22" t="str">
        <f t="shared" si="276"/>
        <v>X</v>
      </c>
      <c r="AU345" s="22" t="str">
        <f t="shared" si="277"/>
        <v>X</v>
      </c>
      <c r="AV345" s="22" t="str">
        <f t="shared" si="278"/>
        <v>X</v>
      </c>
      <c r="AW345" s="22" t="str">
        <f t="shared" si="279"/>
        <v>X</v>
      </c>
      <c r="AX345" s="22" t="str">
        <f t="shared" si="280"/>
        <v>X</v>
      </c>
      <c r="AY345" s="22" t="str">
        <f t="shared" si="281"/>
        <v>X</v>
      </c>
      <c r="AZ345" s="22" t="str">
        <f t="shared" si="282"/>
        <v>X</v>
      </c>
      <c r="BA345" s="22" t="str">
        <f t="shared" si="283"/>
        <v>O</v>
      </c>
      <c r="BB345" s="22">
        <f t="shared" si="284"/>
        <v>2</v>
      </c>
      <c r="BC345" s="22" t="str">
        <f t="shared" si="255"/>
        <v>1G</v>
      </c>
      <c r="BD345" s="22" t="str">
        <f t="shared" si="256"/>
        <v>1G</v>
      </c>
      <c r="BE345" s="22" t="str">
        <f t="shared" si="257"/>
        <v>2G</v>
      </c>
      <c r="BF345" s="22" t="str">
        <f t="shared" si="258"/>
        <v>3G</v>
      </c>
      <c r="BG345" s="22" t="str">
        <f t="shared" si="259"/>
        <v>3G</v>
      </c>
      <c r="BH345" s="22" t="str">
        <f t="shared" si="260"/>
        <v>3G</v>
      </c>
      <c r="BI345" s="22">
        <f t="shared" si="285"/>
        <v>2</v>
      </c>
      <c r="BJ345" s="22">
        <f t="shared" si="286"/>
        <v>1</v>
      </c>
      <c r="BK345" s="22">
        <f t="shared" si="287"/>
        <v>3</v>
      </c>
      <c r="BL345" s="22" t="str">
        <f t="shared" si="288"/>
        <v>213</v>
      </c>
      <c r="BS345"/>
      <c r="CL345" s="23">
        <v>156</v>
      </c>
      <c r="CM345" s="23">
        <v>150</v>
      </c>
      <c r="CO345"/>
    </row>
    <row r="346" spans="2:93" ht="17" hidden="1">
      <c r="B346" s="15">
        <v>342</v>
      </c>
      <c r="C346" s="23" t="s">
        <v>372</v>
      </c>
      <c r="D346" s="16">
        <v>3</v>
      </c>
      <c r="E346" s="17">
        <v>3454095800</v>
      </c>
      <c r="F346" s="16">
        <v>29</v>
      </c>
      <c r="G346" s="17">
        <v>59553376</v>
      </c>
      <c r="H346" s="17">
        <v>1177</v>
      </c>
      <c r="I346" s="17">
        <v>1467331</v>
      </c>
      <c r="J346" s="17">
        <v>56149</v>
      </c>
      <c r="K346" s="17">
        <v>61517</v>
      </c>
      <c r="L346" s="17">
        <v>924123</v>
      </c>
      <c r="M346" s="17">
        <v>5000</v>
      </c>
      <c r="N346" s="23">
        <v>1</v>
      </c>
      <c r="O346" s="23">
        <v>13</v>
      </c>
      <c r="P346" s="23">
        <v>14</v>
      </c>
      <c r="Q346" s="23">
        <v>33</v>
      </c>
      <c r="R346" s="23">
        <v>34</v>
      </c>
      <c r="S346" s="23">
        <v>43</v>
      </c>
      <c r="T346" s="23">
        <v>25</v>
      </c>
      <c r="U346" s="23">
        <f t="shared" si="261"/>
        <v>138</v>
      </c>
      <c r="W346" s="22" t="str">
        <f t="shared" si="246"/>
        <v>홀수</v>
      </c>
      <c r="X346" s="22" t="str">
        <f t="shared" si="247"/>
        <v>홀수</v>
      </c>
      <c r="Y346" s="22" t="str">
        <f t="shared" si="248"/>
        <v>짝수</v>
      </c>
      <c r="Z346" s="22" t="str">
        <f t="shared" si="249"/>
        <v>홀수</v>
      </c>
      <c r="AA346" s="22" t="str">
        <f t="shared" si="250"/>
        <v>짝수</v>
      </c>
      <c r="AB346" s="22" t="str">
        <f t="shared" si="251"/>
        <v>홀수</v>
      </c>
      <c r="AC346" s="52" t="str">
        <f t="shared" si="252"/>
        <v>4 : 2</v>
      </c>
      <c r="AD346" s="22">
        <f t="shared" si="253"/>
        <v>4</v>
      </c>
      <c r="AE346" s="22">
        <f t="shared" si="254"/>
        <v>2</v>
      </c>
      <c r="AF346" s="22" t="str">
        <f t="shared" si="262"/>
        <v>저수</v>
      </c>
      <c r="AG346" s="22" t="str">
        <f t="shared" si="263"/>
        <v>저수</v>
      </c>
      <c r="AH346" s="22" t="str">
        <f t="shared" si="264"/>
        <v>저수</v>
      </c>
      <c r="AI346" s="22" t="str">
        <f t="shared" si="265"/>
        <v>고수</v>
      </c>
      <c r="AJ346" s="22" t="str">
        <f t="shared" si="266"/>
        <v>고수</v>
      </c>
      <c r="AK346" s="22" t="str">
        <f t="shared" si="267"/>
        <v>고수</v>
      </c>
      <c r="AL346" s="52" t="str">
        <f t="shared" si="268"/>
        <v>3 : 3</v>
      </c>
      <c r="AM346" s="22">
        <f t="shared" si="269"/>
        <v>3</v>
      </c>
      <c r="AN346" s="22">
        <f t="shared" si="270"/>
        <v>3</v>
      </c>
      <c r="AO346" s="22">
        <f t="shared" si="271"/>
        <v>18</v>
      </c>
      <c r="AP346" s="22" t="str">
        <f t="shared" si="272"/>
        <v>X</v>
      </c>
      <c r="AQ346" s="22" t="str">
        <f t="shared" si="273"/>
        <v>O</v>
      </c>
      <c r="AR346" s="22" t="str">
        <f t="shared" si="274"/>
        <v>X</v>
      </c>
      <c r="AS346" s="22" t="str">
        <f t="shared" si="275"/>
        <v>X</v>
      </c>
      <c r="AT346" s="22" t="str">
        <f t="shared" si="276"/>
        <v>X</v>
      </c>
      <c r="AU346" s="22" t="str">
        <f t="shared" si="277"/>
        <v>X</v>
      </c>
      <c r="AV346" s="22" t="str">
        <f t="shared" si="278"/>
        <v>X</v>
      </c>
      <c r="AW346" s="22" t="str">
        <f t="shared" si="279"/>
        <v>X</v>
      </c>
      <c r="AX346" s="22" t="str">
        <f t="shared" si="280"/>
        <v>X</v>
      </c>
      <c r="AY346" s="22" t="str">
        <f t="shared" si="281"/>
        <v>X</v>
      </c>
      <c r="AZ346" s="22" t="str">
        <f t="shared" si="282"/>
        <v>X</v>
      </c>
      <c r="BA346" s="22" t="str">
        <f t="shared" si="283"/>
        <v>O</v>
      </c>
      <c r="BB346" s="22">
        <f t="shared" si="284"/>
        <v>2</v>
      </c>
      <c r="BC346" s="22" t="str">
        <f t="shared" si="255"/>
        <v>1G</v>
      </c>
      <c r="BD346" s="22" t="str">
        <f t="shared" si="256"/>
        <v>1G</v>
      </c>
      <c r="BE346" s="22" t="str">
        <f t="shared" si="257"/>
        <v>1G</v>
      </c>
      <c r="BF346" s="22" t="str">
        <f t="shared" si="258"/>
        <v>3G</v>
      </c>
      <c r="BG346" s="22" t="str">
        <f t="shared" si="259"/>
        <v>3G</v>
      </c>
      <c r="BH346" s="22" t="str">
        <f t="shared" si="260"/>
        <v>3G</v>
      </c>
      <c r="BI346" s="22">
        <f t="shared" si="285"/>
        <v>3</v>
      </c>
      <c r="BJ346" s="22">
        <f t="shared" si="286"/>
        <v>0</v>
      </c>
      <c r="BK346" s="22">
        <f t="shared" si="287"/>
        <v>3</v>
      </c>
      <c r="BL346" s="22" t="str">
        <f t="shared" si="288"/>
        <v>303</v>
      </c>
      <c r="BS346"/>
      <c r="CL346" s="23">
        <v>156</v>
      </c>
      <c r="CM346" s="23">
        <v>150</v>
      </c>
      <c r="CO346"/>
    </row>
    <row r="347" spans="2:93" ht="17" hidden="1">
      <c r="B347" s="15">
        <v>343</v>
      </c>
      <c r="C347" s="23" t="s">
        <v>373</v>
      </c>
      <c r="D347" s="16">
        <v>6</v>
      </c>
      <c r="E347" s="17">
        <v>1717153000</v>
      </c>
      <c r="F347" s="16">
        <v>29</v>
      </c>
      <c r="G347" s="17">
        <v>59212173</v>
      </c>
      <c r="H347" s="17">
        <v>1096</v>
      </c>
      <c r="I347" s="17">
        <v>1566746</v>
      </c>
      <c r="J347" s="17">
        <v>53794</v>
      </c>
      <c r="K347" s="17">
        <v>63842</v>
      </c>
      <c r="L347" s="17">
        <v>931340</v>
      </c>
      <c r="M347" s="17">
        <v>5000</v>
      </c>
      <c r="N347" s="23">
        <v>1</v>
      </c>
      <c r="O347" s="23">
        <v>10</v>
      </c>
      <c r="P347" s="23">
        <v>17</v>
      </c>
      <c r="Q347" s="23">
        <v>29</v>
      </c>
      <c r="R347" s="23">
        <v>31</v>
      </c>
      <c r="S347" s="23">
        <v>43</v>
      </c>
      <c r="T347" s="23">
        <v>15</v>
      </c>
      <c r="U347" s="23">
        <f t="shared" si="261"/>
        <v>131</v>
      </c>
      <c r="W347" s="22" t="str">
        <f t="shared" si="246"/>
        <v>홀수</v>
      </c>
      <c r="X347" s="22" t="str">
        <f t="shared" si="247"/>
        <v>짝수</v>
      </c>
      <c r="Y347" s="22" t="str">
        <f t="shared" si="248"/>
        <v>홀수</v>
      </c>
      <c r="Z347" s="22" t="str">
        <f t="shared" si="249"/>
        <v>홀수</v>
      </c>
      <c r="AA347" s="22" t="str">
        <f t="shared" si="250"/>
        <v>홀수</v>
      </c>
      <c r="AB347" s="22" t="str">
        <f t="shared" si="251"/>
        <v>홀수</v>
      </c>
      <c r="AC347" s="52" t="str">
        <f t="shared" si="252"/>
        <v>5 : 1</v>
      </c>
      <c r="AD347" s="22">
        <f t="shared" si="253"/>
        <v>5</v>
      </c>
      <c r="AE347" s="22">
        <f t="shared" si="254"/>
        <v>1</v>
      </c>
      <c r="AF347" s="22" t="str">
        <f t="shared" si="262"/>
        <v>저수</v>
      </c>
      <c r="AG347" s="22" t="str">
        <f t="shared" si="263"/>
        <v>저수</v>
      </c>
      <c r="AH347" s="22" t="str">
        <f t="shared" si="264"/>
        <v>저수</v>
      </c>
      <c r="AI347" s="22" t="str">
        <f t="shared" si="265"/>
        <v>고수</v>
      </c>
      <c r="AJ347" s="22" t="str">
        <f t="shared" si="266"/>
        <v>고수</v>
      </c>
      <c r="AK347" s="22" t="str">
        <f t="shared" si="267"/>
        <v>고수</v>
      </c>
      <c r="AL347" s="52" t="str">
        <f t="shared" si="268"/>
        <v>3 : 3</v>
      </c>
      <c r="AM347" s="22">
        <f t="shared" si="269"/>
        <v>3</v>
      </c>
      <c r="AN347" s="22">
        <f t="shared" si="270"/>
        <v>3</v>
      </c>
      <c r="AO347" s="22">
        <f t="shared" si="271"/>
        <v>21</v>
      </c>
      <c r="AP347" s="22" t="str">
        <f t="shared" si="272"/>
        <v>X</v>
      </c>
      <c r="AQ347" s="22" t="str">
        <f t="shared" si="273"/>
        <v>X</v>
      </c>
      <c r="AR347" s="22" t="str">
        <f t="shared" si="274"/>
        <v>O</v>
      </c>
      <c r="AS347" s="22" t="str">
        <f t="shared" si="275"/>
        <v>X</v>
      </c>
      <c r="AT347" s="22" t="str">
        <f t="shared" si="276"/>
        <v>X</v>
      </c>
      <c r="AU347" s="22" t="str">
        <f t="shared" si="277"/>
        <v>X</v>
      </c>
      <c r="AV347" s="22" t="str">
        <f t="shared" si="278"/>
        <v>X</v>
      </c>
      <c r="AW347" s="22" t="str">
        <f t="shared" si="279"/>
        <v>X</v>
      </c>
      <c r="AX347" s="22" t="str">
        <f t="shared" si="280"/>
        <v>X</v>
      </c>
      <c r="AY347" s="22" t="str">
        <f t="shared" si="281"/>
        <v>O</v>
      </c>
      <c r="AZ347" s="22" t="str">
        <f t="shared" si="282"/>
        <v>O</v>
      </c>
      <c r="BA347" s="22" t="str">
        <f t="shared" si="283"/>
        <v>O</v>
      </c>
      <c r="BB347" s="22">
        <f t="shared" si="284"/>
        <v>4</v>
      </c>
      <c r="BC347" s="22" t="str">
        <f t="shared" si="255"/>
        <v>1G</v>
      </c>
      <c r="BD347" s="22" t="str">
        <f t="shared" si="256"/>
        <v>1G</v>
      </c>
      <c r="BE347" s="22" t="str">
        <f t="shared" si="257"/>
        <v>2G</v>
      </c>
      <c r="BF347" s="22" t="str">
        <f t="shared" si="258"/>
        <v>2G</v>
      </c>
      <c r="BG347" s="22" t="str">
        <f t="shared" si="259"/>
        <v>3G</v>
      </c>
      <c r="BH347" s="22" t="str">
        <f t="shared" si="260"/>
        <v>3G</v>
      </c>
      <c r="BI347" s="22">
        <f t="shared" si="285"/>
        <v>2</v>
      </c>
      <c r="BJ347" s="22">
        <f t="shared" si="286"/>
        <v>2</v>
      </c>
      <c r="BK347" s="22">
        <f t="shared" si="287"/>
        <v>2</v>
      </c>
      <c r="BL347" s="22" t="str">
        <f t="shared" si="288"/>
        <v>222</v>
      </c>
      <c r="BS347"/>
      <c r="CL347" s="23">
        <v>156</v>
      </c>
      <c r="CM347" s="23">
        <v>150</v>
      </c>
      <c r="CO347"/>
    </row>
    <row r="348" spans="2:93" ht="17" hidden="1">
      <c r="B348" s="15">
        <v>344</v>
      </c>
      <c r="C348" s="23" t="s">
        <v>374</v>
      </c>
      <c r="D348" s="16">
        <v>7</v>
      </c>
      <c r="E348" s="17">
        <v>1467106543</v>
      </c>
      <c r="F348" s="16">
        <v>23</v>
      </c>
      <c r="G348" s="17">
        <v>74418448</v>
      </c>
      <c r="H348" s="17">
        <v>1106</v>
      </c>
      <c r="I348" s="17">
        <v>1547581</v>
      </c>
      <c r="J348" s="17">
        <v>56496</v>
      </c>
      <c r="K348" s="17">
        <v>60593</v>
      </c>
      <c r="L348" s="17">
        <v>960640</v>
      </c>
      <c r="M348" s="17">
        <v>5000</v>
      </c>
      <c r="N348" s="23">
        <v>1</v>
      </c>
      <c r="O348" s="23">
        <v>2</v>
      </c>
      <c r="P348" s="23">
        <v>15</v>
      </c>
      <c r="Q348" s="23">
        <v>28</v>
      </c>
      <c r="R348" s="23">
        <v>34</v>
      </c>
      <c r="S348" s="23">
        <v>45</v>
      </c>
      <c r="T348" s="23">
        <v>38</v>
      </c>
      <c r="U348" s="23">
        <f t="shared" si="261"/>
        <v>125</v>
      </c>
      <c r="W348" s="22" t="str">
        <f t="shared" si="246"/>
        <v>홀수</v>
      </c>
      <c r="X348" s="22" t="str">
        <f t="shared" si="247"/>
        <v>짝수</v>
      </c>
      <c r="Y348" s="22" t="str">
        <f t="shared" si="248"/>
        <v>홀수</v>
      </c>
      <c r="Z348" s="22" t="str">
        <f t="shared" si="249"/>
        <v>짝수</v>
      </c>
      <c r="AA348" s="22" t="str">
        <f t="shared" si="250"/>
        <v>짝수</v>
      </c>
      <c r="AB348" s="22" t="str">
        <f t="shared" si="251"/>
        <v>홀수</v>
      </c>
      <c r="AC348" s="52" t="str">
        <f t="shared" si="252"/>
        <v>3 : 3</v>
      </c>
      <c r="AD348" s="22">
        <f t="shared" si="253"/>
        <v>3</v>
      </c>
      <c r="AE348" s="22">
        <f t="shared" si="254"/>
        <v>3</v>
      </c>
      <c r="AF348" s="22" t="str">
        <f t="shared" si="262"/>
        <v>저수</v>
      </c>
      <c r="AG348" s="22" t="str">
        <f t="shared" si="263"/>
        <v>저수</v>
      </c>
      <c r="AH348" s="22" t="str">
        <f t="shared" si="264"/>
        <v>저수</v>
      </c>
      <c r="AI348" s="22" t="str">
        <f t="shared" si="265"/>
        <v>고수</v>
      </c>
      <c r="AJ348" s="22" t="str">
        <f t="shared" si="266"/>
        <v>고수</v>
      </c>
      <c r="AK348" s="22" t="str">
        <f t="shared" si="267"/>
        <v>고수</v>
      </c>
      <c r="AL348" s="52" t="str">
        <f t="shared" si="268"/>
        <v>3 : 3</v>
      </c>
      <c r="AM348" s="22">
        <f t="shared" si="269"/>
        <v>3</v>
      </c>
      <c r="AN348" s="22">
        <f t="shared" si="270"/>
        <v>3</v>
      </c>
      <c r="AO348" s="22">
        <f t="shared" si="271"/>
        <v>25</v>
      </c>
      <c r="AP348" s="22" t="str">
        <f t="shared" si="272"/>
        <v>X</v>
      </c>
      <c r="AQ348" s="22" t="str">
        <f t="shared" si="273"/>
        <v>O</v>
      </c>
      <c r="AR348" s="22" t="str">
        <f t="shared" si="274"/>
        <v>X</v>
      </c>
      <c r="AS348" s="22" t="str">
        <f t="shared" si="275"/>
        <v>X</v>
      </c>
      <c r="AT348" s="22" t="str">
        <f t="shared" si="276"/>
        <v>X</v>
      </c>
      <c r="AU348" s="22" t="str">
        <f t="shared" si="277"/>
        <v>X</v>
      </c>
      <c r="AV348" s="22" t="str">
        <f t="shared" si="278"/>
        <v>X</v>
      </c>
      <c r="AW348" s="22" t="str">
        <f t="shared" si="279"/>
        <v>X</v>
      </c>
      <c r="AX348" s="22" t="str">
        <f t="shared" si="280"/>
        <v>X</v>
      </c>
      <c r="AY348" s="22" t="str">
        <f t="shared" si="281"/>
        <v>X</v>
      </c>
      <c r="AZ348" s="22" t="str">
        <f t="shared" si="282"/>
        <v>X</v>
      </c>
      <c r="BA348" s="22" t="str">
        <f t="shared" si="283"/>
        <v>X</v>
      </c>
      <c r="BB348" s="22">
        <f t="shared" si="284"/>
        <v>1</v>
      </c>
      <c r="BC348" s="22" t="str">
        <f t="shared" si="255"/>
        <v>1G</v>
      </c>
      <c r="BD348" s="22" t="str">
        <f t="shared" si="256"/>
        <v>1G</v>
      </c>
      <c r="BE348" s="22" t="str">
        <f t="shared" si="257"/>
        <v>1G</v>
      </c>
      <c r="BF348" s="22" t="str">
        <f t="shared" si="258"/>
        <v>2G</v>
      </c>
      <c r="BG348" s="22" t="str">
        <f t="shared" si="259"/>
        <v>3G</v>
      </c>
      <c r="BH348" s="22" t="str">
        <f t="shared" si="260"/>
        <v>3G</v>
      </c>
      <c r="BI348" s="22">
        <f t="shared" si="285"/>
        <v>3</v>
      </c>
      <c r="BJ348" s="22">
        <f t="shared" si="286"/>
        <v>1</v>
      </c>
      <c r="BK348" s="22">
        <f t="shared" si="287"/>
        <v>2</v>
      </c>
      <c r="BL348" s="22" t="str">
        <f t="shared" si="288"/>
        <v>312</v>
      </c>
      <c r="BS348"/>
      <c r="CL348" s="23">
        <v>156</v>
      </c>
      <c r="CM348" s="23">
        <v>150</v>
      </c>
      <c r="CO348"/>
    </row>
    <row r="349" spans="2:93" ht="17" hidden="1">
      <c r="B349" s="15">
        <v>345</v>
      </c>
      <c r="C349" s="23" t="s">
        <v>375</v>
      </c>
      <c r="D349" s="16">
        <v>2</v>
      </c>
      <c r="E349" s="17">
        <v>5203577550</v>
      </c>
      <c r="F349" s="16">
        <v>38</v>
      </c>
      <c r="G349" s="17">
        <v>45645418</v>
      </c>
      <c r="H349" s="17">
        <v>1028</v>
      </c>
      <c r="I349" s="17">
        <v>1687282</v>
      </c>
      <c r="J349" s="17">
        <v>50722</v>
      </c>
      <c r="K349" s="17">
        <v>68394</v>
      </c>
      <c r="L349" s="17">
        <v>884042</v>
      </c>
      <c r="M349" s="17">
        <v>5000</v>
      </c>
      <c r="N349" s="23">
        <v>15</v>
      </c>
      <c r="O349" s="23">
        <v>20</v>
      </c>
      <c r="P349" s="23">
        <v>23</v>
      </c>
      <c r="Q349" s="23">
        <v>29</v>
      </c>
      <c r="R349" s="23">
        <v>39</v>
      </c>
      <c r="S349" s="23">
        <v>42</v>
      </c>
      <c r="T349" s="23">
        <v>2</v>
      </c>
      <c r="U349" s="23">
        <f t="shared" si="261"/>
        <v>168</v>
      </c>
      <c r="W349" s="22" t="str">
        <f t="shared" si="246"/>
        <v>홀수</v>
      </c>
      <c r="X349" s="22" t="str">
        <f t="shared" si="247"/>
        <v>짝수</v>
      </c>
      <c r="Y349" s="22" t="str">
        <f t="shared" si="248"/>
        <v>홀수</v>
      </c>
      <c r="Z349" s="22" t="str">
        <f t="shared" si="249"/>
        <v>홀수</v>
      </c>
      <c r="AA349" s="22" t="str">
        <f t="shared" si="250"/>
        <v>홀수</v>
      </c>
      <c r="AB349" s="22" t="str">
        <f t="shared" si="251"/>
        <v>짝수</v>
      </c>
      <c r="AC349" s="52" t="str">
        <f t="shared" si="252"/>
        <v>4 : 2</v>
      </c>
      <c r="AD349" s="22">
        <f t="shared" si="253"/>
        <v>4</v>
      </c>
      <c r="AE349" s="22">
        <f t="shared" si="254"/>
        <v>2</v>
      </c>
      <c r="AF349" s="22" t="str">
        <f t="shared" si="262"/>
        <v>저수</v>
      </c>
      <c r="AG349" s="22" t="str">
        <f t="shared" si="263"/>
        <v>저수</v>
      </c>
      <c r="AH349" s="22" t="str">
        <f t="shared" si="264"/>
        <v>고수</v>
      </c>
      <c r="AI349" s="22" t="str">
        <f t="shared" si="265"/>
        <v>고수</v>
      </c>
      <c r="AJ349" s="22" t="str">
        <f t="shared" si="266"/>
        <v>고수</v>
      </c>
      <c r="AK349" s="22" t="str">
        <f t="shared" si="267"/>
        <v>고수</v>
      </c>
      <c r="AL349" s="52" t="str">
        <f t="shared" si="268"/>
        <v>2 : 4</v>
      </c>
      <c r="AM349" s="22">
        <f t="shared" si="269"/>
        <v>2</v>
      </c>
      <c r="AN349" s="22">
        <f t="shared" si="270"/>
        <v>4</v>
      </c>
      <c r="AO349" s="22">
        <f t="shared" si="271"/>
        <v>28</v>
      </c>
      <c r="AP349" s="22" t="str">
        <f t="shared" si="272"/>
        <v>X</v>
      </c>
      <c r="AQ349" s="22" t="str">
        <f t="shared" si="273"/>
        <v>X</v>
      </c>
      <c r="AR349" s="22" t="str">
        <f t="shared" si="274"/>
        <v>X</v>
      </c>
      <c r="AS349" s="22" t="str">
        <f t="shared" si="275"/>
        <v>X</v>
      </c>
      <c r="AT349" s="22" t="str">
        <f t="shared" si="276"/>
        <v>X</v>
      </c>
      <c r="AU349" s="22" t="str">
        <f t="shared" si="277"/>
        <v>X</v>
      </c>
      <c r="AV349" s="22" t="str">
        <f t="shared" si="278"/>
        <v>X</v>
      </c>
      <c r="AW349" s="22" t="str">
        <f t="shared" si="279"/>
        <v>X</v>
      </c>
      <c r="AX349" s="22" t="str">
        <f t="shared" si="280"/>
        <v>O</v>
      </c>
      <c r="AY349" s="22" t="str">
        <f t="shared" si="281"/>
        <v>O</v>
      </c>
      <c r="AZ349" s="22" t="str">
        <f t="shared" si="282"/>
        <v>X</v>
      </c>
      <c r="BA349" s="22" t="str">
        <f t="shared" si="283"/>
        <v>X</v>
      </c>
      <c r="BB349" s="22">
        <f t="shared" si="284"/>
        <v>2</v>
      </c>
      <c r="BC349" s="22" t="str">
        <f t="shared" si="255"/>
        <v>1G</v>
      </c>
      <c r="BD349" s="22" t="str">
        <f t="shared" si="256"/>
        <v>2G</v>
      </c>
      <c r="BE349" s="22" t="str">
        <f t="shared" si="257"/>
        <v>2G</v>
      </c>
      <c r="BF349" s="22" t="str">
        <f t="shared" si="258"/>
        <v>2G</v>
      </c>
      <c r="BG349" s="22" t="str">
        <f t="shared" si="259"/>
        <v>3G</v>
      </c>
      <c r="BH349" s="22" t="str">
        <f t="shared" si="260"/>
        <v>3G</v>
      </c>
      <c r="BI349" s="22">
        <f t="shared" si="285"/>
        <v>1</v>
      </c>
      <c r="BJ349" s="22">
        <f t="shared" si="286"/>
        <v>3</v>
      </c>
      <c r="BK349" s="22">
        <f t="shared" si="287"/>
        <v>2</v>
      </c>
      <c r="BL349" s="22" t="str">
        <f t="shared" si="288"/>
        <v>132</v>
      </c>
      <c r="BS349"/>
      <c r="CL349" s="23">
        <v>157</v>
      </c>
      <c r="CM349" s="23">
        <v>150</v>
      </c>
      <c r="CO349"/>
    </row>
    <row r="350" spans="2:93" ht="17" hidden="1">
      <c r="B350" s="15">
        <v>346</v>
      </c>
      <c r="C350" s="23" t="s">
        <v>376</v>
      </c>
      <c r="D350" s="16">
        <v>5</v>
      </c>
      <c r="E350" s="17">
        <v>2017727340</v>
      </c>
      <c r="F350" s="16">
        <v>26</v>
      </c>
      <c r="G350" s="17">
        <v>64670749</v>
      </c>
      <c r="H350" s="17">
        <v>1146</v>
      </c>
      <c r="I350" s="17">
        <v>1467225</v>
      </c>
      <c r="J350" s="17">
        <v>54509</v>
      </c>
      <c r="K350" s="17">
        <v>61695</v>
      </c>
      <c r="L350" s="17">
        <v>923360</v>
      </c>
      <c r="M350" s="17">
        <v>5000</v>
      </c>
      <c r="N350" s="23">
        <v>5</v>
      </c>
      <c r="O350" s="23">
        <v>13</v>
      </c>
      <c r="P350" s="23">
        <v>14</v>
      </c>
      <c r="Q350" s="23">
        <v>22</v>
      </c>
      <c r="R350" s="23">
        <v>44</v>
      </c>
      <c r="S350" s="23">
        <v>45</v>
      </c>
      <c r="T350" s="23">
        <v>33</v>
      </c>
      <c r="U350" s="23">
        <f t="shared" si="261"/>
        <v>143</v>
      </c>
      <c r="W350" s="22" t="str">
        <f t="shared" si="246"/>
        <v>홀수</v>
      </c>
      <c r="X350" s="22" t="str">
        <f t="shared" si="247"/>
        <v>홀수</v>
      </c>
      <c r="Y350" s="22" t="str">
        <f t="shared" si="248"/>
        <v>짝수</v>
      </c>
      <c r="Z350" s="22" t="str">
        <f t="shared" si="249"/>
        <v>짝수</v>
      </c>
      <c r="AA350" s="22" t="str">
        <f t="shared" si="250"/>
        <v>짝수</v>
      </c>
      <c r="AB350" s="22" t="str">
        <f t="shared" si="251"/>
        <v>홀수</v>
      </c>
      <c r="AC350" s="52" t="str">
        <f t="shared" si="252"/>
        <v>3 : 3</v>
      </c>
      <c r="AD350" s="22">
        <f t="shared" si="253"/>
        <v>3</v>
      </c>
      <c r="AE350" s="22">
        <f t="shared" si="254"/>
        <v>3</v>
      </c>
      <c r="AF350" s="22" t="str">
        <f t="shared" si="262"/>
        <v>저수</v>
      </c>
      <c r="AG350" s="22" t="str">
        <f t="shared" si="263"/>
        <v>저수</v>
      </c>
      <c r="AH350" s="22" t="str">
        <f t="shared" si="264"/>
        <v>저수</v>
      </c>
      <c r="AI350" s="22" t="str">
        <f t="shared" si="265"/>
        <v>저수</v>
      </c>
      <c r="AJ350" s="22" t="str">
        <f t="shared" si="266"/>
        <v>고수</v>
      </c>
      <c r="AK350" s="22" t="str">
        <f t="shared" si="267"/>
        <v>고수</v>
      </c>
      <c r="AL350" s="52" t="str">
        <f t="shared" si="268"/>
        <v>4 : 2</v>
      </c>
      <c r="AM350" s="22">
        <f t="shared" si="269"/>
        <v>4</v>
      </c>
      <c r="AN350" s="22">
        <f t="shared" si="270"/>
        <v>2</v>
      </c>
      <c r="AO350" s="22">
        <f t="shared" si="271"/>
        <v>23</v>
      </c>
      <c r="AP350" s="22" t="str">
        <f t="shared" si="272"/>
        <v>O</v>
      </c>
      <c r="AQ350" s="22" t="str">
        <f t="shared" si="273"/>
        <v>O</v>
      </c>
      <c r="AR350" s="22" t="str">
        <f t="shared" si="274"/>
        <v>X</v>
      </c>
      <c r="AS350" s="22" t="str">
        <f t="shared" si="275"/>
        <v>X</v>
      </c>
      <c r="AT350" s="22" t="str">
        <f t="shared" si="276"/>
        <v>X</v>
      </c>
      <c r="AU350" s="22" t="str">
        <f t="shared" si="277"/>
        <v>X</v>
      </c>
      <c r="AV350" s="22" t="str">
        <f t="shared" si="278"/>
        <v>X</v>
      </c>
      <c r="AW350" s="22" t="str">
        <f t="shared" si="279"/>
        <v>X</v>
      </c>
      <c r="AX350" s="22" t="str">
        <f t="shared" si="280"/>
        <v>X</v>
      </c>
      <c r="AY350" s="22" t="str">
        <f t="shared" si="281"/>
        <v>X</v>
      </c>
      <c r="AZ350" s="22" t="str">
        <f t="shared" si="282"/>
        <v>X</v>
      </c>
      <c r="BA350" s="22" t="str">
        <f t="shared" si="283"/>
        <v>X</v>
      </c>
      <c r="BB350" s="22">
        <f t="shared" si="284"/>
        <v>2</v>
      </c>
      <c r="BC350" s="22" t="str">
        <f t="shared" si="255"/>
        <v>1G</v>
      </c>
      <c r="BD350" s="22" t="str">
        <f t="shared" si="256"/>
        <v>1G</v>
      </c>
      <c r="BE350" s="22" t="str">
        <f t="shared" si="257"/>
        <v>1G</v>
      </c>
      <c r="BF350" s="22" t="str">
        <f t="shared" si="258"/>
        <v>2G</v>
      </c>
      <c r="BG350" s="22" t="str">
        <f t="shared" si="259"/>
        <v>3G</v>
      </c>
      <c r="BH350" s="22" t="str">
        <f t="shared" si="260"/>
        <v>3G</v>
      </c>
      <c r="BI350" s="22">
        <f t="shared" si="285"/>
        <v>3</v>
      </c>
      <c r="BJ350" s="22">
        <f t="shared" si="286"/>
        <v>1</v>
      </c>
      <c r="BK350" s="22">
        <f t="shared" si="287"/>
        <v>2</v>
      </c>
      <c r="BL350" s="22" t="str">
        <f t="shared" si="288"/>
        <v>312</v>
      </c>
      <c r="BS350"/>
      <c r="CL350" s="23">
        <v>157</v>
      </c>
      <c r="CM350" s="23">
        <v>150</v>
      </c>
      <c r="CO350"/>
    </row>
    <row r="351" spans="2:93" ht="17" hidden="1">
      <c r="B351" s="15">
        <v>347</v>
      </c>
      <c r="C351" s="23" t="s">
        <v>377</v>
      </c>
      <c r="D351" s="16">
        <v>7</v>
      </c>
      <c r="E351" s="17">
        <v>1456624286</v>
      </c>
      <c r="F351" s="16">
        <v>38</v>
      </c>
      <c r="G351" s="17">
        <v>44720922</v>
      </c>
      <c r="H351" s="17">
        <v>1399</v>
      </c>
      <c r="I351" s="17">
        <v>1214722</v>
      </c>
      <c r="J351" s="17">
        <v>63761</v>
      </c>
      <c r="K351" s="17">
        <v>53306</v>
      </c>
      <c r="L351" s="17">
        <v>1023184</v>
      </c>
      <c r="M351" s="17">
        <v>5000</v>
      </c>
      <c r="N351" s="23">
        <v>3</v>
      </c>
      <c r="O351" s="23">
        <v>8</v>
      </c>
      <c r="P351" s="23">
        <v>13</v>
      </c>
      <c r="Q351" s="23">
        <v>27</v>
      </c>
      <c r="R351" s="23">
        <v>32</v>
      </c>
      <c r="S351" s="23">
        <v>42</v>
      </c>
      <c r="T351" s="23">
        <v>10</v>
      </c>
      <c r="U351" s="23">
        <f t="shared" si="261"/>
        <v>125</v>
      </c>
      <c r="W351" s="22" t="str">
        <f t="shared" si="246"/>
        <v>홀수</v>
      </c>
      <c r="X351" s="22" t="str">
        <f t="shared" si="247"/>
        <v>짝수</v>
      </c>
      <c r="Y351" s="22" t="str">
        <f t="shared" si="248"/>
        <v>홀수</v>
      </c>
      <c r="Z351" s="22" t="str">
        <f t="shared" si="249"/>
        <v>홀수</v>
      </c>
      <c r="AA351" s="22" t="str">
        <f t="shared" si="250"/>
        <v>짝수</v>
      </c>
      <c r="AB351" s="22" t="str">
        <f t="shared" si="251"/>
        <v>짝수</v>
      </c>
      <c r="AC351" s="52" t="str">
        <f t="shared" si="252"/>
        <v>3 : 3</v>
      </c>
      <c r="AD351" s="22">
        <f t="shared" si="253"/>
        <v>3</v>
      </c>
      <c r="AE351" s="22">
        <f t="shared" si="254"/>
        <v>3</v>
      </c>
      <c r="AF351" s="22" t="str">
        <f t="shared" si="262"/>
        <v>저수</v>
      </c>
      <c r="AG351" s="22" t="str">
        <f t="shared" si="263"/>
        <v>저수</v>
      </c>
      <c r="AH351" s="22" t="str">
        <f t="shared" si="264"/>
        <v>저수</v>
      </c>
      <c r="AI351" s="22" t="str">
        <f t="shared" si="265"/>
        <v>고수</v>
      </c>
      <c r="AJ351" s="22" t="str">
        <f t="shared" si="266"/>
        <v>고수</v>
      </c>
      <c r="AK351" s="22" t="str">
        <f t="shared" si="267"/>
        <v>고수</v>
      </c>
      <c r="AL351" s="52" t="str">
        <f t="shared" si="268"/>
        <v>3 : 3</v>
      </c>
      <c r="AM351" s="22">
        <f t="shared" si="269"/>
        <v>3</v>
      </c>
      <c r="AN351" s="22">
        <f t="shared" si="270"/>
        <v>3</v>
      </c>
      <c r="AO351" s="22">
        <f t="shared" si="271"/>
        <v>25</v>
      </c>
      <c r="AP351" s="22" t="str">
        <f t="shared" si="272"/>
        <v>O</v>
      </c>
      <c r="AQ351" s="22" t="str">
        <f t="shared" si="273"/>
        <v>X</v>
      </c>
      <c r="AR351" s="22" t="str">
        <f t="shared" si="274"/>
        <v>O</v>
      </c>
      <c r="AS351" s="22" t="str">
        <f t="shared" si="275"/>
        <v>X</v>
      </c>
      <c r="AT351" s="22" t="str">
        <f t="shared" si="276"/>
        <v>X</v>
      </c>
      <c r="AU351" s="22" t="str">
        <f t="shared" si="277"/>
        <v>X</v>
      </c>
      <c r="AV351" s="22" t="str">
        <f t="shared" si="278"/>
        <v>X</v>
      </c>
      <c r="AW351" s="22" t="str">
        <f t="shared" si="279"/>
        <v>X</v>
      </c>
      <c r="AX351" s="22" t="str">
        <f t="shared" si="280"/>
        <v>X</v>
      </c>
      <c r="AY351" s="22" t="str">
        <f t="shared" si="281"/>
        <v>X</v>
      </c>
      <c r="AZ351" s="22" t="str">
        <f t="shared" si="282"/>
        <v>X</v>
      </c>
      <c r="BA351" s="22" t="str">
        <f t="shared" si="283"/>
        <v>X</v>
      </c>
      <c r="BB351" s="22">
        <f t="shared" si="284"/>
        <v>2</v>
      </c>
      <c r="BC351" s="22" t="str">
        <f t="shared" si="255"/>
        <v>1G</v>
      </c>
      <c r="BD351" s="22" t="str">
        <f t="shared" si="256"/>
        <v>1G</v>
      </c>
      <c r="BE351" s="22" t="str">
        <f t="shared" si="257"/>
        <v>1G</v>
      </c>
      <c r="BF351" s="22" t="str">
        <f t="shared" si="258"/>
        <v>2G</v>
      </c>
      <c r="BG351" s="22" t="str">
        <f t="shared" si="259"/>
        <v>3G</v>
      </c>
      <c r="BH351" s="22" t="str">
        <f t="shared" si="260"/>
        <v>3G</v>
      </c>
      <c r="BI351" s="22">
        <f t="shared" si="285"/>
        <v>3</v>
      </c>
      <c r="BJ351" s="22">
        <f t="shared" si="286"/>
        <v>1</v>
      </c>
      <c r="BK351" s="22">
        <f t="shared" si="287"/>
        <v>2</v>
      </c>
      <c r="BL351" s="22" t="str">
        <f t="shared" si="288"/>
        <v>312</v>
      </c>
      <c r="BS351"/>
      <c r="CL351" s="23">
        <v>158</v>
      </c>
      <c r="CM351" s="23">
        <v>150</v>
      </c>
      <c r="CO351"/>
    </row>
    <row r="352" spans="2:93" ht="17" hidden="1">
      <c r="B352" s="15">
        <v>348</v>
      </c>
      <c r="C352" s="23" t="s">
        <v>378</v>
      </c>
      <c r="D352" s="16">
        <v>3</v>
      </c>
      <c r="E352" s="17">
        <v>3299994000</v>
      </c>
      <c r="F352" s="16">
        <v>37</v>
      </c>
      <c r="G352" s="17">
        <v>44594514</v>
      </c>
      <c r="H352" s="17">
        <v>1222</v>
      </c>
      <c r="I352" s="17">
        <v>1350244</v>
      </c>
      <c r="J352" s="17">
        <v>65694</v>
      </c>
      <c r="K352" s="17">
        <v>50233</v>
      </c>
      <c r="L352" s="17">
        <v>978637</v>
      </c>
      <c r="M352" s="17">
        <v>5000</v>
      </c>
      <c r="N352" s="23">
        <v>3</v>
      </c>
      <c r="O352" s="23">
        <v>14</v>
      </c>
      <c r="P352" s="23">
        <v>17</v>
      </c>
      <c r="Q352" s="23">
        <v>20</v>
      </c>
      <c r="R352" s="23">
        <v>24</v>
      </c>
      <c r="S352" s="23">
        <v>31</v>
      </c>
      <c r="T352" s="23">
        <v>34</v>
      </c>
      <c r="U352" s="23">
        <f t="shared" si="261"/>
        <v>109</v>
      </c>
      <c r="W352" s="22" t="str">
        <f t="shared" si="246"/>
        <v>홀수</v>
      </c>
      <c r="X352" s="22" t="str">
        <f t="shared" si="247"/>
        <v>짝수</v>
      </c>
      <c r="Y352" s="22" t="str">
        <f t="shared" si="248"/>
        <v>홀수</v>
      </c>
      <c r="Z352" s="22" t="str">
        <f t="shared" si="249"/>
        <v>짝수</v>
      </c>
      <c r="AA352" s="22" t="str">
        <f t="shared" si="250"/>
        <v>짝수</v>
      </c>
      <c r="AB352" s="22" t="str">
        <f t="shared" si="251"/>
        <v>홀수</v>
      </c>
      <c r="AC352" s="52" t="str">
        <f t="shared" si="252"/>
        <v>3 : 3</v>
      </c>
      <c r="AD352" s="22">
        <f t="shared" si="253"/>
        <v>3</v>
      </c>
      <c r="AE352" s="22">
        <f t="shared" si="254"/>
        <v>3</v>
      </c>
      <c r="AF352" s="22" t="str">
        <f t="shared" si="262"/>
        <v>저수</v>
      </c>
      <c r="AG352" s="22" t="str">
        <f t="shared" si="263"/>
        <v>저수</v>
      </c>
      <c r="AH352" s="22" t="str">
        <f t="shared" si="264"/>
        <v>저수</v>
      </c>
      <c r="AI352" s="22" t="str">
        <f t="shared" si="265"/>
        <v>저수</v>
      </c>
      <c r="AJ352" s="22" t="str">
        <f t="shared" si="266"/>
        <v>고수</v>
      </c>
      <c r="AK352" s="22" t="str">
        <f t="shared" si="267"/>
        <v>고수</v>
      </c>
      <c r="AL352" s="52" t="str">
        <f t="shared" si="268"/>
        <v>4 : 2</v>
      </c>
      <c r="AM352" s="22">
        <f t="shared" si="269"/>
        <v>4</v>
      </c>
      <c r="AN352" s="22">
        <f t="shared" si="270"/>
        <v>2</v>
      </c>
      <c r="AO352" s="22">
        <f t="shared" si="271"/>
        <v>19</v>
      </c>
      <c r="AP352" s="22" t="str">
        <f t="shared" si="272"/>
        <v>O</v>
      </c>
      <c r="AQ352" s="22" t="str">
        <f t="shared" si="273"/>
        <v>X</v>
      </c>
      <c r="AR352" s="22" t="str">
        <f t="shared" si="274"/>
        <v>O</v>
      </c>
      <c r="AS352" s="22" t="str">
        <f t="shared" si="275"/>
        <v>X</v>
      </c>
      <c r="AT352" s="22" t="str">
        <f t="shared" si="276"/>
        <v>X</v>
      </c>
      <c r="AU352" s="22" t="str">
        <f t="shared" si="277"/>
        <v>X</v>
      </c>
      <c r="AV352" s="22" t="str">
        <f t="shared" si="278"/>
        <v>X</v>
      </c>
      <c r="AW352" s="22" t="str">
        <f t="shared" si="279"/>
        <v>X</v>
      </c>
      <c r="AX352" s="22" t="str">
        <f t="shared" si="280"/>
        <v>X</v>
      </c>
      <c r="AY352" s="22" t="str">
        <f t="shared" si="281"/>
        <v>X</v>
      </c>
      <c r="AZ352" s="22" t="str">
        <f t="shared" si="282"/>
        <v>X</v>
      </c>
      <c r="BA352" s="22" t="str">
        <f t="shared" si="283"/>
        <v>O</v>
      </c>
      <c r="BB352" s="22">
        <f t="shared" si="284"/>
        <v>3</v>
      </c>
      <c r="BC352" s="22" t="str">
        <f t="shared" si="255"/>
        <v>1G</v>
      </c>
      <c r="BD352" s="22" t="str">
        <f t="shared" si="256"/>
        <v>1G</v>
      </c>
      <c r="BE352" s="22" t="str">
        <f t="shared" si="257"/>
        <v>2G</v>
      </c>
      <c r="BF352" s="22" t="str">
        <f t="shared" si="258"/>
        <v>2G</v>
      </c>
      <c r="BG352" s="22" t="str">
        <f t="shared" si="259"/>
        <v>2G</v>
      </c>
      <c r="BH352" s="22" t="str">
        <f t="shared" si="260"/>
        <v>3G</v>
      </c>
      <c r="BI352" s="22">
        <f t="shared" si="285"/>
        <v>2</v>
      </c>
      <c r="BJ352" s="22">
        <f t="shared" si="286"/>
        <v>3</v>
      </c>
      <c r="BK352" s="22">
        <f t="shared" si="287"/>
        <v>1</v>
      </c>
      <c r="BL352" s="22" t="str">
        <f t="shared" si="288"/>
        <v>231</v>
      </c>
      <c r="BS352"/>
      <c r="CL352" s="23">
        <v>158</v>
      </c>
      <c r="CM352" s="23">
        <v>150</v>
      </c>
      <c r="CO352"/>
    </row>
    <row r="353" spans="2:93" ht="17" hidden="1">
      <c r="B353" s="15">
        <v>349</v>
      </c>
      <c r="C353" s="23" t="s">
        <v>379</v>
      </c>
      <c r="D353" s="16">
        <v>3</v>
      </c>
      <c r="E353" s="17">
        <v>3353209000</v>
      </c>
      <c r="F353" s="16">
        <v>37</v>
      </c>
      <c r="G353" s="17">
        <v>45313636</v>
      </c>
      <c r="H353" s="17">
        <v>1168</v>
      </c>
      <c r="I353" s="17">
        <v>1435450</v>
      </c>
      <c r="J353" s="17">
        <v>59338</v>
      </c>
      <c r="K353" s="17">
        <v>56511</v>
      </c>
      <c r="L353" s="17">
        <v>990178</v>
      </c>
      <c r="M353" s="17">
        <v>5000</v>
      </c>
      <c r="N353" s="23">
        <v>5</v>
      </c>
      <c r="O353" s="23">
        <v>13</v>
      </c>
      <c r="P353" s="23">
        <v>14</v>
      </c>
      <c r="Q353" s="23">
        <v>20</v>
      </c>
      <c r="R353" s="23">
        <v>24</v>
      </c>
      <c r="S353" s="23">
        <v>25</v>
      </c>
      <c r="T353" s="23">
        <v>36</v>
      </c>
      <c r="U353" s="23">
        <f t="shared" si="261"/>
        <v>101</v>
      </c>
      <c r="W353" s="22" t="str">
        <f t="shared" si="246"/>
        <v>홀수</v>
      </c>
      <c r="X353" s="22" t="str">
        <f t="shared" si="247"/>
        <v>홀수</v>
      </c>
      <c r="Y353" s="22" t="str">
        <f t="shared" si="248"/>
        <v>짝수</v>
      </c>
      <c r="Z353" s="22" t="str">
        <f t="shared" si="249"/>
        <v>짝수</v>
      </c>
      <c r="AA353" s="22" t="str">
        <f t="shared" si="250"/>
        <v>짝수</v>
      </c>
      <c r="AB353" s="22" t="str">
        <f t="shared" si="251"/>
        <v>홀수</v>
      </c>
      <c r="AC353" s="52" t="str">
        <f t="shared" si="252"/>
        <v>3 : 3</v>
      </c>
      <c r="AD353" s="22">
        <f t="shared" si="253"/>
        <v>3</v>
      </c>
      <c r="AE353" s="22">
        <f t="shared" si="254"/>
        <v>3</v>
      </c>
      <c r="AF353" s="22" t="str">
        <f t="shared" si="262"/>
        <v>저수</v>
      </c>
      <c r="AG353" s="22" t="str">
        <f t="shared" si="263"/>
        <v>저수</v>
      </c>
      <c r="AH353" s="22" t="str">
        <f t="shared" si="264"/>
        <v>저수</v>
      </c>
      <c r="AI353" s="22" t="str">
        <f t="shared" si="265"/>
        <v>저수</v>
      </c>
      <c r="AJ353" s="22" t="str">
        <f t="shared" si="266"/>
        <v>고수</v>
      </c>
      <c r="AK353" s="22" t="str">
        <f t="shared" si="267"/>
        <v>고수</v>
      </c>
      <c r="AL353" s="52" t="str">
        <f t="shared" si="268"/>
        <v>4 : 2</v>
      </c>
      <c r="AM353" s="22">
        <f t="shared" si="269"/>
        <v>4</v>
      </c>
      <c r="AN353" s="22">
        <f t="shared" si="270"/>
        <v>2</v>
      </c>
      <c r="AO353" s="22">
        <f t="shared" si="271"/>
        <v>21</v>
      </c>
      <c r="AP353" s="22" t="str">
        <f t="shared" si="272"/>
        <v>O</v>
      </c>
      <c r="AQ353" s="22" t="str">
        <f t="shared" si="273"/>
        <v>O</v>
      </c>
      <c r="AR353" s="22" t="str">
        <f t="shared" si="274"/>
        <v>X</v>
      </c>
      <c r="AS353" s="22" t="str">
        <f t="shared" si="275"/>
        <v>X</v>
      </c>
      <c r="AT353" s="22" t="str">
        <f t="shared" si="276"/>
        <v>X</v>
      </c>
      <c r="AU353" s="22" t="str">
        <f t="shared" si="277"/>
        <v>X</v>
      </c>
      <c r="AV353" s="22" t="str">
        <f t="shared" si="278"/>
        <v>X</v>
      </c>
      <c r="AW353" s="22" t="str">
        <f t="shared" si="279"/>
        <v>X</v>
      </c>
      <c r="AX353" s="22" t="str">
        <f t="shared" si="280"/>
        <v>X</v>
      </c>
      <c r="AY353" s="22" t="str">
        <f t="shared" si="281"/>
        <v>X</v>
      </c>
      <c r="AZ353" s="22" t="str">
        <f t="shared" si="282"/>
        <v>X</v>
      </c>
      <c r="BA353" s="22" t="str">
        <f t="shared" si="283"/>
        <v>X</v>
      </c>
      <c r="BB353" s="22">
        <f t="shared" si="284"/>
        <v>2</v>
      </c>
      <c r="BC353" s="22" t="str">
        <f t="shared" si="255"/>
        <v>1G</v>
      </c>
      <c r="BD353" s="22" t="str">
        <f t="shared" si="256"/>
        <v>1G</v>
      </c>
      <c r="BE353" s="22" t="str">
        <f t="shared" si="257"/>
        <v>1G</v>
      </c>
      <c r="BF353" s="22" t="str">
        <f t="shared" si="258"/>
        <v>2G</v>
      </c>
      <c r="BG353" s="22" t="str">
        <f t="shared" si="259"/>
        <v>2G</v>
      </c>
      <c r="BH353" s="22" t="str">
        <f t="shared" si="260"/>
        <v>2G</v>
      </c>
      <c r="BI353" s="22">
        <f t="shared" si="285"/>
        <v>3</v>
      </c>
      <c r="BJ353" s="22">
        <f t="shared" si="286"/>
        <v>3</v>
      </c>
      <c r="BK353" s="22">
        <f t="shared" si="287"/>
        <v>0</v>
      </c>
      <c r="BL353" s="22" t="str">
        <f t="shared" si="288"/>
        <v>330</v>
      </c>
      <c r="BS353"/>
      <c r="CL353" s="23">
        <v>158</v>
      </c>
      <c r="CM353" s="23">
        <v>150</v>
      </c>
      <c r="CO353"/>
    </row>
    <row r="354" spans="2:93" ht="17" hidden="1">
      <c r="B354" s="15">
        <v>350</v>
      </c>
      <c r="C354" s="23" t="s">
        <v>380</v>
      </c>
      <c r="D354" s="16">
        <v>9</v>
      </c>
      <c r="E354" s="17">
        <v>1101052467</v>
      </c>
      <c r="F354" s="16">
        <v>23</v>
      </c>
      <c r="G354" s="17">
        <v>71807770</v>
      </c>
      <c r="H354" s="17">
        <v>1197</v>
      </c>
      <c r="I354" s="17">
        <v>1379765</v>
      </c>
      <c r="J354" s="17">
        <v>57420</v>
      </c>
      <c r="K354" s="17">
        <v>57527</v>
      </c>
      <c r="L354" s="17">
        <v>964952</v>
      </c>
      <c r="M354" s="17">
        <v>5000</v>
      </c>
      <c r="N354" s="23">
        <v>1</v>
      </c>
      <c r="O354" s="23">
        <v>8</v>
      </c>
      <c r="P354" s="23">
        <v>18</v>
      </c>
      <c r="Q354" s="23">
        <v>24</v>
      </c>
      <c r="R354" s="23">
        <v>29</v>
      </c>
      <c r="S354" s="23">
        <v>33</v>
      </c>
      <c r="T354" s="23">
        <v>35</v>
      </c>
      <c r="U354" s="23">
        <f t="shared" si="261"/>
        <v>113</v>
      </c>
      <c r="W354" s="22" t="str">
        <f t="shared" si="246"/>
        <v>홀수</v>
      </c>
      <c r="X354" s="22" t="str">
        <f t="shared" si="247"/>
        <v>짝수</v>
      </c>
      <c r="Y354" s="22" t="str">
        <f t="shared" si="248"/>
        <v>짝수</v>
      </c>
      <c r="Z354" s="22" t="str">
        <f t="shared" si="249"/>
        <v>짝수</v>
      </c>
      <c r="AA354" s="22" t="str">
        <f t="shared" si="250"/>
        <v>홀수</v>
      </c>
      <c r="AB354" s="22" t="str">
        <f t="shared" si="251"/>
        <v>홀수</v>
      </c>
      <c r="AC354" s="52" t="str">
        <f t="shared" si="252"/>
        <v>3 : 3</v>
      </c>
      <c r="AD354" s="22">
        <f t="shared" si="253"/>
        <v>3</v>
      </c>
      <c r="AE354" s="22">
        <f t="shared" si="254"/>
        <v>3</v>
      </c>
      <c r="AF354" s="22" t="str">
        <f t="shared" si="262"/>
        <v>저수</v>
      </c>
      <c r="AG354" s="22" t="str">
        <f t="shared" si="263"/>
        <v>저수</v>
      </c>
      <c r="AH354" s="22" t="str">
        <f t="shared" si="264"/>
        <v>저수</v>
      </c>
      <c r="AI354" s="22" t="str">
        <f t="shared" si="265"/>
        <v>고수</v>
      </c>
      <c r="AJ354" s="22" t="str">
        <f t="shared" si="266"/>
        <v>고수</v>
      </c>
      <c r="AK354" s="22" t="str">
        <f t="shared" si="267"/>
        <v>고수</v>
      </c>
      <c r="AL354" s="52" t="str">
        <f t="shared" si="268"/>
        <v>3 : 3</v>
      </c>
      <c r="AM354" s="22">
        <f t="shared" si="269"/>
        <v>3</v>
      </c>
      <c r="AN354" s="22">
        <f t="shared" si="270"/>
        <v>3</v>
      </c>
      <c r="AO354" s="22">
        <f t="shared" si="271"/>
        <v>33</v>
      </c>
      <c r="AP354" s="22" t="str">
        <f t="shared" si="272"/>
        <v>X</v>
      </c>
      <c r="AQ354" s="22" t="str">
        <f t="shared" si="273"/>
        <v>X</v>
      </c>
      <c r="AR354" s="22" t="str">
        <f t="shared" si="274"/>
        <v>X</v>
      </c>
      <c r="AS354" s="22" t="str">
        <f t="shared" si="275"/>
        <v>X</v>
      </c>
      <c r="AT354" s="22" t="str">
        <f t="shared" si="276"/>
        <v>X</v>
      </c>
      <c r="AU354" s="22" t="str">
        <f t="shared" si="277"/>
        <v>X</v>
      </c>
      <c r="AV354" s="22" t="str">
        <f t="shared" si="278"/>
        <v>X</v>
      </c>
      <c r="AW354" s="22" t="str">
        <f t="shared" si="279"/>
        <v>X</v>
      </c>
      <c r="AX354" s="22" t="str">
        <f t="shared" si="280"/>
        <v>X</v>
      </c>
      <c r="AY354" s="22" t="str">
        <f t="shared" si="281"/>
        <v>X</v>
      </c>
      <c r="AZ354" s="22" t="str">
        <f t="shared" si="282"/>
        <v>O</v>
      </c>
      <c r="BA354" s="22" t="str">
        <f t="shared" si="283"/>
        <v>X</v>
      </c>
      <c r="BB354" s="22">
        <f t="shared" si="284"/>
        <v>1</v>
      </c>
      <c r="BC354" s="22" t="str">
        <f t="shared" si="255"/>
        <v>1G</v>
      </c>
      <c r="BD354" s="22" t="str">
        <f t="shared" si="256"/>
        <v>1G</v>
      </c>
      <c r="BE354" s="22" t="str">
        <f t="shared" si="257"/>
        <v>2G</v>
      </c>
      <c r="BF354" s="22" t="str">
        <f t="shared" si="258"/>
        <v>2G</v>
      </c>
      <c r="BG354" s="22" t="str">
        <f t="shared" si="259"/>
        <v>2G</v>
      </c>
      <c r="BH354" s="22" t="str">
        <f t="shared" si="260"/>
        <v>3G</v>
      </c>
      <c r="BI354" s="22">
        <f t="shared" si="285"/>
        <v>2</v>
      </c>
      <c r="BJ354" s="22">
        <f t="shared" si="286"/>
        <v>3</v>
      </c>
      <c r="BK354" s="22">
        <f t="shared" si="287"/>
        <v>1</v>
      </c>
      <c r="BL354" s="22" t="str">
        <f t="shared" si="288"/>
        <v>231</v>
      </c>
      <c r="BS354"/>
      <c r="CL354" s="23">
        <v>158</v>
      </c>
      <c r="CM354" s="23">
        <v>150</v>
      </c>
      <c r="CO354"/>
    </row>
    <row r="355" spans="2:93" ht="17" hidden="1">
      <c r="B355" s="15">
        <v>351</v>
      </c>
      <c r="C355" s="23" t="s">
        <v>381</v>
      </c>
      <c r="D355" s="16">
        <v>4</v>
      </c>
      <c r="E355" s="17">
        <v>2583357150</v>
      </c>
      <c r="F355" s="16">
        <v>29</v>
      </c>
      <c r="G355" s="17">
        <v>59387521</v>
      </c>
      <c r="H355" s="17">
        <v>1137</v>
      </c>
      <c r="I355" s="17">
        <v>1514722</v>
      </c>
      <c r="J355" s="17">
        <v>55472</v>
      </c>
      <c r="K355" s="17">
        <v>62094</v>
      </c>
      <c r="L355" s="17">
        <v>950273</v>
      </c>
      <c r="M355" s="17">
        <v>5000</v>
      </c>
      <c r="N355" s="23">
        <v>5</v>
      </c>
      <c r="O355" s="23">
        <v>25</v>
      </c>
      <c r="P355" s="23">
        <v>27</v>
      </c>
      <c r="Q355" s="23">
        <v>29</v>
      </c>
      <c r="R355" s="23">
        <v>34</v>
      </c>
      <c r="S355" s="23">
        <v>36</v>
      </c>
      <c r="T355" s="23">
        <v>33</v>
      </c>
      <c r="U355" s="23">
        <f t="shared" si="261"/>
        <v>156</v>
      </c>
      <c r="W355" s="22" t="str">
        <f t="shared" si="246"/>
        <v>홀수</v>
      </c>
      <c r="X355" s="22" t="str">
        <f t="shared" si="247"/>
        <v>홀수</v>
      </c>
      <c r="Y355" s="22" t="str">
        <f t="shared" si="248"/>
        <v>홀수</v>
      </c>
      <c r="Z355" s="22" t="str">
        <f t="shared" si="249"/>
        <v>홀수</v>
      </c>
      <c r="AA355" s="22" t="str">
        <f t="shared" si="250"/>
        <v>짝수</v>
      </c>
      <c r="AB355" s="22" t="str">
        <f t="shared" si="251"/>
        <v>짝수</v>
      </c>
      <c r="AC355" s="52" t="str">
        <f t="shared" si="252"/>
        <v>4 : 2</v>
      </c>
      <c r="AD355" s="22">
        <f t="shared" si="253"/>
        <v>4</v>
      </c>
      <c r="AE355" s="22">
        <f t="shared" si="254"/>
        <v>2</v>
      </c>
      <c r="AF355" s="22" t="str">
        <f t="shared" si="262"/>
        <v>저수</v>
      </c>
      <c r="AG355" s="22" t="str">
        <f t="shared" si="263"/>
        <v>고수</v>
      </c>
      <c r="AH355" s="22" t="str">
        <f t="shared" si="264"/>
        <v>고수</v>
      </c>
      <c r="AI355" s="22" t="str">
        <f t="shared" si="265"/>
        <v>고수</v>
      </c>
      <c r="AJ355" s="22" t="str">
        <f t="shared" si="266"/>
        <v>고수</v>
      </c>
      <c r="AK355" s="22" t="str">
        <f t="shared" si="267"/>
        <v>고수</v>
      </c>
      <c r="AL355" s="52" t="str">
        <f t="shared" si="268"/>
        <v>1 : 5</v>
      </c>
      <c r="AM355" s="22">
        <f t="shared" si="269"/>
        <v>1</v>
      </c>
      <c r="AN355" s="22">
        <f t="shared" si="270"/>
        <v>5</v>
      </c>
      <c r="AO355" s="22">
        <f t="shared" si="271"/>
        <v>36</v>
      </c>
      <c r="AP355" s="22" t="str">
        <f t="shared" si="272"/>
        <v>O</v>
      </c>
      <c r="AQ355" s="22" t="str">
        <f t="shared" si="273"/>
        <v>X</v>
      </c>
      <c r="AR355" s="22" t="str">
        <f t="shared" si="274"/>
        <v>X</v>
      </c>
      <c r="AS355" s="22" t="str">
        <f t="shared" si="275"/>
        <v>X</v>
      </c>
      <c r="AT355" s="22" t="str">
        <f t="shared" si="276"/>
        <v>X</v>
      </c>
      <c r="AU355" s="22" t="str">
        <f t="shared" si="277"/>
        <v>X</v>
      </c>
      <c r="AV355" s="22" t="str">
        <f t="shared" si="278"/>
        <v>X</v>
      </c>
      <c r="AW355" s="22" t="str">
        <f t="shared" si="279"/>
        <v>X</v>
      </c>
      <c r="AX355" s="22" t="str">
        <f t="shared" si="280"/>
        <v>X</v>
      </c>
      <c r="AY355" s="22" t="str">
        <f t="shared" si="281"/>
        <v>O</v>
      </c>
      <c r="AZ355" s="22" t="str">
        <f t="shared" si="282"/>
        <v>X</v>
      </c>
      <c r="BA355" s="22" t="str">
        <f t="shared" si="283"/>
        <v>X</v>
      </c>
      <c r="BB355" s="22">
        <f t="shared" si="284"/>
        <v>2</v>
      </c>
      <c r="BC355" s="22" t="str">
        <f t="shared" si="255"/>
        <v>1G</v>
      </c>
      <c r="BD355" s="22" t="str">
        <f t="shared" si="256"/>
        <v>2G</v>
      </c>
      <c r="BE355" s="22" t="str">
        <f t="shared" si="257"/>
        <v>2G</v>
      </c>
      <c r="BF355" s="22" t="str">
        <f t="shared" si="258"/>
        <v>2G</v>
      </c>
      <c r="BG355" s="22" t="str">
        <f t="shared" si="259"/>
        <v>3G</v>
      </c>
      <c r="BH355" s="22" t="str">
        <f t="shared" si="260"/>
        <v>3G</v>
      </c>
      <c r="BI355" s="22">
        <f t="shared" si="285"/>
        <v>1</v>
      </c>
      <c r="BJ355" s="22">
        <f t="shared" si="286"/>
        <v>3</v>
      </c>
      <c r="BK355" s="22">
        <f t="shared" si="287"/>
        <v>2</v>
      </c>
      <c r="BL355" s="22" t="str">
        <f t="shared" si="288"/>
        <v>132</v>
      </c>
      <c r="BS355"/>
      <c r="CL355" s="23">
        <v>159</v>
      </c>
      <c r="CM355" s="23">
        <v>150</v>
      </c>
      <c r="CO355"/>
    </row>
    <row r="356" spans="2:93" ht="17" hidden="1">
      <c r="B356" s="15">
        <v>352</v>
      </c>
      <c r="C356" s="23" t="s">
        <v>382</v>
      </c>
      <c r="D356" s="16">
        <v>6</v>
      </c>
      <c r="E356" s="17">
        <v>1732858250</v>
      </c>
      <c r="F356" s="16">
        <v>29</v>
      </c>
      <c r="G356" s="17">
        <v>59753733</v>
      </c>
      <c r="H356" s="17">
        <v>1166</v>
      </c>
      <c r="I356" s="17">
        <v>1486157</v>
      </c>
      <c r="J356" s="17">
        <v>58931</v>
      </c>
      <c r="K356" s="17">
        <v>58810</v>
      </c>
      <c r="L356" s="17">
        <v>1006238</v>
      </c>
      <c r="M356" s="17">
        <v>5000</v>
      </c>
      <c r="N356" s="23">
        <v>5</v>
      </c>
      <c r="O356" s="23">
        <v>16</v>
      </c>
      <c r="P356" s="23">
        <v>17</v>
      </c>
      <c r="Q356" s="23">
        <v>20</v>
      </c>
      <c r="R356" s="23">
        <v>26</v>
      </c>
      <c r="S356" s="23">
        <v>41</v>
      </c>
      <c r="T356" s="23">
        <v>24</v>
      </c>
      <c r="U356" s="23">
        <f t="shared" si="261"/>
        <v>125</v>
      </c>
      <c r="W356" s="22" t="str">
        <f t="shared" si="246"/>
        <v>홀수</v>
      </c>
      <c r="X356" s="22" t="str">
        <f t="shared" si="247"/>
        <v>짝수</v>
      </c>
      <c r="Y356" s="22" t="str">
        <f t="shared" si="248"/>
        <v>홀수</v>
      </c>
      <c r="Z356" s="22" t="str">
        <f t="shared" si="249"/>
        <v>짝수</v>
      </c>
      <c r="AA356" s="22" t="str">
        <f t="shared" si="250"/>
        <v>짝수</v>
      </c>
      <c r="AB356" s="22" t="str">
        <f t="shared" si="251"/>
        <v>홀수</v>
      </c>
      <c r="AC356" s="52" t="str">
        <f t="shared" si="252"/>
        <v>3 : 3</v>
      </c>
      <c r="AD356" s="22">
        <f t="shared" si="253"/>
        <v>3</v>
      </c>
      <c r="AE356" s="22">
        <f t="shared" si="254"/>
        <v>3</v>
      </c>
      <c r="AF356" s="22" t="str">
        <f t="shared" si="262"/>
        <v>저수</v>
      </c>
      <c r="AG356" s="22" t="str">
        <f t="shared" si="263"/>
        <v>저수</v>
      </c>
      <c r="AH356" s="22" t="str">
        <f t="shared" si="264"/>
        <v>저수</v>
      </c>
      <c r="AI356" s="22" t="str">
        <f t="shared" si="265"/>
        <v>저수</v>
      </c>
      <c r="AJ356" s="22" t="str">
        <f t="shared" si="266"/>
        <v>고수</v>
      </c>
      <c r="AK356" s="22" t="str">
        <f t="shared" si="267"/>
        <v>고수</v>
      </c>
      <c r="AL356" s="52" t="str">
        <f t="shared" si="268"/>
        <v>4 : 2</v>
      </c>
      <c r="AM356" s="22">
        <f t="shared" si="269"/>
        <v>4</v>
      </c>
      <c r="AN356" s="22">
        <f t="shared" si="270"/>
        <v>2</v>
      </c>
      <c r="AO356" s="22">
        <f t="shared" si="271"/>
        <v>25</v>
      </c>
      <c r="AP356" s="22" t="str">
        <f t="shared" si="272"/>
        <v>O</v>
      </c>
      <c r="AQ356" s="22" t="str">
        <f t="shared" si="273"/>
        <v>X</v>
      </c>
      <c r="AR356" s="22" t="str">
        <f t="shared" si="274"/>
        <v>O</v>
      </c>
      <c r="AS356" s="22" t="str">
        <f t="shared" si="275"/>
        <v>X</v>
      </c>
      <c r="AT356" s="22" t="str">
        <f t="shared" si="276"/>
        <v>X</v>
      </c>
      <c r="AU356" s="22" t="str">
        <f t="shared" si="277"/>
        <v>X</v>
      </c>
      <c r="AV356" s="22" t="str">
        <f t="shared" si="278"/>
        <v>X</v>
      </c>
      <c r="AW356" s="22" t="str">
        <f t="shared" si="279"/>
        <v>X</v>
      </c>
      <c r="AX356" s="22" t="str">
        <f t="shared" si="280"/>
        <v>X</v>
      </c>
      <c r="AY356" s="22" t="str">
        <f t="shared" si="281"/>
        <v>X</v>
      </c>
      <c r="AZ356" s="22" t="str">
        <f t="shared" si="282"/>
        <v>X</v>
      </c>
      <c r="BA356" s="22" t="str">
        <f t="shared" si="283"/>
        <v>O</v>
      </c>
      <c r="BB356" s="22">
        <f t="shared" si="284"/>
        <v>3</v>
      </c>
      <c r="BC356" s="22" t="str">
        <f t="shared" si="255"/>
        <v>1G</v>
      </c>
      <c r="BD356" s="22" t="str">
        <f t="shared" si="256"/>
        <v>2G</v>
      </c>
      <c r="BE356" s="22" t="str">
        <f t="shared" si="257"/>
        <v>2G</v>
      </c>
      <c r="BF356" s="22" t="str">
        <f t="shared" si="258"/>
        <v>2G</v>
      </c>
      <c r="BG356" s="22" t="str">
        <f t="shared" si="259"/>
        <v>2G</v>
      </c>
      <c r="BH356" s="22" t="str">
        <f t="shared" si="260"/>
        <v>3G</v>
      </c>
      <c r="BI356" s="22">
        <f t="shared" si="285"/>
        <v>1</v>
      </c>
      <c r="BJ356" s="22">
        <f t="shared" si="286"/>
        <v>4</v>
      </c>
      <c r="BK356" s="22">
        <f t="shared" si="287"/>
        <v>1</v>
      </c>
      <c r="BL356" s="22" t="str">
        <f t="shared" si="288"/>
        <v>141</v>
      </c>
      <c r="BS356"/>
      <c r="CL356" s="23">
        <v>159</v>
      </c>
      <c r="CM356" s="23">
        <v>150</v>
      </c>
      <c r="CO356"/>
    </row>
    <row r="357" spans="2:93" ht="17" hidden="1">
      <c r="B357" s="15">
        <v>353</v>
      </c>
      <c r="C357" s="23" t="s">
        <v>383</v>
      </c>
      <c r="D357" s="16">
        <v>2</v>
      </c>
      <c r="E357" s="17">
        <v>5290838250</v>
      </c>
      <c r="F357" s="16">
        <v>29</v>
      </c>
      <c r="G357" s="17">
        <v>60814233</v>
      </c>
      <c r="H357" s="17">
        <v>1042</v>
      </c>
      <c r="I357" s="17">
        <v>1692527</v>
      </c>
      <c r="J357" s="17">
        <v>54217</v>
      </c>
      <c r="K357" s="17">
        <v>65058</v>
      </c>
      <c r="L357" s="17">
        <v>928067</v>
      </c>
      <c r="M357" s="17">
        <v>5000</v>
      </c>
      <c r="N357" s="23">
        <v>11</v>
      </c>
      <c r="O357" s="23">
        <v>16</v>
      </c>
      <c r="P357" s="23">
        <v>19</v>
      </c>
      <c r="Q357" s="23">
        <v>22</v>
      </c>
      <c r="R357" s="23">
        <v>29</v>
      </c>
      <c r="S357" s="23">
        <v>36</v>
      </c>
      <c r="T357" s="23">
        <v>26</v>
      </c>
      <c r="U357" s="23">
        <f t="shared" si="261"/>
        <v>133</v>
      </c>
      <c r="W357" s="22" t="str">
        <f t="shared" si="246"/>
        <v>홀수</v>
      </c>
      <c r="X357" s="22" t="str">
        <f t="shared" si="247"/>
        <v>짝수</v>
      </c>
      <c r="Y357" s="22" t="str">
        <f t="shared" si="248"/>
        <v>홀수</v>
      </c>
      <c r="Z357" s="22" t="str">
        <f t="shared" si="249"/>
        <v>짝수</v>
      </c>
      <c r="AA357" s="22" t="str">
        <f t="shared" si="250"/>
        <v>홀수</v>
      </c>
      <c r="AB357" s="22" t="str">
        <f t="shared" si="251"/>
        <v>짝수</v>
      </c>
      <c r="AC357" s="52" t="str">
        <f t="shared" si="252"/>
        <v>3 : 3</v>
      </c>
      <c r="AD357" s="22">
        <f t="shared" si="253"/>
        <v>3</v>
      </c>
      <c r="AE357" s="22">
        <f t="shared" si="254"/>
        <v>3</v>
      </c>
      <c r="AF357" s="22" t="str">
        <f t="shared" si="262"/>
        <v>저수</v>
      </c>
      <c r="AG357" s="22" t="str">
        <f t="shared" si="263"/>
        <v>저수</v>
      </c>
      <c r="AH357" s="22" t="str">
        <f t="shared" si="264"/>
        <v>저수</v>
      </c>
      <c r="AI357" s="22" t="str">
        <f t="shared" si="265"/>
        <v>저수</v>
      </c>
      <c r="AJ357" s="22" t="str">
        <f t="shared" si="266"/>
        <v>고수</v>
      </c>
      <c r="AK357" s="22" t="str">
        <f t="shared" si="267"/>
        <v>고수</v>
      </c>
      <c r="AL357" s="52" t="str">
        <f t="shared" si="268"/>
        <v>4 : 2</v>
      </c>
      <c r="AM357" s="22">
        <f t="shared" si="269"/>
        <v>4</v>
      </c>
      <c r="AN357" s="22">
        <f t="shared" si="270"/>
        <v>2</v>
      </c>
      <c r="AO357" s="22">
        <f t="shared" si="271"/>
        <v>33</v>
      </c>
      <c r="AP357" s="22" t="str">
        <f t="shared" si="272"/>
        <v>O</v>
      </c>
      <c r="AQ357" s="22" t="str">
        <f t="shared" si="273"/>
        <v>X</v>
      </c>
      <c r="AR357" s="22" t="str">
        <f t="shared" si="274"/>
        <v>O</v>
      </c>
      <c r="AS357" s="22" t="str">
        <f t="shared" si="275"/>
        <v>X</v>
      </c>
      <c r="AT357" s="22" t="str">
        <f t="shared" si="276"/>
        <v>X</v>
      </c>
      <c r="AU357" s="22" t="str">
        <f t="shared" si="277"/>
        <v>X</v>
      </c>
      <c r="AV357" s="22" t="str">
        <f t="shared" si="278"/>
        <v>X</v>
      </c>
      <c r="AW357" s="22" t="str">
        <f t="shared" si="279"/>
        <v>X</v>
      </c>
      <c r="AX357" s="22" t="str">
        <f t="shared" si="280"/>
        <v>X</v>
      </c>
      <c r="AY357" s="22" t="str">
        <f t="shared" si="281"/>
        <v>X</v>
      </c>
      <c r="AZ357" s="22" t="str">
        <f t="shared" si="282"/>
        <v>O</v>
      </c>
      <c r="BA357" s="22" t="str">
        <f t="shared" si="283"/>
        <v>X</v>
      </c>
      <c r="BB357" s="22">
        <f t="shared" si="284"/>
        <v>3</v>
      </c>
      <c r="BC357" s="22" t="str">
        <f t="shared" si="255"/>
        <v>1G</v>
      </c>
      <c r="BD357" s="22" t="str">
        <f t="shared" si="256"/>
        <v>2G</v>
      </c>
      <c r="BE357" s="22" t="str">
        <f t="shared" si="257"/>
        <v>2G</v>
      </c>
      <c r="BF357" s="22" t="str">
        <f t="shared" si="258"/>
        <v>2G</v>
      </c>
      <c r="BG357" s="22" t="str">
        <f t="shared" si="259"/>
        <v>2G</v>
      </c>
      <c r="BH357" s="22" t="str">
        <f t="shared" si="260"/>
        <v>3G</v>
      </c>
      <c r="BI357" s="22">
        <f t="shared" si="285"/>
        <v>1</v>
      </c>
      <c r="BJ357" s="22">
        <f t="shared" si="286"/>
        <v>4</v>
      </c>
      <c r="BK357" s="22">
        <f t="shared" si="287"/>
        <v>1</v>
      </c>
      <c r="BL357" s="22" t="str">
        <f t="shared" si="288"/>
        <v>141</v>
      </c>
      <c r="BS357"/>
      <c r="CL357" s="23">
        <v>159</v>
      </c>
      <c r="CM357" s="23">
        <v>150</v>
      </c>
      <c r="CO357"/>
    </row>
    <row r="358" spans="2:93" ht="17" hidden="1">
      <c r="B358" s="15">
        <v>354</v>
      </c>
      <c r="C358" s="23" t="s">
        <v>384</v>
      </c>
      <c r="D358" s="16">
        <v>5</v>
      </c>
      <c r="E358" s="17">
        <v>2124464340</v>
      </c>
      <c r="F358" s="16">
        <v>34</v>
      </c>
      <c r="G358" s="17">
        <v>52070205</v>
      </c>
      <c r="H358" s="17">
        <v>1014</v>
      </c>
      <c r="I358" s="17">
        <v>1745944</v>
      </c>
      <c r="J358" s="17">
        <v>54318</v>
      </c>
      <c r="K358" s="17">
        <v>65187</v>
      </c>
      <c r="L358" s="17">
        <v>930195</v>
      </c>
      <c r="M358" s="17">
        <v>5000</v>
      </c>
      <c r="N358" s="23">
        <v>14</v>
      </c>
      <c r="O358" s="23">
        <v>19</v>
      </c>
      <c r="P358" s="23">
        <v>36</v>
      </c>
      <c r="Q358" s="23">
        <v>43</v>
      </c>
      <c r="R358" s="23">
        <v>44</v>
      </c>
      <c r="S358" s="23">
        <v>45</v>
      </c>
      <c r="T358" s="23">
        <v>1</v>
      </c>
      <c r="U358" s="23">
        <f t="shared" si="261"/>
        <v>201</v>
      </c>
      <c r="W358" s="22" t="str">
        <f t="shared" si="246"/>
        <v>짝수</v>
      </c>
      <c r="X358" s="22" t="str">
        <f t="shared" si="247"/>
        <v>홀수</v>
      </c>
      <c r="Y358" s="22" t="str">
        <f t="shared" si="248"/>
        <v>짝수</v>
      </c>
      <c r="Z358" s="22" t="str">
        <f t="shared" si="249"/>
        <v>홀수</v>
      </c>
      <c r="AA358" s="22" t="str">
        <f t="shared" si="250"/>
        <v>짝수</v>
      </c>
      <c r="AB358" s="22" t="str">
        <f t="shared" si="251"/>
        <v>홀수</v>
      </c>
      <c r="AC358" s="52" t="str">
        <f t="shared" si="252"/>
        <v>3 : 3</v>
      </c>
      <c r="AD358" s="22">
        <f t="shared" si="253"/>
        <v>3</v>
      </c>
      <c r="AE358" s="22">
        <f t="shared" si="254"/>
        <v>3</v>
      </c>
      <c r="AF358" s="22" t="str">
        <f t="shared" si="262"/>
        <v>저수</v>
      </c>
      <c r="AG358" s="22" t="str">
        <f t="shared" si="263"/>
        <v>저수</v>
      </c>
      <c r="AH358" s="22" t="str">
        <f t="shared" si="264"/>
        <v>고수</v>
      </c>
      <c r="AI358" s="22" t="str">
        <f t="shared" si="265"/>
        <v>고수</v>
      </c>
      <c r="AJ358" s="22" t="str">
        <f t="shared" si="266"/>
        <v>고수</v>
      </c>
      <c r="AK358" s="22" t="str">
        <f t="shared" si="267"/>
        <v>고수</v>
      </c>
      <c r="AL358" s="52" t="str">
        <f t="shared" si="268"/>
        <v>2 : 4</v>
      </c>
      <c r="AM358" s="22">
        <f t="shared" si="269"/>
        <v>2</v>
      </c>
      <c r="AN358" s="22">
        <f t="shared" si="270"/>
        <v>4</v>
      </c>
      <c r="AO358" s="22">
        <f t="shared" si="271"/>
        <v>31</v>
      </c>
      <c r="AP358" s="22" t="str">
        <f t="shared" si="272"/>
        <v>X</v>
      </c>
      <c r="AQ358" s="22" t="str">
        <f t="shared" si="273"/>
        <v>O</v>
      </c>
      <c r="AR358" s="22" t="str">
        <f t="shared" si="274"/>
        <v>X</v>
      </c>
      <c r="AS358" s="22" t="str">
        <f t="shared" si="275"/>
        <v>X</v>
      </c>
      <c r="AT358" s="22" t="str">
        <f t="shared" si="276"/>
        <v>X</v>
      </c>
      <c r="AU358" s="22" t="str">
        <f t="shared" si="277"/>
        <v>X</v>
      </c>
      <c r="AV358" s="22" t="str">
        <f t="shared" si="278"/>
        <v>X</v>
      </c>
      <c r="AW358" s="22" t="str">
        <f t="shared" si="279"/>
        <v>X</v>
      </c>
      <c r="AX358" s="22" t="str">
        <f t="shared" si="280"/>
        <v>X</v>
      </c>
      <c r="AY358" s="22" t="str">
        <f t="shared" si="281"/>
        <v>O</v>
      </c>
      <c r="AZ358" s="22" t="str">
        <f t="shared" si="282"/>
        <v>X</v>
      </c>
      <c r="BA358" s="22" t="str">
        <f t="shared" si="283"/>
        <v>X</v>
      </c>
      <c r="BB358" s="22">
        <f t="shared" si="284"/>
        <v>2</v>
      </c>
      <c r="BC358" s="22" t="str">
        <f t="shared" si="255"/>
        <v>1G</v>
      </c>
      <c r="BD358" s="22" t="str">
        <f t="shared" si="256"/>
        <v>2G</v>
      </c>
      <c r="BE358" s="22" t="str">
        <f t="shared" si="257"/>
        <v>3G</v>
      </c>
      <c r="BF358" s="22" t="str">
        <f t="shared" si="258"/>
        <v>3G</v>
      </c>
      <c r="BG358" s="22" t="str">
        <f t="shared" si="259"/>
        <v>3G</v>
      </c>
      <c r="BH358" s="22" t="str">
        <f t="shared" si="260"/>
        <v>3G</v>
      </c>
      <c r="BI358" s="22">
        <f t="shared" si="285"/>
        <v>1</v>
      </c>
      <c r="BJ358" s="22">
        <f t="shared" si="286"/>
        <v>1</v>
      </c>
      <c r="BK358" s="22">
        <f t="shared" si="287"/>
        <v>4</v>
      </c>
      <c r="BL358" s="22" t="str">
        <f t="shared" si="288"/>
        <v>114</v>
      </c>
      <c r="BS358"/>
      <c r="CL358" s="23">
        <v>160</v>
      </c>
      <c r="CM358" s="23">
        <v>160</v>
      </c>
      <c r="CO358"/>
    </row>
    <row r="359" spans="2:93" ht="17" hidden="1">
      <c r="B359" s="15">
        <v>355</v>
      </c>
      <c r="C359" s="23" t="s">
        <v>385</v>
      </c>
      <c r="D359" s="16">
        <v>5</v>
      </c>
      <c r="E359" s="17">
        <v>2145424800</v>
      </c>
      <c r="F359" s="16">
        <v>24</v>
      </c>
      <c r="G359" s="17">
        <v>74493917</v>
      </c>
      <c r="H359" s="17">
        <v>1094</v>
      </c>
      <c r="I359" s="17">
        <v>1634236</v>
      </c>
      <c r="J359" s="17">
        <v>54130</v>
      </c>
      <c r="K359" s="17">
        <v>66058</v>
      </c>
      <c r="L359" s="17">
        <v>925997</v>
      </c>
      <c r="M359" s="17">
        <v>5000</v>
      </c>
      <c r="N359" s="23">
        <v>5</v>
      </c>
      <c r="O359" s="23">
        <v>8</v>
      </c>
      <c r="P359" s="23">
        <v>29</v>
      </c>
      <c r="Q359" s="23">
        <v>30</v>
      </c>
      <c r="R359" s="23">
        <v>35</v>
      </c>
      <c r="S359" s="23">
        <v>44</v>
      </c>
      <c r="T359" s="23">
        <v>38</v>
      </c>
      <c r="U359" s="23">
        <f t="shared" si="261"/>
        <v>151</v>
      </c>
      <c r="W359" s="22" t="str">
        <f t="shared" si="246"/>
        <v>홀수</v>
      </c>
      <c r="X359" s="22" t="str">
        <f t="shared" si="247"/>
        <v>짝수</v>
      </c>
      <c r="Y359" s="22" t="str">
        <f t="shared" si="248"/>
        <v>홀수</v>
      </c>
      <c r="Z359" s="22" t="str">
        <f t="shared" si="249"/>
        <v>짝수</v>
      </c>
      <c r="AA359" s="22" t="str">
        <f t="shared" si="250"/>
        <v>홀수</v>
      </c>
      <c r="AB359" s="22" t="str">
        <f t="shared" si="251"/>
        <v>짝수</v>
      </c>
      <c r="AC359" s="52" t="str">
        <f t="shared" si="252"/>
        <v>3 : 3</v>
      </c>
      <c r="AD359" s="22">
        <f t="shared" si="253"/>
        <v>3</v>
      </c>
      <c r="AE359" s="22">
        <f t="shared" si="254"/>
        <v>3</v>
      </c>
      <c r="AF359" s="22" t="str">
        <f t="shared" si="262"/>
        <v>저수</v>
      </c>
      <c r="AG359" s="22" t="str">
        <f t="shared" si="263"/>
        <v>저수</v>
      </c>
      <c r="AH359" s="22" t="str">
        <f t="shared" si="264"/>
        <v>고수</v>
      </c>
      <c r="AI359" s="22" t="str">
        <f t="shared" si="265"/>
        <v>고수</v>
      </c>
      <c r="AJ359" s="22" t="str">
        <f t="shared" si="266"/>
        <v>고수</v>
      </c>
      <c r="AK359" s="22" t="str">
        <f t="shared" si="267"/>
        <v>고수</v>
      </c>
      <c r="AL359" s="52" t="str">
        <f t="shared" si="268"/>
        <v>2 : 4</v>
      </c>
      <c r="AM359" s="22">
        <f t="shared" si="269"/>
        <v>2</v>
      </c>
      <c r="AN359" s="22">
        <f t="shared" si="270"/>
        <v>4</v>
      </c>
      <c r="AO359" s="22">
        <f t="shared" si="271"/>
        <v>31</v>
      </c>
      <c r="AP359" s="22" t="str">
        <f t="shared" si="272"/>
        <v>O</v>
      </c>
      <c r="AQ359" s="22" t="str">
        <f t="shared" si="273"/>
        <v>X</v>
      </c>
      <c r="AR359" s="22" t="str">
        <f t="shared" si="274"/>
        <v>X</v>
      </c>
      <c r="AS359" s="22" t="str">
        <f t="shared" si="275"/>
        <v>X</v>
      </c>
      <c r="AT359" s="22" t="str">
        <f t="shared" si="276"/>
        <v>X</v>
      </c>
      <c r="AU359" s="22" t="str">
        <f t="shared" si="277"/>
        <v>X</v>
      </c>
      <c r="AV359" s="22" t="str">
        <f t="shared" si="278"/>
        <v>X</v>
      </c>
      <c r="AW359" s="22" t="str">
        <f t="shared" si="279"/>
        <v>X</v>
      </c>
      <c r="AX359" s="22" t="str">
        <f t="shared" si="280"/>
        <v>O</v>
      </c>
      <c r="AY359" s="22" t="str">
        <f t="shared" si="281"/>
        <v>X</v>
      </c>
      <c r="AZ359" s="22" t="str">
        <f t="shared" si="282"/>
        <v>X</v>
      </c>
      <c r="BA359" s="22" t="str">
        <f t="shared" si="283"/>
        <v>X</v>
      </c>
      <c r="BB359" s="22">
        <f t="shared" si="284"/>
        <v>2</v>
      </c>
      <c r="BC359" s="22" t="str">
        <f t="shared" si="255"/>
        <v>1G</v>
      </c>
      <c r="BD359" s="22" t="str">
        <f t="shared" si="256"/>
        <v>1G</v>
      </c>
      <c r="BE359" s="22" t="str">
        <f t="shared" si="257"/>
        <v>2G</v>
      </c>
      <c r="BF359" s="22" t="str">
        <f t="shared" si="258"/>
        <v>2G</v>
      </c>
      <c r="BG359" s="22" t="str">
        <f t="shared" si="259"/>
        <v>3G</v>
      </c>
      <c r="BH359" s="22" t="str">
        <f t="shared" si="260"/>
        <v>3G</v>
      </c>
      <c r="BI359" s="22">
        <f t="shared" si="285"/>
        <v>2</v>
      </c>
      <c r="BJ359" s="22">
        <f t="shared" si="286"/>
        <v>2</v>
      </c>
      <c r="BK359" s="22">
        <f t="shared" si="287"/>
        <v>2</v>
      </c>
      <c r="BL359" s="22" t="str">
        <f t="shared" si="288"/>
        <v>222</v>
      </c>
      <c r="BS359"/>
      <c r="CL359" s="23">
        <v>160</v>
      </c>
      <c r="CM359" s="23">
        <v>160</v>
      </c>
      <c r="CO359"/>
    </row>
    <row r="360" spans="2:93" ht="17" hidden="1">
      <c r="B360" s="15">
        <v>356</v>
      </c>
      <c r="C360" s="23" t="s">
        <v>386</v>
      </c>
      <c r="D360" s="16">
        <v>9</v>
      </c>
      <c r="E360" s="17">
        <v>1157185267</v>
      </c>
      <c r="F360" s="16">
        <v>37</v>
      </c>
      <c r="G360" s="17">
        <v>46912917</v>
      </c>
      <c r="H360" s="17">
        <v>1263</v>
      </c>
      <c r="I360" s="17">
        <v>1374330</v>
      </c>
      <c r="J360" s="17">
        <v>61162</v>
      </c>
      <c r="K360" s="17">
        <v>56761</v>
      </c>
      <c r="L360" s="17">
        <v>996940</v>
      </c>
      <c r="M360" s="17">
        <v>5000</v>
      </c>
      <c r="N360" s="23">
        <v>2</v>
      </c>
      <c r="O360" s="23">
        <v>8</v>
      </c>
      <c r="P360" s="23">
        <v>14</v>
      </c>
      <c r="Q360" s="23">
        <v>25</v>
      </c>
      <c r="R360" s="23">
        <v>29</v>
      </c>
      <c r="S360" s="23">
        <v>45</v>
      </c>
      <c r="T360" s="23">
        <v>24</v>
      </c>
      <c r="U360" s="23">
        <f t="shared" si="261"/>
        <v>123</v>
      </c>
      <c r="W360" s="22" t="str">
        <f t="shared" si="246"/>
        <v>짝수</v>
      </c>
      <c r="X360" s="22" t="str">
        <f t="shared" si="247"/>
        <v>짝수</v>
      </c>
      <c r="Y360" s="22" t="str">
        <f t="shared" si="248"/>
        <v>짝수</v>
      </c>
      <c r="Z360" s="22" t="str">
        <f t="shared" si="249"/>
        <v>홀수</v>
      </c>
      <c r="AA360" s="22" t="str">
        <f t="shared" si="250"/>
        <v>홀수</v>
      </c>
      <c r="AB360" s="22" t="str">
        <f t="shared" si="251"/>
        <v>홀수</v>
      </c>
      <c r="AC360" s="52" t="str">
        <f t="shared" si="252"/>
        <v>3 : 3</v>
      </c>
      <c r="AD360" s="22">
        <f t="shared" si="253"/>
        <v>3</v>
      </c>
      <c r="AE360" s="22">
        <f t="shared" si="254"/>
        <v>3</v>
      </c>
      <c r="AF360" s="22" t="str">
        <f t="shared" si="262"/>
        <v>저수</v>
      </c>
      <c r="AG360" s="22" t="str">
        <f t="shared" si="263"/>
        <v>저수</v>
      </c>
      <c r="AH360" s="22" t="str">
        <f t="shared" si="264"/>
        <v>저수</v>
      </c>
      <c r="AI360" s="22" t="str">
        <f t="shared" si="265"/>
        <v>고수</v>
      </c>
      <c r="AJ360" s="22" t="str">
        <f t="shared" si="266"/>
        <v>고수</v>
      </c>
      <c r="AK360" s="22" t="str">
        <f t="shared" si="267"/>
        <v>고수</v>
      </c>
      <c r="AL360" s="52" t="str">
        <f t="shared" si="268"/>
        <v>3 : 3</v>
      </c>
      <c r="AM360" s="22">
        <f t="shared" si="269"/>
        <v>3</v>
      </c>
      <c r="AN360" s="22">
        <f t="shared" si="270"/>
        <v>3</v>
      </c>
      <c r="AO360" s="22">
        <f t="shared" si="271"/>
        <v>33</v>
      </c>
      <c r="AP360" s="22" t="str">
        <f t="shared" si="272"/>
        <v>O</v>
      </c>
      <c r="AQ360" s="22" t="str">
        <f t="shared" si="273"/>
        <v>X</v>
      </c>
      <c r="AR360" s="22" t="str">
        <f t="shared" si="274"/>
        <v>X</v>
      </c>
      <c r="AS360" s="22" t="str">
        <f t="shared" si="275"/>
        <v>X</v>
      </c>
      <c r="AT360" s="22" t="str">
        <f t="shared" si="276"/>
        <v>X</v>
      </c>
      <c r="AU360" s="22" t="str">
        <f t="shared" si="277"/>
        <v>X</v>
      </c>
      <c r="AV360" s="22" t="str">
        <f t="shared" si="278"/>
        <v>X</v>
      </c>
      <c r="AW360" s="22" t="str">
        <f t="shared" si="279"/>
        <v>X</v>
      </c>
      <c r="AX360" s="22" t="str">
        <f t="shared" si="280"/>
        <v>X</v>
      </c>
      <c r="AY360" s="22" t="str">
        <f t="shared" si="281"/>
        <v>X</v>
      </c>
      <c r="AZ360" s="22" t="str">
        <f t="shared" si="282"/>
        <v>O</v>
      </c>
      <c r="BA360" s="22" t="str">
        <f t="shared" si="283"/>
        <v>X</v>
      </c>
      <c r="BB360" s="22">
        <f t="shared" si="284"/>
        <v>2</v>
      </c>
      <c r="BC360" s="22" t="str">
        <f t="shared" si="255"/>
        <v>1G</v>
      </c>
      <c r="BD360" s="22" t="str">
        <f t="shared" si="256"/>
        <v>1G</v>
      </c>
      <c r="BE360" s="22" t="str">
        <f t="shared" si="257"/>
        <v>1G</v>
      </c>
      <c r="BF360" s="22" t="str">
        <f t="shared" si="258"/>
        <v>2G</v>
      </c>
      <c r="BG360" s="22" t="str">
        <f t="shared" si="259"/>
        <v>2G</v>
      </c>
      <c r="BH360" s="22" t="str">
        <f t="shared" si="260"/>
        <v>3G</v>
      </c>
      <c r="BI360" s="22">
        <f t="shared" si="285"/>
        <v>3</v>
      </c>
      <c r="BJ360" s="22">
        <f t="shared" si="286"/>
        <v>2</v>
      </c>
      <c r="BK360" s="22">
        <f t="shared" si="287"/>
        <v>1</v>
      </c>
      <c r="BL360" s="22" t="str">
        <f t="shared" si="288"/>
        <v>321</v>
      </c>
      <c r="BS360"/>
      <c r="CL360" s="23">
        <v>160</v>
      </c>
      <c r="CM360" s="23">
        <v>160</v>
      </c>
      <c r="CO360"/>
    </row>
    <row r="361" spans="2:93" ht="17" hidden="1">
      <c r="B361" s="15">
        <v>357</v>
      </c>
      <c r="C361" s="23" t="s">
        <v>387</v>
      </c>
      <c r="D361" s="16">
        <v>2</v>
      </c>
      <c r="E361" s="17">
        <v>5313394350</v>
      </c>
      <c r="F361" s="16">
        <v>27</v>
      </c>
      <c r="G361" s="17">
        <v>65597462</v>
      </c>
      <c r="H361" s="17">
        <v>1116</v>
      </c>
      <c r="I361" s="17">
        <v>1587036</v>
      </c>
      <c r="J361" s="17">
        <v>56547</v>
      </c>
      <c r="K361" s="17">
        <v>62643</v>
      </c>
      <c r="L361" s="17">
        <v>980978</v>
      </c>
      <c r="M361" s="17">
        <v>5000</v>
      </c>
      <c r="N361" s="23">
        <v>10</v>
      </c>
      <c r="O361" s="23">
        <v>14</v>
      </c>
      <c r="P361" s="23">
        <v>18</v>
      </c>
      <c r="Q361" s="23">
        <v>21</v>
      </c>
      <c r="R361" s="23">
        <v>36</v>
      </c>
      <c r="S361" s="23">
        <v>37</v>
      </c>
      <c r="T361" s="23">
        <v>5</v>
      </c>
      <c r="U361" s="23">
        <f t="shared" si="261"/>
        <v>136</v>
      </c>
      <c r="W361" s="22" t="str">
        <f t="shared" si="246"/>
        <v>짝수</v>
      </c>
      <c r="X361" s="22" t="str">
        <f t="shared" si="247"/>
        <v>짝수</v>
      </c>
      <c r="Y361" s="22" t="str">
        <f t="shared" si="248"/>
        <v>짝수</v>
      </c>
      <c r="Z361" s="22" t="str">
        <f t="shared" si="249"/>
        <v>홀수</v>
      </c>
      <c r="AA361" s="22" t="str">
        <f t="shared" si="250"/>
        <v>짝수</v>
      </c>
      <c r="AB361" s="22" t="str">
        <f t="shared" si="251"/>
        <v>홀수</v>
      </c>
      <c r="AC361" s="52" t="str">
        <f t="shared" si="252"/>
        <v>2 : 4</v>
      </c>
      <c r="AD361" s="22">
        <f t="shared" si="253"/>
        <v>2</v>
      </c>
      <c r="AE361" s="22">
        <f t="shared" si="254"/>
        <v>4</v>
      </c>
      <c r="AF361" s="22" t="str">
        <f t="shared" si="262"/>
        <v>저수</v>
      </c>
      <c r="AG361" s="22" t="str">
        <f t="shared" si="263"/>
        <v>저수</v>
      </c>
      <c r="AH361" s="22" t="str">
        <f t="shared" si="264"/>
        <v>저수</v>
      </c>
      <c r="AI361" s="22" t="str">
        <f t="shared" si="265"/>
        <v>저수</v>
      </c>
      <c r="AJ361" s="22" t="str">
        <f t="shared" si="266"/>
        <v>고수</v>
      </c>
      <c r="AK361" s="22" t="str">
        <f t="shared" si="267"/>
        <v>고수</v>
      </c>
      <c r="AL361" s="52" t="str">
        <f t="shared" si="268"/>
        <v>4 : 2</v>
      </c>
      <c r="AM361" s="22">
        <f t="shared" si="269"/>
        <v>4</v>
      </c>
      <c r="AN361" s="22">
        <f t="shared" si="270"/>
        <v>2</v>
      </c>
      <c r="AO361" s="22">
        <f t="shared" si="271"/>
        <v>26</v>
      </c>
      <c r="AP361" s="22" t="str">
        <f t="shared" si="272"/>
        <v>X</v>
      </c>
      <c r="AQ361" s="22" t="str">
        <f t="shared" si="273"/>
        <v>X</v>
      </c>
      <c r="AR361" s="22" t="str">
        <f t="shared" si="274"/>
        <v>X</v>
      </c>
      <c r="AS361" s="22" t="str">
        <f t="shared" si="275"/>
        <v>X</v>
      </c>
      <c r="AT361" s="22" t="str">
        <f t="shared" si="276"/>
        <v>X</v>
      </c>
      <c r="AU361" s="22" t="str">
        <f t="shared" si="277"/>
        <v>X</v>
      </c>
      <c r="AV361" s="22" t="str">
        <f t="shared" si="278"/>
        <v>X</v>
      </c>
      <c r="AW361" s="22" t="str">
        <f t="shared" si="279"/>
        <v>X</v>
      </c>
      <c r="AX361" s="22" t="str">
        <f t="shared" si="280"/>
        <v>X</v>
      </c>
      <c r="AY361" s="22" t="str">
        <f t="shared" si="281"/>
        <v>X</v>
      </c>
      <c r="AZ361" s="22" t="str">
        <f t="shared" si="282"/>
        <v>X</v>
      </c>
      <c r="BA361" s="22" t="str">
        <f t="shared" si="283"/>
        <v>O</v>
      </c>
      <c r="BB361" s="22">
        <f t="shared" si="284"/>
        <v>1</v>
      </c>
      <c r="BC361" s="22" t="str">
        <f t="shared" si="255"/>
        <v>1G</v>
      </c>
      <c r="BD361" s="22" t="str">
        <f t="shared" si="256"/>
        <v>1G</v>
      </c>
      <c r="BE361" s="22" t="str">
        <f t="shared" si="257"/>
        <v>2G</v>
      </c>
      <c r="BF361" s="22" t="str">
        <f t="shared" si="258"/>
        <v>2G</v>
      </c>
      <c r="BG361" s="22" t="str">
        <f t="shared" si="259"/>
        <v>3G</v>
      </c>
      <c r="BH361" s="22" t="str">
        <f t="shared" si="260"/>
        <v>3G</v>
      </c>
      <c r="BI361" s="22">
        <f t="shared" si="285"/>
        <v>2</v>
      </c>
      <c r="BJ361" s="22">
        <f t="shared" si="286"/>
        <v>2</v>
      </c>
      <c r="BK361" s="22">
        <f t="shared" si="287"/>
        <v>2</v>
      </c>
      <c r="BL361" s="22" t="str">
        <f t="shared" si="288"/>
        <v>222</v>
      </c>
      <c r="BS361"/>
      <c r="CL361" s="23">
        <v>160</v>
      </c>
      <c r="CM361" s="23">
        <v>160</v>
      </c>
      <c r="CO361"/>
    </row>
    <row r="362" spans="2:93" ht="17" hidden="1">
      <c r="B362" s="15">
        <v>358</v>
      </c>
      <c r="C362" s="23" t="s">
        <v>388</v>
      </c>
      <c r="D362" s="16">
        <v>3</v>
      </c>
      <c r="E362" s="17">
        <v>3472654900</v>
      </c>
      <c r="F362" s="16">
        <v>44</v>
      </c>
      <c r="G362" s="17">
        <v>39461988</v>
      </c>
      <c r="H362" s="17">
        <v>1382</v>
      </c>
      <c r="I362" s="17">
        <v>1256388</v>
      </c>
      <c r="J362" s="17">
        <v>68247</v>
      </c>
      <c r="K362" s="17">
        <v>50884</v>
      </c>
      <c r="L362" s="17">
        <v>1092528</v>
      </c>
      <c r="M362" s="17">
        <v>5000</v>
      </c>
      <c r="N362" s="23">
        <v>1</v>
      </c>
      <c r="O362" s="23">
        <v>9</v>
      </c>
      <c r="P362" s="23">
        <v>10</v>
      </c>
      <c r="Q362" s="23">
        <v>12</v>
      </c>
      <c r="R362" s="23">
        <v>21</v>
      </c>
      <c r="S362" s="23">
        <v>40</v>
      </c>
      <c r="T362" s="23">
        <v>37</v>
      </c>
      <c r="U362" s="23">
        <f t="shared" si="261"/>
        <v>93</v>
      </c>
      <c r="W362" s="22" t="str">
        <f t="shared" si="246"/>
        <v>홀수</v>
      </c>
      <c r="X362" s="22" t="str">
        <f t="shared" si="247"/>
        <v>홀수</v>
      </c>
      <c r="Y362" s="22" t="str">
        <f t="shared" si="248"/>
        <v>짝수</v>
      </c>
      <c r="Z362" s="22" t="str">
        <f t="shared" si="249"/>
        <v>짝수</v>
      </c>
      <c r="AA362" s="22" t="str">
        <f t="shared" si="250"/>
        <v>홀수</v>
      </c>
      <c r="AB362" s="22" t="str">
        <f t="shared" si="251"/>
        <v>짝수</v>
      </c>
      <c r="AC362" s="52" t="str">
        <f t="shared" si="252"/>
        <v>3 : 3</v>
      </c>
      <c r="AD362" s="22">
        <f t="shared" si="253"/>
        <v>3</v>
      </c>
      <c r="AE362" s="22">
        <f t="shared" si="254"/>
        <v>3</v>
      </c>
      <c r="AF362" s="22" t="str">
        <f t="shared" si="262"/>
        <v>저수</v>
      </c>
      <c r="AG362" s="22" t="str">
        <f t="shared" si="263"/>
        <v>저수</v>
      </c>
      <c r="AH362" s="22" t="str">
        <f t="shared" si="264"/>
        <v>저수</v>
      </c>
      <c r="AI362" s="22" t="str">
        <f t="shared" si="265"/>
        <v>저수</v>
      </c>
      <c r="AJ362" s="22" t="str">
        <f t="shared" si="266"/>
        <v>저수</v>
      </c>
      <c r="AK362" s="22" t="str">
        <f t="shared" si="267"/>
        <v>고수</v>
      </c>
      <c r="AL362" s="52" t="str">
        <f t="shared" si="268"/>
        <v>5 : 1</v>
      </c>
      <c r="AM362" s="22">
        <f t="shared" si="269"/>
        <v>5</v>
      </c>
      <c r="AN362" s="22">
        <f t="shared" si="270"/>
        <v>1</v>
      </c>
      <c r="AO362" s="22">
        <f t="shared" si="271"/>
        <v>13</v>
      </c>
      <c r="AP362" s="22" t="str">
        <f t="shared" si="272"/>
        <v>X</v>
      </c>
      <c r="AQ362" s="22" t="str">
        <f t="shared" si="273"/>
        <v>X</v>
      </c>
      <c r="AR362" s="22" t="str">
        <f t="shared" si="274"/>
        <v>X</v>
      </c>
      <c r="AS362" s="22" t="str">
        <f t="shared" si="275"/>
        <v>X</v>
      </c>
      <c r="AT362" s="22" t="str">
        <f t="shared" si="276"/>
        <v>X</v>
      </c>
      <c r="AU362" s="22" t="str">
        <f t="shared" si="277"/>
        <v>X</v>
      </c>
      <c r="AV362" s="22" t="str">
        <f t="shared" si="278"/>
        <v>X</v>
      </c>
      <c r="AW362" s="22" t="str">
        <f t="shared" si="279"/>
        <v>X</v>
      </c>
      <c r="AX362" s="22" t="str">
        <f t="shared" si="280"/>
        <v>X</v>
      </c>
      <c r="AY362" s="22" t="str">
        <f t="shared" si="281"/>
        <v>X</v>
      </c>
      <c r="AZ362" s="22" t="str">
        <f t="shared" si="282"/>
        <v>X</v>
      </c>
      <c r="BA362" s="22" t="str">
        <f t="shared" si="283"/>
        <v>X</v>
      </c>
      <c r="BB362" s="22">
        <f t="shared" si="284"/>
        <v>0</v>
      </c>
      <c r="BC362" s="22" t="str">
        <f t="shared" si="255"/>
        <v>1G</v>
      </c>
      <c r="BD362" s="22" t="str">
        <f t="shared" si="256"/>
        <v>1G</v>
      </c>
      <c r="BE362" s="22" t="str">
        <f t="shared" si="257"/>
        <v>1G</v>
      </c>
      <c r="BF362" s="22" t="str">
        <f t="shared" si="258"/>
        <v>1G</v>
      </c>
      <c r="BG362" s="22" t="str">
        <f t="shared" si="259"/>
        <v>2G</v>
      </c>
      <c r="BH362" s="22" t="str">
        <f t="shared" si="260"/>
        <v>3G</v>
      </c>
      <c r="BI362" s="22">
        <f t="shared" si="285"/>
        <v>4</v>
      </c>
      <c r="BJ362" s="22">
        <f t="shared" si="286"/>
        <v>1</v>
      </c>
      <c r="BK362" s="22">
        <f t="shared" si="287"/>
        <v>1</v>
      </c>
      <c r="BL362" s="22" t="str">
        <f t="shared" si="288"/>
        <v>411</v>
      </c>
      <c r="BS362"/>
      <c r="CL362" s="23">
        <v>160</v>
      </c>
      <c r="CM362" s="23">
        <v>160</v>
      </c>
      <c r="CO362"/>
    </row>
    <row r="363" spans="2:93" ht="17" hidden="1">
      <c r="B363" s="15">
        <v>359</v>
      </c>
      <c r="C363" s="23" t="s">
        <v>389</v>
      </c>
      <c r="D363" s="16">
        <v>8</v>
      </c>
      <c r="E363" s="17">
        <v>1286712600</v>
      </c>
      <c r="F363" s="16">
        <v>37</v>
      </c>
      <c r="G363" s="17">
        <v>46368022</v>
      </c>
      <c r="H363" s="17">
        <v>1656</v>
      </c>
      <c r="I363" s="17">
        <v>1036001</v>
      </c>
      <c r="J363" s="17">
        <v>73283</v>
      </c>
      <c r="K363" s="17">
        <v>46822</v>
      </c>
      <c r="L363" s="17">
        <v>1097592</v>
      </c>
      <c r="M363" s="17">
        <v>5000</v>
      </c>
      <c r="N363" s="23">
        <v>1</v>
      </c>
      <c r="O363" s="23">
        <v>10</v>
      </c>
      <c r="P363" s="23">
        <v>19</v>
      </c>
      <c r="Q363" s="23">
        <v>20</v>
      </c>
      <c r="R363" s="23">
        <v>24</v>
      </c>
      <c r="S363" s="23">
        <v>40</v>
      </c>
      <c r="T363" s="23">
        <v>23</v>
      </c>
      <c r="U363" s="23">
        <f t="shared" si="261"/>
        <v>114</v>
      </c>
      <c r="W363" s="22" t="str">
        <f t="shared" si="246"/>
        <v>홀수</v>
      </c>
      <c r="X363" s="22" t="str">
        <f t="shared" si="247"/>
        <v>짝수</v>
      </c>
      <c r="Y363" s="22" t="str">
        <f t="shared" si="248"/>
        <v>홀수</v>
      </c>
      <c r="Z363" s="22" t="str">
        <f t="shared" si="249"/>
        <v>짝수</v>
      </c>
      <c r="AA363" s="22" t="str">
        <f t="shared" si="250"/>
        <v>짝수</v>
      </c>
      <c r="AB363" s="22" t="str">
        <f t="shared" si="251"/>
        <v>짝수</v>
      </c>
      <c r="AC363" s="52" t="str">
        <f t="shared" si="252"/>
        <v>2 : 4</v>
      </c>
      <c r="AD363" s="22">
        <f t="shared" si="253"/>
        <v>2</v>
      </c>
      <c r="AE363" s="22">
        <f t="shared" si="254"/>
        <v>4</v>
      </c>
      <c r="AF363" s="22" t="str">
        <f t="shared" si="262"/>
        <v>저수</v>
      </c>
      <c r="AG363" s="22" t="str">
        <f t="shared" si="263"/>
        <v>저수</v>
      </c>
      <c r="AH363" s="22" t="str">
        <f t="shared" si="264"/>
        <v>저수</v>
      </c>
      <c r="AI363" s="22" t="str">
        <f t="shared" si="265"/>
        <v>저수</v>
      </c>
      <c r="AJ363" s="22" t="str">
        <f t="shared" si="266"/>
        <v>고수</v>
      </c>
      <c r="AK363" s="22" t="str">
        <f t="shared" si="267"/>
        <v>고수</v>
      </c>
      <c r="AL363" s="52" t="str">
        <f t="shared" si="268"/>
        <v>4 : 2</v>
      </c>
      <c r="AM363" s="22">
        <f t="shared" si="269"/>
        <v>4</v>
      </c>
      <c r="AN363" s="22">
        <f t="shared" si="270"/>
        <v>2</v>
      </c>
      <c r="AO363" s="22">
        <f t="shared" si="271"/>
        <v>14</v>
      </c>
      <c r="AP363" s="22" t="str">
        <f t="shared" si="272"/>
        <v>X</v>
      </c>
      <c r="AQ363" s="22" t="str">
        <f t="shared" si="273"/>
        <v>X</v>
      </c>
      <c r="AR363" s="22" t="str">
        <f t="shared" si="274"/>
        <v>O</v>
      </c>
      <c r="AS363" s="22" t="str">
        <f t="shared" si="275"/>
        <v>X</v>
      </c>
      <c r="AT363" s="22" t="str">
        <f t="shared" si="276"/>
        <v>X</v>
      </c>
      <c r="AU363" s="22" t="str">
        <f t="shared" si="277"/>
        <v>X</v>
      </c>
      <c r="AV363" s="22" t="str">
        <f t="shared" si="278"/>
        <v>X</v>
      </c>
      <c r="AW363" s="22" t="str">
        <f t="shared" si="279"/>
        <v>X</v>
      </c>
      <c r="AX363" s="22" t="str">
        <f t="shared" si="280"/>
        <v>X</v>
      </c>
      <c r="AY363" s="22" t="str">
        <f t="shared" si="281"/>
        <v>X</v>
      </c>
      <c r="AZ363" s="22" t="str">
        <f t="shared" si="282"/>
        <v>X</v>
      </c>
      <c r="BA363" s="22" t="str">
        <f t="shared" si="283"/>
        <v>X</v>
      </c>
      <c r="BB363" s="22">
        <f t="shared" si="284"/>
        <v>1</v>
      </c>
      <c r="BC363" s="22" t="str">
        <f t="shared" si="255"/>
        <v>1G</v>
      </c>
      <c r="BD363" s="22" t="str">
        <f t="shared" si="256"/>
        <v>1G</v>
      </c>
      <c r="BE363" s="22" t="str">
        <f t="shared" si="257"/>
        <v>2G</v>
      </c>
      <c r="BF363" s="22" t="str">
        <f t="shared" si="258"/>
        <v>2G</v>
      </c>
      <c r="BG363" s="22" t="str">
        <f t="shared" si="259"/>
        <v>2G</v>
      </c>
      <c r="BH363" s="22" t="str">
        <f t="shared" si="260"/>
        <v>3G</v>
      </c>
      <c r="BI363" s="22">
        <f t="shared" si="285"/>
        <v>2</v>
      </c>
      <c r="BJ363" s="22">
        <f t="shared" si="286"/>
        <v>3</v>
      </c>
      <c r="BK363" s="22">
        <f t="shared" si="287"/>
        <v>1</v>
      </c>
      <c r="BL363" s="22" t="str">
        <f t="shared" si="288"/>
        <v>231</v>
      </c>
      <c r="BS363"/>
      <c r="CL363" s="23">
        <v>160</v>
      </c>
      <c r="CM363" s="23">
        <v>160</v>
      </c>
      <c r="CO363"/>
    </row>
    <row r="364" spans="2:93" ht="17" hidden="1">
      <c r="B364" s="15">
        <v>360</v>
      </c>
      <c r="C364" s="23" t="s">
        <v>390</v>
      </c>
      <c r="D364" s="16">
        <v>3</v>
      </c>
      <c r="E364" s="17">
        <v>3566716200</v>
      </c>
      <c r="F364" s="16">
        <v>33</v>
      </c>
      <c r="G364" s="17">
        <v>54041155</v>
      </c>
      <c r="H364" s="17">
        <v>1208</v>
      </c>
      <c r="I364" s="17">
        <v>1476290</v>
      </c>
      <c r="J364" s="17">
        <v>60311</v>
      </c>
      <c r="K364" s="17">
        <v>59139</v>
      </c>
      <c r="L364" s="17">
        <v>1005187</v>
      </c>
      <c r="M364" s="17">
        <v>5000</v>
      </c>
      <c r="N364" s="23">
        <v>4</v>
      </c>
      <c r="O364" s="23">
        <v>16</v>
      </c>
      <c r="P364" s="23">
        <v>23</v>
      </c>
      <c r="Q364" s="23">
        <v>25</v>
      </c>
      <c r="R364" s="23">
        <v>35</v>
      </c>
      <c r="S364" s="23">
        <v>40</v>
      </c>
      <c r="T364" s="23">
        <v>27</v>
      </c>
      <c r="U364" s="23">
        <f t="shared" si="261"/>
        <v>143</v>
      </c>
      <c r="W364" s="22" t="str">
        <f t="shared" si="246"/>
        <v>짝수</v>
      </c>
      <c r="X364" s="22" t="str">
        <f t="shared" si="247"/>
        <v>짝수</v>
      </c>
      <c r="Y364" s="22" t="str">
        <f t="shared" si="248"/>
        <v>홀수</v>
      </c>
      <c r="Z364" s="22" t="str">
        <f t="shared" si="249"/>
        <v>홀수</v>
      </c>
      <c r="AA364" s="22" t="str">
        <f t="shared" si="250"/>
        <v>홀수</v>
      </c>
      <c r="AB364" s="22" t="str">
        <f t="shared" si="251"/>
        <v>짝수</v>
      </c>
      <c r="AC364" s="52" t="str">
        <f t="shared" si="252"/>
        <v>3 : 3</v>
      </c>
      <c r="AD364" s="22">
        <f t="shared" si="253"/>
        <v>3</v>
      </c>
      <c r="AE364" s="22">
        <f t="shared" si="254"/>
        <v>3</v>
      </c>
      <c r="AF364" s="22" t="str">
        <f t="shared" si="262"/>
        <v>저수</v>
      </c>
      <c r="AG364" s="22" t="str">
        <f t="shared" si="263"/>
        <v>저수</v>
      </c>
      <c r="AH364" s="22" t="str">
        <f t="shared" si="264"/>
        <v>고수</v>
      </c>
      <c r="AI364" s="22" t="str">
        <f t="shared" si="265"/>
        <v>고수</v>
      </c>
      <c r="AJ364" s="22" t="str">
        <f t="shared" si="266"/>
        <v>고수</v>
      </c>
      <c r="AK364" s="22" t="str">
        <f t="shared" si="267"/>
        <v>고수</v>
      </c>
      <c r="AL364" s="52" t="str">
        <f t="shared" si="268"/>
        <v>2 : 4</v>
      </c>
      <c r="AM364" s="22">
        <f t="shared" si="269"/>
        <v>2</v>
      </c>
      <c r="AN364" s="22">
        <f t="shared" si="270"/>
        <v>4</v>
      </c>
      <c r="AO364" s="22">
        <f t="shared" si="271"/>
        <v>23</v>
      </c>
      <c r="AP364" s="22" t="str">
        <f t="shared" si="272"/>
        <v>X</v>
      </c>
      <c r="AQ364" s="22" t="str">
        <f t="shared" si="273"/>
        <v>X</v>
      </c>
      <c r="AR364" s="22" t="str">
        <f t="shared" si="274"/>
        <v>X</v>
      </c>
      <c r="AS364" s="22" t="str">
        <f t="shared" si="275"/>
        <v>X</v>
      </c>
      <c r="AT364" s="22" t="str">
        <f t="shared" si="276"/>
        <v>X</v>
      </c>
      <c r="AU364" s="22" t="str">
        <f t="shared" si="277"/>
        <v>X</v>
      </c>
      <c r="AV364" s="22" t="str">
        <f t="shared" si="278"/>
        <v>X</v>
      </c>
      <c r="AW364" s="22" t="str">
        <f t="shared" si="279"/>
        <v>X</v>
      </c>
      <c r="AX364" s="22" t="str">
        <f t="shared" si="280"/>
        <v>O</v>
      </c>
      <c r="AY364" s="22" t="str">
        <f t="shared" si="281"/>
        <v>X</v>
      </c>
      <c r="AZ364" s="22" t="str">
        <f t="shared" si="282"/>
        <v>X</v>
      </c>
      <c r="BA364" s="22" t="str">
        <f t="shared" si="283"/>
        <v>X</v>
      </c>
      <c r="BB364" s="22">
        <f t="shared" si="284"/>
        <v>1</v>
      </c>
      <c r="BC364" s="22" t="str">
        <f t="shared" si="255"/>
        <v>1G</v>
      </c>
      <c r="BD364" s="22" t="str">
        <f t="shared" si="256"/>
        <v>2G</v>
      </c>
      <c r="BE364" s="22" t="str">
        <f t="shared" si="257"/>
        <v>2G</v>
      </c>
      <c r="BF364" s="22" t="str">
        <f t="shared" si="258"/>
        <v>2G</v>
      </c>
      <c r="BG364" s="22" t="str">
        <f t="shared" si="259"/>
        <v>3G</v>
      </c>
      <c r="BH364" s="22" t="str">
        <f t="shared" si="260"/>
        <v>3G</v>
      </c>
      <c r="BI364" s="22">
        <f t="shared" si="285"/>
        <v>1</v>
      </c>
      <c r="BJ364" s="22">
        <f t="shared" si="286"/>
        <v>3</v>
      </c>
      <c r="BK364" s="22">
        <f t="shared" si="287"/>
        <v>2</v>
      </c>
      <c r="BL364" s="22" t="str">
        <f t="shared" si="288"/>
        <v>132</v>
      </c>
      <c r="BS364"/>
      <c r="CL364" s="23">
        <v>160</v>
      </c>
      <c r="CM364" s="23">
        <v>160</v>
      </c>
      <c r="CO364"/>
    </row>
    <row r="365" spans="2:93" ht="17" hidden="1">
      <c r="B365" s="15">
        <v>361</v>
      </c>
      <c r="C365" s="23" t="s">
        <v>391</v>
      </c>
      <c r="D365" s="16">
        <v>7</v>
      </c>
      <c r="E365" s="17">
        <v>1473115115</v>
      </c>
      <c r="F365" s="16">
        <v>34</v>
      </c>
      <c r="G365" s="17">
        <v>50548068</v>
      </c>
      <c r="H365" s="17">
        <v>1463</v>
      </c>
      <c r="I365" s="17">
        <v>1174733</v>
      </c>
      <c r="J365" s="17">
        <v>67347</v>
      </c>
      <c r="K365" s="17">
        <v>51039</v>
      </c>
      <c r="L365" s="17">
        <v>1068999</v>
      </c>
      <c r="M365" s="17">
        <v>5000</v>
      </c>
      <c r="N365" s="23">
        <v>5</v>
      </c>
      <c r="O365" s="23">
        <v>10</v>
      </c>
      <c r="P365" s="23">
        <v>16</v>
      </c>
      <c r="Q365" s="23">
        <v>24</v>
      </c>
      <c r="R365" s="23">
        <v>27</v>
      </c>
      <c r="S365" s="23">
        <v>35</v>
      </c>
      <c r="T365" s="23">
        <v>33</v>
      </c>
      <c r="U365" s="23">
        <f t="shared" si="261"/>
        <v>117</v>
      </c>
      <c r="W365" s="22" t="str">
        <f t="shared" si="246"/>
        <v>홀수</v>
      </c>
      <c r="X365" s="22" t="str">
        <f t="shared" si="247"/>
        <v>짝수</v>
      </c>
      <c r="Y365" s="22" t="str">
        <f t="shared" si="248"/>
        <v>짝수</v>
      </c>
      <c r="Z365" s="22" t="str">
        <f t="shared" si="249"/>
        <v>짝수</v>
      </c>
      <c r="AA365" s="22" t="str">
        <f t="shared" si="250"/>
        <v>홀수</v>
      </c>
      <c r="AB365" s="22" t="str">
        <f t="shared" si="251"/>
        <v>홀수</v>
      </c>
      <c r="AC365" s="52" t="str">
        <f t="shared" si="252"/>
        <v>3 : 3</v>
      </c>
      <c r="AD365" s="22">
        <f t="shared" si="253"/>
        <v>3</v>
      </c>
      <c r="AE365" s="22">
        <f t="shared" si="254"/>
        <v>3</v>
      </c>
      <c r="AF365" s="22" t="str">
        <f t="shared" si="262"/>
        <v>저수</v>
      </c>
      <c r="AG365" s="22" t="str">
        <f t="shared" si="263"/>
        <v>저수</v>
      </c>
      <c r="AH365" s="22" t="str">
        <f t="shared" si="264"/>
        <v>저수</v>
      </c>
      <c r="AI365" s="22" t="str">
        <f t="shared" si="265"/>
        <v>고수</v>
      </c>
      <c r="AJ365" s="22" t="str">
        <f t="shared" si="266"/>
        <v>고수</v>
      </c>
      <c r="AK365" s="22" t="str">
        <f t="shared" si="267"/>
        <v>고수</v>
      </c>
      <c r="AL365" s="52" t="str">
        <f t="shared" si="268"/>
        <v>3 : 3</v>
      </c>
      <c r="AM365" s="22">
        <f t="shared" si="269"/>
        <v>3</v>
      </c>
      <c r="AN365" s="22">
        <f t="shared" si="270"/>
        <v>3</v>
      </c>
      <c r="AO365" s="22">
        <f t="shared" si="271"/>
        <v>27</v>
      </c>
      <c r="AP365" s="22" t="str">
        <f t="shared" si="272"/>
        <v>O</v>
      </c>
      <c r="AQ365" s="22" t="str">
        <f t="shared" si="273"/>
        <v>X</v>
      </c>
      <c r="AR365" s="22" t="str">
        <f t="shared" si="274"/>
        <v>X</v>
      </c>
      <c r="AS365" s="22" t="str">
        <f t="shared" si="275"/>
        <v>X</v>
      </c>
      <c r="AT365" s="22" t="str">
        <f t="shared" si="276"/>
        <v>X</v>
      </c>
      <c r="AU365" s="22" t="str">
        <f t="shared" si="277"/>
        <v>X</v>
      </c>
      <c r="AV365" s="22" t="str">
        <f t="shared" si="278"/>
        <v>X</v>
      </c>
      <c r="AW365" s="22" t="str">
        <f t="shared" si="279"/>
        <v>X</v>
      </c>
      <c r="AX365" s="22" t="str">
        <f t="shared" si="280"/>
        <v>X</v>
      </c>
      <c r="AY365" s="22" t="str">
        <f t="shared" si="281"/>
        <v>X</v>
      </c>
      <c r="AZ365" s="22" t="str">
        <f t="shared" si="282"/>
        <v>X</v>
      </c>
      <c r="BA365" s="22" t="str">
        <f t="shared" si="283"/>
        <v>X</v>
      </c>
      <c r="BB365" s="22">
        <f t="shared" si="284"/>
        <v>1</v>
      </c>
      <c r="BC365" s="22" t="str">
        <f t="shared" si="255"/>
        <v>1G</v>
      </c>
      <c r="BD365" s="22" t="str">
        <f t="shared" si="256"/>
        <v>1G</v>
      </c>
      <c r="BE365" s="22" t="str">
        <f t="shared" si="257"/>
        <v>2G</v>
      </c>
      <c r="BF365" s="22" t="str">
        <f t="shared" si="258"/>
        <v>2G</v>
      </c>
      <c r="BG365" s="22" t="str">
        <f t="shared" si="259"/>
        <v>2G</v>
      </c>
      <c r="BH365" s="22" t="str">
        <f t="shared" si="260"/>
        <v>3G</v>
      </c>
      <c r="BI365" s="22">
        <f t="shared" si="285"/>
        <v>2</v>
      </c>
      <c r="BJ365" s="22">
        <f t="shared" si="286"/>
        <v>3</v>
      </c>
      <c r="BK365" s="22">
        <f t="shared" si="287"/>
        <v>1</v>
      </c>
      <c r="BL365" s="22" t="str">
        <f t="shared" si="288"/>
        <v>231</v>
      </c>
      <c r="BS365"/>
      <c r="CL365" s="23">
        <v>161</v>
      </c>
      <c r="CM365" s="23">
        <v>160</v>
      </c>
      <c r="CO365"/>
    </row>
    <row r="366" spans="2:93" ht="17" hidden="1">
      <c r="B366" s="15">
        <v>362</v>
      </c>
      <c r="C366" s="23" t="s">
        <v>392</v>
      </c>
      <c r="D366" s="16">
        <v>6</v>
      </c>
      <c r="E366" s="17">
        <v>1729424650</v>
      </c>
      <c r="F366" s="16">
        <v>26</v>
      </c>
      <c r="G366" s="17">
        <v>66516333</v>
      </c>
      <c r="H366" s="17">
        <v>1173</v>
      </c>
      <c r="I366" s="17">
        <v>1474361</v>
      </c>
      <c r="J366" s="17">
        <v>56798</v>
      </c>
      <c r="K366" s="17">
        <v>60898</v>
      </c>
      <c r="L366" s="17">
        <v>974787</v>
      </c>
      <c r="M366" s="17">
        <v>5000</v>
      </c>
      <c r="N366" s="23">
        <v>2</v>
      </c>
      <c r="O366" s="23">
        <v>3</v>
      </c>
      <c r="P366" s="23">
        <v>22</v>
      </c>
      <c r="Q366" s="23">
        <v>27</v>
      </c>
      <c r="R366" s="23">
        <v>30</v>
      </c>
      <c r="S366" s="23">
        <v>40</v>
      </c>
      <c r="T366" s="23">
        <v>29</v>
      </c>
      <c r="U366" s="23">
        <f t="shared" si="261"/>
        <v>124</v>
      </c>
      <c r="W366" s="22" t="str">
        <f t="shared" si="246"/>
        <v>짝수</v>
      </c>
      <c r="X366" s="22" t="str">
        <f t="shared" si="247"/>
        <v>홀수</v>
      </c>
      <c r="Y366" s="22" t="str">
        <f t="shared" si="248"/>
        <v>짝수</v>
      </c>
      <c r="Z366" s="22" t="str">
        <f t="shared" si="249"/>
        <v>홀수</v>
      </c>
      <c r="AA366" s="22" t="str">
        <f t="shared" si="250"/>
        <v>짝수</v>
      </c>
      <c r="AB366" s="22" t="str">
        <f t="shared" si="251"/>
        <v>짝수</v>
      </c>
      <c r="AC366" s="52" t="str">
        <f t="shared" si="252"/>
        <v>2 : 4</v>
      </c>
      <c r="AD366" s="22">
        <f t="shared" si="253"/>
        <v>2</v>
      </c>
      <c r="AE366" s="22">
        <f t="shared" si="254"/>
        <v>4</v>
      </c>
      <c r="AF366" s="22" t="str">
        <f t="shared" si="262"/>
        <v>저수</v>
      </c>
      <c r="AG366" s="22" t="str">
        <f t="shared" si="263"/>
        <v>저수</v>
      </c>
      <c r="AH366" s="22" t="str">
        <f t="shared" si="264"/>
        <v>저수</v>
      </c>
      <c r="AI366" s="22" t="str">
        <f t="shared" si="265"/>
        <v>고수</v>
      </c>
      <c r="AJ366" s="22" t="str">
        <f t="shared" si="266"/>
        <v>고수</v>
      </c>
      <c r="AK366" s="22" t="str">
        <f t="shared" si="267"/>
        <v>고수</v>
      </c>
      <c r="AL366" s="52" t="str">
        <f t="shared" si="268"/>
        <v>3 : 3</v>
      </c>
      <c r="AM366" s="22">
        <f t="shared" si="269"/>
        <v>3</v>
      </c>
      <c r="AN366" s="22">
        <f t="shared" si="270"/>
        <v>3</v>
      </c>
      <c r="AO366" s="22">
        <f t="shared" si="271"/>
        <v>14</v>
      </c>
      <c r="AP366" s="22" t="str">
        <f t="shared" si="272"/>
        <v>O</v>
      </c>
      <c r="AQ366" s="22" t="str">
        <f t="shared" si="273"/>
        <v>O</v>
      </c>
      <c r="AR366" s="22" t="str">
        <f t="shared" si="274"/>
        <v>X</v>
      </c>
      <c r="AS366" s="22" t="str">
        <f t="shared" si="275"/>
        <v>X</v>
      </c>
      <c r="AT366" s="22" t="str">
        <f t="shared" si="276"/>
        <v>X</v>
      </c>
      <c r="AU366" s="22" t="str">
        <f t="shared" si="277"/>
        <v>X</v>
      </c>
      <c r="AV366" s="22" t="str">
        <f t="shared" si="278"/>
        <v>X</v>
      </c>
      <c r="AW366" s="22" t="str">
        <f t="shared" si="279"/>
        <v>X</v>
      </c>
      <c r="AX366" s="22" t="str">
        <f t="shared" si="280"/>
        <v>X</v>
      </c>
      <c r="AY366" s="22" t="str">
        <f t="shared" si="281"/>
        <v>X</v>
      </c>
      <c r="AZ366" s="22" t="str">
        <f t="shared" si="282"/>
        <v>X</v>
      </c>
      <c r="BA366" s="22" t="str">
        <f t="shared" si="283"/>
        <v>X</v>
      </c>
      <c r="BB366" s="22">
        <f t="shared" si="284"/>
        <v>2</v>
      </c>
      <c r="BC366" s="22" t="str">
        <f t="shared" si="255"/>
        <v>1G</v>
      </c>
      <c r="BD366" s="22" t="str">
        <f t="shared" si="256"/>
        <v>1G</v>
      </c>
      <c r="BE366" s="22" t="str">
        <f t="shared" si="257"/>
        <v>2G</v>
      </c>
      <c r="BF366" s="22" t="str">
        <f t="shared" si="258"/>
        <v>2G</v>
      </c>
      <c r="BG366" s="22" t="str">
        <f t="shared" si="259"/>
        <v>2G</v>
      </c>
      <c r="BH366" s="22" t="str">
        <f t="shared" si="260"/>
        <v>3G</v>
      </c>
      <c r="BI366" s="22">
        <f t="shared" si="285"/>
        <v>2</v>
      </c>
      <c r="BJ366" s="22">
        <f t="shared" si="286"/>
        <v>3</v>
      </c>
      <c r="BK366" s="22">
        <f t="shared" si="287"/>
        <v>1</v>
      </c>
      <c r="BL366" s="22" t="str">
        <f t="shared" si="288"/>
        <v>231</v>
      </c>
      <c r="BS366"/>
      <c r="CL366" s="23">
        <v>161</v>
      </c>
      <c r="CM366" s="23">
        <v>160</v>
      </c>
      <c r="CO366"/>
    </row>
    <row r="367" spans="2:93" ht="17" hidden="1">
      <c r="B367" s="15">
        <v>363</v>
      </c>
      <c r="C367" s="23" t="s">
        <v>393</v>
      </c>
      <c r="D367" s="16">
        <v>4</v>
      </c>
      <c r="E367" s="17">
        <v>2615910600</v>
      </c>
      <c r="F367" s="16">
        <v>33</v>
      </c>
      <c r="G367" s="17">
        <v>52846679</v>
      </c>
      <c r="H367" s="17">
        <v>1216</v>
      </c>
      <c r="I367" s="17">
        <v>1434162</v>
      </c>
      <c r="J367" s="17">
        <v>59672</v>
      </c>
      <c r="K367" s="17">
        <v>58451</v>
      </c>
      <c r="L367" s="17">
        <v>998514</v>
      </c>
      <c r="M367" s="17">
        <v>5000</v>
      </c>
      <c r="N367" s="23">
        <v>11</v>
      </c>
      <c r="O367" s="23">
        <v>12</v>
      </c>
      <c r="P367" s="23">
        <v>14</v>
      </c>
      <c r="Q367" s="23">
        <v>21</v>
      </c>
      <c r="R367" s="23">
        <v>32</v>
      </c>
      <c r="S367" s="23">
        <v>38</v>
      </c>
      <c r="T367" s="23">
        <v>6</v>
      </c>
      <c r="U367" s="23">
        <f t="shared" si="261"/>
        <v>128</v>
      </c>
      <c r="W367" s="22" t="str">
        <f t="shared" si="246"/>
        <v>홀수</v>
      </c>
      <c r="X367" s="22" t="str">
        <f t="shared" si="247"/>
        <v>짝수</v>
      </c>
      <c r="Y367" s="22" t="str">
        <f t="shared" si="248"/>
        <v>짝수</v>
      </c>
      <c r="Z367" s="22" t="str">
        <f t="shared" si="249"/>
        <v>홀수</v>
      </c>
      <c r="AA367" s="22" t="str">
        <f t="shared" si="250"/>
        <v>짝수</v>
      </c>
      <c r="AB367" s="22" t="str">
        <f t="shared" si="251"/>
        <v>짝수</v>
      </c>
      <c r="AC367" s="52" t="str">
        <f t="shared" si="252"/>
        <v>2 : 4</v>
      </c>
      <c r="AD367" s="22">
        <f t="shared" si="253"/>
        <v>2</v>
      </c>
      <c r="AE367" s="22">
        <f t="shared" si="254"/>
        <v>4</v>
      </c>
      <c r="AF367" s="22" t="str">
        <f t="shared" si="262"/>
        <v>저수</v>
      </c>
      <c r="AG367" s="22" t="str">
        <f t="shared" si="263"/>
        <v>저수</v>
      </c>
      <c r="AH367" s="22" t="str">
        <f t="shared" si="264"/>
        <v>저수</v>
      </c>
      <c r="AI367" s="22" t="str">
        <f t="shared" si="265"/>
        <v>저수</v>
      </c>
      <c r="AJ367" s="22" t="str">
        <f t="shared" si="266"/>
        <v>고수</v>
      </c>
      <c r="AK367" s="22" t="str">
        <f t="shared" si="267"/>
        <v>고수</v>
      </c>
      <c r="AL367" s="52" t="str">
        <f t="shared" si="268"/>
        <v>4 : 2</v>
      </c>
      <c r="AM367" s="22">
        <f t="shared" si="269"/>
        <v>4</v>
      </c>
      <c r="AN367" s="22">
        <f t="shared" si="270"/>
        <v>2</v>
      </c>
      <c r="AO367" s="22">
        <f t="shared" si="271"/>
        <v>18</v>
      </c>
      <c r="AP367" s="22" t="str">
        <f t="shared" si="272"/>
        <v>O</v>
      </c>
      <c r="AQ367" s="22" t="str">
        <f t="shared" si="273"/>
        <v>X</v>
      </c>
      <c r="AR367" s="22" t="str">
        <f t="shared" si="274"/>
        <v>X</v>
      </c>
      <c r="AS367" s="22" t="str">
        <f t="shared" si="275"/>
        <v>X</v>
      </c>
      <c r="AT367" s="22" t="str">
        <f t="shared" si="276"/>
        <v>X</v>
      </c>
      <c r="AU367" s="22" t="str">
        <f t="shared" si="277"/>
        <v>X</v>
      </c>
      <c r="AV367" s="22" t="str">
        <f t="shared" si="278"/>
        <v>X</v>
      </c>
      <c r="AW367" s="22" t="str">
        <f t="shared" si="279"/>
        <v>X</v>
      </c>
      <c r="AX367" s="22" t="str">
        <f t="shared" si="280"/>
        <v>X</v>
      </c>
      <c r="AY367" s="22" t="str">
        <f t="shared" si="281"/>
        <v>X</v>
      </c>
      <c r="AZ367" s="22" t="str">
        <f t="shared" si="282"/>
        <v>X</v>
      </c>
      <c r="BA367" s="22" t="str">
        <f t="shared" si="283"/>
        <v>X</v>
      </c>
      <c r="BB367" s="22">
        <f t="shared" si="284"/>
        <v>1</v>
      </c>
      <c r="BC367" s="22" t="str">
        <f t="shared" si="255"/>
        <v>1G</v>
      </c>
      <c r="BD367" s="22" t="str">
        <f t="shared" si="256"/>
        <v>1G</v>
      </c>
      <c r="BE367" s="22" t="str">
        <f t="shared" si="257"/>
        <v>1G</v>
      </c>
      <c r="BF367" s="22" t="str">
        <f t="shared" si="258"/>
        <v>2G</v>
      </c>
      <c r="BG367" s="22" t="str">
        <f t="shared" si="259"/>
        <v>3G</v>
      </c>
      <c r="BH367" s="22" t="str">
        <f t="shared" si="260"/>
        <v>3G</v>
      </c>
      <c r="BI367" s="22">
        <f t="shared" si="285"/>
        <v>3</v>
      </c>
      <c r="BJ367" s="22">
        <f t="shared" si="286"/>
        <v>1</v>
      </c>
      <c r="BK367" s="22">
        <f t="shared" si="287"/>
        <v>2</v>
      </c>
      <c r="BL367" s="22" t="str">
        <f t="shared" si="288"/>
        <v>312</v>
      </c>
      <c r="BS367"/>
      <c r="CL367" s="23">
        <v>161</v>
      </c>
      <c r="CM367" s="23">
        <v>160</v>
      </c>
      <c r="CO367"/>
    </row>
    <row r="368" spans="2:93" ht="17" hidden="1">
      <c r="B368" s="15">
        <v>364</v>
      </c>
      <c r="C368" s="23" t="s">
        <v>394</v>
      </c>
      <c r="D368" s="16">
        <v>4</v>
      </c>
      <c r="E368" s="17">
        <v>2531914800</v>
      </c>
      <c r="F368" s="16">
        <v>37</v>
      </c>
      <c r="G368" s="17">
        <v>45620087</v>
      </c>
      <c r="H368" s="17">
        <v>1259</v>
      </c>
      <c r="I368" s="17">
        <v>1340702</v>
      </c>
      <c r="J368" s="17">
        <v>63195</v>
      </c>
      <c r="K368" s="17">
        <v>53421</v>
      </c>
      <c r="L368" s="17">
        <v>1043314</v>
      </c>
      <c r="M368" s="17">
        <v>5000</v>
      </c>
      <c r="N368" s="23">
        <v>2</v>
      </c>
      <c r="O368" s="23">
        <v>5</v>
      </c>
      <c r="P368" s="23">
        <v>7</v>
      </c>
      <c r="Q368" s="23">
        <v>14</v>
      </c>
      <c r="R368" s="23">
        <v>16</v>
      </c>
      <c r="S368" s="23">
        <v>40</v>
      </c>
      <c r="T368" s="23">
        <v>4</v>
      </c>
      <c r="U368" s="23">
        <f t="shared" si="261"/>
        <v>84</v>
      </c>
      <c r="W368" s="22" t="str">
        <f t="shared" si="246"/>
        <v>짝수</v>
      </c>
      <c r="X368" s="22" t="str">
        <f t="shared" si="247"/>
        <v>홀수</v>
      </c>
      <c r="Y368" s="22" t="str">
        <f t="shared" si="248"/>
        <v>홀수</v>
      </c>
      <c r="Z368" s="22" t="str">
        <f t="shared" si="249"/>
        <v>짝수</v>
      </c>
      <c r="AA368" s="22" t="str">
        <f t="shared" si="250"/>
        <v>짝수</v>
      </c>
      <c r="AB368" s="22" t="str">
        <f t="shared" si="251"/>
        <v>짝수</v>
      </c>
      <c r="AC368" s="52" t="str">
        <f t="shared" si="252"/>
        <v>2 : 4</v>
      </c>
      <c r="AD368" s="22">
        <f t="shared" si="253"/>
        <v>2</v>
      </c>
      <c r="AE368" s="22">
        <f t="shared" si="254"/>
        <v>4</v>
      </c>
      <c r="AF368" s="22" t="str">
        <f t="shared" si="262"/>
        <v>저수</v>
      </c>
      <c r="AG368" s="22" t="str">
        <f t="shared" si="263"/>
        <v>저수</v>
      </c>
      <c r="AH368" s="22" t="str">
        <f t="shared" si="264"/>
        <v>저수</v>
      </c>
      <c r="AI368" s="22" t="str">
        <f t="shared" si="265"/>
        <v>저수</v>
      </c>
      <c r="AJ368" s="22" t="str">
        <f t="shared" si="266"/>
        <v>저수</v>
      </c>
      <c r="AK368" s="22" t="str">
        <f t="shared" si="267"/>
        <v>고수</v>
      </c>
      <c r="AL368" s="52" t="str">
        <f t="shared" si="268"/>
        <v>5 : 1</v>
      </c>
      <c r="AM368" s="22">
        <f t="shared" si="269"/>
        <v>5</v>
      </c>
      <c r="AN368" s="22">
        <f t="shared" si="270"/>
        <v>1</v>
      </c>
      <c r="AO368" s="22">
        <f t="shared" si="271"/>
        <v>24</v>
      </c>
      <c r="AP368" s="22" t="str">
        <f t="shared" si="272"/>
        <v>O</v>
      </c>
      <c r="AQ368" s="22" t="str">
        <f t="shared" si="273"/>
        <v>O</v>
      </c>
      <c r="AR368" s="22" t="str">
        <f t="shared" si="274"/>
        <v>O</v>
      </c>
      <c r="AS368" s="22" t="str">
        <f t="shared" si="275"/>
        <v>X</v>
      </c>
      <c r="AT368" s="22" t="str">
        <f t="shared" si="276"/>
        <v>X</v>
      </c>
      <c r="AU368" s="22" t="str">
        <f t="shared" si="277"/>
        <v>X</v>
      </c>
      <c r="AV368" s="22" t="str">
        <f t="shared" si="278"/>
        <v>X</v>
      </c>
      <c r="AW368" s="22" t="str">
        <f t="shared" si="279"/>
        <v>X</v>
      </c>
      <c r="AX368" s="22" t="str">
        <f t="shared" si="280"/>
        <v>X</v>
      </c>
      <c r="AY368" s="22" t="str">
        <f t="shared" si="281"/>
        <v>X</v>
      </c>
      <c r="AZ368" s="22" t="str">
        <f t="shared" si="282"/>
        <v>X</v>
      </c>
      <c r="BA368" s="22" t="str">
        <f t="shared" si="283"/>
        <v>X</v>
      </c>
      <c r="BB368" s="22">
        <f t="shared" si="284"/>
        <v>3</v>
      </c>
      <c r="BC368" s="22" t="str">
        <f t="shared" si="255"/>
        <v>1G</v>
      </c>
      <c r="BD368" s="22" t="str">
        <f t="shared" si="256"/>
        <v>1G</v>
      </c>
      <c r="BE368" s="22" t="str">
        <f t="shared" si="257"/>
        <v>1G</v>
      </c>
      <c r="BF368" s="22" t="str">
        <f t="shared" si="258"/>
        <v>1G</v>
      </c>
      <c r="BG368" s="22" t="str">
        <f t="shared" si="259"/>
        <v>2G</v>
      </c>
      <c r="BH368" s="22" t="str">
        <f t="shared" si="260"/>
        <v>3G</v>
      </c>
      <c r="BI368" s="22">
        <f t="shared" si="285"/>
        <v>4</v>
      </c>
      <c r="BJ368" s="22">
        <f t="shared" si="286"/>
        <v>1</v>
      </c>
      <c r="BK368" s="22">
        <f t="shared" si="287"/>
        <v>1</v>
      </c>
      <c r="BL368" s="22" t="str">
        <f t="shared" si="288"/>
        <v>411</v>
      </c>
      <c r="BS368"/>
      <c r="CL368" s="23">
        <v>162</v>
      </c>
      <c r="CM368" s="23">
        <v>160</v>
      </c>
      <c r="CO368"/>
    </row>
    <row r="369" spans="1:93" ht="17" hidden="1">
      <c r="B369" s="15">
        <v>365</v>
      </c>
      <c r="C369" s="23" t="s">
        <v>395</v>
      </c>
      <c r="D369" s="16">
        <v>1</v>
      </c>
      <c r="E369" s="17">
        <v>10697716800</v>
      </c>
      <c r="F369" s="16">
        <v>35</v>
      </c>
      <c r="G369" s="17">
        <v>50941509</v>
      </c>
      <c r="H369" s="17">
        <v>1181</v>
      </c>
      <c r="I369" s="17">
        <v>1509698</v>
      </c>
      <c r="J369" s="17">
        <v>62472</v>
      </c>
      <c r="K369" s="17">
        <v>57081</v>
      </c>
      <c r="L369" s="17">
        <v>1014701</v>
      </c>
      <c r="M369" s="17">
        <v>5000</v>
      </c>
      <c r="N369" s="23">
        <v>5</v>
      </c>
      <c r="O369" s="23">
        <v>15</v>
      </c>
      <c r="P369" s="23">
        <v>21</v>
      </c>
      <c r="Q369" s="23">
        <v>25</v>
      </c>
      <c r="R369" s="23">
        <v>26</v>
      </c>
      <c r="S369" s="23">
        <v>30</v>
      </c>
      <c r="T369" s="23">
        <v>31</v>
      </c>
      <c r="U369" s="23">
        <f t="shared" si="261"/>
        <v>122</v>
      </c>
      <c r="W369" s="22" t="str">
        <f t="shared" si="246"/>
        <v>홀수</v>
      </c>
      <c r="X369" s="22" t="str">
        <f t="shared" si="247"/>
        <v>홀수</v>
      </c>
      <c r="Y369" s="22" t="str">
        <f t="shared" si="248"/>
        <v>홀수</v>
      </c>
      <c r="Z369" s="22" t="str">
        <f t="shared" si="249"/>
        <v>홀수</v>
      </c>
      <c r="AA369" s="22" t="str">
        <f t="shared" si="250"/>
        <v>짝수</v>
      </c>
      <c r="AB369" s="22" t="str">
        <f t="shared" si="251"/>
        <v>짝수</v>
      </c>
      <c r="AC369" s="52" t="str">
        <f t="shared" si="252"/>
        <v>4 : 2</v>
      </c>
      <c r="AD369" s="22">
        <f t="shared" si="253"/>
        <v>4</v>
      </c>
      <c r="AE369" s="22">
        <f t="shared" si="254"/>
        <v>2</v>
      </c>
      <c r="AF369" s="22" t="str">
        <f t="shared" si="262"/>
        <v>저수</v>
      </c>
      <c r="AG369" s="22" t="str">
        <f t="shared" si="263"/>
        <v>저수</v>
      </c>
      <c r="AH369" s="22" t="str">
        <f t="shared" si="264"/>
        <v>저수</v>
      </c>
      <c r="AI369" s="22" t="str">
        <f t="shared" si="265"/>
        <v>고수</v>
      </c>
      <c r="AJ369" s="22" t="str">
        <f t="shared" si="266"/>
        <v>고수</v>
      </c>
      <c r="AK369" s="22" t="str">
        <f t="shared" si="267"/>
        <v>고수</v>
      </c>
      <c r="AL369" s="52" t="str">
        <f t="shared" si="268"/>
        <v>3 : 3</v>
      </c>
      <c r="AM369" s="22">
        <f t="shared" si="269"/>
        <v>3</v>
      </c>
      <c r="AN369" s="22">
        <f t="shared" si="270"/>
        <v>3</v>
      </c>
      <c r="AO369" s="22">
        <f t="shared" si="271"/>
        <v>22</v>
      </c>
      <c r="AP369" s="22" t="str">
        <f t="shared" si="272"/>
        <v>O</v>
      </c>
      <c r="AQ369" s="22" t="str">
        <f t="shared" si="273"/>
        <v>X</v>
      </c>
      <c r="AR369" s="22" t="str">
        <f t="shared" si="274"/>
        <v>X</v>
      </c>
      <c r="AS369" s="22" t="str">
        <f t="shared" si="275"/>
        <v>X</v>
      </c>
      <c r="AT369" s="22" t="str">
        <f t="shared" si="276"/>
        <v>X</v>
      </c>
      <c r="AU369" s="22" t="str">
        <f t="shared" si="277"/>
        <v>X</v>
      </c>
      <c r="AV369" s="22" t="str">
        <f t="shared" si="278"/>
        <v>X</v>
      </c>
      <c r="AW369" s="22" t="str">
        <f t="shared" si="279"/>
        <v>X</v>
      </c>
      <c r="AX369" s="22" t="str">
        <f t="shared" si="280"/>
        <v>X</v>
      </c>
      <c r="AY369" s="22" t="str">
        <f t="shared" si="281"/>
        <v>X</v>
      </c>
      <c r="AZ369" s="22" t="str">
        <f t="shared" si="282"/>
        <v>X</v>
      </c>
      <c r="BA369" s="22" t="str">
        <f t="shared" si="283"/>
        <v>X</v>
      </c>
      <c r="BB369" s="22">
        <f t="shared" si="284"/>
        <v>1</v>
      </c>
      <c r="BC369" s="22" t="str">
        <f t="shared" si="255"/>
        <v>1G</v>
      </c>
      <c r="BD369" s="22" t="str">
        <f t="shared" si="256"/>
        <v>1G</v>
      </c>
      <c r="BE369" s="22" t="str">
        <f t="shared" si="257"/>
        <v>2G</v>
      </c>
      <c r="BF369" s="22" t="str">
        <f t="shared" si="258"/>
        <v>2G</v>
      </c>
      <c r="BG369" s="22" t="str">
        <f t="shared" si="259"/>
        <v>2G</v>
      </c>
      <c r="BH369" s="22" t="str">
        <f t="shared" si="260"/>
        <v>2G</v>
      </c>
      <c r="BI369" s="22">
        <f t="shared" si="285"/>
        <v>2</v>
      </c>
      <c r="BJ369" s="22">
        <f t="shared" si="286"/>
        <v>4</v>
      </c>
      <c r="BK369" s="22">
        <f t="shared" si="287"/>
        <v>0</v>
      </c>
      <c r="BL369" s="22" t="str">
        <f t="shared" si="288"/>
        <v>240</v>
      </c>
      <c r="BS369"/>
      <c r="CL369" s="23">
        <v>162</v>
      </c>
      <c r="CM369" s="23">
        <v>160</v>
      </c>
      <c r="CO369"/>
    </row>
    <row r="370" spans="1:93" ht="17" hidden="1">
      <c r="B370" s="15">
        <v>366</v>
      </c>
      <c r="C370" s="23" t="s">
        <v>396</v>
      </c>
      <c r="D370" s="16">
        <v>2</v>
      </c>
      <c r="E370" s="17">
        <v>5351553900</v>
      </c>
      <c r="F370" s="16">
        <v>39</v>
      </c>
      <c r="G370" s="17">
        <v>45739777</v>
      </c>
      <c r="H370" s="17">
        <v>1617</v>
      </c>
      <c r="I370" s="17">
        <v>1103186</v>
      </c>
      <c r="J370" s="17">
        <v>71467</v>
      </c>
      <c r="K370" s="17">
        <v>49921</v>
      </c>
      <c r="L370" s="17">
        <v>1028514</v>
      </c>
      <c r="M370" s="17">
        <v>5000</v>
      </c>
      <c r="N370" s="23">
        <v>5</v>
      </c>
      <c r="O370" s="23">
        <v>12</v>
      </c>
      <c r="P370" s="23">
        <v>19</v>
      </c>
      <c r="Q370" s="23">
        <v>26</v>
      </c>
      <c r="R370" s="23">
        <v>27</v>
      </c>
      <c r="S370" s="23">
        <v>44</v>
      </c>
      <c r="T370" s="23">
        <v>38</v>
      </c>
      <c r="U370" s="23">
        <f t="shared" si="261"/>
        <v>133</v>
      </c>
      <c r="W370" s="22" t="str">
        <f t="shared" si="246"/>
        <v>홀수</v>
      </c>
      <c r="X370" s="22" t="str">
        <f t="shared" si="247"/>
        <v>짝수</v>
      </c>
      <c r="Y370" s="22" t="str">
        <f t="shared" si="248"/>
        <v>홀수</v>
      </c>
      <c r="Z370" s="22" t="str">
        <f t="shared" si="249"/>
        <v>짝수</v>
      </c>
      <c r="AA370" s="22" t="str">
        <f t="shared" si="250"/>
        <v>홀수</v>
      </c>
      <c r="AB370" s="22" t="str">
        <f t="shared" si="251"/>
        <v>짝수</v>
      </c>
      <c r="AC370" s="52" t="str">
        <f t="shared" si="252"/>
        <v>3 : 3</v>
      </c>
      <c r="AD370" s="22">
        <f t="shared" si="253"/>
        <v>3</v>
      </c>
      <c r="AE370" s="22">
        <f t="shared" si="254"/>
        <v>3</v>
      </c>
      <c r="AF370" s="22" t="str">
        <f t="shared" si="262"/>
        <v>저수</v>
      </c>
      <c r="AG370" s="22" t="str">
        <f t="shared" si="263"/>
        <v>저수</v>
      </c>
      <c r="AH370" s="22" t="str">
        <f t="shared" si="264"/>
        <v>저수</v>
      </c>
      <c r="AI370" s="22" t="str">
        <f t="shared" si="265"/>
        <v>고수</v>
      </c>
      <c r="AJ370" s="22" t="str">
        <f t="shared" si="266"/>
        <v>고수</v>
      </c>
      <c r="AK370" s="22" t="str">
        <f t="shared" si="267"/>
        <v>고수</v>
      </c>
      <c r="AL370" s="52" t="str">
        <f t="shared" si="268"/>
        <v>3 : 3</v>
      </c>
      <c r="AM370" s="22">
        <f t="shared" si="269"/>
        <v>3</v>
      </c>
      <c r="AN370" s="22">
        <f t="shared" si="270"/>
        <v>3</v>
      </c>
      <c r="AO370" s="22">
        <f t="shared" si="271"/>
        <v>33</v>
      </c>
      <c r="AP370" s="22" t="str">
        <f t="shared" si="272"/>
        <v>O</v>
      </c>
      <c r="AQ370" s="22" t="str">
        <f t="shared" si="273"/>
        <v>X</v>
      </c>
      <c r="AR370" s="22" t="str">
        <f t="shared" si="274"/>
        <v>O</v>
      </c>
      <c r="AS370" s="22" t="str">
        <f t="shared" si="275"/>
        <v>X</v>
      </c>
      <c r="AT370" s="22" t="str">
        <f t="shared" si="276"/>
        <v>X</v>
      </c>
      <c r="AU370" s="22" t="str">
        <f t="shared" si="277"/>
        <v>X</v>
      </c>
      <c r="AV370" s="22" t="str">
        <f t="shared" si="278"/>
        <v>X</v>
      </c>
      <c r="AW370" s="22" t="str">
        <f t="shared" si="279"/>
        <v>X</v>
      </c>
      <c r="AX370" s="22" t="str">
        <f t="shared" si="280"/>
        <v>X</v>
      </c>
      <c r="AY370" s="22" t="str">
        <f t="shared" si="281"/>
        <v>X</v>
      </c>
      <c r="AZ370" s="22" t="str">
        <f t="shared" si="282"/>
        <v>X</v>
      </c>
      <c r="BA370" s="22" t="str">
        <f t="shared" si="283"/>
        <v>X</v>
      </c>
      <c r="BB370" s="22">
        <f t="shared" si="284"/>
        <v>2</v>
      </c>
      <c r="BC370" s="22" t="str">
        <f t="shared" si="255"/>
        <v>1G</v>
      </c>
      <c r="BD370" s="22" t="str">
        <f t="shared" si="256"/>
        <v>1G</v>
      </c>
      <c r="BE370" s="22" t="str">
        <f t="shared" si="257"/>
        <v>2G</v>
      </c>
      <c r="BF370" s="22" t="str">
        <f t="shared" si="258"/>
        <v>2G</v>
      </c>
      <c r="BG370" s="22" t="str">
        <f t="shared" si="259"/>
        <v>2G</v>
      </c>
      <c r="BH370" s="22" t="str">
        <f t="shared" si="260"/>
        <v>3G</v>
      </c>
      <c r="BI370" s="22">
        <f t="shared" si="285"/>
        <v>2</v>
      </c>
      <c r="BJ370" s="22">
        <f t="shared" si="286"/>
        <v>3</v>
      </c>
      <c r="BK370" s="22">
        <f t="shared" si="287"/>
        <v>1</v>
      </c>
      <c r="BL370" s="22" t="str">
        <f t="shared" si="288"/>
        <v>231</v>
      </c>
      <c r="BS370"/>
      <c r="CL370" s="23">
        <v>162</v>
      </c>
      <c r="CM370" s="23">
        <v>160</v>
      </c>
      <c r="CO370"/>
    </row>
    <row r="371" spans="1:93" ht="17" hidden="1">
      <c r="B371" s="15">
        <v>367</v>
      </c>
      <c r="C371" s="23" t="s">
        <v>397</v>
      </c>
      <c r="D371" s="16">
        <v>7</v>
      </c>
      <c r="E371" s="17">
        <v>1581736586</v>
      </c>
      <c r="F371" s="16">
        <v>37</v>
      </c>
      <c r="G371" s="17">
        <v>49874578</v>
      </c>
      <c r="H371" s="17">
        <v>1049</v>
      </c>
      <c r="I371" s="17">
        <v>1759161</v>
      </c>
      <c r="J371" s="17">
        <v>55158</v>
      </c>
      <c r="K371" s="17">
        <v>66912</v>
      </c>
      <c r="L371" s="17">
        <v>955212</v>
      </c>
      <c r="M371" s="17">
        <v>5000</v>
      </c>
      <c r="N371" s="23">
        <v>3</v>
      </c>
      <c r="O371" s="23">
        <v>22</v>
      </c>
      <c r="P371" s="23">
        <v>25</v>
      </c>
      <c r="Q371" s="23">
        <v>29</v>
      </c>
      <c r="R371" s="23">
        <v>32</v>
      </c>
      <c r="S371" s="23">
        <v>44</v>
      </c>
      <c r="T371" s="23">
        <v>19</v>
      </c>
      <c r="U371" s="23">
        <f t="shared" si="261"/>
        <v>155</v>
      </c>
      <c r="W371" s="22" t="str">
        <f t="shared" si="246"/>
        <v>홀수</v>
      </c>
      <c r="X371" s="22" t="str">
        <f t="shared" si="247"/>
        <v>짝수</v>
      </c>
      <c r="Y371" s="22" t="str">
        <f t="shared" si="248"/>
        <v>홀수</v>
      </c>
      <c r="Z371" s="22" t="str">
        <f t="shared" si="249"/>
        <v>홀수</v>
      </c>
      <c r="AA371" s="22" t="str">
        <f t="shared" si="250"/>
        <v>짝수</v>
      </c>
      <c r="AB371" s="22" t="str">
        <f t="shared" si="251"/>
        <v>짝수</v>
      </c>
      <c r="AC371" s="52" t="str">
        <f t="shared" si="252"/>
        <v>3 : 3</v>
      </c>
      <c r="AD371" s="22">
        <f t="shared" si="253"/>
        <v>3</v>
      </c>
      <c r="AE371" s="22">
        <f t="shared" si="254"/>
        <v>3</v>
      </c>
      <c r="AF371" s="22" t="str">
        <f t="shared" si="262"/>
        <v>저수</v>
      </c>
      <c r="AG371" s="22" t="str">
        <f t="shared" si="263"/>
        <v>저수</v>
      </c>
      <c r="AH371" s="22" t="str">
        <f t="shared" si="264"/>
        <v>고수</v>
      </c>
      <c r="AI371" s="22" t="str">
        <f t="shared" si="265"/>
        <v>고수</v>
      </c>
      <c r="AJ371" s="22" t="str">
        <f t="shared" si="266"/>
        <v>고수</v>
      </c>
      <c r="AK371" s="22" t="str">
        <f t="shared" si="267"/>
        <v>고수</v>
      </c>
      <c r="AL371" s="52" t="str">
        <f t="shared" si="268"/>
        <v>2 : 4</v>
      </c>
      <c r="AM371" s="22">
        <f t="shared" si="269"/>
        <v>2</v>
      </c>
      <c r="AN371" s="22">
        <f t="shared" si="270"/>
        <v>4</v>
      </c>
      <c r="AO371" s="22">
        <f t="shared" si="271"/>
        <v>25</v>
      </c>
      <c r="AP371" s="22" t="str">
        <f t="shared" si="272"/>
        <v>O</v>
      </c>
      <c r="AQ371" s="22" t="str">
        <f t="shared" si="273"/>
        <v>X</v>
      </c>
      <c r="AR371" s="22" t="str">
        <f t="shared" si="274"/>
        <v>X</v>
      </c>
      <c r="AS371" s="22" t="str">
        <f t="shared" si="275"/>
        <v>X</v>
      </c>
      <c r="AT371" s="22" t="str">
        <f t="shared" si="276"/>
        <v>X</v>
      </c>
      <c r="AU371" s="22" t="str">
        <f t="shared" si="277"/>
        <v>X</v>
      </c>
      <c r="AV371" s="22" t="str">
        <f t="shared" si="278"/>
        <v>X</v>
      </c>
      <c r="AW371" s="22" t="str">
        <f t="shared" si="279"/>
        <v>X</v>
      </c>
      <c r="AX371" s="22" t="str">
        <f t="shared" si="280"/>
        <v>X</v>
      </c>
      <c r="AY371" s="22" t="str">
        <f t="shared" si="281"/>
        <v>O</v>
      </c>
      <c r="AZ371" s="22" t="str">
        <f t="shared" si="282"/>
        <v>X</v>
      </c>
      <c r="BA371" s="22" t="str">
        <f t="shared" si="283"/>
        <v>X</v>
      </c>
      <c r="BB371" s="22">
        <f t="shared" si="284"/>
        <v>2</v>
      </c>
      <c r="BC371" s="22" t="str">
        <f t="shared" si="255"/>
        <v>1G</v>
      </c>
      <c r="BD371" s="22" t="str">
        <f t="shared" si="256"/>
        <v>2G</v>
      </c>
      <c r="BE371" s="22" t="str">
        <f t="shared" si="257"/>
        <v>2G</v>
      </c>
      <c r="BF371" s="22" t="str">
        <f t="shared" si="258"/>
        <v>2G</v>
      </c>
      <c r="BG371" s="22" t="str">
        <f t="shared" si="259"/>
        <v>3G</v>
      </c>
      <c r="BH371" s="22" t="str">
        <f t="shared" si="260"/>
        <v>3G</v>
      </c>
      <c r="BI371" s="22">
        <f t="shared" si="285"/>
        <v>1</v>
      </c>
      <c r="BJ371" s="22">
        <f t="shared" si="286"/>
        <v>3</v>
      </c>
      <c r="BK371" s="22">
        <f t="shared" si="287"/>
        <v>2</v>
      </c>
      <c r="BL371" s="22" t="str">
        <f t="shared" si="288"/>
        <v>132</v>
      </c>
      <c r="BS371"/>
      <c r="CL371" s="23">
        <v>162</v>
      </c>
      <c r="CM371" s="23">
        <v>160</v>
      </c>
      <c r="CO371"/>
    </row>
    <row r="372" spans="1:93" ht="17" hidden="1">
      <c r="B372" s="15">
        <v>368</v>
      </c>
      <c r="C372" s="23" t="s">
        <v>398</v>
      </c>
      <c r="D372" s="16">
        <v>7</v>
      </c>
      <c r="E372" s="17">
        <v>1465825115</v>
      </c>
      <c r="F372" s="16">
        <v>38</v>
      </c>
      <c r="G372" s="17">
        <v>45003403</v>
      </c>
      <c r="H372" s="17">
        <v>1195</v>
      </c>
      <c r="I372" s="17">
        <v>1431071</v>
      </c>
      <c r="J372" s="17">
        <v>57581</v>
      </c>
      <c r="K372" s="17">
        <v>59400</v>
      </c>
      <c r="L372" s="17">
        <v>954346</v>
      </c>
      <c r="M372" s="17">
        <v>5000</v>
      </c>
      <c r="N372" s="23">
        <v>11</v>
      </c>
      <c r="O372" s="23">
        <v>21</v>
      </c>
      <c r="P372" s="23">
        <v>24</v>
      </c>
      <c r="Q372" s="23">
        <v>30</v>
      </c>
      <c r="R372" s="23">
        <v>39</v>
      </c>
      <c r="S372" s="23">
        <v>45</v>
      </c>
      <c r="T372" s="23">
        <v>26</v>
      </c>
      <c r="U372" s="23">
        <f t="shared" si="261"/>
        <v>170</v>
      </c>
      <c r="W372" s="22" t="str">
        <f t="shared" si="246"/>
        <v>홀수</v>
      </c>
      <c r="X372" s="22" t="str">
        <f t="shared" si="247"/>
        <v>홀수</v>
      </c>
      <c r="Y372" s="22" t="str">
        <f t="shared" si="248"/>
        <v>짝수</v>
      </c>
      <c r="Z372" s="22" t="str">
        <f t="shared" si="249"/>
        <v>짝수</v>
      </c>
      <c r="AA372" s="22" t="str">
        <f t="shared" si="250"/>
        <v>홀수</v>
      </c>
      <c r="AB372" s="22" t="str">
        <f t="shared" si="251"/>
        <v>홀수</v>
      </c>
      <c r="AC372" s="52" t="str">
        <f t="shared" si="252"/>
        <v>4 : 2</v>
      </c>
      <c r="AD372" s="22">
        <f t="shared" si="253"/>
        <v>4</v>
      </c>
      <c r="AE372" s="22">
        <f t="shared" si="254"/>
        <v>2</v>
      </c>
      <c r="AF372" s="22" t="str">
        <f t="shared" si="262"/>
        <v>저수</v>
      </c>
      <c r="AG372" s="22" t="str">
        <f t="shared" si="263"/>
        <v>저수</v>
      </c>
      <c r="AH372" s="22" t="str">
        <f t="shared" si="264"/>
        <v>고수</v>
      </c>
      <c r="AI372" s="22" t="str">
        <f t="shared" si="265"/>
        <v>고수</v>
      </c>
      <c r="AJ372" s="22" t="str">
        <f t="shared" si="266"/>
        <v>고수</v>
      </c>
      <c r="AK372" s="22" t="str">
        <f t="shared" si="267"/>
        <v>고수</v>
      </c>
      <c r="AL372" s="52" t="str">
        <f t="shared" si="268"/>
        <v>2 : 4</v>
      </c>
      <c r="AM372" s="22">
        <f t="shared" si="269"/>
        <v>2</v>
      </c>
      <c r="AN372" s="22">
        <f t="shared" si="270"/>
        <v>4</v>
      </c>
      <c r="AO372" s="22">
        <f t="shared" si="271"/>
        <v>20</v>
      </c>
      <c r="AP372" s="22" t="str">
        <f t="shared" si="272"/>
        <v>O</v>
      </c>
      <c r="AQ372" s="22" t="str">
        <f t="shared" si="273"/>
        <v>X</v>
      </c>
      <c r="AR372" s="22" t="str">
        <f t="shared" si="274"/>
        <v>X</v>
      </c>
      <c r="AS372" s="22" t="str">
        <f t="shared" si="275"/>
        <v>X</v>
      </c>
      <c r="AT372" s="22" t="str">
        <f t="shared" si="276"/>
        <v>X</v>
      </c>
      <c r="AU372" s="22" t="str">
        <f t="shared" si="277"/>
        <v>X</v>
      </c>
      <c r="AV372" s="22" t="str">
        <f t="shared" si="278"/>
        <v>X</v>
      </c>
      <c r="AW372" s="22" t="str">
        <f t="shared" si="279"/>
        <v>X</v>
      </c>
      <c r="AX372" s="22" t="str">
        <f t="shared" si="280"/>
        <v>X</v>
      </c>
      <c r="AY372" s="22" t="str">
        <f t="shared" si="281"/>
        <v>X</v>
      </c>
      <c r="AZ372" s="22" t="str">
        <f t="shared" si="282"/>
        <v>X</v>
      </c>
      <c r="BA372" s="22" t="str">
        <f t="shared" si="283"/>
        <v>X</v>
      </c>
      <c r="BB372" s="22">
        <f t="shared" si="284"/>
        <v>1</v>
      </c>
      <c r="BC372" s="22" t="str">
        <f t="shared" si="255"/>
        <v>1G</v>
      </c>
      <c r="BD372" s="22" t="str">
        <f t="shared" si="256"/>
        <v>2G</v>
      </c>
      <c r="BE372" s="22" t="str">
        <f t="shared" si="257"/>
        <v>2G</v>
      </c>
      <c r="BF372" s="22" t="str">
        <f t="shared" si="258"/>
        <v>2G</v>
      </c>
      <c r="BG372" s="22" t="str">
        <f t="shared" si="259"/>
        <v>3G</v>
      </c>
      <c r="BH372" s="22" t="str">
        <f t="shared" si="260"/>
        <v>3G</v>
      </c>
      <c r="BI372" s="22">
        <f t="shared" si="285"/>
        <v>1</v>
      </c>
      <c r="BJ372" s="22">
        <f t="shared" si="286"/>
        <v>3</v>
      </c>
      <c r="BK372" s="22">
        <f t="shared" si="287"/>
        <v>2</v>
      </c>
      <c r="BL372" s="22" t="str">
        <f t="shared" si="288"/>
        <v>132</v>
      </c>
      <c r="BS372"/>
      <c r="CL372" s="23">
        <v>162</v>
      </c>
      <c r="CM372" s="23">
        <v>160</v>
      </c>
      <c r="CO372"/>
    </row>
    <row r="373" spans="1:93" ht="17" hidden="1">
      <c r="B373" s="15">
        <v>369</v>
      </c>
      <c r="C373" s="23" t="s">
        <v>399</v>
      </c>
      <c r="D373" s="16">
        <v>6</v>
      </c>
      <c r="E373" s="17">
        <v>1842177750</v>
      </c>
      <c r="F373" s="16">
        <v>31</v>
      </c>
      <c r="G373" s="17">
        <v>59425089</v>
      </c>
      <c r="H373" s="17">
        <v>1157</v>
      </c>
      <c r="I373" s="17">
        <v>1592203</v>
      </c>
      <c r="J373" s="17">
        <v>59383</v>
      </c>
      <c r="K373" s="17">
        <v>62044</v>
      </c>
      <c r="L373" s="17">
        <v>987272</v>
      </c>
      <c r="M373" s="17">
        <v>5000</v>
      </c>
      <c r="N373" s="23">
        <v>17</v>
      </c>
      <c r="O373" s="23">
        <v>20</v>
      </c>
      <c r="P373" s="23">
        <v>35</v>
      </c>
      <c r="Q373" s="23">
        <v>36</v>
      </c>
      <c r="R373" s="23">
        <v>41</v>
      </c>
      <c r="S373" s="23">
        <v>43</v>
      </c>
      <c r="T373" s="23">
        <v>21</v>
      </c>
      <c r="U373" s="23">
        <f t="shared" si="261"/>
        <v>192</v>
      </c>
      <c r="W373" s="22" t="str">
        <f t="shared" si="246"/>
        <v>홀수</v>
      </c>
      <c r="X373" s="22" t="str">
        <f t="shared" si="247"/>
        <v>짝수</v>
      </c>
      <c r="Y373" s="22" t="str">
        <f t="shared" si="248"/>
        <v>홀수</v>
      </c>
      <c r="Z373" s="22" t="str">
        <f t="shared" si="249"/>
        <v>짝수</v>
      </c>
      <c r="AA373" s="22" t="str">
        <f t="shared" si="250"/>
        <v>홀수</v>
      </c>
      <c r="AB373" s="22" t="str">
        <f t="shared" si="251"/>
        <v>홀수</v>
      </c>
      <c r="AC373" s="52" t="str">
        <f t="shared" si="252"/>
        <v>4 : 2</v>
      </c>
      <c r="AD373" s="22">
        <f t="shared" si="253"/>
        <v>4</v>
      </c>
      <c r="AE373" s="22">
        <f t="shared" si="254"/>
        <v>2</v>
      </c>
      <c r="AF373" s="22" t="str">
        <f t="shared" si="262"/>
        <v>저수</v>
      </c>
      <c r="AG373" s="22" t="str">
        <f t="shared" si="263"/>
        <v>저수</v>
      </c>
      <c r="AH373" s="22" t="str">
        <f t="shared" si="264"/>
        <v>고수</v>
      </c>
      <c r="AI373" s="22" t="str">
        <f t="shared" si="265"/>
        <v>고수</v>
      </c>
      <c r="AJ373" s="22" t="str">
        <f t="shared" si="266"/>
        <v>고수</v>
      </c>
      <c r="AK373" s="22" t="str">
        <f t="shared" si="267"/>
        <v>고수</v>
      </c>
      <c r="AL373" s="52" t="str">
        <f t="shared" si="268"/>
        <v>2 : 4</v>
      </c>
      <c r="AM373" s="22">
        <f t="shared" si="269"/>
        <v>2</v>
      </c>
      <c r="AN373" s="22">
        <f t="shared" si="270"/>
        <v>4</v>
      </c>
      <c r="AO373" s="22">
        <f t="shared" si="271"/>
        <v>22</v>
      </c>
      <c r="AP373" s="22" t="str">
        <f t="shared" si="272"/>
        <v>O</v>
      </c>
      <c r="AQ373" s="22" t="str">
        <f t="shared" si="273"/>
        <v>X</v>
      </c>
      <c r="AR373" s="22" t="str">
        <f t="shared" si="274"/>
        <v>X</v>
      </c>
      <c r="AS373" s="22" t="str">
        <f t="shared" si="275"/>
        <v>X</v>
      </c>
      <c r="AT373" s="22" t="str">
        <f t="shared" si="276"/>
        <v>X</v>
      </c>
      <c r="AU373" s="22" t="str">
        <f t="shared" si="277"/>
        <v>X</v>
      </c>
      <c r="AV373" s="22" t="str">
        <f t="shared" si="278"/>
        <v>X</v>
      </c>
      <c r="AW373" s="22" t="str">
        <f t="shared" si="279"/>
        <v>X</v>
      </c>
      <c r="AX373" s="22" t="str">
        <f t="shared" si="280"/>
        <v>X</v>
      </c>
      <c r="AY373" s="22" t="str">
        <f t="shared" si="281"/>
        <v>X</v>
      </c>
      <c r="AZ373" s="22" t="str">
        <f t="shared" si="282"/>
        <v>O</v>
      </c>
      <c r="BA373" s="22" t="str">
        <f t="shared" si="283"/>
        <v>O</v>
      </c>
      <c r="BB373" s="22">
        <f t="shared" si="284"/>
        <v>3</v>
      </c>
      <c r="BC373" s="22" t="str">
        <f t="shared" si="255"/>
        <v>2G</v>
      </c>
      <c r="BD373" s="22" t="str">
        <f t="shared" si="256"/>
        <v>2G</v>
      </c>
      <c r="BE373" s="22" t="str">
        <f t="shared" si="257"/>
        <v>3G</v>
      </c>
      <c r="BF373" s="22" t="str">
        <f t="shared" si="258"/>
        <v>3G</v>
      </c>
      <c r="BG373" s="22" t="str">
        <f t="shared" si="259"/>
        <v>3G</v>
      </c>
      <c r="BH373" s="22" t="str">
        <f t="shared" si="260"/>
        <v>3G</v>
      </c>
      <c r="BI373" s="22">
        <f t="shared" si="285"/>
        <v>0</v>
      </c>
      <c r="BJ373" s="22">
        <f t="shared" si="286"/>
        <v>2</v>
      </c>
      <c r="BK373" s="22">
        <f t="shared" si="287"/>
        <v>4</v>
      </c>
      <c r="BL373" s="22" t="str">
        <f t="shared" si="288"/>
        <v>024</v>
      </c>
      <c r="BS373"/>
      <c r="CL373" s="23">
        <v>163</v>
      </c>
      <c r="CM373" s="23">
        <v>160</v>
      </c>
      <c r="CO373"/>
    </row>
    <row r="374" spans="1:93" ht="17" hidden="1">
      <c r="A374" s="16">
        <v>2010</v>
      </c>
      <c r="B374" s="15">
        <v>370</v>
      </c>
      <c r="C374" s="23" t="s">
        <v>400</v>
      </c>
      <c r="D374" s="16">
        <v>7</v>
      </c>
      <c r="E374" s="17">
        <v>1678941943</v>
      </c>
      <c r="F374" s="16">
        <v>32</v>
      </c>
      <c r="G374" s="17">
        <v>61211425</v>
      </c>
      <c r="H374" s="17">
        <v>1168</v>
      </c>
      <c r="I374" s="17">
        <v>1677026</v>
      </c>
      <c r="J374" s="17">
        <v>60549</v>
      </c>
      <c r="K374" s="17">
        <v>64701</v>
      </c>
      <c r="L374" s="17">
        <v>1058734</v>
      </c>
      <c r="M374" s="17">
        <v>5000</v>
      </c>
      <c r="N374" s="23">
        <v>16</v>
      </c>
      <c r="O374" s="23">
        <v>18</v>
      </c>
      <c r="P374" s="23">
        <v>24</v>
      </c>
      <c r="Q374" s="23">
        <v>42</v>
      </c>
      <c r="R374" s="23">
        <v>44</v>
      </c>
      <c r="S374" s="23">
        <v>45</v>
      </c>
      <c r="T374" s="23">
        <v>17</v>
      </c>
      <c r="U374" s="23">
        <f t="shared" si="261"/>
        <v>189</v>
      </c>
      <c r="W374" s="22" t="str">
        <f t="shared" ref="W374:W437" si="289">IF(RIGHT(N374,1)="1","홀수",IF(RIGHT(N374,1)="3","홀수",IF(RIGHT(N374,1)="5","홀수",IF(RIGHT(N374,1)="7","홀수",IF(RIGHT(N374,1)="9","홀수","짝수")))))</f>
        <v>짝수</v>
      </c>
      <c r="X374" s="22" t="str">
        <f t="shared" ref="X374:X437" si="290">IF(RIGHT(O374,1)="1","홀수",IF(RIGHT(O374,1)="3","홀수",IF(RIGHT(O374,1)="5","홀수",IF(RIGHT(O374,1)="7","홀수",IF(RIGHT(O374,1)="9","홀수","짝수")))))</f>
        <v>짝수</v>
      </c>
      <c r="Y374" s="22" t="str">
        <f t="shared" ref="Y374:Y437" si="291">IF(RIGHT(P374,1)="1","홀수",IF(RIGHT(P374,1)="3","홀수",IF(RIGHT(P374,1)="5","홀수",IF(RIGHT(P374,1)="7","홀수",IF(RIGHT(P374,1)="9","홀수","짝수")))))</f>
        <v>짝수</v>
      </c>
      <c r="Z374" s="22" t="str">
        <f t="shared" ref="Z374:Z437" si="292">IF(RIGHT(Q374,1)="1","홀수",IF(RIGHT(Q374,1)="3","홀수",IF(RIGHT(Q374,1)="5","홀수",IF(RIGHT(Q374,1)="7","홀수",IF(RIGHT(Q374,1)="9","홀수","짝수")))))</f>
        <v>짝수</v>
      </c>
      <c r="AA374" s="22" t="str">
        <f t="shared" ref="AA374:AA437" si="293">IF(RIGHT(R374,1)="1","홀수",IF(RIGHT(R374,1)="3","홀수",IF(RIGHT(R374,1)="5","홀수",IF(RIGHT(R374,1)="7","홀수",IF(RIGHT(R374,1)="9","홀수","짝수")))))</f>
        <v>짝수</v>
      </c>
      <c r="AB374" s="22" t="str">
        <f t="shared" ref="AB374:AB437" si="294">IF(RIGHT(S374,1)="1","홀수",IF(RIGHT(S374,1)="3","홀수",IF(RIGHT(S374,1)="5","홀수",IF(RIGHT(S374,1)="7","홀수",IF(RIGHT(S374,1)="9","홀수","짝수")))))</f>
        <v>홀수</v>
      </c>
      <c r="AC374" s="52" t="str">
        <f t="shared" ref="AC374:AC437" si="295">AD374&amp;" : "&amp;AE374</f>
        <v>1 : 5</v>
      </c>
      <c r="AD374" s="22">
        <f t="shared" ref="AD374:AD437" si="296">COUNTIF(W374:AB374,"홀수")</f>
        <v>1</v>
      </c>
      <c r="AE374" s="22">
        <f t="shared" ref="AE374:AE437" si="297">COUNTIF(W374:AB374,"짝수")</f>
        <v>5</v>
      </c>
      <c r="AF374" s="22" t="str">
        <f t="shared" si="262"/>
        <v>저수</v>
      </c>
      <c r="AG374" s="22" t="str">
        <f t="shared" si="263"/>
        <v>저수</v>
      </c>
      <c r="AH374" s="22" t="str">
        <f t="shared" si="264"/>
        <v>고수</v>
      </c>
      <c r="AI374" s="22" t="str">
        <f t="shared" si="265"/>
        <v>고수</v>
      </c>
      <c r="AJ374" s="22" t="str">
        <f t="shared" si="266"/>
        <v>고수</v>
      </c>
      <c r="AK374" s="22" t="str">
        <f t="shared" si="267"/>
        <v>고수</v>
      </c>
      <c r="AL374" s="52" t="str">
        <f t="shared" si="268"/>
        <v>2 : 4</v>
      </c>
      <c r="AM374" s="22">
        <f t="shared" si="269"/>
        <v>2</v>
      </c>
      <c r="AN374" s="22">
        <f t="shared" si="270"/>
        <v>4</v>
      </c>
      <c r="AO374" s="22">
        <f t="shared" si="271"/>
        <v>29</v>
      </c>
      <c r="AP374" s="22" t="str">
        <f t="shared" si="272"/>
        <v>X</v>
      </c>
      <c r="AQ374" s="22" t="str">
        <f t="shared" si="273"/>
        <v>X</v>
      </c>
      <c r="AR374" s="22" t="str">
        <f t="shared" si="274"/>
        <v>X</v>
      </c>
      <c r="AS374" s="22" t="str">
        <f t="shared" si="275"/>
        <v>X</v>
      </c>
      <c r="AT374" s="22" t="str">
        <f t="shared" si="276"/>
        <v>X</v>
      </c>
      <c r="AU374" s="22" t="str">
        <f t="shared" si="277"/>
        <v>X</v>
      </c>
      <c r="AV374" s="22" t="str">
        <f t="shared" si="278"/>
        <v>X</v>
      </c>
      <c r="AW374" s="22" t="str">
        <f t="shared" si="279"/>
        <v>X</v>
      </c>
      <c r="AX374" s="22" t="str">
        <f t="shared" si="280"/>
        <v>X</v>
      </c>
      <c r="AY374" s="22" t="str">
        <f t="shared" si="281"/>
        <v>X</v>
      </c>
      <c r="AZ374" s="22" t="str">
        <f t="shared" si="282"/>
        <v>X</v>
      </c>
      <c r="BA374" s="22" t="str">
        <f t="shared" si="283"/>
        <v>X</v>
      </c>
      <c r="BB374" s="22">
        <f t="shared" si="284"/>
        <v>0</v>
      </c>
      <c r="BC374" s="22" t="str">
        <f t="shared" si="255"/>
        <v>2G</v>
      </c>
      <c r="BD374" s="22" t="str">
        <f t="shared" si="256"/>
        <v>2G</v>
      </c>
      <c r="BE374" s="22" t="str">
        <f t="shared" si="257"/>
        <v>2G</v>
      </c>
      <c r="BF374" s="22" t="str">
        <f t="shared" si="258"/>
        <v>3G</v>
      </c>
      <c r="BG374" s="22" t="str">
        <f t="shared" si="259"/>
        <v>3G</v>
      </c>
      <c r="BH374" s="22" t="str">
        <f t="shared" si="260"/>
        <v>3G</v>
      </c>
      <c r="BI374" s="22">
        <f t="shared" si="285"/>
        <v>0</v>
      </c>
      <c r="BJ374" s="22">
        <f t="shared" si="286"/>
        <v>3</v>
      </c>
      <c r="BK374" s="22">
        <f t="shared" si="287"/>
        <v>3</v>
      </c>
      <c r="BL374" s="22" t="str">
        <f t="shared" si="288"/>
        <v>033</v>
      </c>
      <c r="BS374"/>
      <c r="CL374" s="23">
        <v>163</v>
      </c>
      <c r="CM374" s="23">
        <v>160</v>
      </c>
      <c r="CO374"/>
    </row>
    <row r="375" spans="1:93" ht="17" hidden="1">
      <c r="B375" s="15">
        <v>371</v>
      </c>
      <c r="C375" s="23" t="s">
        <v>401</v>
      </c>
      <c r="D375" s="16">
        <v>7</v>
      </c>
      <c r="E375" s="17">
        <v>1524130543</v>
      </c>
      <c r="F375" s="16">
        <v>29</v>
      </c>
      <c r="G375" s="17">
        <v>61315597</v>
      </c>
      <c r="H375" s="17">
        <v>1201</v>
      </c>
      <c r="I375" s="17">
        <v>1480560</v>
      </c>
      <c r="J375" s="17">
        <v>62102</v>
      </c>
      <c r="K375" s="17">
        <v>57266</v>
      </c>
      <c r="L375" s="17">
        <v>1028012</v>
      </c>
      <c r="M375" s="17">
        <v>5000</v>
      </c>
      <c r="N375" s="23">
        <v>7</v>
      </c>
      <c r="O375" s="23">
        <v>9</v>
      </c>
      <c r="P375" s="23">
        <v>15</v>
      </c>
      <c r="Q375" s="23">
        <v>26</v>
      </c>
      <c r="R375" s="23">
        <v>27</v>
      </c>
      <c r="S375" s="23">
        <v>42</v>
      </c>
      <c r="T375" s="23">
        <v>18</v>
      </c>
      <c r="U375" s="23">
        <f t="shared" si="261"/>
        <v>126</v>
      </c>
      <c r="W375" s="22" t="str">
        <f t="shared" si="289"/>
        <v>홀수</v>
      </c>
      <c r="X375" s="22" t="str">
        <f t="shared" si="290"/>
        <v>홀수</v>
      </c>
      <c r="Y375" s="22" t="str">
        <f t="shared" si="291"/>
        <v>홀수</v>
      </c>
      <c r="Z375" s="22" t="str">
        <f t="shared" si="292"/>
        <v>짝수</v>
      </c>
      <c r="AA375" s="22" t="str">
        <f t="shared" si="293"/>
        <v>홀수</v>
      </c>
      <c r="AB375" s="22" t="str">
        <f t="shared" si="294"/>
        <v>짝수</v>
      </c>
      <c r="AC375" s="52" t="str">
        <f t="shared" si="295"/>
        <v>4 : 2</v>
      </c>
      <c r="AD375" s="22">
        <f t="shared" si="296"/>
        <v>4</v>
      </c>
      <c r="AE375" s="22">
        <f t="shared" si="297"/>
        <v>2</v>
      </c>
      <c r="AF375" s="22" t="str">
        <f t="shared" si="262"/>
        <v>저수</v>
      </c>
      <c r="AG375" s="22" t="str">
        <f t="shared" si="263"/>
        <v>저수</v>
      </c>
      <c r="AH375" s="22" t="str">
        <f t="shared" si="264"/>
        <v>저수</v>
      </c>
      <c r="AI375" s="22" t="str">
        <f t="shared" si="265"/>
        <v>고수</v>
      </c>
      <c r="AJ375" s="22" t="str">
        <f t="shared" si="266"/>
        <v>고수</v>
      </c>
      <c r="AK375" s="22" t="str">
        <f t="shared" si="267"/>
        <v>고수</v>
      </c>
      <c r="AL375" s="52" t="str">
        <f t="shared" si="268"/>
        <v>3 : 3</v>
      </c>
      <c r="AM375" s="22">
        <f t="shared" si="269"/>
        <v>3</v>
      </c>
      <c r="AN375" s="22">
        <f t="shared" si="270"/>
        <v>3</v>
      </c>
      <c r="AO375" s="22">
        <f t="shared" si="271"/>
        <v>36</v>
      </c>
      <c r="AP375" s="22" t="str">
        <f t="shared" si="272"/>
        <v>O</v>
      </c>
      <c r="AQ375" s="22" t="str">
        <f t="shared" si="273"/>
        <v>X</v>
      </c>
      <c r="AR375" s="22" t="str">
        <f t="shared" si="274"/>
        <v>X</v>
      </c>
      <c r="AS375" s="22" t="str">
        <f t="shared" si="275"/>
        <v>X</v>
      </c>
      <c r="AT375" s="22" t="str">
        <f t="shared" si="276"/>
        <v>X</v>
      </c>
      <c r="AU375" s="22" t="str">
        <f t="shared" si="277"/>
        <v>X</v>
      </c>
      <c r="AV375" s="22" t="str">
        <f t="shared" si="278"/>
        <v>X</v>
      </c>
      <c r="AW375" s="22" t="str">
        <f t="shared" si="279"/>
        <v>X</v>
      </c>
      <c r="AX375" s="22" t="str">
        <f t="shared" si="280"/>
        <v>X</v>
      </c>
      <c r="AY375" s="22" t="str">
        <f t="shared" si="281"/>
        <v>X</v>
      </c>
      <c r="AZ375" s="22" t="str">
        <f t="shared" si="282"/>
        <v>X</v>
      </c>
      <c r="BA375" s="22" t="str">
        <f t="shared" si="283"/>
        <v>X</v>
      </c>
      <c r="BB375" s="22">
        <f t="shared" si="284"/>
        <v>1</v>
      </c>
      <c r="BC375" s="22" t="str">
        <f t="shared" si="255"/>
        <v>1G</v>
      </c>
      <c r="BD375" s="22" t="str">
        <f t="shared" si="256"/>
        <v>1G</v>
      </c>
      <c r="BE375" s="22" t="str">
        <f t="shared" si="257"/>
        <v>1G</v>
      </c>
      <c r="BF375" s="22" t="str">
        <f t="shared" si="258"/>
        <v>2G</v>
      </c>
      <c r="BG375" s="22" t="str">
        <f t="shared" si="259"/>
        <v>2G</v>
      </c>
      <c r="BH375" s="22" t="str">
        <f t="shared" si="260"/>
        <v>3G</v>
      </c>
      <c r="BI375" s="22">
        <f t="shared" si="285"/>
        <v>3</v>
      </c>
      <c r="BJ375" s="22">
        <f t="shared" si="286"/>
        <v>2</v>
      </c>
      <c r="BK375" s="22">
        <f t="shared" si="287"/>
        <v>1</v>
      </c>
      <c r="BL375" s="22" t="str">
        <f t="shared" si="288"/>
        <v>321</v>
      </c>
      <c r="BS375"/>
      <c r="CL375" s="23">
        <v>163</v>
      </c>
      <c r="CM375" s="23">
        <v>160</v>
      </c>
      <c r="CO375"/>
    </row>
    <row r="376" spans="1:93" ht="17" hidden="1">
      <c r="B376" s="15">
        <v>372</v>
      </c>
      <c r="C376" s="23" t="s">
        <v>402</v>
      </c>
      <c r="D376" s="16">
        <v>9</v>
      </c>
      <c r="E376" s="17">
        <v>1192593200</v>
      </c>
      <c r="F376" s="16">
        <v>37</v>
      </c>
      <c r="G376" s="17">
        <v>48348373</v>
      </c>
      <c r="H376" s="17">
        <v>1368</v>
      </c>
      <c r="I376" s="17">
        <v>1307668</v>
      </c>
      <c r="J376" s="17">
        <v>62564</v>
      </c>
      <c r="K376" s="17">
        <v>57186</v>
      </c>
      <c r="L376" s="17">
        <v>1038927</v>
      </c>
      <c r="M376" s="17">
        <v>5000</v>
      </c>
      <c r="N376" s="23">
        <v>8</v>
      </c>
      <c r="O376" s="23">
        <v>11</v>
      </c>
      <c r="P376" s="23">
        <v>14</v>
      </c>
      <c r="Q376" s="23">
        <v>16</v>
      </c>
      <c r="R376" s="23">
        <v>18</v>
      </c>
      <c r="S376" s="23">
        <v>21</v>
      </c>
      <c r="T376" s="23">
        <v>13</v>
      </c>
      <c r="U376" s="23">
        <f t="shared" si="261"/>
        <v>88</v>
      </c>
      <c r="W376" s="22" t="str">
        <f t="shared" si="289"/>
        <v>짝수</v>
      </c>
      <c r="X376" s="22" t="str">
        <f t="shared" si="290"/>
        <v>홀수</v>
      </c>
      <c r="Y376" s="22" t="str">
        <f t="shared" si="291"/>
        <v>짝수</v>
      </c>
      <c r="Z376" s="22" t="str">
        <f t="shared" si="292"/>
        <v>짝수</v>
      </c>
      <c r="AA376" s="22" t="str">
        <f t="shared" si="293"/>
        <v>짝수</v>
      </c>
      <c r="AB376" s="22" t="str">
        <f t="shared" si="294"/>
        <v>홀수</v>
      </c>
      <c r="AC376" s="52" t="str">
        <f t="shared" si="295"/>
        <v>2 : 4</v>
      </c>
      <c r="AD376" s="22">
        <f t="shared" si="296"/>
        <v>2</v>
      </c>
      <c r="AE376" s="22">
        <f t="shared" si="297"/>
        <v>4</v>
      </c>
      <c r="AF376" s="22" t="str">
        <f t="shared" si="262"/>
        <v>저수</v>
      </c>
      <c r="AG376" s="22" t="str">
        <f t="shared" si="263"/>
        <v>저수</v>
      </c>
      <c r="AH376" s="22" t="str">
        <f t="shared" si="264"/>
        <v>저수</v>
      </c>
      <c r="AI376" s="22" t="str">
        <f t="shared" si="265"/>
        <v>저수</v>
      </c>
      <c r="AJ376" s="22" t="str">
        <f t="shared" si="266"/>
        <v>저수</v>
      </c>
      <c r="AK376" s="22" t="str">
        <f t="shared" si="267"/>
        <v>저수</v>
      </c>
      <c r="AL376" s="52" t="str">
        <f t="shared" si="268"/>
        <v>6 : 0</v>
      </c>
      <c r="AM376" s="22">
        <f t="shared" si="269"/>
        <v>6</v>
      </c>
      <c r="AN376" s="22">
        <f t="shared" si="270"/>
        <v>0</v>
      </c>
      <c r="AO376" s="22">
        <f t="shared" si="271"/>
        <v>28</v>
      </c>
      <c r="AP376" s="22" t="str">
        <f t="shared" si="272"/>
        <v>X</v>
      </c>
      <c r="AQ376" s="22" t="str">
        <f t="shared" si="273"/>
        <v>O</v>
      </c>
      <c r="AR376" s="22" t="str">
        <f t="shared" si="274"/>
        <v>X</v>
      </c>
      <c r="AS376" s="22" t="str">
        <f t="shared" si="275"/>
        <v>X</v>
      </c>
      <c r="AT376" s="22" t="str">
        <f t="shared" si="276"/>
        <v>X</v>
      </c>
      <c r="AU376" s="22" t="str">
        <f t="shared" si="277"/>
        <v>X</v>
      </c>
      <c r="AV376" s="22" t="str">
        <f t="shared" si="278"/>
        <v>X</v>
      </c>
      <c r="AW376" s="22" t="str">
        <f t="shared" si="279"/>
        <v>X</v>
      </c>
      <c r="AX376" s="22" t="str">
        <f t="shared" si="280"/>
        <v>X</v>
      </c>
      <c r="AY376" s="22" t="str">
        <f t="shared" si="281"/>
        <v>X</v>
      </c>
      <c r="AZ376" s="22" t="str">
        <f t="shared" si="282"/>
        <v>X</v>
      </c>
      <c r="BA376" s="22" t="str">
        <f t="shared" si="283"/>
        <v>X</v>
      </c>
      <c r="BB376" s="22">
        <f t="shared" si="284"/>
        <v>1</v>
      </c>
      <c r="BC376" s="22" t="str">
        <f t="shared" si="255"/>
        <v>1G</v>
      </c>
      <c r="BD376" s="22" t="str">
        <f t="shared" si="256"/>
        <v>1G</v>
      </c>
      <c r="BE376" s="22" t="str">
        <f t="shared" si="257"/>
        <v>1G</v>
      </c>
      <c r="BF376" s="22" t="str">
        <f t="shared" si="258"/>
        <v>2G</v>
      </c>
      <c r="BG376" s="22" t="str">
        <f t="shared" si="259"/>
        <v>2G</v>
      </c>
      <c r="BH376" s="22" t="str">
        <f t="shared" si="260"/>
        <v>2G</v>
      </c>
      <c r="BI376" s="22">
        <f t="shared" si="285"/>
        <v>3</v>
      </c>
      <c r="BJ376" s="22">
        <f t="shared" si="286"/>
        <v>3</v>
      </c>
      <c r="BK376" s="22">
        <f t="shared" si="287"/>
        <v>0</v>
      </c>
      <c r="BL376" s="22" t="str">
        <f t="shared" si="288"/>
        <v>330</v>
      </c>
      <c r="BS376"/>
      <c r="CL376" s="23">
        <v>163</v>
      </c>
      <c r="CM376" s="23">
        <v>160</v>
      </c>
      <c r="CO376"/>
    </row>
    <row r="377" spans="1:93" ht="17" hidden="1">
      <c r="B377" s="15">
        <v>373</v>
      </c>
      <c r="C377" s="23" t="s">
        <v>403</v>
      </c>
      <c r="D377" s="16">
        <v>4</v>
      </c>
      <c r="E377" s="17">
        <v>2791801125</v>
      </c>
      <c r="F377" s="16">
        <v>29</v>
      </c>
      <c r="G377" s="17">
        <v>64179337</v>
      </c>
      <c r="H377" s="17">
        <v>1117</v>
      </c>
      <c r="I377" s="17">
        <v>1666250</v>
      </c>
      <c r="J377" s="17">
        <v>57659</v>
      </c>
      <c r="K377" s="17">
        <v>64559</v>
      </c>
      <c r="L377" s="17">
        <v>987105</v>
      </c>
      <c r="M377" s="17">
        <v>5000</v>
      </c>
      <c r="N377" s="23">
        <v>15</v>
      </c>
      <c r="O377" s="23">
        <v>26</v>
      </c>
      <c r="P377" s="23">
        <v>37</v>
      </c>
      <c r="Q377" s="23">
        <v>42</v>
      </c>
      <c r="R377" s="23">
        <v>43</v>
      </c>
      <c r="S377" s="23">
        <v>45</v>
      </c>
      <c r="T377" s="23">
        <v>9</v>
      </c>
      <c r="U377" s="23">
        <f t="shared" si="261"/>
        <v>208</v>
      </c>
      <c r="W377" s="22" t="str">
        <f t="shared" si="289"/>
        <v>홀수</v>
      </c>
      <c r="X377" s="22" t="str">
        <f t="shared" si="290"/>
        <v>짝수</v>
      </c>
      <c r="Y377" s="22" t="str">
        <f t="shared" si="291"/>
        <v>홀수</v>
      </c>
      <c r="Z377" s="22" t="str">
        <f t="shared" si="292"/>
        <v>짝수</v>
      </c>
      <c r="AA377" s="22" t="str">
        <f t="shared" si="293"/>
        <v>홀수</v>
      </c>
      <c r="AB377" s="22" t="str">
        <f t="shared" si="294"/>
        <v>홀수</v>
      </c>
      <c r="AC377" s="52" t="str">
        <f t="shared" si="295"/>
        <v>4 : 2</v>
      </c>
      <c r="AD377" s="22">
        <f t="shared" si="296"/>
        <v>4</v>
      </c>
      <c r="AE377" s="22">
        <f t="shared" si="297"/>
        <v>2</v>
      </c>
      <c r="AF377" s="22" t="str">
        <f t="shared" si="262"/>
        <v>저수</v>
      </c>
      <c r="AG377" s="22" t="str">
        <f t="shared" si="263"/>
        <v>고수</v>
      </c>
      <c r="AH377" s="22" t="str">
        <f t="shared" si="264"/>
        <v>고수</v>
      </c>
      <c r="AI377" s="22" t="str">
        <f t="shared" si="265"/>
        <v>고수</v>
      </c>
      <c r="AJ377" s="22" t="str">
        <f t="shared" si="266"/>
        <v>고수</v>
      </c>
      <c r="AK377" s="22" t="str">
        <f t="shared" si="267"/>
        <v>고수</v>
      </c>
      <c r="AL377" s="52" t="str">
        <f t="shared" si="268"/>
        <v>1 : 5</v>
      </c>
      <c r="AM377" s="22">
        <f t="shared" si="269"/>
        <v>1</v>
      </c>
      <c r="AN377" s="22">
        <f t="shared" si="270"/>
        <v>5</v>
      </c>
      <c r="AO377" s="22">
        <f t="shared" si="271"/>
        <v>28</v>
      </c>
      <c r="AP377" s="22" t="str">
        <f t="shared" si="272"/>
        <v>X</v>
      </c>
      <c r="AQ377" s="22" t="str">
        <f t="shared" si="273"/>
        <v>X</v>
      </c>
      <c r="AR377" s="22" t="str">
        <f t="shared" si="274"/>
        <v>X</v>
      </c>
      <c r="AS377" s="22" t="str">
        <f t="shared" si="275"/>
        <v>X</v>
      </c>
      <c r="AT377" s="22" t="str">
        <f t="shared" si="276"/>
        <v>X</v>
      </c>
      <c r="AU377" s="22" t="str">
        <f t="shared" si="277"/>
        <v>X</v>
      </c>
      <c r="AV377" s="22" t="str">
        <f t="shared" si="278"/>
        <v>X</v>
      </c>
      <c r="AW377" s="22" t="str">
        <f t="shared" si="279"/>
        <v>X</v>
      </c>
      <c r="AX377" s="22" t="str">
        <f t="shared" si="280"/>
        <v>O</v>
      </c>
      <c r="AY377" s="22" t="str">
        <f t="shared" si="281"/>
        <v>X</v>
      </c>
      <c r="AZ377" s="22" t="str">
        <f t="shared" si="282"/>
        <v>O</v>
      </c>
      <c r="BA377" s="22" t="str">
        <f t="shared" si="283"/>
        <v>X</v>
      </c>
      <c r="BB377" s="22">
        <f t="shared" si="284"/>
        <v>2</v>
      </c>
      <c r="BC377" s="22" t="str">
        <f t="shared" si="255"/>
        <v>1G</v>
      </c>
      <c r="BD377" s="22" t="str">
        <f t="shared" si="256"/>
        <v>2G</v>
      </c>
      <c r="BE377" s="22" t="str">
        <f t="shared" si="257"/>
        <v>3G</v>
      </c>
      <c r="BF377" s="22" t="str">
        <f t="shared" si="258"/>
        <v>3G</v>
      </c>
      <c r="BG377" s="22" t="str">
        <f t="shared" si="259"/>
        <v>3G</v>
      </c>
      <c r="BH377" s="22" t="str">
        <f t="shared" si="260"/>
        <v>3G</v>
      </c>
      <c r="BI377" s="22">
        <f t="shared" si="285"/>
        <v>1</v>
      </c>
      <c r="BJ377" s="22">
        <f t="shared" si="286"/>
        <v>1</v>
      </c>
      <c r="BK377" s="22">
        <f t="shared" si="287"/>
        <v>4</v>
      </c>
      <c r="BL377" s="22" t="str">
        <f t="shared" si="288"/>
        <v>114</v>
      </c>
      <c r="BS377"/>
      <c r="CL377" s="23">
        <v>164</v>
      </c>
      <c r="CM377" s="23">
        <v>160</v>
      </c>
      <c r="CO377"/>
    </row>
    <row r="378" spans="1:93" ht="17" hidden="1">
      <c r="B378" s="15">
        <v>374</v>
      </c>
      <c r="C378" s="23" t="s">
        <v>404</v>
      </c>
      <c r="D378" s="16">
        <v>2</v>
      </c>
      <c r="E378" s="17">
        <v>5528717850</v>
      </c>
      <c r="F378" s="16">
        <v>27</v>
      </c>
      <c r="G378" s="17">
        <v>68255776</v>
      </c>
      <c r="H378" s="17">
        <v>1398</v>
      </c>
      <c r="I378" s="17">
        <v>1318245</v>
      </c>
      <c r="J378" s="17">
        <v>69786</v>
      </c>
      <c r="K378" s="17">
        <v>52816</v>
      </c>
      <c r="L378" s="17">
        <v>1122320</v>
      </c>
      <c r="M378" s="17">
        <v>5000</v>
      </c>
      <c r="N378" s="23">
        <v>11</v>
      </c>
      <c r="O378" s="23">
        <v>13</v>
      </c>
      <c r="P378" s="23">
        <v>15</v>
      </c>
      <c r="Q378" s="23">
        <v>17</v>
      </c>
      <c r="R378" s="23">
        <v>25</v>
      </c>
      <c r="S378" s="23">
        <v>34</v>
      </c>
      <c r="T378" s="23">
        <v>26</v>
      </c>
      <c r="U378" s="23">
        <f t="shared" si="261"/>
        <v>115</v>
      </c>
      <c r="W378" s="22" t="str">
        <f t="shared" si="289"/>
        <v>홀수</v>
      </c>
      <c r="X378" s="22" t="str">
        <f t="shared" si="290"/>
        <v>홀수</v>
      </c>
      <c r="Y378" s="22" t="str">
        <f t="shared" si="291"/>
        <v>홀수</v>
      </c>
      <c r="Z378" s="22" t="str">
        <f t="shared" si="292"/>
        <v>홀수</v>
      </c>
      <c r="AA378" s="22" t="str">
        <f t="shared" si="293"/>
        <v>홀수</v>
      </c>
      <c r="AB378" s="22" t="str">
        <f t="shared" si="294"/>
        <v>짝수</v>
      </c>
      <c r="AC378" s="52" t="str">
        <f t="shared" si="295"/>
        <v>5 : 1</v>
      </c>
      <c r="AD378" s="22">
        <f t="shared" si="296"/>
        <v>5</v>
      </c>
      <c r="AE378" s="22">
        <f t="shared" si="297"/>
        <v>1</v>
      </c>
      <c r="AF378" s="22" t="str">
        <f t="shared" si="262"/>
        <v>저수</v>
      </c>
      <c r="AG378" s="22" t="str">
        <f t="shared" si="263"/>
        <v>저수</v>
      </c>
      <c r="AH378" s="22" t="str">
        <f t="shared" si="264"/>
        <v>저수</v>
      </c>
      <c r="AI378" s="22" t="str">
        <f t="shared" si="265"/>
        <v>저수</v>
      </c>
      <c r="AJ378" s="22" t="str">
        <f t="shared" si="266"/>
        <v>고수</v>
      </c>
      <c r="AK378" s="22" t="str">
        <f t="shared" si="267"/>
        <v>고수</v>
      </c>
      <c r="AL378" s="52" t="str">
        <f t="shared" si="268"/>
        <v>4 : 2</v>
      </c>
      <c r="AM378" s="22">
        <f t="shared" si="269"/>
        <v>4</v>
      </c>
      <c r="AN378" s="22">
        <f t="shared" si="270"/>
        <v>2</v>
      </c>
      <c r="AO378" s="22">
        <f t="shared" si="271"/>
        <v>25</v>
      </c>
      <c r="AP378" s="22" t="str">
        <f t="shared" si="272"/>
        <v>O</v>
      </c>
      <c r="AQ378" s="22" t="str">
        <f t="shared" si="273"/>
        <v>O</v>
      </c>
      <c r="AR378" s="22" t="str">
        <f t="shared" si="274"/>
        <v>X</v>
      </c>
      <c r="AS378" s="22" t="str">
        <f t="shared" si="275"/>
        <v>O</v>
      </c>
      <c r="AT378" s="22" t="str">
        <f t="shared" si="276"/>
        <v>X</v>
      </c>
      <c r="AU378" s="22" t="str">
        <f t="shared" si="277"/>
        <v>X</v>
      </c>
      <c r="AV378" s="22" t="str">
        <f t="shared" si="278"/>
        <v>X</v>
      </c>
      <c r="AW378" s="22" t="str">
        <f t="shared" si="279"/>
        <v>X</v>
      </c>
      <c r="AX378" s="22" t="str">
        <f t="shared" si="280"/>
        <v>X</v>
      </c>
      <c r="AY378" s="22" t="str">
        <f t="shared" si="281"/>
        <v>X</v>
      </c>
      <c r="AZ378" s="22" t="str">
        <f t="shared" si="282"/>
        <v>X</v>
      </c>
      <c r="BA378" s="22" t="str">
        <f t="shared" si="283"/>
        <v>X</v>
      </c>
      <c r="BB378" s="22">
        <f t="shared" si="284"/>
        <v>3</v>
      </c>
      <c r="BC378" s="22" t="str">
        <f t="shared" si="255"/>
        <v>1G</v>
      </c>
      <c r="BD378" s="22" t="str">
        <f t="shared" si="256"/>
        <v>1G</v>
      </c>
      <c r="BE378" s="22" t="str">
        <f t="shared" si="257"/>
        <v>1G</v>
      </c>
      <c r="BF378" s="22" t="str">
        <f t="shared" si="258"/>
        <v>2G</v>
      </c>
      <c r="BG378" s="22" t="str">
        <f t="shared" si="259"/>
        <v>2G</v>
      </c>
      <c r="BH378" s="22" t="str">
        <f t="shared" si="260"/>
        <v>3G</v>
      </c>
      <c r="BI378" s="22">
        <f t="shared" si="285"/>
        <v>3</v>
      </c>
      <c r="BJ378" s="22">
        <f t="shared" si="286"/>
        <v>2</v>
      </c>
      <c r="BK378" s="22">
        <f t="shared" si="287"/>
        <v>1</v>
      </c>
      <c r="BL378" s="22" t="str">
        <f t="shared" si="288"/>
        <v>321</v>
      </c>
      <c r="BS378"/>
      <c r="CL378" s="23">
        <v>164</v>
      </c>
      <c r="CM378" s="23">
        <v>160</v>
      </c>
      <c r="CO378"/>
    </row>
    <row r="379" spans="1:93" ht="17" hidden="1">
      <c r="B379" s="15">
        <v>375</v>
      </c>
      <c r="C379" s="23" t="s">
        <v>405</v>
      </c>
      <c r="D379" s="16">
        <v>7</v>
      </c>
      <c r="E379" s="17">
        <v>1581284058</v>
      </c>
      <c r="F379" s="16">
        <v>42</v>
      </c>
      <c r="G379" s="17">
        <v>43924558</v>
      </c>
      <c r="H379" s="17">
        <v>1279</v>
      </c>
      <c r="I379" s="17">
        <v>1442402</v>
      </c>
      <c r="J379" s="17">
        <v>64951</v>
      </c>
      <c r="K379" s="17">
        <v>56807</v>
      </c>
      <c r="L379" s="17">
        <v>1096831</v>
      </c>
      <c r="M379" s="17">
        <v>5000</v>
      </c>
      <c r="N379" s="23">
        <v>4</v>
      </c>
      <c r="O379" s="23">
        <v>8</v>
      </c>
      <c r="P379" s="23">
        <v>19</v>
      </c>
      <c r="Q379" s="23">
        <v>25</v>
      </c>
      <c r="R379" s="23">
        <v>27</v>
      </c>
      <c r="S379" s="23">
        <v>45</v>
      </c>
      <c r="T379" s="23">
        <v>7</v>
      </c>
      <c r="U379" s="23">
        <f t="shared" si="261"/>
        <v>128</v>
      </c>
      <c r="W379" s="22" t="str">
        <f t="shared" si="289"/>
        <v>짝수</v>
      </c>
      <c r="X379" s="22" t="str">
        <f t="shared" si="290"/>
        <v>짝수</v>
      </c>
      <c r="Y379" s="22" t="str">
        <f t="shared" si="291"/>
        <v>홀수</v>
      </c>
      <c r="Z379" s="22" t="str">
        <f t="shared" si="292"/>
        <v>홀수</v>
      </c>
      <c r="AA379" s="22" t="str">
        <f t="shared" si="293"/>
        <v>홀수</v>
      </c>
      <c r="AB379" s="22" t="str">
        <f t="shared" si="294"/>
        <v>홀수</v>
      </c>
      <c r="AC379" s="52" t="str">
        <f t="shared" si="295"/>
        <v>4 : 2</v>
      </c>
      <c r="AD379" s="22">
        <f t="shared" si="296"/>
        <v>4</v>
      </c>
      <c r="AE379" s="22">
        <f t="shared" si="297"/>
        <v>2</v>
      </c>
      <c r="AF379" s="22" t="str">
        <f t="shared" si="262"/>
        <v>저수</v>
      </c>
      <c r="AG379" s="22" t="str">
        <f t="shared" si="263"/>
        <v>저수</v>
      </c>
      <c r="AH379" s="22" t="str">
        <f t="shared" si="264"/>
        <v>저수</v>
      </c>
      <c r="AI379" s="22" t="str">
        <f t="shared" si="265"/>
        <v>고수</v>
      </c>
      <c r="AJ379" s="22" t="str">
        <f t="shared" si="266"/>
        <v>고수</v>
      </c>
      <c r="AK379" s="22" t="str">
        <f t="shared" si="267"/>
        <v>고수</v>
      </c>
      <c r="AL379" s="52" t="str">
        <f t="shared" si="268"/>
        <v>3 : 3</v>
      </c>
      <c r="AM379" s="22">
        <f t="shared" si="269"/>
        <v>3</v>
      </c>
      <c r="AN379" s="22">
        <f t="shared" si="270"/>
        <v>3</v>
      </c>
      <c r="AO379" s="22">
        <f t="shared" si="271"/>
        <v>38</v>
      </c>
      <c r="AP379" s="22" t="str">
        <f t="shared" si="272"/>
        <v>X</v>
      </c>
      <c r="AQ379" s="22" t="str">
        <f t="shared" si="273"/>
        <v>X</v>
      </c>
      <c r="AR379" s="22" t="str">
        <f t="shared" si="274"/>
        <v>O</v>
      </c>
      <c r="AS379" s="22" t="str">
        <f t="shared" si="275"/>
        <v>X</v>
      </c>
      <c r="AT379" s="22" t="str">
        <f t="shared" si="276"/>
        <v>X</v>
      </c>
      <c r="AU379" s="22" t="str">
        <f t="shared" si="277"/>
        <v>X</v>
      </c>
      <c r="AV379" s="22" t="str">
        <f t="shared" si="278"/>
        <v>X</v>
      </c>
      <c r="AW379" s="22" t="str">
        <f t="shared" si="279"/>
        <v>X</v>
      </c>
      <c r="AX379" s="22" t="str">
        <f t="shared" si="280"/>
        <v>X</v>
      </c>
      <c r="AY379" s="22" t="str">
        <f t="shared" si="281"/>
        <v>X</v>
      </c>
      <c r="AZ379" s="22" t="str">
        <f t="shared" si="282"/>
        <v>X</v>
      </c>
      <c r="BA379" s="22" t="str">
        <f t="shared" si="283"/>
        <v>X</v>
      </c>
      <c r="BB379" s="22">
        <f t="shared" si="284"/>
        <v>1</v>
      </c>
      <c r="BC379" s="22" t="str">
        <f t="shared" si="255"/>
        <v>1G</v>
      </c>
      <c r="BD379" s="22" t="str">
        <f t="shared" si="256"/>
        <v>1G</v>
      </c>
      <c r="BE379" s="22" t="str">
        <f t="shared" si="257"/>
        <v>2G</v>
      </c>
      <c r="BF379" s="22" t="str">
        <f t="shared" si="258"/>
        <v>2G</v>
      </c>
      <c r="BG379" s="22" t="str">
        <f t="shared" si="259"/>
        <v>2G</v>
      </c>
      <c r="BH379" s="22" t="str">
        <f t="shared" si="260"/>
        <v>3G</v>
      </c>
      <c r="BI379" s="22">
        <f t="shared" si="285"/>
        <v>2</v>
      </c>
      <c r="BJ379" s="22">
        <f t="shared" si="286"/>
        <v>3</v>
      </c>
      <c r="BK379" s="22">
        <f t="shared" si="287"/>
        <v>1</v>
      </c>
      <c r="BL379" s="22" t="str">
        <f t="shared" si="288"/>
        <v>231</v>
      </c>
      <c r="BS379"/>
      <c r="CL379" s="23">
        <v>164</v>
      </c>
      <c r="CM379" s="23">
        <v>160</v>
      </c>
      <c r="CO379"/>
    </row>
    <row r="380" spans="1:93" ht="17" hidden="1">
      <c r="B380" s="15">
        <v>376</v>
      </c>
      <c r="C380" s="23" t="s">
        <v>406</v>
      </c>
      <c r="D380" s="16">
        <v>6</v>
      </c>
      <c r="E380" s="17">
        <v>1956915800</v>
      </c>
      <c r="F380" s="16">
        <v>51</v>
      </c>
      <c r="G380" s="17">
        <v>38370899</v>
      </c>
      <c r="H380" s="17">
        <v>1411</v>
      </c>
      <c r="I380" s="17">
        <v>1386900</v>
      </c>
      <c r="J380" s="17">
        <v>69450</v>
      </c>
      <c r="K380" s="17">
        <v>56355</v>
      </c>
      <c r="L380" s="17">
        <v>1151878</v>
      </c>
      <c r="M380" s="17">
        <v>5000</v>
      </c>
      <c r="N380" s="23">
        <v>1</v>
      </c>
      <c r="O380" s="23">
        <v>11</v>
      </c>
      <c r="P380" s="23">
        <v>13</v>
      </c>
      <c r="Q380" s="23">
        <v>24</v>
      </c>
      <c r="R380" s="23">
        <v>28</v>
      </c>
      <c r="S380" s="23">
        <v>40</v>
      </c>
      <c r="T380" s="23">
        <v>7</v>
      </c>
      <c r="U380" s="23">
        <f t="shared" si="261"/>
        <v>117</v>
      </c>
      <c r="W380" s="22" t="str">
        <f t="shared" si="289"/>
        <v>홀수</v>
      </c>
      <c r="X380" s="22" t="str">
        <f t="shared" si="290"/>
        <v>홀수</v>
      </c>
      <c r="Y380" s="22" t="str">
        <f t="shared" si="291"/>
        <v>홀수</v>
      </c>
      <c r="Z380" s="22" t="str">
        <f t="shared" si="292"/>
        <v>짝수</v>
      </c>
      <c r="AA380" s="22" t="str">
        <f t="shared" si="293"/>
        <v>짝수</v>
      </c>
      <c r="AB380" s="22" t="str">
        <f t="shared" si="294"/>
        <v>짝수</v>
      </c>
      <c r="AC380" s="52" t="str">
        <f t="shared" si="295"/>
        <v>3 : 3</v>
      </c>
      <c r="AD380" s="22">
        <f t="shared" si="296"/>
        <v>3</v>
      </c>
      <c r="AE380" s="22">
        <f t="shared" si="297"/>
        <v>3</v>
      </c>
      <c r="AF380" s="22" t="str">
        <f t="shared" si="262"/>
        <v>저수</v>
      </c>
      <c r="AG380" s="22" t="str">
        <f t="shared" si="263"/>
        <v>저수</v>
      </c>
      <c r="AH380" s="22" t="str">
        <f t="shared" si="264"/>
        <v>저수</v>
      </c>
      <c r="AI380" s="22" t="str">
        <f t="shared" si="265"/>
        <v>고수</v>
      </c>
      <c r="AJ380" s="22" t="str">
        <f t="shared" si="266"/>
        <v>고수</v>
      </c>
      <c r="AK380" s="22" t="str">
        <f t="shared" si="267"/>
        <v>고수</v>
      </c>
      <c r="AL380" s="52" t="str">
        <f t="shared" si="268"/>
        <v>3 : 3</v>
      </c>
      <c r="AM380" s="22">
        <f t="shared" si="269"/>
        <v>3</v>
      </c>
      <c r="AN380" s="22">
        <f t="shared" si="270"/>
        <v>3</v>
      </c>
      <c r="AO380" s="22">
        <f t="shared" si="271"/>
        <v>17</v>
      </c>
      <c r="AP380" s="22" t="str">
        <f t="shared" si="272"/>
        <v>X</v>
      </c>
      <c r="AQ380" s="22" t="str">
        <f t="shared" si="273"/>
        <v>O</v>
      </c>
      <c r="AR380" s="22" t="str">
        <f t="shared" si="274"/>
        <v>O</v>
      </c>
      <c r="AS380" s="22" t="str">
        <f t="shared" si="275"/>
        <v>X</v>
      </c>
      <c r="AT380" s="22" t="str">
        <f t="shared" si="276"/>
        <v>X</v>
      </c>
      <c r="AU380" s="22" t="str">
        <f t="shared" si="277"/>
        <v>X</v>
      </c>
      <c r="AV380" s="22" t="str">
        <f t="shared" si="278"/>
        <v>X</v>
      </c>
      <c r="AW380" s="22" t="str">
        <f t="shared" si="279"/>
        <v>X</v>
      </c>
      <c r="AX380" s="22" t="str">
        <f t="shared" si="280"/>
        <v>X</v>
      </c>
      <c r="AY380" s="22" t="str">
        <f t="shared" si="281"/>
        <v>X</v>
      </c>
      <c r="AZ380" s="22" t="str">
        <f t="shared" si="282"/>
        <v>X</v>
      </c>
      <c r="BA380" s="22" t="str">
        <f t="shared" si="283"/>
        <v>X</v>
      </c>
      <c r="BB380" s="22">
        <f t="shared" si="284"/>
        <v>2</v>
      </c>
      <c r="BC380" s="22" t="str">
        <f t="shared" si="255"/>
        <v>1G</v>
      </c>
      <c r="BD380" s="22" t="str">
        <f t="shared" si="256"/>
        <v>1G</v>
      </c>
      <c r="BE380" s="22" t="str">
        <f t="shared" si="257"/>
        <v>1G</v>
      </c>
      <c r="BF380" s="22" t="str">
        <f t="shared" si="258"/>
        <v>2G</v>
      </c>
      <c r="BG380" s="22" t="str">
        <f t="shared" si="259"/>
        <v>2G</v>
      </c>
      <c r="BH380" s="22" t="str">
        <f t="shared" si="260"/>
        <v>3G</v>
      </c>
      <c r="BI380" s="22">
        <f t="shared" si="285"/>
        <v>3</v>
      </c>
      <c r="BJ380" s="22">
        <f t="shared" si="286"/>
        <v>2</v>
      </c>
      <c r="BK380" s="22">
        <f t="shared" si="287"/>
        <v>1</v>
      </c>
      <c r="BL380" s="22" t="str">
        <f t="shared" si="288"/>
        <v>321</v>
      </c>
      <c r="BS380"/>
      <c r="CL380" s="23">
        <v>164</v>
      </c>
      <c r="CM380" s="23">
        <v>160</v>
      </c>
      <c r="CO380"/>
    </row>
    <row r="381" spans="1:93" ht="17" hidden="1">
      <c r="B381" s="15">
        <v>377</v>
      </c>
      <c r="C381" s="23" t="s">
        <v>407</v>
      </c>
      <c r="D381" s="16">
        <v>3</v>
      </c>
      <c r="E381" s="17">
        <v>3912085400</v>
      </c>
      <c r="F381" s="16">
        <v>22</v>
      </c>
      <c r="G381" s="17">
        <v>88911032</v>
      </c>
      <c r="H381" s="17">
        <v>1198</v>
      </c>
      <c r="I381" s="17">
        <v>1632757</v>
      </c>
      <c r="J381" s="17">
        <v>58733</v>
      </c>
      <c r="K381" s="17">
        <v>66608</v>
      </c>
      <c r="L381" s="17">
        <v>1009758</v>
      </c>
      <c r="M381" s="17">
        <v>5000</v>
      </c>
      <c r="N381" s="23">
        <v>6</v>
      </c>
      <c r="O381" s="23">
        <v>22</v>
      </c>
      <c r="P381" s="23">
        <v>29</v>
      </c>
      <c r="Q381" s="23">
        <v>37</v>
      </c>
      <c r="R381" s="23">
        <v>43</v>
      </c>
      <c r="S381" s="23">
        <v>45</v>
      </c>
      <c r="T381" s="23">
        <v>23</v>
      </c>
      <c r="U381" s="23">
        <f t="shared" si="261"/>
        <v>182</v>
      </c>
      <c r="W381" s="22" t="str">
        <f t="shared" si="289"/>
        <v>짝수</v>
      </c>
      <c r="X381" s="22" t="str">
        <f t="shared" si="290"/>
        <v>짝수</v>
      </c>
      <c r="Y381" s="22" t="str">
        <f t="shared" si="291"/>
        <v>홀수</v>
      </c>
      <c r="Z381" s="22" t="str">
        <f t="shared" si="292"/>
        <v>홀수</v>
      </c>
      <c r="AA381" s="22" t="str">
        <f t="shared" si="293"/>
        <v>홀수</v>
      </c>
      <c r="AB381" s="22" t="str">
        <f t="shared" si="294"/>
        <v>홀수</v>
      </c>
      <c r="AC381" s="52" t="str">
        <f t="shared" si="295"/>
        <v>4 : 2</v>
      </c>
      <c r="AD381" s="22">
        <f t="shared" si="296"/>
        <v>4</v>
      </c>
      <c r="AE381" s="22">
        <f t="shared" si="297"/>
        <v>2</v>
      </c>
      <c r="AF381" s="22" t="str">
        <f t="shared" si="262"/>
        <v>저수</v>
      </c>
      <c r="AG381" s="22" t="str">
        <f t="shared" si="263"/>
        <v>저수</v>
      </c>
      <c r="AH381" s="22" t="str">
        <f t="shared" si="264"/>
        <v>고수</v>
      </c>
      <c r="AI381" s="22" t="str">
        <f t="shared" si="265"/>
        <v>고수</v>
      </c>
      <c r="AJ381" s="22" t="str">
        <f t="shared" si="266"/>
        <v>고수</v>
      </c>
      <c r="AK381" s="22" t="str">
        <f t="shared" si="267"/>
        <v>고수</v>
      </c>
      <c r="AL381" s="52" t="str">
        <f t="shared" si="268"/>
        <v>2 : 4</v>
      </c>
      <c r="AM381" s="22">
        <f t="shared" si="269"/>
        <v>2</v>
      </c>
      <c r="AN381" s="22">
        <f t="shared" si="270"/>
        <v>4</v>
      </c>
      <c r="AO381" s="22">
        <f t="shared" si="271"/>
        <v>32</v>
      </c>
      <c r="AP381" s="22" t="str">
        <f t="shared" si="272"/>
        <v>X</v>
      </c>
      <c r="AQ381" s="22" t="str">
        <f t="shared" si="273"/>
        <v>X</v>
      </c>
      <c r="AR381" s="22" t="str">
        <f t="shared" si="274"/>
        <v>X</v>
      </c>
      <c r="AS381" s="22" t="str">
        <f t="shared" si="275"/>
        <v>X</v>
      </c>
      <c r="AT381" s="22" t="str">
        <f t="shared" si="276"/>
        <v>X</v>
      </c>
      <c r="AU381" s="22" t="str">
        <f t="shared" si="277"/>
        <v>X</v>
      </c>
      <c r="AV381" s="22" t="str">
        <f t="shared" si="278"/>
        <v>X</v>
      </c>
      <c r="AW381" s="22" t="str">
        <f t="shared" si="279"/>
        <v>X</v>
      </c>
      <c r="AX381" s="22" t="str">
        <f t="shared" si="280"/>
        <v>O</v>
      </c>
      <c r="AY381" s="22" t="str">
        <f t="shared" si="281"/>
        <v>O</v>
      </c>
      <c r="AZ381" s="22" t="str">
        <f t="shared" si="282"/>
        <v>O</v>
      </c>
      <c r="BA381" s="22" t="str">
        <f t="shared" si="283"/>
        <v>X</v>
      </c>
      <c r="BB381" s="22">
        <f t="shared" si="284"/>
        <v>3</v>
      </c>
      <c r="BC381" s="22" t="str">
        <f t="shared" si="255"/>
        <v>1G</v>
      </c>
      <c r="BD381" s="22" t="str">
        <f t="shared" si="256"/>
        <v>2G</v>
      </c>
      <c r="BE381" s="22" t="str">
        <f t="shared" si="257"/>
        <v>2G</v>
      </c>
      <c r="BF381" s="22" t="str">
        <f t="shared" si="258"/>
        <v>3G</v>
      </c>
      <c r="BG381" s="22" t="str">
        <f t="shared" si="259"/>
        <v>3G</v>
      </c>
      <c r="BH381" s="22" t="str">
        <f t="shared" si="260"/>
        <v>3G</v>
      </c>
      <c r="BI381" s="22">
        <f t="shared" si="285"/>
        <v>1</v>
      </c>
      <c r="BJ381" s="22">
        <f t="shared" si="286"/>
        <v>2</v>
      </c>
      <c r="BK381" s="22">
        <f t="shared" si="287"/>
        <v>3</v>
      </c>
      <c r="BL381" s="22" t="str">
        <f t="shared" si="288"/>
        <v>123</v>
      </c>
      <c r="BS381"/>
      <c r="CL381" s="23">
        <v>164</v>
      </c>
      <c r="CM381" s="23">
        <v>160</v>
      </c>
      <c r="CO381"/>
    </row>
    <row r="382" spans="1:93" ht="17" hidden="1">
      <c r="B382" s="15">
        <v>378</v>
      </c>
      <c r="C382" s="23" t="s">
        <v>408</v>
      </c>
      <c r="D382" s="16">
        <v>5</v>
      </c>
      <c r="E382" s="17">
        <v>2317698240</v>
      </c>
      <c r="F382" s="16">
        <v>30</v>
      </c>
      <c r="G382" s="17">
        <v>64380507</v>
      </c>
      <c r="H382" s="17">
        <v>1124</v>
      </c>
      <c r="I382" s="17">
        <v>1718341</v>
      </c>
      <c r="J382" s="17">
        <v>59742</v>
      </c>
      <c r="K382" s="17">
        <v>64659</v>
      </c>
      <c r="L382" s="17">
        <v>1023866</v>
      </c>
      <c r="M382" s="17">
        <v>5000</v>
      </c>
      <c r="N382" s="23">
        <v>5</v>
      </c>
      <c r="O382" s="23">
        <v>22</v>
      </c>
      <c r="P382" s="23">
        <v>29</v>
      </c>
      <c r="Q382" s="23">
        <v>31</v>
      </c>
      <c r="R382" s="23">
        <v>34</v>
      </c>
      <c r="S382" s="23">
        <v>39</v>
      </c>
      <c r="T382" s="23">
        <v>43</v>
      </c>
      <c r="U382" s="23">
        <f t="shared" si="261"/>
        <v>160</v>
      </c>
      <c r="W382" s="22" t="str">
        <f t="shared" si="289"/>
        <v>홀수</v>
      </c>
      <c r="X382" s="22" t="str">
        <f t="shared" si="290"/>
        <v>짝수</v>
      </c>
      <c r="Y382" s="22" t="str">
        <f t="shared" si="291"/>
        <v>홀수</v>
      </c>
      <c r="Z382" s="22" t="str">
        <f t="shared" si="292"/>
        <v>홀수</v>
      </c>
      <c r="AA382" s="22" t="str">
        <f t="shared" si="293"/>
        <v>짝수</v>
      </c>
      <c r="AB382" s="22" t="str">
        <f t="shared" si="294"/>
        <v>홀수</v>
      </c>
      <c r="AC382" s="52" t="str">
        <f t="shared" si="295"/>
        <v>4 : 2</v>
      </c>
      <c r="AD382" s="22">
        <f t="shared" si="296"/>
        <v>4</v>
      </c>
      <c r="AE382" s="22">
        <f t="shared" si="297"/>
        <v>2</v>
      </c>
      <c r="AF382" s="22" t="str">
        <f t="shared" si="262"/>
        <v>저수</v>
      </c>
      <c r="AG382" s="22" t="str">
        <f t="shared" si="263"/>
        <v>저수</v>
      </c>
      <c r="AH382" s="22" t="str">
        <f t="shared" si="264"/>
        <v>고수</v>
      </c>
      <c r="AI382" s="22" t="str">
        <f t="shared" si="265"/>
        <v>고수</v>
      </c>
      <c r="AJ382" s="22" t="str">
        <f t="shared" si="266"/>
        <v>고수</v>
      </c>
      <c r="AK382" s="22" t="str">
        <f t="shared" si="267"/>
        <v>고수</v>
      </c>
      <c r="AL382" s="52" t="str">
        <f t="shared" si="268"/>
        <v>2 : 4</v>
      </c>
      <c r="AM382" s="22">
        <f t="shared" si="269"/>
        <v>2</v>
      </c>
      <c r="AN382" s="22">
        <f t="shared" si="270"/>
        <v>4</v>
      </c>
      <c r="AO382" s="22">
        <f t="shared" si="271"/>
        <v>30</v>
      </c>
      <c r="AP382" s="22" t="str">
        <f t="shared" si="272"/>
        <v>O</v>
      </c>
      <c r="AQ382" s="22" t="str">
        <f t="shared" si="273"/>
        <v>X</v>
      </c>
      <c r="AR382" s="22" t="str">
        <f t="shared" si="274"/>
        <v>X</v>
      </c>
      <c r="AS382" s="22" t="str">
        <f t="shared" si="275"/>
        <v>X</v>
      </c>
      <c r="AT382" s="22" t="str">
        <f t="shared" si="276"/>
        <v>X</v>
      </c>
      <c r="AU382" s="22" t="str">
        <f t="shared" si="277"/>
        <v>X</v>
      </c>
      <c r="AV382" s="22" t="str">
        <f t="shared" si="278"/>
        <v>X</v>
      </c>
      <c r="AW382" s="22" t="str">
        <f t="shared" si="279"/>
        <v>X</v>
      </c>
      <c r="AX382" s="22" t="str">
        <f t="shared" si="280"/>
        <v>O</v>
      </c>
      <c r="AY382" s="22" t="str">
        <f t="shared" si="281"/>
        <v>O</v>
      </c>
      <c r="AZ382" s="22" t="str">
        <f t="shared" si="282"/>
        <v>X</v>
      </c>
      <c r="BA382" s="22" t="str">
        <f t="shared" si="283"/>
        <v>X</v>
      </c>
      <c r="BB382" s="22">
        <f t="shared" si="284"/>
        <v>3</v>
      </c>
      <c r="BC382" s="22" t="str">
        <f t="shared" si="255"/>
        <v>1G</v>
      </c>
      <c r="BD382" s="22" t="str">
        <f t="shared" si="256"/>
        <v>2G</v>
      </c>
      <c r="BE382" s="22" t="str">
        <f t="shared" si="257"/>
        <v>2G</v>
      </c>
      <c r="BF382" s="22" t="str">
        <f t="shared" si="258"/>
        <v>3G</v>
      </c>
      <c r="BG382" s="22" t="str">
        <f t="shared" si="259"/>
        <v>3G</v>
      </c>
      <c r="BH382" s="22" t="str">
        <f t="shared" si="260"/>
        <v>3G</v>
      </c>
      <c r="BI382" s="22">
        <f t="shared" si="285"/>
        <v>1</v>
      </c>
      <c r="BJ382" s="22">
        <f t="shared" si="286"/>
        <v>2</v>
      </c>
      <c r="BK382" s="22">
        <f t="shared" si="287"/>
        <v>3</v>
      </c>
      <c r="BL382" s="22" t="str">
        <f t="shared" si="288"/>
        <v>123</v>
      </c>
      <c r="BS382"/>
      <c r="CL382" s="23">
        <v>164</v>
      </c>
      <c r="CM382" s="23">
        <v>160</v>
      </c>
      <c r="CO382"/>
    </row>
    <row r="383" spans="1:93" ht="17" hidden="1">
      <c r="B383" s="15">
        <v>379</v>
      </c>
      <c r="C383" s="23" t="s">
        <v>409</v>
      </c>
      <c r="D383" s="16">
        <v>7</v>
      </c>
      <c r="E383" s="17">
        <v>1598999786</v>
      </c>
      <c r="F383" s="16">
        <v>71</v>
      </c>
      <c r="G383" s="17">
        <v>26274645</v>
      </c>
      <c r="H383" s="17">
        <v>1342</v>
      </c>
      <c r="I383" s="17">
        <v>1390090</v>
      </c>
      <c r="J383" s="17">
        <v>62084</v>
      </c>
      <c r="K383" s="17">
        <v>60096</v>
      </c>
      <c r="L383" s="17">
        <v>1022769</v>
      </c>
      <c r="M383" s="17">
        <v>5000</v>
      </c>
      <c r="N383" s="23">
        <v>6</v>
      </c>
      <c r="O383" s="23">
        <v>10</v>
      </c>
      <c r="P383" s="23">
        <v>22</v>
      </c>
      <c r="Q383" s="23">
        <v>31</v>
      </c>
      <c r="R383" s="23">
        <v>35</v>
      </c>
      <c r="S383" s="23">
        <v>40</v>
      </c>
      <c r="T383" s="23">
        <v>19</v>
      </c>
      <c r="U383" s="23">
        <f t="shared" si="261"/>
        <v>144</v>
      </c>
      <c r="W383" s="22" t="str">
        <f t="shared" si="289"/>
        <v>짝수</v>
      </c>
      <c r="X383" s="22" t="str">
        <f t="shared" si="290"/>
        <v>짝수</v>
      </c>
      <c r="Y383" s="22" t="str">
        <f t="shared" si="291"/>
        <v>짝수</v>
      </c>
      <c r="Z383" s="22" t="str">
        <f t="shared" si="292"/>
        <v>홀수</v>
      </c>
      <c r="AA383" s="22" t="str">
        <f t="shared" si="293"/>
        <v>홀수</v>
      </c>
      <c r="AB383" s="22" t="str">
        <f t="shared" si="294"/>
        <v>짝수</v>
      </c>
      <c r="AC383" s="52" t="str">
        <f t="shared" si="295"/>
        <v>2 : 4</v>
      </c>
      <c r="AD383" s="22">
        <f t="shared" si="296"/>
        <v>2</v>
      </c>
      <c r="AE383" s="22">
        <f t="shared" si="297"/>
        <v>4</v>
      </c>
      <c r="AF383" s="22" t="str">
        <f t="shared" si="262"/>
        <v>저수</v>
      </c>
      <c r="AG383" s="22" t="str">
        <f t="shared" si="263"/>
        <v>저수</v>
      </c>
      <c r="AH383" s="22" t="str">
        <f t="shared" si="264"/>
        <v>저수</v>
      </c>
      <c r="AI383" s="22" t="str">
        <f t="shared" si="265"/>
        <v>고수</v>
      </c>
      <c r="AJ383" s="22" t="str">
        <f t="shared" si="266"/>
        <v>고수</v>
      </c>
      <c r="AK383" s="22" t="str">
        <f t="shared" si="267"/>
        <v>고수</v>
      </c>
      <c r="AL383" s="52" t="str">
        <f t="shared" si="268"/>
        <v>3 : 3</v>
      </c>
      <c r="AM383" s="22">
        <f t="shared" si="269"/>
        <v>3</v>
      </c>
      <c r="AN383" s="22">
        <f t="shared" si="270"/>
        <v>3</v>
      </c>
      <c r="AO383" s="22">
        <f t="shared" si="271"/>
        <v>14</v>
      </c>
      <c r="AP383" s="22" t="str">
        <f t="shared" si="272"/>
        <v>X</v>
      </c>
      <c r="AQ383" s="22" t="str">
        <f t="shared" si="273"/>
        <v>X</v>
      </c>
      <c r="AR383" s="22" t="str">
        <f t="shared" si="274"/>
        <v>X</v>
      </c>
      <c r="AS383" s="22" t="str">
        <f t="shared" si="275"/>
        <v>X</v>
      </c>
      <c r="AT383" s="22" t="str">
        <f t="shared" si="276"/>
        <v>X</v>
      </c>
      <c r="AU383" s="22" t="str">
        <f t="shared" si="277"/>
        <v>X</v>
      </c>
      <c r="AV383" s="22" t="str">
        <f t="shared" si="278"/>
        <v>X</v>
      </c>
      <c r="AW383" s="22" t="str">
        <f t="shared" si="279"/>
        <v>X</v>
      </c>
      <c r="AX383" s="22" t="str">
        <f t="shared" si="280"/>
        <v>X</v>
      </c>
      <c r="AY383" s="22" t="str">
        <f t="shared" si="281"/>
        <v>O</v>
      </c>
      <c r="AZ383" s="22" t="str">
        <f t="shared" si="282"/>
        <v>X</v>
      </c>
      <c r="BA383" s="22" t="str">
        <f t="shared" si="283"/>
        <v>X</v>
      </c>
      <c r="BB383" s="22">
        <f t="shared" si="284"/>
        <v>1</v>
      </c>
      <c r="BC383" s="22" t="str">
        <f t="shared" si="255"/>
        <v>1G</v>
      </c>
      <c r="BD383" s="22" t="str">
        <f t="shared" si="256"/>
        <v>1G</v>
      </c>
      <c r="BE383" s="22" t="str">
        <f t="shared" si="257"/>
        <v>2G</v>
      </c>
      <c r="BF383" s="22" t="str">
        <f t="shared" si="258"/>
        <v>3G</v>
      </c>
      <c r="BG383" s="22" t="str">
        <f t="shared" si="259"/>
        <v>3G</v>
      </c>
      <c r="BH383" s="22" t="str">
        <f t="shared" si="260"/>
        <v>3G</v>
      </c>
      <c r="BI383" s="22">
        <f t="shared" si="285"/>
        <v>2</v>
      </c>
      <c r="BJ383" s="22">
        <f t="shared" si="286"/>
        <v>1</v>
      </c>
      <c r="BK383" s="22">
        <f t="shared" si="287"/>
        <v>3</v>
      </c>
      <c r="BL383" s="22" t="str">
        <f t="shared" si="288"/>
        <v>213</v>
      </c>
      <c r="BS383"/>
      <c r="CL383" s="23">
        <v>164</v>
      </c>
      <c r="CM383" s="23">
        <v>160</v>
      </c>
      <c r="CO383"/>
    </row>
    <row r="384" spans="1:93" ht="17" hidden="1">
      <c r="B384" s="15">
        <v>380</v>
      </c>
      <c r="C384" s="23" t="s">
        <v>410</v>
      </c>
      <c r="D384" s="16">
        <v>4</v>
      </c>
      <c r="E384" s="17">
        <v>2684274825</v>
      </c>
      <c r="F384" s="16">
        <v>42</v>
      </c>
      <c r="G384" s="17">
        <v>42607537</v>
      </c>
      <c r="H384" s="17">
        <v>1464</v>
      </c>
      <c r="I384" s="17">
        <v>1222348</v>
      </c>
      <c r="J384" s="17">
        <v>77583</v>
      </c>
      <c r="K384" s="17">
        <v>46132</v>
      </c>
      <c r="L384" s="17">
        <v>1137404</v>
      </c>
      <c r="M384" s="17">
        <v>5000</v>
      </c>
      <c r="N384" s="23">
        <v>1</v>
      </c>
      <c r="O384" s="23">
        <v>2</v>
      </c>
      <c r="P384" s="23">
        <v>8</v>
      </c>
      <c r="Q384" s="23">
        <v>17</v>
      </c>
      <c r="R384" s="23">
        <v>26</v>
      </c>
      <c r="S384" s="23">
        <v>37</v>
      </c>
      <c r="T384" s="23">
        <v>27</v>
      </c>
      <c r="U384" s="23">
        <f t="shared" si="261"/>
        <v>91</v>
      </c>
      <c r="W384" s="22" t="str">
        <f t="shared" si="289"/>
        <v>홀수</v>
      </c>
      <c r="X384" s="22" t="str">
        <f t="shared" si="290"/>
        <v>짝수</v>
      </c>
      <c r="Y384" s="22" t="str">
        <f t="shared" si="291"/>
        <v>짝수</v>
      </c>
      <c r="Z384" s="22" t="str">
        <f t="shared" si="292"/>
        <v>홀수</v>
      </c>
      <c r="AA384" s="22" t="str">
        <f t="shared" si="293"/>
        <v>짝수</v>
      </c>
      <c r="AB384" s="22" t="str">
        <f t="shared" si="294"/>
        <v>홀수</v>
      </c>
      <c r="AC384" s="52" t="str">
        <f t="shared" si="295"/>
        <v>3 : 3</v>
      </c>
      <c r="AD384" s="22">
        <f t="shared" si="296"/>
        <v>3</v>
      </c>
      <c r="AE384" s="22">
        <f t="shared" si="297"/>
        <v>3</v>
      </c>
      <c r="AF384" s="22" t="str">
        <f t="shared" si="262"/>
        <v>저수</v>
      </c>
      <c r="AG384" s="22" t="str">
        <f t="shared" si="263"/>
        <v>저수</v>
      </c>
      <c r="AH384" s="22" t="str">
        <f t="shared" si="264"/>
        <v>저수</v>
      </c>
      <c r="AI384" s="22" t="str">
        <f t="shared" si="265"/>
        <v>저수</v>
      </c>
      <c r="AJ384" s="22" t="str">
        <f t="shared" si="266"/>
        <v>고수</v>
      </c>
      <c r="AK384" s="22" t="str">
        <f t="shared" si="267"/>
        <v>고수</v>
      </c>
      <c r="AL384" s="52" t="str">
        <f t="shared" si="268"/>
        <v>4 : 2</v>
      </c>
      <c r="AM384" s="22">
        <f t="shared" si="269"/>
        <v>4</v>
      </c>
      <c r="AN384" s="22">
        <f t="shared" si="270"/>
        <v>2</v>
      </c>
      <c r="AO384" s="22">
        <f t="shared" si="271"/>
        <v>31</v>
      </c>
      <c r="AP384" s="22" t="str">
        <f t="shared" si="272"/>
        <v>X</v>
      </c>
      <c r="AQ384" s="22" t="str">
        <f t="shared" si="273"/>
        <v>O</v>
      </c>
      <c r="AR384" s="22" t="str">
        <f t="shared" si="274"/>
        <v>X</v>
      </c>
      <c r="AS384" s="22" t="str">
        <f t="shared" si="275"/>
        <v>O</v>
      </c>
      <c r="AT384" s="22" t="str">
        <f t="shared" si="276"/>
        <v>X</v>
      </c>
      <c r="AU384" s="22" t="str">
        <f t="shared" si="277"/>
        <v>X</v>
      </c>
      <c r="AV384" s="22" t="str">
        <f t="shared" si="278"/>
        <v>X</v>
      </c>
      <c r="AW384" s="22" t="str">
        <f t="shared" si="279"/>
        <v>X</v>
      </c>
      <c r="AX384" s="22" t="str">
        <f t="shared" si="280"/>
        <v>X</v>
      </c>
      <c r="AY384" s="22" t="str">
        <f t="shared" si="281"/>
        <v>X</v>
      </c>
      <c r="AZ384" s="22" t="str">
        <f t="shared" si="282"/>
        <v>X</v>
      </c>
      <c r="BA384" s="22" t="str">
        <f t="shared" si="283"/>
        <v>O</v>
      </c>
      <c r="BB384" s="22">
        <f t="shared" si="284"/>
        <v>3</v>
      </c>
      <c r="BC384" s="22" t="str">
        <f t="shared" si="255"/>
        <v>1G</v>
      </c>
      <c r="BD384" s="22" t="str">
        <f t="shared" si="256"/>
        <v>1G</v>
      </c>
      <c r="BE384" s="22" t="str">
        <f t="shared" si="257"/>
        <v>1G</v>
      </c>
      <c r="BF384" s="22" t="str">
        <f t="shared" si="258"/>
        <v>2G</v>
      </c>
      <c r="BG384" s="22" t="str">
        <f t="shared" si="259"/>
        <v>2G</v>
      </c>
      <c r="BH384" s="22" t="str">
        <f t="shared" si="260"/>
        <v>3G</v>
      </c>
      <c r="BI384" s="22">
        <f t="shared" si="285"/>
        <v>3</v>
      </c>
      <c r="BJ384" s="22">
        <f t="shared" si="286"/>
        <v>2</v>
      </c>
      <c r="BK384" s="22">
        <f t="shared" si="287"/>
        <v>1</v>
      </c>
      <c r="BL384" s="22" t="str">
        <f t="shared" si="288"/>
        <v>321</v>
      </c>
      <c r="BS384"/>
      <c r="CL384" s="23">
        <v>164</v>
      </c>
      <c r="CM384" s="23">
        <v>160</v>
      </c>
      <c r="CO384"/>
    </row>
    <row r="385" spans="2:93" ht="17" hidden="1">
      <c r="B385" s="15">
        <v>381</v>
      </c>
      <c r="C385" s="23" t="s">
        <v>411</v>
      </c>
      <c r="D385" s="16">
        <v>19</v>
      </c>
      <c r="E385" s="17">
        <v>565738895</v>
      </c>
      <c r="F385" s="16">
        <v>62</v>
      </c>
      <c r="G385" s="17">
        <v>28895267</v>
      </c>
      <c r="H385" s="17">
        <v>1981</v>
      </c>
      <c r="I385" s="17">
        <v>904345</v>
      </c>
      <c r="J385" s="17">
        <v>82120</v>
      </c>
      <c r="K385" s="17">
        <v>43632</v>
      </c>
      <c r="L385" s="17">
        <v>1211298</v>
      </c>
      <c r="M385" s="17">
        <v>5000</v>
      </c>
      <c r="N385" s="23">
        <v>1</v>
      </c>
      <c r="O385" s="23">
        <v>5</v>
      </c>
      <c r="P385" s="23">
        <v>10</v>
      </c>
      <c r="Q385" s="23">
        <v>12</v>
      </c>
      <c r="R385" s="23">
        <v>16</v>
      </c>
      <c r="S385" s="23">
        <v>20</v>
      </c>
      <c r="T385" s="23">
        <v>11</v>
      </c>
      <c r="U385" s="23">
        <f t="shared" si="261"/>
        <v>64</v>
      </c>
      <c r="W385" s="22" t="str">
        <f t="shared" si="289"/>
        <v>홀수</v>
      </c>
      <c r="X385" s="22" t="str">
        <f t="shared" si="290"/>
        <v>홀수</v>
      </c>
      <c r="Y385" s="22" t="str">
        <f t="shared" si="291"/>
        <v>짝수</v>
      </c>
      <c r="Z385" s="22" t="str">
        <f t="shared" si="292"/>
        <v>짝수</v>
      </c>
      <c r="AA385" s="22" t="str">
        <f t="shared" si="293"/>
        <v>짝수</v>
      </c>
      <c r="AB385" s="22" t="str">
        <f t="shared" si="294"/>
        <v>짝수</v>
      </c>
      <c r="AC385" s="52" t="str">
        <f t="shared" si="295"/>
        <v>2 : 4</v>
      </c>
      <c r="AD385" s="22">
        <f t="shared" si="296"/>
        <v>2</v>
      </c>
      <c r="AE385" s="22">
        <f t="shared" si="297"/>
        <v>4</v>
      </c>
      <c r="AF385" s="22" t="str">
        <f t="shared" si="262"/>
        <v>저수</v>
      </c>
      <c r="AG385" s="22" t="str">
        <f t="shared" si="263"/>
        <v>저수</v>
      </c>
      <c r="AH385" s="22" t="str">
        <f t="shared" si="264"/>
        <v>저수</v>
      </c>
      <c r="AI385" s="22" t="str">
        <f t="shared" si="265"/>
        <v>저수</v>
      </c>
      <c r="AJ385" s="22" t="str">
        <f t="shared" si="266"/>
        <v>저수</v>
      </c>
      <c r="AK385" s="22" t="str">
        <f t="shared" si="267"/>
        <v>저수</v>
      </c>
      <c r="AL385" s="52" t="str">
        <f t="shared" si="268"/>
        <v>6 : 0</v>
      </c>
      <c r="AM385" s="22">
        <f t="shared" si="269"/>
        <v>6</v>
      </c>
      <c r="AN385" s="22">
        <f t="shared" si="270"/>
        <v>0</v>
      </c>
      <c r="AO385" s="22">
        <f t="shared" si="271"/>
        <v>14</v>
      </c>
      <c r="AP385" s="22" t="str">
        <f t="shared" si="272"/>
        <v>X</v>
      </c>
      <c r="AQ385" s="22" t="str">
        <f t="shared" si="273"/>
        <v>O</v>
      </c>
      <c r="AR385" s="22" t="str">
        <f t="shared" si="274"/>
        <v>X</v>
      </c>
      <c r="AS385" s="22" t="str">
        <f t="shared" si="275"/>
        <v>X</v>
      </c>
      <c r="AT385" s="22" t="str">
        <f t="shared" si="276"/>
        <v>X</v>
      </c>
      <c r="AU385" s="22" t="str">
        <f t="shared" si="277"/>
        <v>X</v>
      </c>
      <c r="AV385" s="22" t="str">
        <f t="shared" si="278"/>
        <v>X</v>
      </c>
      <c r="AW385" s="22" t="str">
        <f t="shared" si="279"/>
        <v>X</v>
      </c>
      <c r="AX385" s="22" t="str">
        <f t="shared" si="280"/>
        <v>X</v>
      </c>
      <c r="AY385" s="22" t="str">
        <f t="shared" si="281"/>
        <v>X</v>
      </c>
      <c r="AZ385" s="22" t="str">
        <f t="shared" si="282"/>
        <v>X</v>
      </c>
      <c r="BA385" s="22" t="str">
        <f t="shared" si="283"/>
        <v>X</v>
      </c>
      <c r="BB385" s="22">
        <f t="shared" si="284"/>
        <v>1</v>
      </c>
      <c r="BC385" s="22" t="str">
        <f t="shared" si="255"/>
        <v>1G</v>
      </c>
      <c r="BD385" s="22" t="str">
        <f t="shared" si="256"/>
        <v>1G</v>
      </c>
      <c r="BE385" s="22" t="str">
        <f t="shared" si="257"/>
        <v>1G</v>
      </c>
      <c r="BF385" s="22" t="str">
        <f t="shared" si="258"/>
        <v>1G</v>
      </c>
      <c r="BG385" s="22" t="str">
        <f t="shared" si="259"/>
        <v>2G</v>
      </c>
      <c r="BH385" s="22" t="str">
        <f t="shared" si="260"/>
        <v>2G</v>
      </c>
      <c r="BI385" s="22">
        <f t="shared" si="285"/>
        <v>4</v>
      </c>
      <c r="BJ385" s="22">
        <f t="shared" si="286"/>
        <v>2</v>
      </c>
      <c r="BK385" s="22">
        <f t="shared" si="287"/>
        <v>0</v>
      </c>
      <c r="BL385" s="22" t="str">
        <f t="shared" si="288"/>
        <v>420</v>
      </c>
      <c r="BS385"/>
      <c r="CL385" s="23">
        <v>165</v>
      </c>
      <c r="CM385" s="23">
        <v>160</v>
      </c>
      <c r="CO385"/>
    </row>
    <row r="386" spans="2:93" ht="17" hidden="1">
      <c r="B386" s="15">
        <v>382</v>
      </c>
      <c r="C386" s="23" t="s">
        <v>412</v>
      </c>
      <c r="D386" s="16">
        <v>6</v>
      </c>
      <c r="E386" s="17">
        <v>1846674900</v>
      </c>
      <c r="F386" s="16">
        <v>32</v>
      </c>
      <c r="G386" s="17">
        <v>57708591</v>
      </c>
      <c r="H386" s="17">
        <v>1212</v>
      </c>
      <c r="I386" s="17">
        <v>1523660</v>
      </c>
      <c r="J386" s="17">
        <v>62267</v>
      </c>
      <c r="K386" s="17">
        <v>59315</v>
      </c>
      <c r="L386" s="17">
        <v>1046779</v>
      </c>
      <c r="M386" s="17">
        <v>5000</v>
      </c>
      <c r="N386" s="23">
        <v>10</v>
      </c>
      <c r="O386" s="23">
        <v>15</v>
      </c>
      <c r="P386" s="23">
        <v>22</v>
      </c>
      <c r="Q386" s="23">
        <v>24</v>
      </c>
      <c r="R386" s="23">
        <v>27</v>
      </c>
      <c r="S386" s="23">
        <v>42</v>
      </c>
      <c r="T386" s="23">
        <v>19</v>
      </c>
      <c r="U386" s="23">
        <f t="shared" si="261"/>
        <v>140</v>
      </c>
      <c r="W386" s="22" t="str">
        <f t="shared" si="289"/>
        <v>짝수</v>
      </c>
      <c r="X386" s="22" t="str">
        <f t="shared" si="290"/>
        <v>홀수</v>
      </c>
      <c r="Y386" s="22" t="str">
        <f t="shared" si="291"/>
        <v>짝수</v>
      </c>
      <c r="Z386" s="22" t="str">
        <f t="shared" si="292"/>
        <v>짝수</v>
      </c>
      <c r="AA386" s="22" t="str">
        <f t="shared" si="293"/>
        <v>홀수</v>
      </c>
      <c r="AB386" s="22" t="str">
        <f t="shared" si="294"/>
        <v>짝수</v>
      </c>
      <c r="AC386" s="52" t="str">
        <f t="shared" si="295"/>
        <v>2 : 4</v>
      </c>
      <c r="AD386" s="22">
        <f t="shared" si="296"/>
        <v>2</v>
      </c>
      <c r="AE386" s="22">
        <f t="shared" si="297"/>
        <v>4</v>
      </c>
      <c r="AF386" s="22" t="str">
        <f t="shared" si="262"/>
        <v>저수</v>
      </c>
      <c r="AG386" s="22" t="str">
        <f t="shared" si="263"/>
        <v>저수</v>
      </c>
      <c r="AH386" s="22" t="str">
        <f t="shared" si="264"/>
        <v>저수</v>
      </c>
      <c r="AI386" s="22" t="str">
        <f t="shared" si="265"/>
        <v>고수</v>
      </c>
      <c r="AJ386" s="22" t="str">
        <f t="shared" si="266"/>
        <v>고수</v>
      </c>
      <c r="AK386" s="22" t="str">
        <f t="shared" si="267"/>
        <v>고수</v>
      </c>
      <c r="AL386" s="52" t="str">
        <f t="shared" si="268"/>
        <v>3 : 3</v>
      </c>
      <c r="AM386" s="22">
        <f t="shared" si="269"/>
        <v>3</v>
      </c>
      <c r="AN386" s="22">
        <f t="shared" si="270"/>
        <v>3</v>
      </c>
      <c r="AO386" s="22">
        <f t="shared" si="271"/>
        <v>20</v>
      </c>
      <c r="AP386" s="22" t="str">
        <f t="shared" si="272"/>
        <v>X</v>
      </c>
      <c r="AQ386" s="22" t="str">
        <f t="shared" si="273"/>
        <v>X</v>
      </c>
      <c r="AR386" s="22" t="str">
        <f t="shared" si="274"/>
        <v>X</v>
      </c>
      <c r="AS386" s="22" t="str">
        <f t="shared" si="275"/>
        <v>X</v>
      </c>
      <c r="AT386" s="22" t="str">
        <f t="shared" si="276"/>
        <v>X</v>
      </c>
      <c r="AU386" s="22" t="str">
        <f t="shared" si="277"/>
        <v>X</v>
      </c>
      <c r="AV386" s="22" t="str">
        <f t="shared" si="278"/>
        <v>X</v>
      </c>
      <c r="AW386" s="22" t="str">
        <f t="shared" si="279"/>
        <v>X</v>
      </c>
      <c r="AX386" s="22" t="str">
        <f t="shared" si="280"/>
        <v>X</v>
      </c>
      <c r="AY386" s="22" t="str">
        <f t="shared" si="281"/>
        <v>X</v>
      </c>
      <c r="AZ386" s="22" t="str">
        <f t="shared" si="282"/>
        <v>X</v>
      </c>
      <c r="BA386" s="22" t="str">
        <f t="shared" si="283"/>
        <v>X</v>
      </c>
      <c r="BB386" s="22">
        <f t="shared" si="284"/>
        <v>0</v>
      </c>
      <c r="BC386" s="22" t="str">
        <f t="shared" si="255"/>
        <v>1G</v>
      </c>
      <c r="BD386" s="22" t="str">
        <f t="shared" si="256"/>
        <v>1G</v>
      </c>
      <c r="BE386" s="22" t="str">
        <f t="shared" si="257"/>
        <v>2G</v>
      </c>
      <c r="BF386" s="22" t="str">
        <f t="shared" si="258"/>
        <v>2G</v>
      </c>
      <c r="BG386" s="22" t="str">
        <f t="shared" si="259"/>
        <v>2G</v>
      </c>
      <c r="BH386" s="22" t="str">
        <f t="shared" si="260"/>
        <v>3G</v>
      </c>
      <c r="BI386" s="22">
        <f t="shared" si="285"/>
        <v>2</v>
      </c>
      <c r="BJ386" s="22">
        <f t="shared" si="286"/>
        <v>3</v>
      </c>
      <c r="BK386" s="22">
        <f t="shared" si="287"/>
        <v>1</v>
      </c>
      <c r="BL386" s="22" t="str">
        <f t="shared" si="288"/>
        <v>231</v>
      </c>
      <c r="BS386"/>
      <c r="CL386" s="23">
        <v>165</v>
      </c>
      <c r="CM386" s="23">
        <v>160</v>
      </c>
      <c r="CO386"/>
    </row>
    <row r="387" spans="2:93" ht="17" hidden="1">
      <c r="B387" s="15">
        <v>383</v>
      </c>
      <c r="C387" s="23" t="s">
        <v>413</v>
      </c>
      <c r="D387" s="16">
        <v>3</v>
      </c>
      <c r="E387" s="17">
        <v>3596522100</v>
      </c>
      <c r="F387" s="16">
        <v>28</v>
      </c>
      <c r="G387" s="17">
        <v>64223609</v>
      </c>
      <c r="H387" s="17">
        <v>1251</v>
      </c>
      <c r="I387" s="17">
        <v>1437459</v>
      </c>
      <c r="J387" s="17">
        <v>60525</v>
      </c>
      <c r="K387" s="17">
        <v>59423</v>
      </c>
      <c r="L387" s="17">
        <v>1010183</v>
      </c>
      <c r="M387" s="17">
        <v>5000</v>
      </c>
      <c r="N387" s="23">
        <v>4</v>
      </c>
      <c r="O387" s="23">
        <v>15</v>
      </c>
      <c r="P387" s="23">
        <v>28</v>
      </c>
      <c r="Q387" s="23">
        <v>33</v>
      </c>
      <c r="R387" s="23">
        <v>37</v>
      </c>
      <c r="S387" s="23">
        <v>40</v>
      </c>
      <c r="T387" s="23">
        <v>25</v>
      </c>
      <c r="U387" s="23">
        <f t="shared" si="261"/>
        <v>157</v>
      </c>
      <c r="W387" s="22" t="str">
        <f t="shared" si="289"/>
        <v>짝수</v>
      </c>
      <c r="X387" s="22" t="str">
        <f t="shared" si="290"/>
        <v>홀수</v>
      </c>
      <c r="Y387" s="22" t="str">
        <f t="shared" si="291"/>
        <v>짝수</v>
      </c>
      <c r="Z387" s="22" t="str">
        <f t="shared" si="292"/>
        <v>홀수</v>
      </c>
      <c r="AA387" s="22" t="str">
        <f t="shared" si="293"/>
        <v>홀수</v>
      </c>
      <c r="AB387" s="22" t="str">
        <f t="shared" si="294"/>
        <v>짝수</v>
      </c>
      <c r="AC387" s="52" t="str">
        <f t="shared" si="295"/>
        <v>3 : 3</v>
      </c>
      <c r="AD387" s="22">
        <f t="shared" si="296"/>
        <v>3</v>
      </c>
      <c r="AE387" s="22">
        <f t="shared" si="297"/>
        <v>3</v>
      </c>
      <c r="AF387" s="22" t="str">
        <f t="shared" si="262"/>
        <v>저수</v>
      </c>
      <c r="AG387" s="22" t="str">
        <f t="shared" si="263"/>
        <v>저수</v>
      </c>
      <c r="AH387" s="22" t="str">
        <f t="shared" si="264"/>
        <v>고수</v>
      </c>
      <c r="AI387" s="22" t="str">
        <f t="shared" si="265"/>
        <v>고수</v>
      </c>
      <c r="AJ387" s="22" t="str">
        <f t="shared" si="266"/>
        <v>고수</v>
      </c>
      <c r="AK387" s="22" t="str">
        <f t="shared" si="267"/>
        <v>고수</v>
      </c>
      <c r="AL387" s="52" t="str">
        <f t="shared" si="268"/>
        <v>2 : 4</v>
      </c>
      <c r="AM387" s="22">
        <f t="shared" si="269"/>
        <v>2</v>
      </c>
      <c r="AN387" s="22">
        <f t="shared" si="270"/>
        <v>4</v>
      </c>
      <c r="AO387" s="22">
        <f t="shared" si="271"/>
        <v>27</v>
      </c>
      <c r="AP387" s="22" t="str">
        <f t="shared" si="272"/>
        <v>X</v>
      </c>
      <c r="AQ387" s="22" t="str">
        <f t="shared" si="273"/>
        <v>X</v>
      </c>
      <c r="AR387" s="22" t="str">
        <f t="shared" si="274"/>
        <v>X</v>
      </c>
      <c r="AS387" s="22" t="str">
        <f t="shared" si="275"/>
        <v>X</v>
      </c>
      <c r="AT387" s="22" t="str">
        <f t="shared" si="276"/>
        <v>X</v>
      </c>
      <c r="AU387" s="22" t="str">
        <f t="shared" si="277"/>
        <v>X</v>
      </c>
      <c r="AV387" s="22" t="str">
        <f t="shared" si="278"/>
        <v>X</v>
      </c>
      <c r="AW387" s="22" t="str">
        <f t="shared" si="279"/>
        <v>X</v>
      </c>
      <c r="AX387" s="22" t="str">
        <f t="shared" si="280"/>
        <v>X</v>
      </c>
      <c r="AY387" s="22" t="str">
        <f t="shared" si="281"/>
        <v>X</v>
      </c>
      <c r="AZ387" s="22" t="str">
        <f t="shared" si="282"/>
        <v>O</v>
      </c>
      <c r="BA387" s="22" t="str">
        <f t="shared" si="283"/>
        <v>X</v>
      </c>
      <c r="BB387" s="22">
        <f t="shared" si="284"/>
        <v>1</v>
      </c>
      <c r="BC387" s="22" t="str">
        <f t="shared" si="255"/>
        <v>1G</v>
      </c>
      <c r="BD387" s="22" t="str">
        <f t="shared" si="256"/>
        <v>1G</v>
      </c>
      <c r="BE387" s="22" t="str">
        <f t="shared" si="257"/>
        <v>2G</v>
      </c>
      <c r="BF387" s="22" t="str">
        <f t="shared" si="258"/>
        <v>3G</v>
      </c>
      <c r="BG387" s="22" t="str">
        <f t="shared" si="259"/>
        <v>3G</v>
      </c>
      <c r="BH387" s="22" t="str">
        <f t="shared" si="260"/>
        <v>3G</v>
      </c>
      <c r="BI387" s="22">
        <f t="shared" si="285"/>
        <v>2</v>
      </c>
      <c r="BJ387" s="22">
        <f t="shared" si="286"/>
        <v>1</v>
      </c>
      <c r="BK387" s="22">
        <f t="shared" si="287"/>
        <v>3</v>
      </c>
      <c r="BL387" s="22" t="str">
        <f t="shared" si="288"/>
        <v>213</v>
      </c>
      <c r="BS387"/>
      <c r="CL387" s="23">
        <v>165</v>
      </c>
      <c r="CM387" s="23">
        <v>160</v>
      </c>
      <c r="CO387"/>
    </row>
    <row r="388" spans="2:93" ht="17" hidden="1">
      <c r="B388" s="15">
        <v>384</v>
      </c>
      <c r="C388" s="23" t="s">
        <v>414</v>
      </c>
      <c r="D388" s="16">
        <v>3</v>
      </c>
      <c r="E388" s="17">
        <v>3658734200</v>
      </c>
      <c r="F388" s="16">
        <v>41</v>
      </c>
      <c r="G388" s="17">
        <v>44618710</v>
      </c>
      <c r="H388" s="17">
        <v>1215</v>
      </c>
      <c r="I388" s="17">
        <v>1505652</v>
      </c>
      <c r="J388" s="17">
        <v>62090</v>
      </c>
      <c r="K388" s="17">
        <v>58927</v>
      </c>
      <c r="L388" s="17">
        <v>1030160</v>
      </c>
      <c r="M388" s="17">
        <v>5000</v>
      </c>
      <c r="N388" s="23">
        <v>11</v>
      </c>
      <c r="O388" s="23">
        <v>22</v>
      </c>
      <c r="P388" s="23">
        <v>24</v>
      </c>
      <c r="Q388" s="23">
        <v>32</v>
      </c>
      <c r="R388" s="23">
        <v>36</v>
      </c>
      <c r="S388" s="23">
        <v>38</v>
      </c>
      <c r="T388" s="23">
        <v>7</v>
      </c>
      <c r="U388" s="23">
        <f t="shared" si="261"/>
        <v>163</v>
      </c>
      <c r="W388" s="22" t="str">
        <f t="shared" si="289"/>
        <v>홀수</v>
      </c>
      <c r="X388" s="22" t="str">
        <f t="shared" si="290"/>
        <v>짝수</v>
      </c>
      <c r="Y388" s="22" t="str">
        <f t="shared" si="291"/>
        <v>짝수</v>
      </c>
      <c r="Z388" s="22" t="str">
        <f t="shared" si="292"/>
        <v>짝수</v>
      </c>
      <c r="AA388" s="22" t="str">
        <f t="shared" si="293"/>
        <v>짝수</v>
      </c>
      <c r="AB388" s="22" t="str">
        <f t="shared" si="294"/>
        <v>짝수</v>
      </c>
      <c r="AC388" s="52" t="str">
        <f t="shared" si="295"/>
        <v>1 : 5</v>
      </c>
      <c r="AD388" s="22">
        <f t="shared" si="296"/>
        <v>1</v>
      </c>
      <c r="AE388" s="22">
        <f t="shared" si="297"/>
        <v>5</v>
      </c>
      <c r="AF388" s="22" t="str">
        <f t="shared" si="262"/>
        <v>저수</v>
      </c>
      <c r="AG388" s="22" t="str">
        <f t="shared" si="263"/>
        <v>저수</v>
      </c>
      <c r="AH388" s="22" t="str">
        <f t="shared" si="264"/>
        <v>고수</v>
      </c>
      <c r="AI388" s="22" t="str">
        <f t="shared" si="265"/>
        <v>고수</v>
      </c>
      <c r="AJ388" s="22" t="str">
        <f t="shared" si="266"/>
        <v>고수</v>
      </c>
      <c r="AK388" s="22" t="str">
        <f t="shared" si="267"/>
        <v>고수</v>
      </c>
      <c r="AL388" s="52" t="str">
        <f t="shared" si="268"/>
        <v>2 : 4</v>
      </c>
      <c r="AM388" s="22">
        <f t="shared" si="269"/>
        <v>2</v>
      </c>
      <c r="AN388" s="22">
        <f t="shared" si="270"/>
        <v>4</v>
      </c>
      <c r="AO388" s="22">
        <f t="shared" si="271"/>
        <v>23</v>
      </c>
      <c r="AP388" s="22" t="str">
        <f t="shared" si="272"/>
        <v>O</v>
      </c>
      <c r="AQ388" s="22" t="str">
        <f t="shared" si="273"/>
        <v>X</v>
      </c>
      <c r="AR388" s="22" t="str">
        <f t="shared" si="274"/>
        <v>X</v>
      </c>
      <c r="AS388" s="22" t="str">
        <f t="shared" si="275"/>
        <v>X</v>
      </c>
      <c r="AT388" s="22" t="str">
        <f t="shared" si="276"/>
        <v>X</v>
      </c>
      <c r="AU388" s="22" t="str">
        <f t="shared" si="277"/>
        <v>X</v>
      </c>
      <c r="AV388" s="22" t="str">
        <f t="shared" si="278"/>
        <v>X</v>
      </c>
      <c r="AW388" s="22" t="str">
        <f t="shared" si="279"/>
        <v>X</v>
      </c>
      <c r="AX388" s="22" t="str">
        <f t="shared" si="280"/>
        <v>X</v>
      </c>
      <c r="AY388" s="22" t="str">
        <f t="shared" si="281"/>
        <v>X</v>
      </c>
      <c r="AZ388" s="22" t="str">
        <f t="shared" si="282"/>
        <v>X</v>
      </c>
      <c r="BA388" s="22" t="str">
        <f t="shared" si="283"/>
        <v>X</v>
      </c>
      <c r="BB388" s="22">
        <f t="shared" si="284"/>
        <v>1</v>
      </c>
      <c r="BC388" s="22" t="str">
        <f t="shared" si="255"/>
        <v>1G</v>
      </c>
      <c r="BD388" s="22" t="str">
        <f t="shared" si="256"/>
        <v>2G</v>
      </c>
      <c r="BE388" s="22" t="str">
        <f t="shared" si="257"/>
        <v>2G</v>
      </c>
      <c r="BF388" s="22" t="str">
        <f t="shared" si="258"/>
        <v>3G</v>
      </c>
      <c r="BG388" s="22" t="str">
        <f t="shared" si="259"/>
        <v>3G</v>
      </c>
      <c r="BH388" s="22" t="str">
        <f t="shared" si="260"/>
        <v>3G</v>
      </c>
      <c r="BI388" s="22">
        <f t="shared" si="285"/>
        <v>1</v>
      </c>
      <c r="BJ388" s="22">
        <f t="shared" si="286"/>
        <v>2</v>
      </c>
      <c r="BK388" s="22">
        <f t="shared" si="287"/>
        <v>3</v>
      </c>
      <c r="BL388" s="22" t="str">
        <f t="shared" si="288"/>
        <v>123</v>
      </c>
      <c r="BS388"/>
      <c r="CL388" s="23">
        <v>165</v>
      </c>
      <c r="CM388" s="23">
        <v>160</v>
      </c>
      <c r="CO388"/>
    </row>
    <row r="389" spans="2:93" ht="17" hidden="1">
      <c r="B389" s="15">
        <v>385</v>
      </c>
      <c r="C389" s="23" t="s">
        <v>415</v>
      </c>
      <c r="D389" s="16">
        <v>7</v>
      </c>
      <c r="E389" s="17">
        <v>1542032700</v>
      </c>
      <c r="F389" s="16">
        <v>36</v>
      </c>
      <c r="G389" s="17">
        <v>49973282</v>
      </c>
      <c r="H389" s="17">
        <v>1235</v>
      </c>
      <c r="I389" s="17">
        <v>1456712</v>
      </c>
      <c r="J389" s="17">
        <v>62096</v>
      </c>
      <c r="K389" s="17">
        <v>57944</v>
      </c>
      <c r="L389" s="17">
        <v>1026272</v>
      </c>
      <c r="M389" s="17">
        <v>5000</v>
      </c>
      <c r="N389" s="23">
        <v>7</v>
      </c>
      <c r="O389" s="23">
        <v>12</v>
      </c>
      <c r="P389" s="23">
        <v>19</v>
      </c>
      <c r="Q389" s="23">
        <v>21</v>
      </c>
      <c r="R389" s="23">
        <v>29</v>
      </c>
      <c r="S389" s="23">
        <v>32</v>
      </c>
      <c r="T389" s="23">
        <v>9</v>
      </c>
      <c r="U389" s="23">
        <f t="shared" si="261"/>
        <v>120</v>
      </c>
      <c r="W389" s="22" t="str">
        <f t="shared" si="289"/>
        <v>홀수</v>
      </c>
      <c r="X389" s="22" t="str">
        <f t="shared" si="290"/>
        <v>짝수</v>
      </c>
      <c r="Y389" s="22" t="str">
        <f t="shared" si="291"/>
        <v>홀수</v>
      </c>
      <c r="Z389" s="22" t="str">
        <f t="shared" si="292"/>
        <v>홀수</v>
      </c>
      <c r="AA389" s="22" t="str">
        <f t="shared" si="293"/>
        <v>홀수</v>
      </c>
      <c r="AB389" s="22" t="str">
        <f t="shared" si="294"/>
        <v>짝수</v>
      </c>
      <c r="AC389" s="52" t="str">
        <f t="shared" si="295"/>
        <v>4 : 2</v>
      </c>
      <c r="AD389" s="22">
        <f t="shared" si="296"/>
        <v>4</v>
      </c>
      <c r="AE389" s="22">
        <f t="shared" si="297"/>
        <v>2</v>
      </c>
      <c r="AF389" s="22" t="str">
        <f t="shared" si="262"/>
        <v>저수</v>
      </c>
      <c r="AG389" s="22" t="str">
        <f t="shared" si="263"/>
        <v>저수</v>
      </c>
      <c r="AH389" s="22" t="str">
        <f t="shared" si="264"/>
        <v>저수</v>
      </c>
      <c r="AI389" s="22" t="str">
        <f t="shared" si="265"/>
        <v>저수</v>
      </c>
      <c r="AJ389" s="22" t="str">
        <f t="shared" si="266"/>
        <v>고수</v>
      </c>
      <c r="AK389" s="22" t="str">
        <f t="shared" si="267"/>
        <v>고수</v>
      </c>
      <c r="AL389" s="52" t="str">
        <f t="shared" si="268"/>
        <v>4 : 2</v>
      </c>
      <c r="AM389" s="22">
        <f t="shared" si="269"/>
        <v>4</v>
      </c>
      <c r="AN389" s="22">
        <f t="shared" si="270"/>
        <v>2</v>
      </c>
      <c r="AO389" s="22">
        <f t="shared" si="271"/>
        <v>30</v>
      </c>
      <c r="AP389" s="22" t="str">
        <f t="shared" si="272"/>
        <v>O</v>
      </c>
      <c r="AQ389" s="22" t="str">
        <f t="shared" si="273"/>
        <v>X</v>
      </c>
      <c r="AR389" s="22" t="str">
        <f t="shared" si="274"/>
        <v>O</v>
      </c>
      <c r="AS389" s="22" t="str">
        <f t="shared" si="275"/>
        <v>X</v>
      </c>
      <c r="AT389" s="22" t="str">
        <f t="shared" si="276"/>
        <v>X</v>
      </c>
      <c r="AU389" s="22" t="str">
        <f t="shared" si="277"/>
        <v>X</v>
      </c>
      <c r="AV389" s="22" t="str">
        <f t="shared" si="278"/>
        <v>X</v>
      </c>
      <c r="AW389" s="22" t="str">
        <f t="shared" si="279"/>
        <v>X</v>
      </c>
      <c r="AX389" s="22" t="str">
        <f t="shared" si="280"/>
        <v>X</v>
      </c>
      <c r="AY389" s="22" t="str">
        <f t="shared" si="281"/>
        <v>X</v>
      </c>
      <c r="AZ389" s="22" t="str">
        <f t="shared" si="282"/>
        <v>O</v>
      </c>
      <c r="BA389" s="22" t="str">
        <f t="shared" si="283"/>
        <v>X</v>
      </c>
      <c r="BB389" s="22">
        <f t="shared" si="284"/>
        <v>3</v>
      </c>
      <c r="BC389" s="22" t="str">
        <f t="shared" ref="BC389:BC452" si="298">VLOOKUP(N389,삼그룹,6,FALSE)</f>
        <v>1G</v>
      </c>
      <c r="BD389" s="22" t="str">
        <f t="shared" ref="BD389:BD452" si="299">VLOOKUP(O389,삼그룹,6,FALSE)</f>
        <v>1G</v>
      </c>
      <c r="BE389" s="22" t="str">
        <f t="shared" ref="BE389:BE452" si="300">VLOOKUP(P389,삼그룹,6,FALSE)</f>
        <v>2G</v>
      </c>
      <c r="BF389" s="22" t="str">
        <f t="shared" ref="BF389:BF452" si="301">VLOOKUP(Q389,삼그룹,6,FALSE)</f>
        <v>2G</v>
      </c>
      <c r="BG389" s="22" t="str">
        <f t="shared" ref="BG389:BG452" si="302">VLOOKUP(R389,삼그룹,6,FALSE)</f>
        <v>2G</v>
      </c>
      <c r="BH389" s="22" t="str">
        <f t="shared" ref="BH389:BH452" si="303">VLOOKUP(S389,삼그룹,6,FALSE)</f>
        <v>3G</v>
      </c>
      <c r="BI389" s="22">
        <f t="shared" si="285"/>
        <v>2</v>
      </c>
      <c r="BJ389" s="22">
        <f t="shared" si="286"/>
        <v>3</v>
      </c>
      <c r="BK389" s="22">
        <f t="shared" si="287"/>
        <v>1</v>
      </c>
      <c r="BL389" s="22" t="str">
        <f t="shared" si="288"/>
        <v>231</v>
      </c>
      <c r="BS389"/>
      <c r="CL389" s="23">
        <v>165</v>
      </c>
      <c r="CM389" s="23">
        <v>160</v>
      </c>
      <c r="CO389"/>
    </row>
    <row r="390" spans="2:93" ht="17" hidden="1">
      <c r="B390" s="15">
        <v>386</v>
      </c>
      <c r="C390" s="23" t="s">
        <v>416</v>
      </c>
      <c r="D390" s="16">
        <v>10</v>
      </c>
      <c r="E390" s="17">
        <v>1042953330</v>
      </c>
      <c r="F390" s="16">
        <v>59</v>
      </c>
      <c r="G390" s="17">
        <v>29461959</v>
      </c>
      <c r="H390" s="17">
        <v>1683</v>
      </c>
      <c r="I390" s="17">
        <v>1032832</v>
      </c>
      <c r="J390" s="17">
        <v>72203</v>
      </c>
      <c r="K390" s="17">
        <v>48150</v>
      </c>
      <c r="L390" s="17">
        <v>1114222</v>
      </c>
      <c r="M390" s="17">
        <v>5000</v>
      </c>
      <c r="N390" s="23">
        <v>4</v>
      </c>
      <c r="O390" s="23">
        <v>7</v>
      </c>
      <c r="P390" s="23">
        <v>10</v>
      </c>
      <c r="Q390" s="23">
        <v>19</v>
      </c>
      <c r="R390" s="23">
        <v>31</v>
      </c>
      <c r="S390" s="23">
        <v>40</v>
      </c>
      <c r="T390" s="23">
        <v>26</v>
      </c>
      <c r="U390" s="23">
        <f t="shared" ref="U390:U453" si="304">SUM(N390:S390)</f>
        <v>111</v>
      </c>
      <c r="W390" s="22" t="str">
        <f t="shared" si="289"/>
        <v>짝수</v>
      </c>
      <c r="X390" s="22" t="str">
        <f t="shared" si="290"/>
        <v>홀수</v>
      </c>
      <c r="Y390" s="22" t="str">
        <f t="shared" si="291"/>
        <v>짝수</v>
      </c>
      <c r="Z390" s="22" t="str">
        <f t="shared" si="292"/>
        <v>홀수</v>
      </c>
      <c r="AA390" s="22" t="str">
        <f t="shared" si="293"/>
        <v>홀수</v>
      </c>
      <c r="AB390" s="22" t="str">
        <f t="shared" si="294"/>
        <v>짝수</v>
      </c>
      <c r="AC390" s="52" t="str">
        <f t="shared" si="295"/>
        <v>3 : 3</v>
      </c>
      <c r="AD390" s="22">
        <f t="shared" si="296"/>
        <v>3</v>
      </c>
      <c r="AE390" s="22">
        <f t="shared" si="297"/>
        <v>3</v>
      </c>
      <c r="AF390" s="22" t="str">
        <f t="shared" ref="AF390:AF453" si="305">IF(N390&lt;23,"저수","고수")</f>
        <v>저수</v>
      </c>
      <c r="AG390" s="22" t="str">
        <f t="shared" ref="AG390:AG453" si="306">IF(O390&lt;23,"저수","고수")</f>
        <v>저수</v>
      </c>
      <c r="AH390" s="22" t="str">
        <f t="shared" ref="AH390:AH453" si="307">IF(P390&lt;23,"저수","고수")</f>
        <v>저수</v>
      </c>
      <c r="AI390" s="22" t="str">
        <f t="shared" ref="AI390:AI453" si="308">IF(Q390&lt;23,"저수","고수")</f>
        <v>저수</v>
      </c>
      <c r="AJ390" s="22" t="str">
        <f t="shared" ref="AJ390:AJ453" si="309">IF(R390&lt;23,"저수","고수")</f>
        <v>고수</v>
      </c>
      <c r="AK390" s="22" t="str">
        <f t="shared" ref="AK390:AK453" si="310">IF(S390&lt;23,"저수","고수")</f>
        <v>고수</v>
      </c>
      <c r="AL390" s="52" t="str">
        <f t="shared" ref="AL390:AL453" si="311">AM390&amp;" : "&amp;AN390</f>
        <v>4 : 2</v>
      </c>
      <c r="AM390" s="22">
        <f t="shared" ref="AM390:AM453" si="312">COUNTIF(AF390:AK390,"저수")</f>
        <v>4</v>
      </c>
      <c r="AN390" s="22">
        <f t="shared" ref="AN390:AN453" si="313">COUNTIF(AF390:AK390,"고수")</f>
        <v>2</v>
      </c>
      <c r="AO390" s="22">
        <f t="shared" ref="AO390:AO453" si="314">RIGHT(N390,1)+RIGHT(O390,1)+RIGHT(P390,1)+RIGHT(Q390,1)+RIGHT(R390,1)+RIGHT(S390,1)</f>
        <v>21</v>
      </c>
      <c r="AP390" s="22" t="str">
        <f t="shared" ref="AP390:AP453" si="315">IF(N390=2,"O",IF(N390=3,"O",IF(N390=5,"O",IF(N390=7,"O",IF(N390=11,"O",IF(N390=13,"O",IF(N390=17,"O",IF(N390=19,"O","X"))))))))</f>
        <v>X</v>
      </c>
      <c r="AQ390" s="22" t="str">
        <f t="shared" ref="AQ390:AQ453" si="316">IF(O390=2,"O",IF(O390=3,"O",IF(O390=5,"O",IF(O390=7,"O",IF(O390=11,"O",IF(O390=13,"O",IF(O390=17,"O",IF(O390=19,"O","X"))))))))</f>
        <v>O</v>
      </c>
      <c r="AR390" s="22" t="str">
        <f t="shared" ref="AR390:AR453" si="317">IF(P390=2,"O",IF(P390=3,"O",IF(P390=5,"O",IF(P390=7,"O",IF(P390=11,"O",IF(P390=13,"O",IF(P390=17,"O",IF(P390=19,"O","X"))))))))</f>
        <v>X</v>
      </c>
      <c r="AS390" s="22" t="str">
        <f t="shared" ref="AS390:AS453" si="318">IF(Q390=2,"O",IF(Q390=3,"O",IF(Q390=5,"O",IF(Q390=7,"O",IF(Q390=11,"O",IF(Q390=13,"O",IF(Q390=17,"O",IF(Q390=19,"O","X"))))))))</f>
        <v>O</v>
      </c>
      <c r="AT390" s="22" t="str">
        <f t="shared" ref="AT390:AT453" si="319">IF(R390=2,"O",IF(R390=3,"O",IF(R390=5,"O",IF(R390=7,"O",IF(R390=11,"O",IF(R390=13,"O",IF(R390=17,"O",IF(R390=19,"O","X"))))))))</f>
        <v>X</v>
      </c>
      <c r="AU390" s="22" t="str">
        <f t="shared" ref="AU390:AU453" si="320">IF(S390=2,"O",IF(S390=3,"O",IF(S390=5,"O",IF(S390=7,"O",IF(S390=11,"O",IF(S390=13,"O",IF(S390=17,"O",IF(S390=19,"O","X"))))))))</f>
        <v>X</v>
      </c>
      <c r="AV390" s="22" t="str">
        <f t="shared" ref="AV390:AV453" si="321">IF(N390=23,"O",IF(N390=29,"O",IF(N390=31,"O",IF(N390=37,"O",IF(N390=41,"O",IF(N390=43,"O","X"))))))</f>
        <v>X</v>
      </c>
      <c r="AW390" s="22" t="str">
        <f t="shared" ref="AW390:AW453" si="322">IF(O390=23,"O",IF(O390=29,"O",IF(O390=31,"O",IF(O390=37,"O",IF(O390=41,"O",IF(O390=43,"O","X"))))))</f>
        <v>X</v>
      </c>
      <c r="AX390" s="22" t="str">
        <f t="shared" ref="AX390:AX453" si="323">IF(P390=23,"O",IF(P390=29,"O",IF(P390=31,"O",IF(P390=37,"O",IF(P390=41,"O",IF(P390=43,"O","X"))))))</f>
        <v>X</v>
      </c>
      <c r="AY390" s="22" t="str">
        <f t="shared" ref="AY390:AY453" si="324">IF(Q390=23,"O",IF(Q390=29,"O",IF(Q390=31,"O",IF(Q390=37,"O",IF(Q390=41,"O",IF(Q390=43,"O","X"))))))</f>
        <v>X</v>
      </c>
      <c r="AZ390" s="22" t="str">
        <f t="shared" ref="AZ390:AZ453" si="325">IF(R390=23,"O",IF(R390=29,"O",IF(R390=31,"O",IF(R390=37,"O",IF(R390=41,"O",IF(R390=43,"O","X"))))))</f>
        <v>O</v>
      </c>
      <c r="BA390" s="22" t="str">
        <f t="shared" ref="BA390:BA453" si="326">IF(S390=23,"O",IF(S390=29,"O",IF(S390=31,"O",IF(S390=37,"O",IF(S390=41,"O",IF(S390=43,"O","X"))))))</f>
        <v>X</v>
      </c>
      <c r="BB390" s="22">
        <f t="shared" ref="BB390:BB453" si="327">COUNTIF(AP390:BA390,"O")</f>
        <v>3</v>
      </c>
      <c r="BC390" s="22" t="str">
        <f t="shared" si="298"/>
        <v>1G</v>
      </c>
      <c r="BD390" s="22" t="str">
        <f t="shared" si="299"/>
        <v>1G</v>
      </c>
      <c r="BE390" s="22" t="str">
        <f t="shared" si="300"/>
        <v>1G</v>
      </c>
      <c r="BF390" s="22" t="str">
        <f t="shared" si="301"/>
        <v>2G</v>
      </c>
      <c r="BG390" s="22" t="str">
        <f t="shared" si="302"/>
        <v>3G</v>
      </c>
      <c r="BH390" s="22" t="str">
        <f t="shared" si="303"/>
        <v>3G</v>
      </c>
      <c r="BI390" s="22">
        <f t="shared" ref="BI390:BI453" si="328">COUNTIF($BC390:$BH390,"1G")</f>
        <v>3</v>
      </c>
      <c r="BJ390" s="22">
        <f t="shared" ref="BJ390:BJ453" si="329">COUNTIF($BC390:$BH390,"2G")</f>
        <v>1</v>
      </c>
      <c r="BK390" s="22">
        <f t="shared" ref="BK390:BK453" si="330">COUNTIF($BC390:$BH390,"3G")</f>
        <v>2</v>
      </c>
      <c r="BL390" s="22" t="str">
        <f t="shared" ref="BL390:BL453" si="331">BI390&amp;BJ390&amp;BK390</f>
        <v>312</v>
      </c>
      <c r="BS390"/>
      <c r="CL390" s="23">
        <v>165</v>
      </c>
      <c r="CM390" s="23">
        <v>160</v>
      </c>
      <c r="CO390"/>
    </row>
    <row r="391" spans="2:93" ht="17" hidden="1">
      <c r="B391" s="15">
        <v>387</v>
      </c>
      <c r="C391" s="23" t="s">
        <v>417</v>
      </c>
      <c r="D391" s="16">
        <v>4</v>
      </c>
      <c r="E391" s="17">
        <v>2675533500</v>
      </c>
      <c r="F391" s="16">
        <v>26</v>
      </c>
      <c r="G391" s="17">
        <v>68603424</v>
      </c>
      <c r="H391" s="17">
        <v>1177</v>
      </c>
      <c r="I391" s="17">
        <v>1515454</v>
      </c>
      <c r="J391" s="17">
        <v>58115</v>
      </c>
      <c r="K391" s="17">
        <v>61385</v>
      </c>
      <c r="L391" s="17">
        <v>978618</v>
      </c>
      <c r="M391" s="17">
        <v>5000</v>
      </c>
      <c r="N391" s="23">
        <v>1</v>
      </c>
      <c r="O391" s="23">
        <v>26</v>
      </c>
      <c r="P391" s="23">
        <v>31</v>
      </c>
      <c r="Q391" s="23">
        <v>34</v>
      </c>
      <c r="R391" s="23">
        <v>40</v>
      </c>
      <c r="S391" s="23">
        <v>43</v>
      </c>
      <c r="T391" s="23">
        <v>20</v>
      </c>
      <c r="U391" s="23">
        <f t="shared" si="304"/>
        <v>175</v>
      </c>
      <c r="W391" s="22" t="str">
        <f t="shared" si="289"/>
        <v>홀수</v>
      </c>
      <c r="X391" s="22" t="str">
        <f t="shared" si="290"/>
        <v>짝수</v>
      </c>
      <c r="Y391" s="22" t="str">
        <f t="shared" si="291"/>
        <v>홀수</v>
      </c>
      <c r="Z391" s="22" t="str">
        <f t="shared" si="292"/>
        <v>짝수</v>
      </c>
      <c r="AA391" s="22" t="str">
        <f t="shared" si="293"/>
        <v>짝수</v>
      </c>
      <c r="AB391" s="22" t="str">
        <f t="shared" si="294"/>
        <v>홀수</v>
      </c>
      <c r="AC391" s="52" t="str">
        <f t="shared" si="295"/>
        <v>3 : 3</v>
      </c>
      <c r="AD391" s="22">
        <f t="shared" si="296"/>
        <v>3</v>
      </c>
      <c r="AE391" s="22">
        <f t="shared" si="297"/>
        <v>3</v>
      </c>
      <c r="AF391" s="22" t="str">
        <f t="shared" si="305"/>
        <v>저수</v>
      </c>
      <c r="AG391" s="22" t="str">
        <f t="shared" si="306"/>
        <v>고수</v>
      </c>
      <c r="AH391" s="22" t="str">
        <f t="shared" si="307"/>
        <v>고수</v>
      </c>
      <c r="AI391" s="22" t="str">
        <f t="shared" si="308"/>
        <v>고수</v>
      </c>
      <c r="AJ391" s="22" t="str">
        <f t="shared" si="309"/>
        <v>고수</v>
      </c>
      <c r="AK391" s="22" t="str">
        <f t="shared" si="310"/>
        <v>고수</v>
      </c>
      <c r="AL391" s="52" t="str">
        <f t="shared" si="311"/>
        <v>1 : 5</v>
      </c>
      <c r="AM391" s="22">
        <f t="shared" si="312"/>
        <v>1</v>
      </c>
      <c r="AN391" s="22">
        <f t="shared" si="313"/>
        <v>5</v>
      </c>
      <c r="AO391" s="22">
        <f t="shared" si="314"/>
        <v>15</v>
      </c>
      <c r="AP391" s="22" t="str">
        <f t="shared" si="315"/>
        <v>X</v>
      </c>
      <c r="AQ391" s="22" t="str">
        <f t="shared" si="316"/>
        <v>X</v>
      </c>
      <c r="AR391" s="22" t="str">
        <f t="shared" si="317"/>
        <v>X</v>
      </c>
      <c r="AS391" s="22" t="str">
        <f t="shared" si="318"/>
        <v>X</v>
      </c>
      <c r="AT391" s="22" t="str">
        <f t="shared" si="319"/>
        <v>X</v>
      </c>
      <c r="AU391" s="22" t="str">
        <f t="shared" si="320"/>
        <v>X</v>
      </c>
      <c r="AV391" s="22" t="str">
        <f t="shared" si="321"/>
        <v>X</v>
      </c>
      <c r="AW391" s="22" t="str">
        <f t="shared" si="322"/>
        <v>X</v>
      </c>
      <c r="AX391" s="22" t="str">
        <f t="shared" si="323"/>
        <v>O</v>
      </c>
      <c r="AY391" s="22" t="str">
        <f t="shared" si="324"/>
        <v>X</v>
      </c>
      <c r="AZ391" s="22" t="str">
        <f t="shared" si="325"/>
        <v>X</v>
      </c>
      <c r="BA391" s="22" t="str">
        <f t="shared" si="326"/>
        <v>O</v>
      </c>
      <c r="BB391" s="22">
        <f t="shared" si="327"/>
        <v>2</v>
      </c>
      <c r="BC391" s="22" t="str">
        <f t="shared" si="298"/>
        <v>1G</v>
      </c>
      <c r="BD391" s="22" t="str">
        <f t="shared" si="299"/>
        <v>2G</v>
      </c>
      <c r="BE391" s="22" t="str">
        <f t="shared" si="300"/>
        <v>3G</v>
      </c>
      <c r="BF391" s="22" t="str">
        <f t="shared" si="301"/>
        <v>3G</v>
      </c>
      <c r="BG391" s="22" t="str">
        <f t="shared" si="302"/>
        <v>3G</v>
      </c>
      <c r="BH391" s="22" t="str">
        <f t="shared" si="303"/>
        <v>3G</v>
      </c>
      <c r="BI391" s="22">
        <f t="shared" si="328"/>
        <v>1</v>
      </c>
      <c r="BJ391" s="22">
        <f t="shared" si="329"/>
        <v>1</v>
      </c>
      <c r="BK391" s="22">
        <f t="shared" si="330"/>
        <v>4</v>
      </c>
      <c r="BL391" s="22" t="str">
        <f t="shared" si="331"/>
        <v>114</v>
      </c>
      <c r="BS391"/>
      <c r="CL391" s="23">
        <v>165</v>
      </c>
      <c r="CM391" s="23">
        <v>160</v>
      </c>
      <c r="CO391"/>
    </row>
    <row r="392" spans="2:93" ht="17" hidden="1">
      <c r="B392" s="15">
        <v>388</v>
      </c>
      <c r="C392" s="23" t="s">
        <v>418</v>
      </c>
      <c r="D392" s="16">
        <v>4</v>
      </c>
      <c r="E392" s="17">
        <v>2545543875</v>
      </c>
      <c r="F392" s="16">
        <v>30</v>
      </c>
      <c r="G392" s="17">
        <v>56567642</v>
      </c>
      <c r="H392" s="17">
        <v>1269</v>
      </c>
      <c r="I392" s="17">
        <v>1337297</v>
      </c>
      <c r="J392" s="17">
        <v>61475</v>
      </c>
      <c r="K392" s="17">
        <v>55211</v>
      </c>
      <c r="L392" s="17">
        <v>1036812</v>
      </c>
      <c r="M392" s="17">
        <v>5000</v>
      </c>
      <c r="N392" s="23">
        <v>1</v>
      </c>
      <c r="O392" s="23">
        <v>8</v>
      </c>
      <c r="P392" s="23">
        <v>9</v>
      </c>
      <c r="Q392" s="23">
        <v>17</v>
      </c>
      <c r="R392" s="23">
        <v>29</v>
      </c>
      <c r="S392" s="23">
        <v>32</v>
      </c>
      <c r="T392" s="23">
        <v>45</v>
      </c>
      <c r="U392" s="23">
        <f t="shared" si="304"/>
        <v>96</v>
      </c>
      <c r="W392" s="22" t="str">
        <f t="shared" si="289"/>
        <v>홀수</v>
      </c>
      <c r="X392" s="22" t="str">
        <f t="shared" si="290"/>
        <v>짝수</v>
      </c>
      <c r="Y392" s="22" t="str">
        <f t="shared" si="291"/>
        <v>홀수</v>
      </c>
      <c r="Z392" s="22" t="str">
        <f t="shared" si="292"/>
        <v>홀수</v>
      </c>
      <c r="AA392" s="22" t="str">
        <f t="shared" si="293"/>
        <v>홀수</v>
      </c>
      <c r="AB392" s="22" t="str">
        <f t="shared" si="294"/>
        <v>짝수</v>
      </c>
      <c r="AC392" s="52" t="str">
        <f t="shared" si="295"/>
        <v>4 : 2</v>
      </c>
      <c r="AD392" s="22">
        <f t="shared" si="296"/>
        <v>4</v>
      </c>
      <c r="AE392" s="22">
        <f t="shared" si="297"/>
        <v>2</v>
      </c>
      <c r="AF392" s="22" t="str">
        <f t="shared" si="305"/>
        <v>저수</v>
      </c>
      <c r="AG392" s="22" t="str">
        <f t="shared" si="306"/>
        <v>저수</v>
      </c>
      <c r="AH392" s="22" t="str">
        <f t="shared" si="307"/>
        <v>저수</v>
      </c>
      <c r="AI392" s="22" t="str">
        <f t="shared" si="308"/>
        <v>저수</v>
      </c>
      <c r="AJ392" s="22" t="str">
        <f t="shared" si="309"/>
        <v>고수</v>
      </c>
      <c r="AK392" s="22" t="str">
        <f t="shared" si="310"/>
        <v>고수</v>
      </c>
      <c r="AL392" s="52" t="str">
        <f t="shared" si="311"/>
        <v>4 : 2</v>
      </c>
      <c r="AM392" s="22">
        <f t="shared" si="312"/>
        <v>4</v>
      </c>
      <c r="AN392" s="22">
        <f t="shared" si="313"/>
        <v>2</v>
      </c>
      <c r="AO392" s="22">
        <f t="shared" si="314"/>
        <v>36</v>
      </c>
      <c r="AP392" s="22" t="str">
        <f t="shared" si="315"/>
        <v>X</v>
      </c>
      <c r="AQ392" s="22" t="str">
        <f t="shared" si="316"/>
        <v>X</v>
      </c>
      <c r="AR392" s="22" t="str">
        <f t="shared" si="317"/>
        <v>X</v>
      </c>
      <c r="AS392" s="22" t="str">
        <f t="shared" si="318"/>
        <v>O</v>
      </c>
      <c r="AT392" s="22" t="str">
        <f t="shared" si="319"/>
        <v>X</v>
      </c>
      <c r="AU392" s="22" t="str">
        <f t="shared" si="320"/>
        <v>X</v>
      </c>
      <c r="AV392" s="22" t="str">
        <f t="shared" si="321"/>
        <v>X</v>
      </c>
      <c r="AW392" s="22" t="str">
        <f t="shared" si="322"/>
        <v>X</v>
      </c>
      <c r="AX392" s="22" t="str">
        <f t="shared" si="323"/>
        <v>X</v>
      </c>
      <c r="AY392" s="22" t="str">
        <f t="shared" si="324"/>
        <v>X</v>
      </c>
      <c r="AZ392" s="22" t="str">
        <f t="shared" si="325"/>
        <v>O</v>
      </c>
      <c r="BA392" s="22" t="str">
        <f t="shared" si="326"/>
        <v>X</v>
      </c>
      <c r="BB392" s="22">
        <f t="shared" si="327"/>
        <v>2</v>
      </c>
      <c r="BC392" s="22" t="str">
        <f t="shared" si="298"/>
        <v>1G</v>
      </c>
      <c r="BD392" s="22" t="str">
        <f t="shared" si="299"/>
        <v>1G</v>
      </c>
      <c r="BE392" s="22" t="str">
        <f t="shared" si="300"/>
        <v>1G</v>
      </c>
      <c r="BF392" s="22" t="str">
        <f t="shared" si="301"/>
        <v>2G</v>
      </c>
      <c r="BG392" s="22" t="str">
        <f t="shared" si="302"/>
        <v>2G</v>
      </c>
      <c r="BH392" s="22" t="str">
        <f t="shared" si="303"/>
        <v>3G</v>
      </c>
      <c r="BI392" s="22">
        <f t="shared" si="328"/>
        <v>3</v>
      </c>
      <c r="BJ392" s="22">
        <f t="shared" si="329"/>
        <v>2</v>
      </c>
      <c r="BK392" s="22">
        <f t="shared" si="330"/>
        <v>1</v>
      </c>
      <c r="BL392" s="22" t="str">
        <f t="shared" si="331"/>
        <v>321</v>
      </c>
      <c r="BS392"/>
      <c r="CL392" s="23">
        <v>165</v>
      </c>
      <c r="CM392" s="23">
        <v>160</v>
      </c>
      <c r="CO392"/>
    </row>
    <row r="393" spans="2:93" ht="17" hidden="1">
      <c r="B393" s="15">
        <v>389</v>
      </c>
      <c r="C393" s="23" t="s">
        <v>419</v>
      </c>
      <c r="D393" s="16">
        <v>5</v>
      </c>
      <c r="E393" s="17">
        <v>2119027020</v>
      </c>
      <c r="F393" s="16">
        <v>36</v>
      </c>
      <c r="G393" s="17">
        <v>49051552</v>
      </c>
      <c r="H393" s="17">
        <v>1253</v>
      </c>
      <c r="I393" s="17">
        <v>1409303</v>
      </c>
      <c r="J393" s="17">
        <v>60800</v>
      </c>
      <c r="K393" s="17">
        <v>58088</v>
      </c>
      <c r="L393" s="17">
        <v>1021691</v>
      </c>
      <c r="M393" s="17">
        <v>5000</v>
      </c>
      <c r="N393" s="23">
        <v>7</v>
      </c>
      <c r="O393" s="23">
        <v>16</v>
      </c>
      <c r="P393" s="23">
        <v>18</v>
      </c>
      <c r="Q393" s="23">
        <v>20</v>
      </c>
      <c r="R393" s="23">
        <v>23</v>
      </c>
      <c r="S393" s="23">
        <v>26</v>
      </c>
      <c r="T393" s="23">
        <v>3</v>
      </c>
      <c r="U393" s="23">
        <f t="shared" si="304"/>
        <v>110</v>
      </c>
      <c r="W393" s="22" t="str">
        <f t="shared" si="289"/>
        <v>홀수</v>
      </c>
      <c r="X393" s="22" t="str">
        <f t="shared" si="290"/>
        <v>짝수</v>
      </c>
      <c r="Y393" s="22" t="str">
        <f t="shared" si="291"/>
        <v>짝수</v>
      </c>
      <c r="Z393" s="22" t="str">
        <f t="shared" si="292"/>
        <v>짝수</v>
      </c>
      <c r="AA393" s="22" t="str">
        <f t="shared" si="293"/>
        <v>홀수</v>
      </c>
      <c r="AB393" s="22" t="str">
        <f t="shared" si="294"/>
        <v>짝수</v>
      </c>
      <c r="AC393" s="52" t="str">
        <f t="shared" si="295"/>
        <v>2 : 4</v>
      </c>
      <c r="AD393" s="22">
        <f t="shared" si="296"/>
        <v>2</v>
      </c>
      <c r="AE393" s="22">
        <f t="shared" si="297"/>
        <v>4</v>
      </c>
      <c r="AF393" s="22" t="str">
        <f t="shared" si="305"/>
        <v>저수</v>
      </c>
      <c r="AG393" s="22" t="str">
        <f t="shared" si="306"/>
        <v>저수</v>
      </c>
      <c r="AH393" s="22" t="str">
        <f t="shared" si="307"/>
        <v>저수</v>
      </c>
      <c r="AI393" s="22" t="str">
        <f t="shared" si="308"/>
        <v>저수</v>
      </c>
      <c r="AJ393" s="22" t="str">
        <f t="shared" si="309"/>
        <v>고수</v>
      </c>
      <c r="AK393" s="22" t="str">
        <f t="shared" si="310"/>
        <v>고수</v>
      </c>
      <c r="AL393" s="52" t="str">
        <f t="shared" si="311"/>
        <v>4 : 2</v>
      </c>
      <c r="AM393" s="22">
        <f t="shared" si="312"/>
        <v>4</v>
      </c>
      <c r="AN393" s="22">
        <f t="shared" si="313"/>
        <v>2</v>
      </c>
      <c r="AO393" s="22">
        <f t="shared" si="314"/>
        <v>30</v>
      </c>
      <c r="AP393" s="22" t="str">
        <f t="shared" si="315"/>
        <v>O</v>
      </c>
      <c r="AQ393" s="22" t="str">
        <f t="shared" si="316"/>
        <v>X</v>
      </c>
      <c r="AR393" s="22" t="str">
        <f t="shared" si="317"/>
        <v>X</v>
      </c>
      <c r="AS393" s="22" t="str">
        <f t="shared" si="318"/>
        <v>X</v>
      </c>
      <c r="AT393" s="22" t="str">
        <f t="shared" si="319"/>
        <v>X</v>
      </c>
      <c r="AU393" s="22" t="str">
        <f t="shared" si="320"/>
        <v>X</v>
      </c>
      <c r="AV393" s="22" t="str">
        <f t="shared" si="321"/>
        <v>X</v>
      </c>
      <c r="AW393" s="22" t="str">
        <f t="shared" si="322"/>
        <v>X</v>
      </c>
      <c r="AX393" s="22" t="str">
        <f t="shared" si="323"/>
        <v>X</v>
      </c>
      <c r="AY393" s="22" t="str">
        <f t="shared" si="324"/>
        <v>X</v>
      </c>
      <c r="AZ393" s="22" t="str">
        <f t="shared" si="325"/>
        <v>O</v>
      </c>
      <c r="BA393" s="22" t="str">
        <f t="shared" si="326"/>
        <v>X</v>
      </c>
      <c r="BB393" s="22">
        <f t="shared" si="327"/>
        <v>2</v>
      </c>
      <c r="BC393" s="22" t="str">
        <f t="shared" si="298"/>
        <v>1G</v>
      </c>
      <c r="BD393" s="22" t="str">
        <f t="shared" si="299"/>
        <v>2G</v>
      </c>
      <c r="BE393" s="22" t="str">
        <f t="shared" si="300"/>
        <v>2G</v>
      </c>
      <c r="BF393" s="22" t="str">
        <f t="shared" si="301"/>
        <v>2G</v>
      </c>
      <c r="BG393" s="22" t="str">
        <f t="shared" si="302"/>
        <v>2G</v>
      </c>
      <c r="BH393" s="22" t="str">
        <f t="shared" si="303"/>
        <v>2G</v>
      </c>
      <c r="BI393" s="22">
        <f t="shared" si="328"/>
        <v>1</v>
      </c>
      <c r="BJ393" s="22">
        <f t="shared" si="329"/>
        <v>5</v>
      </c>
      <c r="BK393" s="22">
        <f t="shared" si="330"/>
        <v>0</v>
      </c>
      <c r="BL393" s="22" t="str">
        <f t="shared" si="331"/>
        <v>150</v>
      </c>
      <c r="BS393"/>
      <c r="CL393" s="23">
        <v>165</v>
      </c>
      <c r="CM393" s="23">
        <v>160</v>
      </c>
      <c r="CO393"/>
    </row>
    <row r="394" spans="2:93" ht="17" hidden="1">
      <c r="B394" s="15">
        <v>390</v>
      </c>
      <c r="C394" s="23" t="s">
        <v>420</v>
      </c>
      <c r="D394" s="16">
        <v>1</v>
      </c>
      <c r="E394" s="17">
        <v>10373997900</v>
      </c>
      <c r="F394" s="16">
        <v>37</v>
      </c>
      <c r="G394" s="17">
        <v>46729721</v>
      </c>
      <c r="H394" s="17">
        <v>1087</v>
      </c>
      <c r="I394" s="17">
        <v>1590617</v>
      </c>
      <c r="J394" s="17">
        <v>55834</v>
      </c>
      <c r="K394" s="17">
        <v>61934</v>
      </c>
      <c r="L394" s="17">
        <v>960968</v>
      </c>
      <c r="M394" s="17">
        <v>5000</v>
      </c>
      <c r="N394" s="23">
        <v>16</v>
      </c>
      <c r="O394" s="23">
        <v>17</v>
      </c>
      <c r="P394" s="23">
        <v>28</v>
      </c>
      <c r="Q394" s="23">
        <v>37</v>
      </c>
      <c r="R394" s="23">
        <v>39</v>
      </c>
      <c r="S394" s="23">
        <v>40</v>
      </c>
      <c r="T394" s="23">
        <v>15</v>
      </c>
      <c r="U394" s="23">
        <f t="shared" si="304"/>
        <v>177</v>
      </c>
      <c r="W394" s="22" t="str">
        <f t="shared" si="289"/>
        <v>짝수</v>
      </c>
      <c r="X394" s="22" t="str">
        <f t="shared" si="290"/>
        <v>홀수</v>
      </c>
      <c r="Y394" s="22" t="str">
        <f t="shared" si="291"/>
        <v>짝수</v>
      </c>
      <c r="Z394" s="22" t="str">
        <f t="shared" si="292"/>
        <v>홀수</v>
      </c>
      <c r="AA394" s="22" t="str">
        <f t="shared" si="293"/>
        <v>홀수</v>
      </c>
      <c r="AB394" s="22" t="str">
        <f t="shared" si="294"/>
        <v>짝수</v>
      </c>
      <c r="AC394" s="52" t="str">
        <f t="shared" si="295"/>
        <v>3 : 3</v>
      </c>
      <c r="AD394" s="22">
        <f t="shared" si="296"/>
        <v>3</v>
      </c>
      <c r="AE394" s="22">
        <f t="shared" si="297"/>
        <v>3</v>
      </c>
      <c r="AF394" s="22" t="str">
        <f t="shared" si="305"/>
        <v>저수</v>
      </c>
      <c r="AG394" s="22" t="str">
        <f t="shared" si="306"/>
        <v>저수</v>
      </c>
      <c r="AH394" s="22" t="str">
        <f t="shared" si="307"/>
        <v>고수</v>
      </c>
      <c r="AI394" s="22" t="str">
        <f t="shared" si="308"/>
        <v>고수</v>
      </c>
      <c r="AJ394" s="22" t="str">
        <f t="shared" si="309"/>
        <v>고수</v>
      </c>
      <c r="AK394" s="22" t="str">
        <f t="shared" si="310"/>
        <v>고수</v>
      </c>
      <c r="AL394" s="52" t="str">
        <f t="shared" si="311"/>
        <v>2 : 4</v>
      </c>
      <c r="AM394" s="22">
        <f t="shared" si="312"/>
        <v>2</v>
      </c>
      <c r="AN394" s="22">
        <f t="shared" si="313"/>
        <v>4</v>
      </c>
      <c r="AO394" s="22">
        <f t="shared" si="314"/>
        <v>37</v>
      </c>
      <c r="AP394" s="22" t="str">
        <f t="shared" si="315"/>
        <v>X</v>
      </c>
      <c r="AQ394" s="22" t="str">
        <f t="shared" si="316"/>
        <v>O</v>
      </c>
      <c r="AR394" s="22" t="str">
        <f t="shared" si="317"/>
        <v>X</v>
      </c>
      <c r="AS394" s="22" t="str">
        <f t="shared" si="318"/>
        <v>X</v>
      </c>
      <c r="AT394" s="22" t="str">
        <f t="shared" si="319"/>
        <v>X</v>
      </c>
      <c r="AU394" s="22" t="str">
        <f t="shared" si="320"/>
        <v>X</v>
      </c>
      <c r="AV394" s="22" t="str">
        <f t="shared" si="321"/>
        <v>X</v>
      </c>
      <c r="AW394" s="22" t="str">
        <f t="shared" si="322"/>
        <v>X</v>
      </c>
      <c r="AX394" s="22" t="str">
        <f t="shared" si="323"/>
        <v>X</v>
      </c>
      <c r="AY394" s="22" t="str">
        <f t="shared" si="324"/>
        <v>O</v>
      </c>
      <c r="AZ394" s="22" t="str">
        <f t="shared" si="325"/>
        <v>X</v>
      </c>
      <c r="BA394" s="22" t="str">
        <f t="shared" si="326"/>
        <v>X</v>
      </c>
      <c r="BB394" s="22">
        <f t="shared" si="327"/>
        <v>2</v>
      </c>
      <c r="BC394" s="22" t="str">
        <f t="shared" si="298"/>
        <v>2G</v>
      </c>
      <c r="BD394" s="22" t="str">
        <f t="shared" si="299"/>
        <v>2G</v>
      </c>
      <c r="BE394" s="22" t="str">
        <f t="shared" si="300"/>
        <v>2G</v>
      </c>
      <c r="BF394" s="22" t="str">
        <f t="shared" si="301"/>
        <v>3G</v>
      </c>
      <c r="BG394" s="22" t="str">
        <f t="shared" si="302"/>
        <v>3G</v>
      </c>
      <c r="BH394" s="22" t="str">
        <f t="shared" si="303"/>
        <v>3G</v>
      </c>
      <c r="BI394" s="22">
        <f t="shared" si="328"/>
        <v>0</v>
      </c>
      <c r="BJ394" s="22">
        <f t="shared" si="329"/>
        <v>3</v>
      </c>
      <c r="BK394" s="22">
        <f t="shared" si="330"/>
        <v>3</v>
      </c>
      <c r="BL394" s="22" t="str">
        <f t="shared" si="331"/>
        <v>033</v>
      </c>
      <c r="BS394"/>
      <c r="CL394" s="23">
        <v>165</v>
      </c>
      <c r="CM394" s="23">
        <v>160</v>
      </c>
      <c r="CO394"/>
    </row>
    <row r="395" spans="2:93" ht="17" hidden="1">
      <c r="B395" s="15">
        <v>391</v>
      </c>
      <c r="C395" s="23" t="s">
        <v>421</v>
      </c>
      <c r="D395" s="16">
        <v>1</v>
      </c>
      <c r="E395" s="17">
        <v>10508749800</v>
      </c>
      <c r="F395" s="16">
        <v>32</v>
      </c>
      <c r="G395" s="17">
        <v>54733072</v>
      </c>
      <c r="H395" s="17">
        <v>1337</v>
      </c>
      <c r="I395" s="17">
        <v>1309992</v>
      </c>
      <c r="J395" s="17">
        <v>60803</v>
      </c>
      <c r="K395" s="17">
        <v>57611</v>
      </c>
      <c r="L395" s="17">
        <v>1013235</v>
      </c>
      <c r="M395" s="17">
        <v>5000</v>
      </c>
      <c r="N395" s="23">
        <v>10</v>
      </c>
      <c r="O395" s="23">
        <v>11</v>
      </c>
      <c r="P395" s="23">
        <v>18</v>
      </c>
      <c r="Q395" s="23">
        <v>22</v>
      </c>
      <c r="R395" s="23">
        <v>28</v>
      </c>
      <c r="S395" s="23">
        <v>39</v>
      </c>
      <c r="T395" s="23">
        <v>30</v>
      </c>
      <c r="U395" s="23">
        <f t="shared" si="304"/>
        <v>128</v>
      </c>
      <c r="W395" s="22" t="str">
        <f t="shared" si="289"/>
        <v>짝수</v>
      </c>
      <c r="X395" s="22" t="str">
        <f t="shared" si="290"/>
        <v>홀수</v>
      </c>
      <c r="Y395" s="22" t="str">
        <f t="shared" si="291"/>
        <v>짝수</v>
      </c>
      <c r="Z395" s="22" t="str">
        <f t="shared" si="292"/>
        <v>짝수</v>
      </c>
      <c r="AA395" s="22" t="str">
        <f t="shared" si="293"/>
        <v>짝수</v>
      </c>
      <c r="AB395" s="22" t="str">
        <f t="shared" si="294"/>
        <v>홀수</v>
      </c>
      <c r="AC395" s="52" t="str">
        <f t="shared" si="295"/>
        <v>2 : 4</v>
      </c>
      <c r="AD395" s="22">
        <f t="shared" si="296"/>
        <v>2</v>
      </c>
      <c r="AE395" s="22">
        <f t="shared" si="297"/>
        <v>4</v>
      </c>
      <c r="AF395" s="22" t="str">
        <f t="shared" si="305"/>
        <v>저수</v>
      </c>
      <c r="AG395" s="22" t="str">
        <f t="shared" si="306"/>
        <v>저수</v>
      </c>
      <c r="AH395" s="22" t="str">
        <f t="shared" si="307"/>
        <v>저수</v>
      </c>
      <c r="AI395" s="22" t="str">
        <f t="shared" si="308"/>
        <v>저수</v>
      </c>
      <c r="AJ395" s="22" t="str">
        <f t="shared" si="309"/>
        <v>고수</v>
      </c>
      <c r="AK395" s="22" t="str">
        <f t="shared" si="310"/>
        <v>고수</v>
      </c>
      <c r="AL395" s="52" t="str">
        <f t="shared" si="311"/>
        <v>4 : 2</v>
      </c>
      <c r="AM395" s="22">
        <f t="shared" si="312"/>
        <v>4</v>
      </c>
      <c r="AN395" s="22">
        <f t="shared" si="313"/>
        <v>2</v>
      </c>
      <c r="AO395" s="22">
        <f t="shared" si="314"/>
        <v>28</v>
      </c>
      <c r="AP395" s="22" t="str">
        <f t="shared" si="315"/>
        <v>X</v>
      </c>
      <c r="AQ395" s="22" t="str">
        <f t="shared" si="316"/>
        <v>O</v>
      </c>
      <c r="AR395" s="22" t="str">
        <f t="shared" si="317"/>
        <v>X</v>
      </c>
      <c r="AS395" s="22" t="str">
        <f t="shared" si="318"/>
        <v>X</v>
      </c>
      <c r="AT395" s="22" t="str">
        <f t="shared" si="319"/>
        <v>X</v>
      </c>
      <c r="AU395" s="22" t="str">
        <f t="shared" si="320"/>
        <v>X</v>
      </c>
      <c r="AV395" s="22" t="str">
        <f t="shared" si="321"/>
        <v>X</v>
      </c>
      <c r="AW395" s="22" t="str">
        <f t="shared" si="322"/>
        <v>X</v>
      </c>
      <c r="AX395" s="22" t="str">
        <f t="shared" si="323"/>
        <v>X</v>
      </c>
      <c r="AY395" s="22" t="str">
        <f t="shared" si="324"/>
        <v>X</v>
      </c>
      <c r="AZ395" s="22" t="str">
        <f t="shared" si="325"/>
        <v>X</v>
      </c>
      <c r="BA395" s="22" t="str">
        <f t="shared" si="326"/>
        <v>X</v>
      </c>
      <c r="BB395" s="22">
        <f t="shared" si="327"/>
        <v>1</v>
      </c>
      <c r="BC395" s="22" t="str">
        <f t="shared" si="298"/>
        <v>1G</v>
      </c>
      <c r="BD395" s="22" t="str">
        <f t="shared" si="299"/>
        <v>1G</v>
      </c>
      <c r="BE395" s="22" t="str">
        <f t="shared" si="300"/>
        <v>2G</v>
      </c>
      <c r="BF395" s="22" t="str">
        <f t="shared" si="301"/>
        <v>2G</v>
      </c>
      <c r="BG395" s="22" t="str">
        <f t="shared" si="302"/>
        <v>2G</v>
      </c>
      <c r="BH395" s="22" t="str">
        <f t="shared" si="303"/>
        <v>3G</v>
      </c>
      <c r="BI395" s="22">
        <f t="shared" si="328"/>
        <v>2</v>
      </c>
      <c r="BJ395" s="22">
        <f t="shared" si="329"/>
        <v>3</v>
      </c>
      <c r="BK395" s="22">
        <f t="shared" si="330"/>
        <v>1</v>
      </c>
      <c r="BL395" s="22" t="str">
        <f t="shared" si="331"/>
        <v>231</v>
      </c>
      <c r="BS395"/>
      <c r="CL395" s="23">
        <v>165</v>
      </c>
      <c r="CM395" s="23">
        <v>160</v>
      </c>
      <c r="CO395"/>
    </row>
    <row r="396" spans="2:93" ht="17" hidden="1">
      <c r="B396" s="15">
        <v>392</v>
      </c>
      <c r="C396" s="23" t="s">
        <v>422</v>
      </c>
      <c r="D396" s="16">
        <v>6</v>
      </c>
      <c r="E396" s="17">
        <v>1713528700</v>
      </c>
      <c r="F396" s="16">
        <v>30</v>
      </c>
      <c r="G396" s="17">
        <v>57117624</v>
      </c>
      <c r="H396" s="17">
        <v>1504</v>
      </c>
      <c r="I396" s="17">
        <v>1139315</v>
      </c>
      <c r="J396" s="17">
        <v>73927</v>
      </c>
      <c r="K396" s="17">
        <v>46358</v>
      </c>
      <c r="L396" s="17">
        <v>1125811</v>
      </c>
      <c r="M396" s="17">
        <v>5000</v>
      </c>
      <c r="N396" s="23">
        <v>1</v>
      </c>
      <c r="O396" s="23">
        <v>3</v>
      </c>
      <c r="P396" s="23">
        <v>7</v>
      </c>
      <c r="Q396" s="23">
        <v>8</v>
      </c>
      <c r="R396" s="23">
        <v>24</v>
      </c>
      <c r="S396" s="23">
        <v>42</v>
      </c>
      <c r="T396" s="23">
        <v>43</v>
      </c>
      <c r="U396" s="23">
        <f t="shared" si="304"/>
        <v>85</v>
      </c>
      <c r="W396" s="22" t="str">
        <f t="shared" si="289"/>
        <v>홀수</v>
      </c>
      <c r="X396" s="22" t="str">
        <f t="shared" si="290"/>
        <v>홀수</v>
      </c>
      <c r="Y396" s="22" t="str">
        <f t="shared" si="291"/>
        <v>홀수</v>
      </c>
      <c r="Z396" s="22" t="str">
        <f t="shared" si="292"/>
        <v>짝수</v>
      </c>
      <c r="AA396" s="22" t="str">
        <f t="shared" si="293"/>
        <v>짝수</v>
      </c>
      <c r="AB396" s="22" t="str">
        <f t="shared" si="294"/>
        <v>짝수</v>
      </c>
      <c r="AC396" s="52" t="str">
        <f t="shared" si="295"/>
        <v>3 : 3</v>
      </c>
      <c r="AD396" s="22">
        <f t="shared" si="296"/>
        <v>3</v>
      </c>
      <c r="AE396" s="22">
        <f t="shared" si="297"/>
        <v>3</v>
      </c>
      <c r="AF396" s="22" t="str">
        <f t="shared" si="305"/>
        <v>저수</v>
      </c>
      <c r="AG396" s="22" t="str">
        <f t="shared" si="306"/>
        <v>저수</v>
      </c>
      <c r="AH396" s="22" t="str">
        <f t="shared" si="307"/>
        <v>저수</v>
      </c>
      <c r="AI396" s="22" t="str">
        <f t="shared" si="308"/>
        <v>저수</v>
      </c>
      <c r="AJ396" s="22" t="str">
        <f t="shared" si="309"/>
        <v>고수</v>
      </c>
      <c r="AK396" s="22" t="str">
        <f t="shared" si="310"/>
        <v>고수</v>
      </c>
      <c r="AL396" s="52" t="str">
        <f t="shared" si="311"/>
        <v>4 : 2</v>
      </c>
      <c r="AM396" s="22">
        <f t="shared" si="312"/>
        <v>4</v>
      </c>
      <c r="AN396" s="22">
        <f t="shared" si="313"/>
        <v>2</v>
      </c>
      <c r="AO396" s="22">
        <f t="shared" si="314"/>
        <v>25</v>
      </c>
      <c r="AP396" s="22" t="str">
        <f t="shared" si="315"/>
        <v>X</v>
      </c>
      <c r="AQ396" s="22" t="str">
        <f t="shared" si="316"/>
        <v>O</v>
      </c>
      <c r="AR396" s="22" t="str">
        <f t="shared" si="317"/>
        <v>O</v>
      </c>
      <c r="AS396" s="22" t="str">
        <f t="shared" si="318"/>
        <v>X</v>
      </c>
      <c r="AT396" s="22" t="str">
        <f t="shared" si="319"/>
        <v>X</v>
      </c>
      <c r="AU396" s="22" t="str">
        <f t="shared" si="320"/>
        <v>X</v>
      </c>
      <c r="AV396" s="22" t="str">
        <f t="shared" si="321"/>
        <v>X</v>
      </c>
      <c r="AW396" s="22" t="str">
        <f t="shared" si="322"/>
        <v>X</v>
      </c>
      <c r="AX396" s="22" t="str">
        <f t="shared" si="323"/>
        <v>X</v>
      </c>
      <c r="AY396" s="22" t="str">
        <f t="shared" si="324"/>
        <v>X</v>
      </c>
      <c r="AZ396" s="22" t="str">
        <f t="shared" si="325"/>
        <v>X</v>
      </c>
      <c r="BA396" s="22" t="str">
        <f t="shared" si="326"/>
        <v>X</v>
      </c>
      <c r="BB396" s="22">
        <f t="shared" si="327"/>
        <v>2</v>
      </c>
      <c r="BC396" s="22" t="str">
        <f t="shared" si="298"/>
        <v>1G</v>
      </c>
      <c r="BD396" s="22" t="str">
        <f t="shared" si="299"/>
        <v>1G</v>
      </c>
      <c r="BE396" s="22" t="str">
        <f t="shared" si="300"/>
        <v>1G</v>
      </c>
      <c r="BF396" s="22" t="str">
        <f t="shared" si="301"/>
        <v>1G</v>
      </c>
      <c r="BG396" s="22" t="str">
        <f t="shared" si="302"/>
        <v>2G</v>
      </c>
      <c r="BH396" s="22" t="str">
        <f t="shared" si="303"/>
        <v>3G</v>
      </c>
      <c r="BI396" s="22">
        <f t="shared" si="328"/>
        <v>4</v>
      </c>
      <c r="BJ396" s="22">
        <f t="shared" si="329"/>
        <v>1</v>
      </c>
      <c r="BK396" s="22">
        <f t="shared" si="330"/>
        <v>1</v>
      </c>
      <c r="BL396" s="22" t="str">
        <f t="shared" si="331"/>
        <v>411</v>
      </c>
      <c r="BS396"/>
      <c r="CL396" s="23">
        <v>166</v>
      </c>
      <c r="CM396" s="23">
        <v>160</v>
      </c>
      <c r="CO396"/>
    </row>
    <row r="397" spans="2:93" ht="17" hidden="1">
      <c r="B397" s="15">
        <v>393</v>
      </c>
      <c r="C397" s="23" t="s">
        <v>423</v>
      </c>
      <c r="D397" s="16">
        <v>8</v>
      </c>
      <c r="E397" s="17">
        <v>1362003975</v>
      </c>
      <c r="F397" s="16">
        <v>35</v>
      </c>
      <c r="G397" s="17">
        <v>51885866</v>
      </c>
      <c r="H397" s="17">
        <v>1072</v>
      </c>
      <c r="I397" s="17">
        <v>1694035</v>
      </c>
      <c r="J397" s="17">
        <v>55951</v>
      </c>
      <c r="K397" s="17">
        <v>64915</v>
      </c>
      <c r="L397" s="17">
        <v>966901</v>
      </c>
      <c r="M397" s="17">
        <v>5000</v>
      </c>
      <c r="N397" s="23">
        <v>9</v>
      </c>
      <c r="O397" s="23">
        <v>16</v>
      </c>
      <c r="P397" s="23">
        <v>28</v>
      </c>
      <c r="Q397" s="23">
        <v>40</v>
      </c>
      <c r="R397" s="23">
        <v>41</v>
      </c>
      <c r="S397" s="23">
        <v>43</v>
      </c>
      <c r="T397" s="23">
        <v>21</v>
      </c>
      <c r="U397" s="23">
        <f t="shared" si="304"/>
        <v>177</v>
      </c>
      <c r="W397" s="22" t="str">
        <f t="shared" si="289"/>
        <v>홀수</v>
      </c>
      <c r="X397" s="22" t="str">
        <f t="shared" si="290"/>
        <v>짝수</v>
      </c>
      <c r="Y397" s="22" t="str">
        <f t="shared" si="291"/>
        <v>짝수</v>
      </c>
      <c r="Z397" s="22" t="str">
        <f t="shared" si="292"/>
        <v>짝수</v>
      </c>
      <c r="AA397" s="22" t="str">
        <f t="shared" si="293"/>
        <v>홀수</v>
      </c>
      <c r="AB397" s="22" t="str">
        <f t="shared" si="294"/>
        <v>홀수</v>
      </c>
      <c r="AC397" s="52" t="str">
        <f t="shared" si="295"/>
        <v>3 : 3</v>
      </c>
      <c r="AD397" s="22">
        <f t="shared" si="296"/>
        <v>3</v>
      </c>
      <c r="AE397" s="22">
        <f t="shared" si="297"/>
        <v>3</v>
      </c>
      <c r="AF397" s="22" t="str">
        <f t="shared" si="305"/>
        <v>저수</v>
      </c>
      <c r="AG397" s="22" t="str">
        <f t="shared" si="306"/>
        <v>저수</v>
      </c>
      <c r="AH397" s="22" t="str">
        <f t="shared" si="307"/>
        <v>고수</v>
      </c>
      <c r="AI397" s="22" t="str">
        <f t="shared" si="308"/>
        <v>고수</v>
      </c>
      <c r="AJ397" s="22" t="str">
        <f t="shared" si="309"/>
        <v>고수</v>
      </c>
      <c r="AK397" s="22" t="str">
        <f t="shared" si="310"/>
        <v>고수</v>
      </c>
      <c r="AL397" s="52" t="str">
        <f t="shared" si="311"/>
        <v>2 : 4</v>
      </c>
      <c r="AM397" s="22">
        <f t="shared" si="312"/>
        <v>2</v>
      </c>
      <c r="AN397" s="22">
        <f t="shared" si="313"/>
        <v>4</v>
      </c>
      <c r="AO397" s="22">
        <f t="shared" si="314"/>
        <v>27</v>
      </c>
      <c r="AP397" s="22" t="str">
        <f t="shared" si="315"/>
        <v>X</v>
      </c>
      <c r="AQ397" s="22" t="str">
        <f t="shared" si="316"/>
        <v>X</v>
      </c>
      <c r="AR397" s="22" t="str">
        <f t="shared" si="317"/>
        <v>X</v>
      </c>
      <c r="AS397" s="22" t="str">
        <f t="shared" si="318"/>
        <v>X</v>
      </c>
      <c r="AT397" s="22" t="str">
        <f t="shared" si="319"/>
        <v>X</v>
      </c>
      <c r="AU397" s="22" t="str">
        <f t="shared" si="320"/>
        <v>X</v>
      </c>
      <c r="AV397" s="22" t="str">
        <f t="shared" si="321"/>
        <v>X</v>
      </c>
      <c r="AW397" s="22" t="str">
        <f t="shared" si="322"/>
        <v>X</v>
      </c>
      <c r="AX397" s="22" t="str">
        <f t="shared" si="323"/>
        <v>X</v>
      </c>
      <c r="AY397" s="22" t="str">
        <f t="shared" si="324"/>
        <v>X</v>
      </c>
      <c r="AZ397" s="22" t="str">
        <f t="shared" si="325"/>
        <v>O</v>
      </c>
      <c r="BA397" s="22" t="str">
        <f t="shared" si="326"/>
        <v>O</v>
      </c>
      <c r="BB397" s="22">
        <f t="shared" si="327"/>
        <v>2</v>
      </c>
      <c r="BC397" s="22" t="str">
        <f t="shared" si="298"/>
        <v>1G</v>
      </c>
      <c r="BD397" s="22" t="str">
        <f t="shared" si="299"/>
        <v>2G</v>
      </c>
      <c r="BE397" s="22" t="str">
        <f t="shared" si="300"/>
        <v>2G</v>
      </c>
      <c r="BF397" s="22" t="str">
        <f t="shared" si="301"/>
        <v>3G</v>
      </c>
      <c r="BG397" s="22" t="str">
        <f t="shared" si="302"/>
        <v>3G</v>
      </c>
      <c r="BH397" s="22" t="str">
        <f t="shared" si="303"/>
        <v>3G</v>
      </c>
      <c r="BI397" s="22">
        <f t="shared" si="328"/>
        <v>1</v>
      </c>
      <c r="BJ397" s="22">
        <f t="shared" si="329"/>
        <v>2</v>
      </c>
      <c r="BK397" s="22">
        <f t="shared" si="330"/>
        <v>3</v>
      </c>
      <c r="BL397" s="22" t="str">
        <f t="shared" si="331"/>
        <v>123</v>
      </c>
      <c r="BS397"/>
      <c r="CL397" s="23">
        <v>166</v>
      </c>
      <c r="CM397" s="23">
        <v>160</v>
      </c>
      <c r="CO397"/>
    </row>
    <row r="398" spans="2:93" ht="17" hidden="1">
      <c r="B398" s="15">
        <v>394</v>
      </c>
      <c r="C398" s="23" t="s">
        <v>424</v>
      </c>
      <c r="D398" s="16">
        <v>1</v>
      </c>
      <c r="E398" s="17">
        <v>10654349100</v>
      </c>
      <c r="F398" s="16">
        <v>33</v>
      </c>
      <c r="G398" s="17">
        <v>53809844</v>
      </c>
      <c r="H398" s="17">
        <v>1204</v>
      </c>
      <c r="I398" s="17">
        <v>1474855</v>
      </c>
      <c r="J398" s="17">
        <v>56300</v>
      </c>
      <c r="K398" s="17">
        <v>63081</v>
      </c>
      <c r="L398" s="17">
        <v>967784</v>
      </c>
      <c r="M398" s="17">
        <v>5000</v>
      </c>
      <c r="N398" s="23">
        <v>1</v>
      </c>
      <c r="O398" s="23">
        <v>13</v>
      </c>
      <c r="P398" s="23">
        <v>20</v>
      </c>
      <c r="Q398" s="23">
        <v>22</v>
      </c>
      <c r="R398" s="23">
        <v>25</v>
      </c>
      <c r="S398" s="23">
        <v>28</v>
      </c>
      <c r="T398" s="23">
        <v>15</v>
      </c>
      <c r="U398" s="23">
        <f t="shared" si="304"/>
        <v>109</v>
      </c>
      <c r="W398" s="22" t="str">
        <f t="shared" si="289"/>
        <v>홀수</v>
      </c>
      <c r="X398" s="22" t="str">
        <f t="shared" si="290"/>
        <v>홀수</v>
      </c>
      <c r="Y398" s="22" t="str">
        <f t="shared" si="291"/>
        <v>짝수</v>
      </c>
      <c r="Z398" s="22" t="str">
        <f t="shared" si="292"/>
        <v>짝수</v>
      </c>
      <c r="AA398" s="22" t="str">
        <f t="shared" si="293"/>
        <v>홀수</v>
      </c>
      <c r="AB398" s="22" t="str">
        <f t="shared" si="294"/>
        <v>짝수</v>
      </c>
      <c r="AC398" s="52" t="str">
        <f t="shared" si="295"/>
        <v>3 : 3</v>
      </c>
      <c r="AD398" s="22">
        <f t="shared" si="296"/>
        <v>3</v>
      </c>
      <c r="AE398" s="22">
        <f t="shared" si="297"/>
        <v>3</v>
      </c>
      <c r="AF398" s="22" t="str">
        <f t="shared" si="305"/>
        <v>저수</v>
      </c>
      <c r="AG398" s="22" t="str">
        <f t="shared" si="306"/>
        <v>저수</v>
      </c>
      <c r="AH398" s="22" t="str">
        <f t="shared" si="307"/>
        <v>저수</v>
      </c>
      <c r="AI398" s="22" t="str">
        <f t="shared" si="308"/>
        <v>저수</v>
      </c>
      <c r="AJ398" s="22" t="str">
        <f t="shared" si="309"/>
        <v>고수</v>
      </c>
      <c r="AK398" s="22" t="str">
        <f t="shared" si="310"/>
        <v>고수</v>
      </c>
      <c r="AL398" s="52" t="str">
        <f t="shared" si="311"/>
        <v>4 : 2</v>
      </c>
      <c r="AM398" s="22">
        <f t="shared" si="312"/>
        <v>4</v>
      </c>
      <c r="AN398" s="22">
        <f t="shared" si="313"/>
        <v>2</v>
      </c>
      <c r="AO398" s="22">
        <f t="shared" si="314"/>
        <v>19</v>
      </c>
      <c r="AP398" s="22" t="str">
        <f t="shared" si="315"/>
        <v>X</v>
      </c>
      <c r="AQ398" s="22" t="str">
        <f t="shared" si="316"/>
        <v>O</v>
      </c>
      <c r="AR398" s="22" t="str">
        <f t="shared" si="317"/>
        <v>X</v>
      </c>
      <c r="AS398" s="22" t="str">
        <f t="shared" si="318"/>
        <v>X</v>
      </c>
      <c r="AT398" s="22" t="str">
        <f t="shared" si="319"/>
        <v>X</v>
      </c>
      <c r="AU398" s="22" t="str">
        <f t="shared" si="320"/>
        <v>X</v>
      </c>
      <c r="AV398" s="22" t="str">
        <f t="shared" si="321"/>
        <v>X</v>
      </c>
      <c r="AW398" s="22" t="str">
        <f t="shared" si="322"/>
        <v>X</v>
      </c>
      <c r="AX398" s="22" t="str">
        <f t="shared" si="323"/>
        <v>X</v>
      </c>
      <c r="AY398" s="22" t="str">
        <f t="shared" si="324"/>
        <v>X</v>
      </c>
      <c r="AZ398" s="22" t="str">
        <f t="shared" si="325"/>
        <v>X</v>
      </c>
      <c r="BA398" s="22" t="str">
        <f t="shared" si="326"/>
        <v>X</v>
      </c>
      <c r="BB398" s="22">
        <f t="shared" si="327"/>
        <v>1</v>
      </c>
      <c r="BC398" s="22" t="str">
        <f t="shared" si="298"/>
        <v>1G</v>
      </c>
      <c r="BD398" s="22" t="str">
        <f t="shared" si="299"/>
        <v>1G</v>
      </c>
      <c r="BE398" s="22" t="str">
        <f t="shared" si="300"/>
        <v>2G</v>
      </c>
      <c r="BF398" s="22" t="str">
        <f t="shared" si="301"/>
        <v>2G</v>
      </c>
      <c r="BG398" s="22" t="str">
        <f t="shared" si="302"/>
        <v>2G</v>
      </c>
      <c r="BH398" s="22" t="str">
        <f t="shared" si="303"/>
        <v>2G</v>
      </c>
      <c r="BI398" s="22">
        <f t="shared" si="328"/>
        <v>2</v>
      </c>
      <c r="BJ398" s="22">
        <f t="shared" si="329"/>
        <v>4</v>
      </c>
      <c r="BK398" s="22">
        <f t="shared" si="330"/>
        <v>0</v>
      </c>
      <c r="BL398" s="22" t="str">
        <f t="shared" si="331"/>
        <v>240</v>
      </c>
      <c r="BS398"/>
      <c r="CL398" s="23">
        <v>166</v>
      </c>
      <c r="CM398" s="23">
        <v>160</v>
      </c>
      <c r="CO398"/>
    </row>
    <row r="399" spans="2:93" ht="17" hidden="1">
      <c r="B399" s="15">
        <v>395</v>
      </c>
      <c r="C399" s="23" t="s">
        <v>425</v>
      </c>
      <c r="D399" s="16">
        <v>7</v>
      </c>
      <c r="E399" s="17">
        <v>1534635000</v>
      </c>
      <c r="F399" s="16">
        <v>42</v>
      </c>
      <c r="G399" s="17">
        <v>42628750</v>
      </c>
      <c r="H399" s="17">
        <v>1420</v>
      </c>
      <c r="I399" s="17">
        <v>1260851</v>
      </c>
      <c r="J399" s="17">
        <v>64267</v>
      </c>
      <c r="K399" s="17">
        <v>55718</v>
      </c>
      <c r="L399" s="17">
        <v>1038443</v>
      </c>
      <c r="M399" s="17">
        <v>5000</v>
      </c>
      <c r="N399" s="23">
        <v>11</v>
      </c>
      <c r="O399" s="23">
        <v>15</v>
      </c>
      <c r="P399" s="23">
        <v>20</v>
      </c>
      <c r="Q399" s="23">
        <v>26</v>
      </c>
      <c r="R399" s="23">
        <v>31</v>
      </c>
      <c r="S399" s="23">
        <v>35</v>
      </c>
      <c r="T399" s="23">
        <v>7</v>
      </c>
      <c r="U399" s="23">
        <f t="shared" si="304"/>
        <v>138</v>
      </c>
      <c r="W399" s="22" t="str">
        <f t="shared" si="289"/>
        <v>홀수</v>
      </c>
      <c r="X399" s="22" t="str">
        <f t="shared" si="290"/>
        <v>홀수</v>
      </c>
      <c r="Y399" s="22" t="str">
        <f t="shared" si="291"/>
        <v>짝수</v>
      </c>
      <c r="Z399" s="22" t="str">
        <f t="shared" si="292"/>
        <v>짝수</v>
      </c>
      <c r="AA399" s="22" t="str">
        <f t="shared" si="293"/>
        <v>홀수</v>
      </c>
      <c r="AB399" s="22" t="str">
        <f t="shared" si="294"/>
        <v>홀수</v>
      </c>
      <c r="AC399" s="52" t="str">
        <f t="shared" si="295"/>
        <v>4 : 2</v>
      </c>
      <c r="AD399" s="22">
        <f t="shared" si="296"/>
        <v>4</v>
      </c>
      <c r="AE399" s="22">
        <f t="shared" si="297"/>
        <v>2</v>
      </c>
      <c r="AF399" s="22" t="str">
        <f t="shared" si="305"/>
        <v>저수</v>
      </c>
      <c r="AG399" s="22" t="str">
        <f t="shared" si="306"/>
        <v>저수</v>
      </c>
      <c r="AH399" s="22" t="str">
        <f t="shared" si="307"/>
        <v>저수</v>
      </c>
      <c r="AI399" s="22" t="str">
        <f t="shared" si="308"/>
        <v>고수</v>
      </c>
      <c r="AJ399" s="22" t="str">
        <f t="shared" si="309"/>
        <v>고수</v>
      </c>
      <c r="AK399" s="22" t="str">
        <f t="shared" si="310"/>
        <v>고수</v>
      </c>
      <c r="AL399" s="52" t="str">
        <f t="shared" si="311"/>
        <v>3 : 3</v>
      </c>
      <c r="AM399" s="22">
        <f t="shared" si="312"/>
        <v>3</v>
      </c>
      <c r="AN399" s="22">
        <f t="shared" si="313"/>
        <v>3</v>
      </c>
      <c r="AO399" s="22">
        <f t="shared" si="314"/>
        <v>18</v>
      </c>
      <c r="AP399" s="22" t="str">
        <f t="shared" si="315"/>
        <v>O</v>
      </c>
      <c r="AQ399" s="22" t="str">
        <f t="shared" si="316"/>
        <v>X</v>
      </c>
      <c r="AR399" s="22" t="str">
        <f t="shared" si="317"/>
        <v>X</v>
      </c>
      <c r="AS399" s="22" t="str">
        <f t="shared" si="318"/>
        <v>X</v>
      </c>
      <c r="AT399" s="22" t="str">
        <f t="shared" si="319"/>
        <v>X</v>
      </c>
      <c r="AU399" s="22" t="str">
        <f t="shared" si="320"/>
        <v>X</v>
      </c>
      <c r="AV399" s="22" t="str">
        <f t="shared" si="321"/>
        <v>X</v>
      </c>
      <c r="AW399" s="22" t="str">
        <f t="shared" si="322"/>
        <v>X</v>
      </c>
      <c r="AX399" s="22" t="str">
        <f t="shared" si="323"/>
        <v>X</v>
      </c>
      <c r="AY399" s="22" t="str">
        <f t="shared" si="324"/>
        <v>X</v>
      </c>
      <c r="AZ399" s="22" t="str">
        <f t="shared" si="325"/>
        <v>O</v>
      </c>
      <c r="BA399" s="22" t="str">
        <f t="shared" si="326"/>
        <v>X</v>
      </c>
      <c r="BB399" s="22">
        <f t="shared" si="327"/>
        <v>2</v>
      </c>
      <c r="BC399" s="22" t="str">
        <f t="shared" si="298"/>
        <v>1G</v>
      </c>
      <c r="BD399" s="22" t="str">
        <f t="shared" si="299"/>
        <v>1G</v>
      </c>
      <c r="BE399" s="22" t="str">
        <f t="shared" si="300"/>
        <v>2G</v>
      </c>
      <c r="BF399" s="22" t="str">
        <f t="shared" si="301"/>
        <v>2G</v>
      </c>
      <c r="BG399" s="22" t="str">
        <f t="shared" si="302"/>
        <v>3G</v>
      </c>
      <c r="BH399" s="22" t="str">
        <f t="shared" si="303"/>
        <v>3G</v>
      </c>
      <c r="BI399" s="22">
        <f t="shared" si="328"/>
        <v>2</v>
      </c>
      <c r="BJ399" s="22">
        <f t="shared" si="329"/>
        <v>2</v>
      </c>
      <c r="BK399" s="22">
        <f t="shared" si="330"/>
        <v>2</v>
      </c>
      <c r="BL399" s="22" t="str">
        <f t="shared" si="331"/>
        <v>222</v>
      </c>
      <c r="BS399"/>
      <c r="CL399" s="23">
        <v>167</v>
      </c>
      <c r="CM399" s="23">
        <v>160</v>
      </c>
      <c r="CO399"/>
    </row>
    <row r="400" spans="2:93" ht="17" hidden="1">
      <c r="B400" s="15">
        <v>396</v>
      </c>
      <c r="C400" s="23" t="s">
        <v>426</v>
      </c>
      <c r="D400" s="16">
        <v>2</v>
      </c>
      <c r="E400" s="17">
        <v>5296622400</v>
      </c>
      <c r="F400" s="16">
        <v>34</v>
      </c>
      <c r="G400" s="17">
        <v>51927671</v>
      </c>
      <c r="H400" s="17">
        <v>1202</v>
      </c>
      <c r="I400" s="17">
        <v>1468836</v>
      </c>
      <c r="J400" s="17">
        <v>61586</v>
      </c>
      <c r="K400" s="17">
        <v>57336</v>
      </c>
      <c r="L400" s="17">
        <v>1015292</v>
      </c>
      <c r="M400" s="17">
        <v>5000</v>
      </c>
      <c r="N400" s="23">
        <v>18</v>
      </c>
      <c r="O400" s="23">
        <v>20</v>
      </c>
      <c r="P400" s="23">
        <v>31</v>
      </c>
      <c r="Q400" s="23">
        <v>34</v>
      </c>
      <c r="R400" s="23">
        <v>40</v>
      </c>
      <c r="S400" s="23">
        <v>45</v>
      </c>
      <c r="T400" s="23">
        <v>30</v>
      </c>
      <c r="U400" s="23">
        <f t="shared" si="304"/>
        <v>188</v>
      </c>
      <c r="W400" s="22" t="str">
        <f t="shared" si="289"/>
        <v>짝수</v>
      </c>
      <c r="X400" s="22" t="str">
        <f t="shared" si="290"/>
        <v>짝수</v>
      </c>
      <c r="Y400" s="22" t="str">
        <f t="shared" si="291"/>
        <v>홀수</v>
      </c>
      <c r="Z400" s="22" t="str">
        <f t="shared" si="292"/>
        <v>짝수</v>
      </c>
      <c r="AA400" s="22" t="str">
        <f t="shared" si="293"/>
        <v>짝수</v>
      </c>
      <c r="AB400" s="22" t="str">
        <f t="shared" si="294"/>
        <v>홀수</v>
      </c>
      <c r="AC400" s="52" t="str">
        <f t="shared" si="295"/>
        <v>2 : 4</v>
      </c>
      <c r="AD400" s="22">
        <f t="shared" si="296"/>
        <v>2</v>
      </c>
      <c r="AE400" s="22">
        <f t="shared" si="297"/>
        <v>4</v>
      </c>
      <c r="AF400" s="22" t="str">
        <f t="shared" si="305"/>
        <v>저수</v>
      </c>
      <c r="AG400" s="22" t="str">
        <f t="shared" si="306"/>
        <v>저수</v>
      </c>
      <c r="AH400" s="22" t="str">
        <f t="shared" si="307"/>
        <v>고수</v>
      </c>
      <c r="AI400" s="22" t="str">
        <f t="shared" si="308"/>
        <v>고수</v>
      </c>
      <c r="AJ400" s="22" t="str">
        <f t="shared" si="309"/>
        <v>고수</v>
      </c>
      <c r="AK400" s="22" t="str">
        <f t="shared" si="310"/>
        <v>고수</v>
      </c>
      <c r="AL400" s="52" t="str">
        <f t="shared" si="311"/>
        <v>2 : 4</v>
      </c>
      <c r="AM400" s="22">
        <f t="shared" si="312"/>
        <v>2</v>
      </c>
      <c r="AN400" s="22">
        <f t="shared" si="313"/>
        <v>4</v>
      </c>
      <c r="AO400" s="22">
        <f t="shared" si="314"/>
        <v>18</v>
      </c>
      <c r="AP400" s="22" t="str">
        <f t="shared" si="315"/>
        <v>X</v>
      </c>
      <c r="AQ400" s="22" t="str">
        <f t="shared" si="316"/>
        <v>X</v>
      </c>
      <c r="AR400" s="22" t="str">
        <f t="shared" si="317"/>
        <v>X</v>
      </c>
      <c r="AS400" s="22" t="str">
        <f t="shared" si="318"/>
        <v>X</v>
      </c>
      <c r="AT400" s="22" t="str">
        <f t="shared" si="319"/>
        <v>X</v>
      </c>
      <c r="AU400" s="22" t="str">
        <f t="shared" si="320"/>
        <v>X</v>
      </c>
      <c r="AV400" s="22" t="str">
        <f t="shared" si="321"/>
        <v>X</v>
      </c>
      <c r="AW400" s="22" t="str">
        <f t="shared" si="322"/>
        <v>X</v>
      </c>
      <c r="AX400" s="22" t="str">
        <f t="shared" si="323"/>
        <v>O</v>
      </c>
      <c r="AY400" s="22" t="str">
        <f t="shared" si="324"/>
        <v>X</v>
      </c>
      <c r="AZ400" s="22" t="str">
        <f t="shared" si="325"/>
        <v>X</v>
      </c>
      <c r="BA400" s="22" t="str">
        <f t="shared" si="326"/>
        <v>X</v>
      </c>
      <c r="BB400" s="22">
        <f t="shared" si="327"/>
        <v>1</v>
      </c>
      <c r="BC400" s="22" t="str">
        <f t="shared" si="298"/>
        <v>2G</v>
      </c>
      <c r="BD400" s="22" t="str">
        <f t="shared" si="299"/>
        <v>2G</v>
      </c>
      <c r="BE400" s="22" t="str">
        <f t="shared" si="300"/>
        <v>3G</v>
      </c>
      <c r="BF400" s="22" t="str">
        <f t="shared" si="301"/>
        <v>3G</v>
      </c>
      <c r="BG400" s="22" t="str">
        <f t="shared" si="302"/>
        <v>3G</v>
      </c>
      <c r="BH400" s="22" t="str">
        <f t="shared" si="303"/>
        <v>3G</v>
      </c>
      <c r="BI400" s="22">
        <f t="shared" si="328"/>
        <v>0</v>
      </c>
      <c r="BJ400" s="22">
        <f t="shared" si="329"/>
        <v>2</v>
      </c>
      <c r="BK400" s="22">
        <f t="shared" si="330"/>
        <v>4</v>
      </c>
      <c r="BL400" s="22" t="str">
        <f t="shared" si="331"/>
        <v>024</v>
      </c>
      <c r="BS400"/>
      <c r="CL400" s="23">
        <v>167</v>
      </c>
      <c r="CM400" s="23">
        <v>160</v>
      </c>
      <c r="CO400"/>
    </row>
    <row r="401" spans="2:93" ht="17" hidden="1">
      <c r="B401" s="15">
        <v>397</v>
      </c>
      <c r="C401" s="23" t="s">
        <v>427</v>
      </c>
      <c r="D401" s="16">
        <v>3</v>
      </c>
      <c r="E401" s="17">
        <v>3499519700</v>
      </c>
      <c r="F401" s="16">
        <v>31</v>
      </c>
      <c r="G401" s="17">
        <v>56443867</v>
      </c>
      <c r="H401" s="17">
        <v>1366</v>
      </c>
      <c r="I401" s="17">
        <v>1280937</v>
      </c>
      <c r="J401" s="17">
        <v>66958</v>
      </c>
      <c r="K401" s="17">
        <v>52265</v>
      </c>
      <c r="L401" s="17">
        <v>1089481</v>
      </c>
      <c r="M401" s="17">
        <v>5000</v>
      </c>
      <c r="N401" s="23">
        <v>12</v>
      </c>
      <c r="O401" s="23">
        <v>13</v>
      </c>
      <c r="P401" s="23">
        <v>17</v>
      </c>
      <c r="Q401" s="23">
        <v>22</v>
      </c>
      <c r="R401" s="23">
        <v>25</v>
      </c>
      <c r="S401" s="23">
        <v>33</v>
      </c>
      <c r="T401" s="23">
        <v>8</v>
      </c>
      <c r="U401" s="23">
        <f t="shared" si="304"/>
        <v>122</v>
      </c>
      <c r="W401" s="22" t="str">
        <f t="shared" si="289"/>
        <v>짝수</v>
      </c>
      <c r="X401" s="22" t="str">
        <f t="shared" si="290"/>
        <v>홀수</v>
      </c>
      <c r="Y401" s="22" t="str">
        <f t="shared" si="291"/>
        <v>홀수</v>
      </c>
      <c r="Z401" s="22" t="str">
        <f t="shared" si="292"/>
        <v>짝수</v>
      </c>
      <c r="AA401" s="22" t="str">
        <f t="shared" si="293"/>
        <v>홀수</v>
      </c>
      <c r="AB401" s="22" t="str">
        <f t="shared" si="294"/>
        <v>홀수</v>
      </c>
      <c r="AC401" s="52" t="str">
        <f t="shared" si="295"/>
        <v>4 : 2</v>
      </c>
      <c r="AD401" s="22">
        <f t="shared" si="296"/>
        <v>4</v>
      </c>
      <c r="AE401" s="22">
        <f t="shared" si="297"/>
        <v>2</v>
      </c>
      <c r="AF401" s="22" t="str">
        <f t="shared" si="305"/>
        <v>저수</v>
      </c>
      <c r="AG401" s="22" t="str">
        <f t="shared" si="306"/>
        <v>저수</v>
      </c>
      <c r="AH401" s="22" t="str">
        <f t="shared" si="307"/>
        <v>저수</v>
      </c>
      <c r="AI401" s="22" t="str">
        <f t="shared" si="308"/>
        <v>저수</v>
      </c>
      <c r="AJ401" s="22" t="str">
        <f t="shared" si="309"/>
        <v>고수</v>
      </c>
      <c r="AK401" s="22" t="str">
        <f t="shared" si="310"/>
        <v>고수</v>
      </c>
      <c r="AL401" s="52" t="str">
        <f t="shared" si="311"/>
        <v>4 : 2</v>
      </c>
      <c r="AM401" s="22">
        <f t="shared" si="312"/>
        <v>4</v>
      </c>
      <c r="AN401" s="22">
        <f t="shared" si="313"/>
        <v>2</v>
      </c>
      <c r="AO401" s="22">
        <f t="shared" si="314"/>
        <v>22</v>
      </c>
      <c r="AP401" s="22" t="str">
        <f t="shared" si="315"/>
        <v>X</v>
      </c>
      <c r="AQ401" s="22" t="str">
        <f t="shared" si="316"/>
        <v>O</v>
      </c>
      <c r="AR401" s="22" t="str">
        <f t="shared" si="317"/>
        <v>O</v>
      </c>
      <c r="AS401" s="22" t="str">
        <f t="shared" si="318"/>
        <v>X</v>
      </c>
      <c r="AT401" s="22" t="str">
        <f t="shared" si="319"/>
        <v>X</v>
      </c>
      <c r="AU401" s="22" t="str">
        <f t="shared" si="320"/>
        <v>X</v>
      </c>
      <c r="AV401" s="22" t="str">
        <f t="shared" si="321"/>
        <v>X</v>
      </c>
      <c r="AW401" s="22" t="str">
        <f t="shared" si="322"/>
        <v>X</v>
      </c>
      <c r="AX401" s="22" t="str">
        <f t="shared" si="323"/>
        <v>X</v>
      </c>
      <c r="AY401" s="22" t="str">
        <f t="shared" si="324"/>
        <v>X</v>
      </c>
      <c r="AZ401" s="22" t="str">
        <f t="shared" si="325"/>
        <v>X</v>
      </c>
      <c r="BA401" s="22" t="str">
        <f t="shared" si="326"/>
        <v>X</v>
      </c>
      <c r="BB401" s="22">
        <f t="shared" si="327"/>
        <v>2</v>
      </c>
      <c r="BC401" s="22" t="str">
        <f t="shared" si="298"/>
        <v>1G</v>
      </c>
      <c r="BD401" s="22" t="str">
        <f t="shared" si="299"/>
        <v>1G</v>
      </c>
      <c r="BE401" s="22" t="str">
        <f t="shared" si="300"/>
        <v>2G</v>
      </c>
      <c r="BF401" s="22" t="str">
        <f t="shared" si="301"/>
        <v>2G</v>
      </c>
      <c r="BG401" s="22" t="str">
        <f t="shared" si="302"/>
        <v>2G</v>
      </c>
      <c r="BH401" s="22" t="str">
        <f t="shared" si="303"/>
        <v>3G</v>
      </c>
      <c r="BI401" s="22">
        <f t="shared" si="328"/>
        <v>2</v>
      </c>
      <c r="BJ401" s="22">
        <f t="shared" si="329"/>
        <v>3</v>
      </c>
      <c r="BK401" s="22">
        <f t="shared" si="330"/>
        <v>1</v>
      </c>
      <c r="BL401" s="22" t="str">
        <f t="shared" si="331"/>
        <v>231</v>
      </c>
      <c r="BS401"/>
      <c r="CL401" s="23">
        <v>167</v>
      </c>
      <c r="CM401" s="23">
        <v>160</v>
      </c>
      <c r="CO401"/>
    </row>
    <row r="402" spans="2:93" ht="17" hidden="1">
      <c r="B402" s="15">
        <v>398</v>
      </c>
      <c r="C402" s="23" t="s">
        <v>428</v>
      </c>
      <c r="D402" s="16">
        <v>4</v>
      </c>
      <c r="E402" s="17">
        <v>2680625550</v>
      </c>
      <c r="F402" s="16">
        <v>31</v>
      </c>
      <c r="G402" s="17">
        <v>57647862</v>
      </c>
      <c r="H402" s="17">
        <v>1112</v>
      </c>
      <c r="I402" s="17">
        <v>1607090</v>
      </c>
      <c r="J402" s="17">
        <v>57405</v>
      </c>
      <c r="K402" s="17">
        <v>62263</v>
      </c>
      <c r="L402" s="17">
        <v>968563</v>
      </c>
      <c r="M402" s="17">
        <v>5000</v>
      </c>
      <c r="N402" s="23">
        <v>10</v>
      </c>
      <c r="O402" s="23">
        <v>15</v>
      </c>
      <c r="P402" s="23">
        <v>20</v>
      </c>
      <c r="Q402" s="23">
        <v>23</v>
      </c>
      <c r="R402" s="23">
        <v>42</v>
      </c>
      <c r="S402" s="23">
        <v>44</v>
      </c>
      <c r="T402" s="23">
        <v>7</v>
      </c>
      <c r="U402" s="23">
        <f t="shared" si="304"/>
        <v>154</v>
      </c>
      <c r="W402" s="22" t="str">
        <f t="shared" si="289"/>
        <v>짝수</v>
      </c>
      <c r="X402" s="22" t="str">
        <f t="shared" si="290"/>
        <v>홀수</v>
      </c>
      <c r="Y402" s="22" t="str">
        <f t="shared" si="291"/>
        <v>짝수</v>
      </c>
      <c r="Z402" s="22" t="str">
        <f t="shared" si="292"/>
        <v>홀수</v>
      </c>
      <c r="AA402" s="22" t="str">
        <f t="shared" si="293"/>
        <v>짝수</v>
      </c>
      <c r="AB402" s="22" t="str">
        <f t="shared" si="294"/>
        <v>짝수</v>
      </c>
      <c r="AC402" s="52" t="str">
        <f t="shared" si="295"/>
        <v>2 : 4</v>
      </c>
      <c r="AD402" s="22">
        <f t="shared" si="296"/>
        <v>2</v>
      </c>
      <c r="AE402" s="22">
        <f t="shared" si="297"/>
        <v>4</v>
      </c>
      <c r="AF402" s="22" t="str">
        <f t="shared" si="305"/>
        <v>저수</v>
      </c>
      <c r="AG402" s="22" t="str">
        <f t="shared" si="306"/>
        <v>저수</v>
      </c>
      <c r="AH402" s="22" t="str">
        <f t="shared" si="307"/>
        <v>저수</v>
      </c>
      <c r="AI402" s="22" t="str">
        <f t="shared" si="308"/>
        <v>고수</v>
      </c>
      <c r="AJ402" s="22" t="str">
        <f t="shared" si="309"/>
        <v>고수</v>
      </c>
      <c r="AK402" s="22" t="str">
        <f t="shared" si="310"/>
        <v>고수</v>
      </c>
      <c r="AL402" s="52" t="str">
        <f t="shared" si="311"/>
        <v>3 : 3</v>
      </c>
      <c r="AM402" s="22">
        <f t="shared" si="312"/>
        <v>3</v>
      </c>
      <c r="AN402" s="22">
        <f t="shared" si="313"/>
        <v>3</v>
      </c>
      <c r="AO402" s="22">
        <f t="shared" si="314"/>
        <v>14</v>
      </c>
      <c r="AP402" s="22" t="str">
        <f t="shared" si="315"/>
        <v>X</v>
      </c>
      <c r="AQ402" s="22" t="str">
        <f t="shared" si="316"/>
        <v>X</v>
      </c>
      <c r="AR402" s="22" t="str">
        <f t="shared" si="317"/>
        <v>X</v>
      </c>
      <c r="AS402" s="22" t="str">
        <f t="shared" si="318"/>
        <v>X</v>
      </c>
      <c r="AT402" s="22" t="str">
        <f t="shared" si="319"/>
        <v>X</v>
      </c>
      <c r="AU402" s="22" t="str">
        <f t="shared" si="320"/>
        <v>X</v>
      </c>
      <c r="AV402" s="22" t="str">
        <f t="shared" si="321"/>
        <v>X</v>
      </c>
      <c r="AW402" s="22" t="str">
        <f t="shared" si="322"/>
        <v>X</v>
      </c>
      <c r="AX402" s="22" t="str">
        <f t="shared" si="323"/>
        <v>X</v>
      </c>
      <c r="AY402" s="22" t="str">
        <f t="shared" si="324"/>
        <v>O</v>
      </c>
      <c r="AZ402" s="22" t="str">
        <f t="shared" si="325"/>
        <v>X</v>
      </c>
      <c r="BA402" s="22" t="str">
        <f t="shared" si="326"/>
        <v>X</v>
      </c>
      <c r="BB402" s="22">
        <f t="shared" si="327"/>
        <v>1</v>
      </c>
      <c r="BC402" s="22" t="str">
        <f t="shared" si="298"/>
        <v>1G</v>
      </c>
      <c r="BD402" s="22" t="str">
        <f t="shared" si="299"/>
        <v>1G</v>
      </c>
      <c r="BE402" s="22" t="str">
        <f t="shared" si="300"/>
        <v>2G</v>
      </c>
      <c r="BF402" s="22" t="str">
        <f t="shared" si="301"/>
        <v>2G</v>
      </c>
      <c r="BG402" s="22" t="str">
        <f t="shared" si="302"/>
        <v>3G</v>
      </c>
      <c r="BH402" s="22" t="str">
        <f t="shared" si="303"/>
        <v>3G</v>
      </c>
      <c r="BI402" s="22">
        <f t="shared" si="328"/>
        <v>2</v>
      </c>
      <c r="BJ402" s="22">
        <f t="shared" si="329"/>
        <v>2</v>
      </c>
      <c r="BK402" s="22">
        <f t="shared" si="330"/>
        <v>2</v>
      </c>
      <c r="BL402" s="22" t="str">
        <f t="shared" si="331"/>
        <v>222</v>
      </c>
      <c r="BS402"/>
      <c r="CL402" s="23">
        <v>167</v>
      </c>
      <c r="CM402" s="23">
        <v>160</v>
      </c>
      <c r="CO402"/>
    </row>
    <row r="403" spans="2:93" ht="17" hidden="1">
      <c r="B403" s="15">
        <v>399</v>
      </c>
      <c r="C403" s="23" t="s">
        <v>429</v>
      </c>
      <c r="D403" s="16">
        <v>8</v>
      </c>
      <c r="E403" s="17">
        <v>1276854975</v>
      </c>
      <c r="F403" s="16">
        <v>40</v>
      </c>
      <c r="G403" s="17">
        <v>42561833</v>
      </c>
      <c r="H403" s="17">
        <v>1462</v>
      </c>
      <c r="I403" s="17">
        <v>1164483</v>
      </c>
      <c r="J403" s="17">
        <v>76998</v>
      </c>
      <c r="K403" s="17">
        <v>44222</v>
      </c>
      <c r="L403" s="17">
        <v>1150232</v>
      </c>
      <c r="M403" s="17">
        <v>5000</v>
      </c>
      <c r="N403" s="23">
        <v>1</v>
      </c>
      <c r="O403" s="23">
        <v>2</v>
      </c>
      <c r="P403" s="23">
        <v>9</v>
      </c>
      <c r="Q403" s="23">
        <v>17</v>
      </c>
      <c r="R403" s="23">
        <v>19</v>
      </c>
      <c r="S403" s="23">
        <v>42</v>
      </c>
      <c r="T403" s="23">
        <v>20</v>
      </c>
      <c r="U403" s="23">
        <f t="shared" si="304"/>
        <v>90</v>
      </c>
      <c r="W403" s="22" t="str">
        <f t="shared" si="289"/>
        <v>홀수</v>
      </c>
      <c r="X403" s="22" t="str">
        <f t="shared" si="290"/>
        <v>짝수</v>
      </c>
      <c r="Y403" s="22" t="str">
        <f t="shared" si="291"/>
        <v>홀수</v>
      </c>
      <c r="Z403" s="22" t="str">
        <f t="shared" si="292"/>
        <v>홀수</v>
      </c>
      <c r="AA403" s="22" t="str">
        <f t="shared" si="293"/>
        <v>홀수</v>
      </c>
      <c r="AB403" s="22" t="str">
        <f t="shared" si="294"/>
        <v>짝수</v>
      </c>
      <c r="AC403" s="52" t="str">
        <f t="shared" si="295"/>
        <v>4 : 2</v>
      </c>
      <c r="AD403" s="22">
        <f t="shared" si="296"/>
        <v>4</v>
      </c>
      <c r="AE403" s="22">
        <f t="shared" si="297"/>
        <v>2</v>
      </c>
      <c r="AF403" s="22" t="str">
        <f t="shared" si="305"/>
        <v>저수</v>
      </c>
      <c r="AG403" s="22" t="str">
        <f t="shared" si="306"/>
        <v>저수</v>
      </c>
      <c r="AH403" s="22" t="str">
        <f t="shared" si="307"/>
        <v>저수</v>
      </c>
      <c r="AI403" s="22" t="str">
        <f t="shared" si="308"/>
        <v>저수</v>
      </c>
      <c r="AJ403" s="22" t="str">
        <f t="shared" si="309"/>
        <v>저수</v>
      </c>
      <c r="AK403" s="22" t="str">
        <f t="shared" si="310"/>
        <v>고수</v>
      </c>
      <c r="AL403" s="52" t="str">
        <f t="shared" si="311"/>
        <v>5 : 1</v>
      </c>
      <c r="AM403" s="22">
        <f t="shared" si="312"/>
        <v>5</v>
      </c>
      <c r="AN403" s="22">
        <f t="shared" si="313"/>
        <v>1</v>
      </c>
      <c r="AO403" s="22">
        <f t="shared" si="314"/>
        <v>30</v>
      </c>
      <c r="AP403" s="22" t="str">
        <f t="shared" si="315"/>
        <v>X</v>
      </c>
      <c r="AQ403" s="22" t="str">
        <f t="shared" si="316"/>
        <v>O</v>
      </c>
      <c r="AR403" s="22" t="str">
        <f t="shared" si="317"/>
        <v>X</v>
      </c>
      <c r="AS403" s="22" t="str">
        <f t="shared" si="318"/>
        <v>O</v>
      </c>
      <c r="AT403" s="22" t="str">
        <f t="shared" si="319"/>
        <v>O</v>
      </c>
      <c r="AU403" s="22" t="str">
        <f t="shared" si="320"/>
        <v>X</v>
      </c>
      <c r="AV403" s="22" t="str">
        <f t="shared" si="321"/>
        <v>X</v>
      </c>
      <c r="AW403" s="22" t="str">
        <f t="shared" si="322"/>
        <v>X</v>
      </c>
      <c r="AX403" s="22" t="str">
        <f t="shared" si="323"/>
        <v>X</v>
      </c>
      <c r="AY403" s="22" t="str">
        <f t="shared" si="324"/>
        <v>X</v>
      </c>
      <c r="AZ403" s="22" t="str">
        <f t="shared" si="325"/>
        <v>X</v>
      </c>
      <c r="BA403" s="22" t="str">
        <f t="shared" si="326"/>
        <v>X</v>
      </c>
      <c r="BB403" s="22">
        <f t="shared" si="327"/>
        <v>3</v>
      </c>
      <c r="BC403" s="22" t="str">
        <f t="shared" si="298"/>
        <v>1G</v>
      </c>
      <c r="BD403" s="22" t="str">
        <f t="shared" si="299"/>
        <v>1G</v>
      </c>
      <c r="BE403" s="22" t="str">
        <f t="shared" si="300"/>
        <v>1G</v>
      </c>
      <c r="BF403" s="22" t="str">
        <f t="shared" si="301"/>
        <v>2G</v>
      </c>
      <c r="BG403" s="22" t="str">
        <f t="shared" si="302"/>
        <v>2G</v>
      </c>
      <c r="BH403" s="22" t="str">
        <f t="shared" si="303"/>
        <v>3G</v>
      </c>
      <c r="BI403" s="22">
        <f t="shared" si="328"/>
        <v>3</v>
      </c>
      <c r="BJ403" s="22">
        <f t="shared" si="329"/>
        <v>2</v>
      </c>
      <c r="BK403" s="22">
        <f t="shared" si="330"/>
        <v>1</v>
      </c>
      <c r="BL403" s="22" t="str">
        <f t="shared" si="331"/>
        <v>321</v>
      </c>
      <c r="BS403"/>
      <c r="CL403" s="23">
        <v>168</v>
      </c>
      <c r="CM403" s="23">
        <v>160</v>
      </c>
      <c r="CO403"/>
    </row>
    <row r="404" spans="2:93" ht="17" hidden="1">
      <c r="B404" s="15">
        <v>400</v>
      </c>
      <c r="C404" s="23" t="s">
        <v>430</v>
      </c>
      <c r="D404" s="16">
        <v>4</v>
      </c>
      <c r="E404" s="17">
        <v>2669834325</v>
      </c>
      <c r="F404" s="16">
        <v>30</v>
      </c>
      <c r="G404" s="17">
        <v>59329652</v>
      </c>
      <c r="H404" s="17">
        <v>1254</v>
      </c>
      <c r="I404" s="17">
        <v>1419370</v>
      </c>
      <c r="J404" s="17">
        <v>59141</v>
      </c>
      <c r="K404" s="17">
        <v>60192</v>
      </c>
      <c r="L404" s="17">
        <v>978194</v>
      </c>
      <c r="M404" s="17">
        <v>5000</v>
      </c>
      <c r="N404" s="23">
        <v>9</v>
      </c>
      <c r="O404" s="23">
        <v>21</v>
      </c>
      <c r="P404" s="23">
        <v>27</v>
      </c>
      <c r="Q404" s="23">
        <v>34</v>
      </c>
      <c r="R404" s="23">
        <v>41</v>
      </c>
      <c r="S404" s="23">
        <v>43</v>
      </c>
      <c r="T404" s="23">
        <v>2</v>
      </c>
      <c r="U404" s="23">
        <f t="shared" si="304"/>
        <v>175</v>
      </c>
      <c r="W404" s="22" t="str">
        <f t="shared" si="289"/>
        <v>홀수</v>
      </c>
      <c r="X404" s="22" t="str">
        <f t="shared" si="290"/>
        <v>홀수</v>
      </c>
      <c r="Y404" s="22" t="str">
        <f t="shared" si="291"/>
        <v>홀수</v>
      </c>
      <c r="Z404" s="22" t="str">
        <f t="shared" si="292"/>
        <v>짝수</v>
      </c>
      <c r="AA404" s="22" t="str">
        <f t="shared" si="293"/>
        <v>홀수</v>
      </c>
      <c r="AB404" s="22" t="str">
        <f t="shared" si="294"/>
        <v>홀수</v>
      </c>
      <c r="AC404" s="52" t="str">
        <f t="shared" si="295"/>
        <v>5 : 1</v>
      </c>
      <c r="AD404" s="22">
        <f t="shared" si="296"/>
        <v>5</v>
      </c>
      <c r="AE404" s="22">
        <f t="shared" si="297"/>
        <v>1</v>
      </c>
      <c r="AF404" s="22" t="str">
        <f t="shared" si="305"/>
        <v>저수</v>
      </c>
      <c r="AG404" s="22" t="str">
        <f t="shared" si="306"/>
        <v>저수</v>
      </c>
      <c r="AH404" s="22" t="str">
        <f t="shared" si="307"/>
        <v>고수</v>
      </c>
      <c r="AI404" s="22" t="str">
        <f t="shared" si="308"/>
        <v>고수</v>
      </c>
      <c r="AJ404" s="22" t="str">
        <f t="shared" si="309"/>
        <v>고수</v>
      </c>
      <c r="AK404" s="22" t="str">
        <f t="shared" si="310"/>
        <v>고수</v>
      </c>
      <c r="AL404" s="52" t="str">
        <f t="shared" si="311"/>
        <v>2 : 4</v>
      </c>
      <c r="AM404" s="22">
        <f t="shared" si="312"/>
        <v>2</v>
      </c>
      <c r="AN404" s="22">
        <f t="shared" si="313"/>
        <v>4</v>
      </c>
      <c r="AO404" s="22">
        <f t="shared" si="314"/>
        <v>25</v>
      </c>
      <c r="AP404" s="22" t="str">
        <f t="shared" si="315"/>
        <v>X</v>
      </c>
      <c r="AQ404" s="22" t="str">
        <f t="shared" si="316"/>
        <v>X</v>
      </c>
      <c r="AR404" s="22" t="str">
        <f t="shared" si="317"/>
        <v>X</v>
      </c>
      <c r="AS404" s="22" t="str">
        <f t="shared" si="318"/>
        <v>X</v>
      </c>
      <c r="AT404" s="22" t="str">
        <f t="shared" si="319"/>
        <v>X</v>
      </c>
      <c r="AU404" s="22" t="str">
        <f t="shared" si="320"/>
        <v>X</v>
      </c>
      <c r="AV404" s="22" t="str">
        <f t="shared" si="321"/>
        <v>X</v>
      </c>
      <c r="AW404" s="22" t="str">
        <f t="shared" si="322"/>
        <v>X</v>
      </c>
      <c r="AX404" s="22" t="str">
        <f t="shared" si="323"/>
        <v>X</v>
      </c>
      <c r="AY404" s="22" t="str">
        <f t="shared" si="324"/>
        <v>X</v>
      </c>
      <c r="AZ404" s="22" t="str">
        <f t="shared" si="325"/>
        <v>O</v>
      </c>
      <c r="BA404" s="22" t="str">
        <f t="shared" si="326"/>
        <v>O</v>
      </c>
      <c r="BB404" s="22">
        <f t="shared" si="327"/>
        <v>2</v>
      </c>
      <c r="BC404" s="22" t="str">
        <f t="shared" si="298"/>
        <v>1G</v>
      </c>
      <c r="BD404" s="22" t="str">
        <f t="shared" si="299"/>
        <v>2G</v>
      </c>
      <c r="BE404" s="22" t="str">
        <f t="shared" si="300"/>
        <v>2G</v>
      </c>
      <c r="BF404" s="22" t="str">
        <f t="shared" si="301"/>
        <v>3G</v>
      </c>
      <c r="BG404" s="22" t="str">
        <f t="shared" si="302"/>
        <v>3G</v>
      </c>
      <c r="BH404" s="22" t="str">
        <f t="shared" si="303"/>
        <v>3G</v>
      </c>
      <c r="BI404" s="22">
        <f t="shared" si="328"/>
        <v>1</v>
      </c>
      <c r="BJ404" s="22">
        <f t="shared" si="329"/>
        <v>2</v>
      </c>
      <c r="BK404" s="22">
        <f t="shared" si="330"/>
        <v>3</v>
      </c>
      <c r="BL404" s="22" t="str">
        <f t="shared" si="331"/>
        <v>123</v>
      </c>
      <c r="BS404"/>
      <c r="CL404" s="23">
        <v>168</v>
      </c>
      <c r="CM404" s="23">
        <v>160</v>
      </c>
      <c r="CO404"/>
    </row>
    <row r="405" spans="2:93" ht="17" hidden="1">
      <c r="B405" s="15">
        <v>401</v>
      </c>
      <c r="C405" s="23" t="s">
        <v>431</v>
      </c>
      <c r="D405" s="16">
        <v>9</v>
      </c>
      <c r="E405" s="17">
        <v>1168214792</v>
      </c>
      <c r="F405" s="16">
        <v>29</v>
      </c>
      <c r="G405" s="17">
        <v>60424904</v>
      </c>
      <c r="H405" s="17">
        <v>1355</v>
      </c>
      <c r="I405" s="17">
        <v>1293227</v>
      </c>
      <c r="J405" s="17">
        <v>59599</v>
      </c>
      <c r="K405" s="17">
        <v>50000</v>
      </c>
      <c r="L405" s="17">
        <v>949491</v>
      </c>
      <c r="M405" s="17">
        <v>5000</v>
      </c>
      <c r="N405" s="23">
        <v>6</v>
      </c>
      <c r="O405" s="23">
        <v>12</v>
      </c>
      <c r="P405" s="23">
        <v>18</v>
      </c>
      <c r="Q405" s="23">
        <v>31</v>
      </c>
      <c r="R405" s="23">
        <v>38</v>
      </c>
      <c r="S405" s="23">
        <v>43</v>
      </c>
      <c r="T405" s="23">
        <v>9</v>
      </c>
      <c r="U405" s="23">
        <f t="shared" si="304"/>
        <v>148</v>
      </c>
      <c r="W405" s="22" t="str">
        <f t="shared" si="289"/>
        <v>짝수</v>
      </c>
      <c r="X405" s="22" t="str">
        <f t="shared" si="290"/>
        <v>짝수</v>
      </c>
      <c r="Y405" s="22" t="str">
        <f t="shared" si="291"/>
        <v>짝수</v>
      </c>
      <c r="Z405" s="22" t="str">
        <f t="shared" si="292"/>
        <v>홀수</v>
      </c>
      <c r="AA405" s="22" t="str">
        <f t="shared" si="293"/>
        <v>짝수</v>
      </c>
      <c r="AB405" s="22" t="str">
        <f t="shared" si="294"/>
        <v>홀수</v>
      </c>
      <c r="AC405" s="52" t="str">
        <f t="shared" si="295"/>
        <v>2 : 4</v>
      </c>
      <c r="AD405" s="22">
        <f t="shared" si="296"/>
        <v>2</v>
      </c>
      <c r="AE405" s="22">
        <f t="shared" si="297"/>
        <v>4</v>
      </c>
      <c r="AF405" s="22" t="str">
        <f t="shared" si="305"/>
        <v>저수</v>
      </c>
      <c r="AG405" s="22" t="str">
        <f t="shared" si="306"/>
        <v>저수</v>
      </c>
      <c r="AH405" s="22" t="str">
        <f t="shared" si="307"/>
        <v>저수</v>
      </c>
      <c r="AI405" s="22" t="str">
        <f t="shared" si="308"/>
        <v>고수</v>
      </c>
      <c r="AJ405" s="22" t="str">
        <f t="shared" si="309"/>
        <v>고수</v>
      </c>
      <c r="AK405" s="22" t="str">
        <f t="shared" si="310"/>
        <v>고수</v>
      </c>
      <c r="AL405" s="52" t="str">
        <f t="shared" si="311"/>
        <v>3 : 3</v>
      </c>
      <c r="AM405" s="22">
        <f t="shared" si="312"/>
        <v>3</v>
      </c>
      <c r="AN405" s="22">
        <f t="shared" si="313"/>
        <v>3</v>
      </c>
      <c r="AO405" s="22">
        <f t="shared" si="314"/>
        <v>28</v>
      </c>
      <c r="AP405" s="22" t="str">
        <f t="shared" si="315"/>
        <v>X</v>
      </c>
      <c r="AQ405" s="22" t="str">
        <f t="shared" si="316"/>
        <v>X</v>
      </c>
      <c r="AR405" s="22" t="str">
        <f t="shared" si="317"/>
        <v>X</v>
      </c>
      <c r="AS405" s="22" t="str">
        <f t="shared" si="318"/>
        <v>X</v>
      </c>
      <c r="AT405" s="22" t="str">
        <f t="shared" si="319"/>
        <v>X</v>
      </c>
      <c r="AU405" s="22" t="str">
        <f t="shared" si="320"/>
        <v>X</v>
      </c>
      <c r="AV405" s="22" t="str">
        <f t="shared" si="321"/>
        <v>X</v>
      </c>
      <c r="AW405" s="22" t="str">
        <f t="shared" si="322"/>
        <v>X</v>
      </c>
      <c r="AX405" s="22" t="str">
        <f t="shared" si="323"/>
        <v>X</v>
      </c>
      <c r="AY405" s="22" t="str">
        <f t="shared" si="324"/>
        <v>O</v>
      </c>
      <c r="AZ405" s="22" t="str">
        <f t="shared" si="325"/>
        <v>X</v>
      </c>
      <c r="BA405" s="22" t="str">
        <f t="shared" si="326"/>
        <v>O</v>
      </c>
      <c r="BB405" s="22">
        <f t="shared" si="327"/>
        <v>2</v>
      </c>
      <c r="BC405" s="22" t="str">
        <f t="shared" si="298"/>
        <v>1G</v>
      </c>
      <c r="BD405" s="22" t="str">
        <f t="shared" si="299"/>
        <v>1G</v>
      </c>
      <c r="BE405" s="22" t="str">
        <f t="shared" si="300"/>
        <v>2G</v>
      </c>
      <c r="BF405" s="22" t="str">
        <f t="shared" si="301"/>
        <v>3G</v>
      </c>
      <c r="BG405" s="22" t="str">
        <f t="shared" si="302"/>
        <v>3G</v>
      </c>
      <c r="BH405" s="22" t="str">
        <f t="shared" si="303"/>
        <v>3G</v>
      </c>
      <c r="BI405" s="22">
        <f t="shared" si="328"/>
        <v>2</v>
      </c>
      <c r="BJ405" s="22">
        <f t="shared" si="329"/>
        <v>1</v>
      </c>
      <c r="BK405" s="22">
        <f t="shared" si="330"/>
        <v>3</v>
      </c>
      <c r="BL405" s="22" t="str">
        <f t="shared" si="331"/>
        <v>213</v>
      </c>
      <c r="BS405"/>
      <c r="CL405" s="23">
        <v>168</v>
      </c>
      <c r="CM405" s="23">
        <v>160</v>
      </c>
      <c r="CO405"/>
    </row>
    <row r="406" spans="2:93" ht="17" hidden="1">
      <c r="B406" s="15">
        <v>402</v>
      </c>
      <c r="C406" s="23" t="s">
        <v>432</v>
      </c>
      <c r="D406" s="16">
        <v>4</v>
      </c>
      <c r="E406" s="17">
        <v>2662206188</v>
      </c>
      <c r="F406" s="16">
        <v>41</v>
      </c>
      <c r="G406" s="17">
        <v>43287906</v>
      </c>
      <c r="H406" s="17">
        <v>1271</v>
      </c>
      <c r="I406" s="17">
        <v>1396385</v>
      </c>
      <c r="J406" s="17">
        <v>62656</v>
      </c>
      <c r="K406" s="17">
        <v>50000</v>
      </c>
      <c r="L406" s="17">
        <v>1034048</v>
      </c>
      <c r="M406" s="17">
        <v>5000</v>
      </c>
      <c r="N406" s="23">
        <v>5</v>
      </c>
      <c r="O406" s="23">
        <v>9</v>
      </c>
      <c r="P406" s="23">
        <v>15</v>
      </c>
      <c r="Q406" s="23">
        <v>19</v>
      </c>
      <c r="R406" s="23">
        <v>22</v>
      </c>
      <c r="S406" s="23">
        <v>36</v>
      </c>
      <c r="T406" s="23">
        <v>32</v>
      </c>
      <c r="U406" s="23">
        <f t="shared" si="304"/>
        <v>106</v>
      </c>
      <c r="W406" s="22" t="str">
        <f t="shared" si="289"/>
        <v>홀수</v>
      </c>
      <c r="X406" s="22" t="str">
        <f t="shared" si="290"/>
        <v>홀수</v>
      </c>
      <c r="Y406" s="22" t="str">
        <f t="shared" si="291"/>
        <v>홀수</v>
      </c>
      <c r="Z406" s="22" t="str">
        <f t="shared" si="292"/>
        <v>홀수</v>
      </c>
      <c r="AA406" s="22" t="str">
        <f t="shared" si="293"/>
        <v>짝수</v>
      </c>
      <c r="AB406" s="22" t="str">
        <f t="shared" si="294"/>
        <v>짝수</v>
      </c>
      <c r="AC406" s="52" t="str">
        <f t="shared" si="295"/>
        <v>4 : 2</v>
      </c>
      <c r="AD406" s="22">
        <f t="shared" si="296"/>
        <v>4</v>
      </c>
      <c r="AE406" s="22">
        <f t="shared" si="297"/>
        <v>2</v>
      </c>
      <c r="AF406" s="22" t="str">
        <f t="shared" si="305"/>
        <v>저수</v>
      </c>
      <c r="AG406" s="22" t="str">
        <f t="shared" si="306"/>
        <v>저수</v>
      </c>
      <c r="AH406" s="22" t="str">
        <f t="shared" si="307"/>
        <v>저수</v>
      </c>
      <c r="AI406" s="22" t="str">
        <f t="shared" si="308"/>
        <v>저수</v>
      </c>
      <c r="AJ406" s="22" t="str">
        <f t="shared" si="309"/>
        <v>저수</v>
      </c>
      <c r="AK406" s="22" t="str">
        <f t="shared" si="310"/>
        <v>고수</v>
      </c>
      <c r="AL406" s="52" t="str">
        <f t="shared" si="311"/>
        <v>5 : 1</v>
      </c>
      <c r="AM406" s="22">
        <f t="shared" si="312"/>
        <v>5</v>
      </c>
      <c r="AN406" s="22">
        <f t="shared" si="313"/>
        <v>1</v>
      </c>
      <c r="AO406" s="22">
        <f t="shared" si="314"/>
        <v>36</v>
      </c>
      <c r="AP406" s="22" t="str">
        <f t="shared" si="315"/>
        <v>O</v>
      </c>
      <c r="AQ406" s="22" t="str">
        <f t="shared" si="316"/>
        <v>X</v>
      </c>
      <c r="AR406" s="22" t="str">
        <f t="shared" si="317"/>
        <v>X</v>
      </c>
      <c r="AS406" s="22" t="str">
        <f t="shared" si="318"/>
        <v>O</v>
      </c>
      <c r="AT406" s="22" t="str">
        <f t="shared" si="319"/>
        <v>X</v>
      </c>
      <c r="AU406" s="22" t="str">
        <f t="shared" si="320"/>
        <v>X</v>
      </c>
      <c r="AV406" s="22" t="str">
        <f t="shared" si="321"/>
        <v>X</v>
      </c>
      <c r="AW406" s="22" t="str">
        <f t="shared" si="322"/>
        <v>X</v>
      </c>
      <c r="AX406" s="22" t="str">
        <f t="shared" si="323"/>
        <v>X</v>
      </c>
      <c r="AY406" s="22" t="str">
        <f t="shared" si="324"/>
        <v>X</v>
      </c>
      <c r="AZ406" s="22" t="str">
        <f t="shared" si="325"/>
        <v>X</v>
      </c>
      <c r="BA406" s="22" t="str">
        <f t="shared" si="326"/>
        <v>X</v>
      </c>
      <c r="BB406" s="22">
        <f t="shared" si="327"/>
        <v>2</v>
      </c>
      <c r="BC406" s="22" t="str">
        <f t="shared" si="298"/>
        <v>1G</v>
      </c>
      <c r="BD406" s="22" t="str">
        <f t="shared" si="299"/>
        <v>1G</v>
      </c>
      <c r="BE406" s="22" t="str">
        <f t="shared" si="300"/>
        <v>1G</v>
      </c>
      <c r="BF406" s="22" t="str">
        <f t="shared" si="301"/>
        <v>2G</v>
      </c>
      <c r="BG406" s="22" t="str">
        <f t="shared" si="302"/>
        <v>2G</v>
      </c>
      <c r="BH406" s="22" t="str">
        <f t="shared" si="303"/>
        <v>3G</v>
      </c>
      <c r="BI406" s="22">
        <f t="shared" si="328"/>
        <v>3</v>
      </c>
      <c r="BJ406" s="22">
        <f t="shared" si="329"/>
        <v>2</v>
      </c>
      <c r="BK406" s="22">
        <f t="shared" si="330"/>
        <v>1</v>
      </c>
      <c r="BL406" s="22" t="str">
        <f t="shared" si="331"/>
        <v>321</v>
      </c>
      <c r="BS406"/>
      <c r="CL406" s="23">
        <v>168</v>
      </c>
      <c r="CM406" s="23">
        <v>160</v>
      </c>
      <c r="CO406"/>
    </row>
    <row r="407" spans="2:93" ht="17" hidden="1">
      <c r="B407" s="15">
        <v>403</v>
      </c>
      <c r="C407" s="23" t="s">
        <v>433</v>
      </c>
      <c r="D407" s="16">
        <v>5</v>
      </c>
      <c r="E407" s="17">
        <v>2122396875</v>
      </c>
      <c r="F407" s="16">
        <v>43</v>
      </c>
      <c r="G407" s="17">
        <v>41131723</v>
      </c>
      <c r="H407" s="17">
        <v>1321</v>
      </c>
      <c r="I407" s="17">
        <v>1338883</v>
      </c>
      <c r="J407" s="17">
        <v>63122</v>
      </c>
      <c r="K407" s="17">
        <v>50000</v>
      </c>
      <c r="L407" s="17">
        <v>1030051</v>
      </c>
      <c r="M407" s="17">
        <v>5000</v>
      </c>
      <c r="N407" s="23">
        <v>10</v>
      </c>
      <c r="O407" s="23">
        <v>14</v>
      </c>
      <c r="P407" s="23">
        <v>22</v>
      </c>
      <c r="Q407" s="23">
        <v>24</v>
      </c>
      <c r="R407" s="23">
        <v>28</v>
      </c>
      <c r="S407" s="23">
        <v>37</v>
      </c>
      <c r="T407" s="23">
        <v>26</v>
      </c>
      <c r="U407" s="23">
        <f t="shared" si="304"/>
        <v>135</v>
      </c>
      <c r="W407" s="22" t="str">
        <f t="shared" si="289"/>
        <v>짝수</v>
      </c>
      <c r="X407" s="22" t="str">
        <f t="shared" si="290"/>
        <v>짝수</v>
      </c>
      <c r="Y407" s="22" t="str">
        <f t="shared" si="291"/>
        <v>짝수</v>
      </c>
      <c r="Z407" s="22" t="str">
        <f t="shared" si="292"/>
        <v>짝수</v>
      </c>
      <c r="AA407" s="22" t="str">
        <f t="shared" si="293"/>
        <v>짝수</v>
      </c>
      <c r="AB407" s="22" t="str">
        <f t="shared" si="294"/>
        <v>홀수</v>
      </c>
      <c r="AC407" s="52" t="str">
        <f t="shared" si="295"/>
        <v>1 : 5</v>
      </c>
      <c r="AD407" s="22">
        <f t="shared" si="296"/>
        <v>1</v>
      </c>
      <c r="AE407" s="22">
        <f t="shared" si="297"/>
        <v>5</v>
      </c>
      <c r="AF407" s="22" t="str">
        <f t="shared" si="305"/>
        <v>저수</v>
      </c>
      <c r="AG407" s="22" t="str">
        <f t="shared" si="306"/>
        <v>저수</v>
      </c>
      <c r="AH407" s="22" t="str">
        <f t="shared" si="307"/>
        <v>저수</v>
      </c>
      <c r="AI407" s="22" t="str">
        <f t="shared" si="308"/>
        <v>고수</v>
      </c>
      <c r="AJ407" s="22" t="str">
        <f t="shared" si="309"/>
        <v>고수</v>
      </c>
      <c r="AK407" s="22" t="str">
        <f t="shared" si="310"/>
        <v>고수</v>
      </c>
      <c r="AL407" s="52" t="str">
        <f t="shared" si="311"/>
        <v>3 : 3</v>
      </c>
      <c r="AM407" s="22">
        <f t="shared" si="312"/>
        <v>3</v>
      </c>
      <c r="AN407" s="22">
        <f t="shared" si="313"/>
        <v>3</v>
      </c>
      <c r="AO407" s="22">
        <f t="shared" si="314"/>
        <v>25</v>
      </c>
      <c r="AP407" s="22" t="str">
        <f t="shared" si="315"/>
        <v>X</v>
      </c>
      <c r="AQ407" s="22" t="str">
        <f t="shared" si="316"/>
        <v>X</v>
      </c>
      <c r="AR407" s="22" t="str">
        <f t="shared" si="317"/>
        <v>X</v>
      </c>
      <c r="AS407" s="22" t="str">
        <f t="shared" si="318"/>
        <v>X</v>
      </c>
      <c r="AT407" s="22" t="str">
        <f t="shared" si="319"/>
        <v>X</v>
      </c>
      <c r="AU407" s="22" t="str">
        <f t="shared" si="320"/>
        <v>X</v>
      </c>
      <c r="AV407" s="22" t="str">
        <f t="shared" si="321"/>
        <v>X</v>
      </c>
      <c r="AW407" s="22" t="str">
        <f t="shared" si="322"/>
        <v>X</v>
      </c>
      <c r="AX407" s="22" t="str">
        <f t="shared" si="323"/>
        <v>X</v>
      </c>
      <c r="AY407" s="22" t="str">
        <f t="shared" si="324"/>
        <v>X</v>
      </c>
      <c r="AZ407" s="22" t="str">
        <f t="shared" si="325"/>
        <v>X</v>
      </c>
      <c r="BA407" s="22" t="str">
        <f t="shared" si="326"/>
        <v>O</v>
      </c>
      <c r="BB407" s="22">
        <f t="shared" si="327"/>
        <v>1</v>
      </c>
      <c r="BC407" s="22" t="str">
        <f t="shared" si="298"/>
        <v>1G</v>
      </c>
      <c r="BD407" s="22" t="str">
        <f t="shared" si="299"/>
        <v>1G</v>
      </c>
      <c r="BE407" s="22" t="str">
        <f t="shared" si="300"/>
        <v>2G</v>
      </c>
      <c r="BF407" s="22" t="str">
        <f t="shared" si="301"/>
        <v>2G</v>
      </c>
      <c r="BG407" s="22" t="str">
        <f t="shared" si="302"/>
        <v>2G</v>
      </c>
      <c r="BH407" s="22" t="str">
        <f t="shared" si="303"/>
        <v>3G</v>
      </c>
      <c r="BI407" s="22">
        <f t="shared" si="328"/>
        <v>2</v>
      </c>
      <c r="BJ407" s="22">
        <f t="shared" si="329"/>
        <v>3</v>
      </c>
      <c r="BK407" s="22">
        <f t="shared" si="330"/>
        <v>1</v>
      </c>
      <c r="BL407" s="22" t="str">
        <f t="shared" si="331"/>
        <v>231</v>
      </c>
      <c r="BS407"/>
      <c r="CL407" s="23">
        <v>168</v>
      </c>
      <c r="CM407" s="23">
        <v>160</v>
      </c>
      <c r="CO407"/>
    </row>
    <row r="408" spans="2:93" ht="17" hidden="1">
      <c r="B408" s="15">
        <v>404</v>
      </c>
      <c r="C408" s="23" t="s">
        <v>434</v>
      </c>
      <c r="D408" s="16">
        <v>3</v>
      </c>
      <c r="E408" s="17">
        <v>3566659375</v>
      </c>
      <c r="F408" s="16">
        <v>26</v>
      </c>
      <c r="G408" s="17">
        <v>68589604</v>
      </c>
      <c r="H408" s="17">
        <v>1273</v>
      </c>
      <c r="I408" s="17">
        <v>1400888</v>
      </c>
      <c r="J408" s="17">
        <v>63559</v>
      </c>
      <c r="K408" s="17">
        <v>50000</v>
      </c>
      <c r="L408" s="17">
        <v>1050065</v>
      </c>
      <c r="M408" s="17">
        <v>5000</v>
      </c>
      <c r="N408" s="23">
        <v>5</v>
      </c>
      <c r="O408" s="23">
        <v>20</v>
      </c>
      <c r="P408" s="23">
        <v>21</v>
      </c>
      <c r="Q408" s="23">
        <v>24</v>
      </c>
      <c r="R408" s="23">
        <v>33</v>
      </c>
      <c r="S408" s="23">
        <v>40</v>
      </c>
      <c r="T408" s="23">
        <v>36</v>
      </c>
      <c r="U408" s="23">
        <f t="shared" si="304"/>
        <v>143</v>
      </c>
      <c r="W408" s="22" t="str">
        <f t="shared" si="289"/>
        <v>홀수</v>
      </c>
      <c r="X408" s="22" t="str">
        <f t="shared" si="290"/>
        <v>짝수</v>
      </c>
      <c r="Y408" s="22" t="str">
        <f t="shared" si="291"/>
        <v>홀수</v>
      </c>
      <c r="Z408" s="22" t="str">
        <f t="shared" si="292"/>
        <v>짝수</v>
      </c>
      <c r="AA408" s="22" t="str">
        <f t="shared" si="293"/>
        <v>홀수</v>
      </c>
      <c r="AB408" s="22" t="str">
        <f t="shared" si="294"/>
        <v>짝수</v>
      </c>
      <c r="AC408" s="52" t="str">
        <f t="shared" si="295"/>
        <v>3 : 3</v>
      </c>
      <c r="AD408" s="22">
        <f t="shared" si="296"/>
        <v>3</v>
      </c>
      <c r="AE408" s="22">
        <f t="shared" si="297"/>
        <v>3</v>
      </c>
      <c r="AF408" s="22" t="str">
        <f t="shared" si="305"/>
        <v>저수</v>
      </c>
      <c r="AG408" s="22" t="str">
        <f t="shared" si="306"/>
        <v>저수</v>
      </c>
      <c r="AH408" s="22" t="str">
        <f t="shared" si="307"/>
        <v>저수</v>
      </c>
      <c r="AI408" s="22" t="str">
        <f t="shared" si="308"/>
        <v>고수</v>
      </c>
      <c r="AJ408" s="22" t="str">
        <f t="shared" si="309"/>
        <v>고수</v>
      </c>
      <c r="AK408" s="22" t="str">
        <f t="shared" si="310"/>
        <v>고수</v>
      </c>
      <c r="AL408" s="52" t="str">
        <f t="shared" si="311"/>
        <v>3 : 3</v>
      </c>
      <c r="AM408" s="22">
        <f t="shared" si="312"/>
        <v>3</v>
      </c>
      <c r="AN408" s="22">
        <f t="shared" si="313"/>
        <v>3</v>
      </c>
      <c r="AO408" s="22">
        <f t="shared" si="314"/>
        <v>13</v>
      </c>
      <c r="AP408" s="22" t="str">
        <f t="shared" si="315"/>
        <v>O</v>
      </c>
      <c r="AQ408" s="22" t="str">
        <f t="shared" si="316"/>
        <v>X</v>
      </c>
      <c r="AR408" s="22" t="str">
        <f t="shared" si="317"/>
        <v>X</v>
      </c>
      <c r="AS408" s="22" t="str">
        <f t="shared" si="318"/>
        <v>X</v>
      </c>
      <c r="AT408" s="22" t="str">
        <f t="shared" si="319"/>
        <v>X</v>
      </c>
      <c r="AU408" s="22" t="str">
        <f t="shared" si="320"/>
        <v>X</v>
      </c>
      <c r="AV408" s="22" t="str">
        <f t="shared" si="321"/>
        <v>X</v>
      </c>
      <c r="AW408" s="22" t="str">
        <f t="shared" si="322"/>
        <v>X</v>
      </c>
      <c r="AX408" s="22" t="str">
        <f t="shared" si="323"/>
        <v>X</v>
      </c>
      <c r="AY408" s="22" t="str">
        <f t="shared" si="324"/>
        <v>X</v>
      </c>
      <c r="AZ408" s="22" t="str">
        <f t="shared" si="325"/>
        <v>X</v>
      </c>
      <c r="BA408" s="22" t="str">
        <f t="shared" si="326"/>
        <v>X</v>
      </c>
      <c r="BB408" s="22">
        <f t="shared" si="327"/>
        <v>1</v>
      </c>
      <c r="BC408" s="22" t="str">
        <f t="shared" si="298"/>
        <v>1G</v>
      </c>
      <c r="BD408" s="22" t="str">
        <f t="shared" si="299"/>
        <v>2G</v>
      </c>
      <c r="BE408" s="22" t="str">
        <f t="shared" si="300"/>
        <v>2G</v>
      </c>
      <c r="BF408" s="22" t="str">
        <f t="shared" si="301"/>
        <v>2G</v>
      </c>
      <c r="BG408" s="22" t="str">
        <f t="shared" si="302"/>
        <v>3G</v>
      </c>
      <c r="BH408" s="22" t="str">
        <f t="shared" si="303"/>
        <v>3G</v>
      </c>
      <c r="BI408" s="22">
        <f t="shared" si="328"/>
        <v>1</v>
      </c>
      <c r="BJ408" s="22">
        <f t="shared" si="329"/>
        <v>3</v>
      </c>
      <c r="BK408" s="22">
        <f t="shared" si="330"/>
        <v>2</v>
      </c>
      <c r="BL408" s="22" t="str">
        <f t="shared" si="331"/>
        <v>132</v>
      </c>
      <c r="BS408"/>
      <c r="CL408" s="23">
        <v>168</v>
      </c>
      <c r="CM408" s="23">
        <v>160</v>
      </c>
      <c r="CO408"/>
    </row>
    <row r="409" spans="2:93" ht="17" hidden="1">
      <c r="B409" s="15">
        <v>405</v>
      </c>
      <c r="C409" s="23" t="s">
        <v>435</v>
      </c>
      <c r="D409" s="16">
        <v>3</v>
      </c>
      <c r="E409" s="17">
        <v>3543878000</v>
      </c>
      <c r="F409" s="16">
        <v>35</v>
      </c>
      <c r="G409" s="17">
        <v>50626829</v>
      </c>
      <c r="H409" s="17">
        <v>1283</v>
      </c>
      <c r="I409" s="17">
        <v>1381091</v>
      </c>
      <c r="J409" s="17">
        <v>63080</v>
      </c>
      <c r="K409" s="17">
        <v>50000</v>
      </c>
      <c r="L409" s="17">
        <v>1056188</v>
      </c>
      <c r="M409" s="17">
        <v>5000</v>
      </c>
      <c r="N409" s="23">
        <v>1</v>
      </c>
      <c r="O409" s="23">
        <v>2</v>
      </c>
      <c r="P409" s="23">
        <v>10</v>
      </c>
      <c r="Q409" s="23">
        <v>25</v>
      </c>
      <c r="R409" s="23">
        <v>26</v>
      </c>
      <c r="S409" s="23">
        <v>44</v>
      </c>
      <c r="T409" s="23">
        <v>4</v>
      </c>
      <c r="U409" s="23">
        <f t="shared" si="304"/>
        <v>108</v>
      </c>
      <c r="W409" s="22" t="str">
        <f t="shared" si="289"/>
        <v>홀수</v>
      </c>
      <c r="X409" s="22" t="str">
        <f t="shared" si="290"/>
        <v>짝수</v>
      </c>
      <c r="Y409" s="22" t="str">
        <f t="shared" si="291"/>
        <v>짝수</v>
      </c>
      <c r="Z409" s="22" t="str">
        <f t="shared" si="292"/>
        <v>홀수</v>
      </c>
      <c r="AA409" s="22" t="str">
        <f t="shared" si="293"/>
        <v>짝수</v>
      </c>
      <c r="AB409" s="22" t="str">
        <f t="shared" si="294"/>
        <v>짝수</v>
      </c>
      <c r="AC409" s="52" t="str">
        <f t="shared" si="295"/>
        <v>2 : 4</v>
      </c>
      <c r="AD409" s="22">
        <f t="shared" si="296"/>
        <v>2</v>
      </c>
      <c r="AE409" s="22">
        <f t="shared" si="297"/>
        <v>4</v>
      </c>
      <c r="AF409" s="22" t="str">
        <f t="shared" si="305"/>
        <v>저수</v>
      </c>
      <c r="AG409" s="22" t="str">
        <f t="shared" si="306"/>
        <v>저수</v>
      </c>
      <c r="AH409" s="22" t="str">
        <f t="shared" si="307"/>
        <v>저수</v>
      </c>
      <c r="AI409" s="22" t="str">
        <f t="shared" si="308"/>
        <v>고수</v>
      </c>
      <c r="AJ409" s="22" t="str">
        <f t="shared" si="309"/>
        <v>고수</v>
      </c>
      <c r="AK409" s="22" t="str">
        <f t="shared" si="310"/>
        <v>고수</v>
      </c>
      <c r="AL409" s="52" t="str">
        <f t="shared" si="311"/>
        <v>3 : 3</v>
      </c>
      <c r="AM409" s="22">
        <f t="shared" si="312"/>
        <v>3</v>
      </c>
      <c r="AN409" s="22">
        <f t="shared" si="313"/>
        <v>3</v>
      </c>
      <c r="AO409" s="22">
        <f t="shared" si="314"/>
        <v>18</v>
      </c>
      <c r="AP409" s="22" t="str">
        <f t="shared" si="315"/>
        <v>X</v>
      </c>
      <c r="AQ409" s="22" t="str">
        <f t="shared" si="316"/>
        <v>O</v>
      </c>
      <c r="AR409" s="22" t="str">
        <f t="shared" si="317"/>
        <v>X</v>
      </c>
      <c r="AS409" s="22" t="str">
        <f t="shared" si="318"/>
        <v>X</v>
      </c>
      <c r="AT409" s="22" t="str">
        <f t="shared" si="319"/>
        <v>X</v>
      </c>
      <c r="AU409" s="22" t="str">
        <f t="shared" si="320"/>
        <v>X</v>
      </c>
      <c r="AV409" s="22" t="str">
        <f t="shared" si="321"/>
        <v>X</v>
      </c>
      <c r="AW409" s="22" t="str">
        <f t="shared" si="322"/>
        <v>X</v>
      </c>
      <c r="AX409" s="22" t="str">
        <f t="shared" si="323"/>
        <v>X</v>
      </c>
      <c r="AY409" s="22" t="str">
        <f t="shared" si="324"/>
        <v>X</v>
      </c>
      <c r="AZ409" s="22" t="str">
        <f t="shared" si="325"/>
        <v>X</v>
      </c>
      <c r="BA409" s="22" t="str">
        <f t="shared" si="326"/>
        <v>X</v>
      </c>
      <c r="BB409" s="22">
        <f t="shared" si="327"/>
        <v>1</v>
      </c>
      <c r="BC409" s="22" t="str">
        <f t="shared" si="298"/>
        <v>1G</v>
      </c>
      <c r="BD409" s="22" t="str">
        <f t="shared" si="299"/>
        <v>1G</v>
      </c>
      <c r="BE409" s="22" t="str">
        <f t="shared" si="300"/>
        <v>1G</v>
      </c>
      <c r="BF409" s="22" t="str">
        <f t="shared" si="301"/>
        <v>2G</v>
      </c>
      <c r="BG409" s="22" t="str">
        <f t="shared" si="302"/>
        <v>2G</v>
      </c>
      <c r="BH409" s="22" t="str">
        <f t="shared" si="303"/>
        <v>3G</v>
      </c>
      <c r="BI409" s="22">
        <f t="shared" si="328"/>
        <v>3</v>
      </c>
      <c r="BJ409" s="22">
        <f t="shared" si="329"/>
        <v>2</v>
      </c>
      <c r="BK409" s="22">
        <f t="shared" si="330"/>
        <v>1</v>
      </c>
      <c r="BL409" s="22" t="str">
        <f t="shared" si="331"/>
        <v>321</v>
      </c>
      <c r="BS409"/>
      <c r="CL409" s="23">
        <v>169</v>
      </c>
      <c r="CM409" s="23">
        <v>160</v>
      </c>
      <c r="CO409"/>
    </row>
    <row r="410" spans="2:93" ht="17" hidden="1">
      <c r="B410" s="15">
        <v>406</v>
      </c>
      <c r="C410" s="23" t="s">
        <v>436</v>
      </c>
      <c r="D410" s="16">
        <v>5</v>
      </c>
      <c r="E410" s="17">
        <v>2156142450</v>
      </c>
      <c r="F410" s="16">
        <v>33</v>
      </c>
      <c r="G410" s="17">
        <v>54448042</v>
      </c>
      <c r="H410" s="17">
        <v>1442</v>
      </c>
      <c r="I410" s="17">
        <v>1246038</v>
      </c>
      <c r="J410" s="17">
        <v>66604</v>
      </c>
      <c r="K410" s="17">
        <v>50000</v>
      </c>
      <c r="L410" s="17">
        <v>1065324</v>
      </c>
      <c r="M410" s="17">
        <v>5000</v>
      </c>
      <c r="N410" s="23">
        <v>7</v>
      </c>
      <c r="O410" s="23">
        <v>12</v>
      </c>
      <c r="P410" s="23">
        <v>21</v>
      </c>
      <c r="Q410" s="23">
        <v>24</v>
      </c>
      <c r="R410" s="23">
        <v>27</v>
      </c>
      <c r="S410" s="23">
        <v>36</v>
      </c>
      <c r="T410" s="23">
        <v>45</v>
      </c>
      <c r="U410" s="23">
        <f t="shared" si="304"/>
        <v>127</v>
      </c>
      <c r="W410" s="22" t="str">
        <f t="shared" si="289"/>
        <v>홀수</v>
      </c>
      <c r="X410" s="22" t="str">
        <f t="shared" si="290"/>
        <v>짝수</v>
      </c>
      <c r="Y410" s="22" t="str">
        <f t="shared" si="291"/>
        <v>홀수</v>
      </c>
      <c r="Z410" s="22" t="str">
        <f t="shared" si="292"/>
        <v>짝수</v>
      </c>
      <c r="AA410" s="22" t="str">
        <f t="shared" si="293"/>
        <v>홀수</v>
      </c>
      <c r="AB410" s="22" t="str">
        <f t="shared" si="294"/>
        <v>짝수</v>
      </c>
      <c r="AC410" s="52" t="str">
        <f t="shared" si="295"/>
        <v>3 : 3</v>
      </c>
      <c r="AD410" s="22">
        <f t="shared" si="296"/>
        <v>3</v>
      </c>
      <c r="AE410" s="22">
        <f t="shared" si="297"/>
        <v>3</v>
      </c>
      <c r="AF410" s="22" t="str">
        <f t="shared" si="305"/>
        <v>저수</v>
      </c>
      <c r="AG410" s="22" t="str">
        <f t="shared" si="306"/>
        <v>저수</v>
      </c>
      <c r="AH410" s="22" t="str">
        <f t="shared" si="307"/>
        <v>저수</v>
      </c>
      <c r="AI410" s="22" t="str">
        <f t="shared" si="308"/>
        <v>고수</v>
      </c>
      <c r="AJ410" s="22" t="str">
        <f t="shared" si="309"/>
        <v>고수</v>
      </c>
      <c r="AK410" s="22" t="str">
        <f t="shared" si="310"/>
        <v>고수</v>
      </c>
      <c r="AL410" s="52" t="str">
        <f t="shared" si="311"/>
        <v>3 : 3</v>
      </c>
      <c r="AM410" s="22">
        <f t="shared" si="312"/>
        <v>3</v>
      </c>
      <c r="AN410" s="22">
        <f t="shared" si="313"/>
        <v>3</v>
      </c>
      <c r="AO410" s="22">
        <f t="shared" si="314"/>
        <v>27</v>
      </c>
      <c r="AP410" s="22" t="str">
        <f t="shared" si="315"/>
        <v>O</v>
      </c>
      <c r="AQ410" s="22" t="str">
        <f t="shared" si="316"/>
        <v>X</v>
      </c>
      <c r="AR410" s="22" t="str">
        <f t="shared" si="317"/>
        <v>X</v>
      </c>
      <c r="AS410" s="22" t="str">
        <f t="shared" si="318"/>
        <v>X</v>
      </c>
      <c r="AT410" s="22" t="str">
        <f t="shared" si="319"/>
        <v>X</v>
      </c>
      <c r="AU410" s="22" t="str">
        <f t="shared" si="320"/>
        <v>X</v>
      </c>
      <c r="AV410" s="22" t="str">
        <f t="shared" si="321"/>
        <v>X</v>
      </c>
      <c r="AW410" s="22" t="str">
        <f t="shared" si="322"/>
        <v>X</v>
      </c>
      <c r="AX410" s="22" t="str">
        <f t="shared" si="323"/>
        <v>X</v>
      </c>
      <c r="AY410" s="22" t="str">
        <f t="shared" si="324"/>
        <v>X</v>
      </c>
      <c r="AZ410" s="22" t="str">
        <f t="shared" si="325"/>
        <v>X</v>
      </c>
      <c r="BA410" s="22" t="str">
        <f t="shared" si="326"/>
        <v>X</v>
      </c>
      <c r="BB410" s="22">
        <f t="shared" si="327"/>
        <v>1</v>
      </c>
      <c r="BC410" s="22" t="str">
        <f t="shared" si="298"/>
        <v>1G</v>
      </c>
      <c r="BD410" s="22" t="str">
        <f t="shared" si="299"/>
        <v>1G</v>
      </c>
      <c r="BE410" s="22" t="str">
        <f t="shared" si="300"/>
        <v>2G</v>
      </c>
      <c r="BF410" s="22" t="str">
        <f t="shared" si="301"/>
        <v>2G</v>
      </c>
      <c r="BG410" s="22" t="str">
        <f t="shared" si="302"/>
        <v>2G</v>
      </c>
      <c r="BH410" s="22" t="str">
        <f t="shared" si="303"/>
        <v>3G</v>
      </c>
      <c r="BI410" s="22">
        <f t="shared" si="328"/>
        <v>2</v>
      </c>
      <c r="BJ410" s="22">
        <f t="shared" si="329"/>
        <v>3</v>
      </c>
      <c r="BK410" s="22">
        <f t="shared" si="330"/>
        <v>1</v>
      </c>
      <c r="BL410" s="22" t="str">
        <f t="shared" si="331"/>
        <v>231</v>
      </c>
      <c r="BS410"/>
      <c r="CL410" s="23">
        <v>169</v>
      </c>
      <c r="CM410" s="23">
        <v>160</v>
      </c>
      <c r="CO410"/>
    </row>
    <row r="411" spans="2:93" ht="17" hidden="1">
      <c r="B411" s="15">
        <v>407</v>
      </c>
      <c r="C411" s="23" t="s">
        <v>437</v>
      </c>
      <c r="D411" s="16">
        <v>7</v>
      </c>
      <c r="E411" s="17">
        <v>1649707286</v>
      </c>
      <c r="F411" s="16">
        <v>27</v>
      </c>
      <c r="G411" s="17">
        <v>71283649</v>
      </c>
      <c r="H411" s="17">
        <v>1268</v>
      </c>
      <c r="I411" s="17">
        <v>1517870</v>
      </c>
      <c r="J411" s="17">
        <v>65481</v>
      </c>
      <c r="K411" s="17">
        <v>50000</v>
      </c>
      <c r="L411" s="17">
        <v>1108695</v>
      </c>
      <c r="M411" s="17">
        <v>5000</v>
      </c>
      <c r="N411" s="23">
        <v>6</v>
      </c>
      <c r="O411" s="23">
        <v>7</v>
      </c>
      <c r="P411" s="23">
        <v>13</v>
      </c>
      <c r="Q411" s="23">
        <v>16</v>
      </c>
      <c r="R411" s="23">
        <v>24</v>
      </c>
      <c r="S411" s="23">
        <v>25</v>
      </c>
      <c r="T411" s="23">
        <v>1</v>
      </c>
      <c r="U411" s="23">
        <f t="shared" si="304"/>
        <v>91</v>
      </c>
      <c r="W411" s="22" t="str">
        <f t="shared" si="289"/>
        <v>짝수</v>
      </c>
      <c r="X411" s="22" t="str">
        <f t="shared" si="290"/>
        <v>홀수</v>
      </c>
      <c r="Y411" s="22" t="str">
        <f t="shared" si="291"/>
        <v>홀수</v>
      </c>
      <c r="Z411" s="22" t="str">
        <f t="shared" si="292"/>
        <v>짝수</v>
      </c>
      <c r="AA411" s="22" t="str">
        <f t="shared" si="293"/>
        <v>짝수</v>
      </c>
      <c r="AB411" s="22" t="str">
        <f t="shared" si="294"/>
        <v>홀수</v>
      </c>
      <c r="AC411" s="52" t="str">
        <f t="shared" si="295"/>
        <v>3 : 3</v>
      </c>
      <c r="AD411" s="22">
        <f t="shared" si="296"/>
        <v>3</v>
      </c>
      <c r="AE411" s="22">
        <f t="shared" si="297"/>
        <v>3</v>
      </c>
      <c r="AF411" s="22" t="str">
        <f t="shared" si="305"/>
        <v>저수</v>
      </c>
      <c r="AG411" s="22" t="str">
        <f t="shared" si="306"/>
        <v>저수</v>
      </c>
      <c r="AH411" s="22" t="str">
        <f t="shared" si="307"/>
        <v>저수</v>
      </c>
      <c r="AI411" s="22" t="str">
        <f t="shared" si="308"/>
        <v>저수</v>
      </c>
      <c r="AJ411" s="22" t="str">
        <f t="shared" si="309"/>
        <v>고수</v>
      </c>
      <c r="AK411" s="22" t="str">
        <f t="shared" si="310"/>
        <v>고수</v>
      </c>
      <c r="AL411" s="52" t="str">
        <f t="shared" si="311"/>
        <v>4 : 2</v>
      </c>
      <c r="AM411" s="22">
        <f t="shared" si="312"/>
        <v>4</v>
      </c>
      <c r="AN411" s="22">
        <f t="shared" si="313"/>
        <v>2</v>
      </c>
      <c r="AO411" s="22">
        <f t="shared" si="314"/>
        <v>31</v>
      </c>
      <c r="AP411" s="22" t="str">
        <f t="shared" si="315"/>
        <v>X</v>
      </c>
      <c r="AQ411" s="22" t="str">
        <f t="shared" si="316"/>
        <v>O</v>
      </c>
      <c r="AR411" s="22" t="str">
        <f t="shared" si="317"/>
        <v>O</v>
      </c>
      <c r="AS411" s="22" t="str">
        <f t="shared" si="318"/>
        <v>X</v>
      </c>
      <c r="AT411" s="22" t="str">
        <f t="shared" si="319"/>
        <v>X</v>
      </c>
      <c r="AU411" s="22" t="str">
        <f t="shared" si="320"/>
        <v>X</v>
      </c>
      <c r="AV411" s="22" t="str">
        <f t="shared" si="321"/>
        <v>X</v>
      </c>
      <c r="AW411" s="22" t="str">
        <f t="shared" si="322"/>
        <v>X</v>
      </c>
      <c r="AX411" s="22" t="str">
        <f t="shared" si="323"/>
        <v>X</v>
      </c>
      <c r="AY411" s="22" t="str">
        <f t="shared" si="324"/>
        <v>X</v>
      </c>
      <c r="AZ411" s="22" t="str">
        <f t="shared" si="325"/>
        <v>X</v>
      </c>
      <c r="BA411" s="22" t="str">
        <f t="shared" si="326"/>
        <v>X</v>
      </c>
      <c r="BB411" s="22">
        <f t="shared" si="327"/>
        <v>2</v>
      </c>
      <c r="BC411" s="22" t="str">
        <f t="shared" si="298"/>
        <v>1G</v>
      </c>
      <c r="BD411" s="22" t="str">
        <f t="shared" si="299"/>
        <v>1G</v>
      </c>
      <c r="BE411" s="22" t="str">
        <f t="shared" si="300"/>
        <v>1G</v>
      </c>
      <c r="BF411" s="22" t="str">
        <f t="shared" si="301"/>
        <v>2G</v>
      </c>
      <c r="BG411" s="22" t="str">
        <f t="shared" si="302"/>
        <v>2G</v>
      </c>
      <c r="BH411" s="22" t="str">
        <f t="shared" si="303"/>
        <v>2G</v>
      </c>
      <c r="BI411" s="22">
        <f t="shared" si="328"/>
        <v>3</v>
      </c>
      <c r="BJ411" s="22">
        <f t="shared" si="329"/>
        <v>3</v>
      </c>
      <c r="BK411" s="22">
        <f t="shared" si="330"/>
        <v>0</v>
      </c>
      <c r="BL411" s="22" t="str">
        <f t="shared" si="331"/>
        <v>330</v>
      </c>
      <c r="BS411"/>
      <c r="CL411" s="23">
        <v>169</v>
      </c>
      <c r="CM411" s="23">
        <v>160</v>
      </c>
      <c r="CO411"/>
    </row>
    <row r="412" spans="2:93" ht="17" hidden="1">
      <c r="B412" s="15">
        <v>408</v>
      </c>
      <c r="C412" s="23" t="s">
        <v>438</v>
      </c>
      <c r="D412" s="16">
        <v>5</v>
      </c>
      <c r="E412" s="17">
        <v>2235375825</v>
      </c>
      <c r="F412" s="16">
        <v>33</v>
      </c>
      <c r="G412" s="17">
        <v>56448885</v>
      </c>
      <c r="H412" s="17">
        <v>1244</v>
      </c>
      <c r="I412" s="17">
        <v>1497439</v>
      </c>
      <c r="J412" s="17">
        <v>62101</v>
      </c>
      <c r="K412" s="17">
        <v>50000</v>
      </c>
      <c r="L412" s="17">
        <v>1039160</v>
      </c>
      <c r="M412" s="17">
        <v>5000</v>
      </c>
      <c r="N412" s="23">
        <v>9</v>
      </c>
      <c r="O412" s="23">
        <v>20</v>
      </c>
      <c r="P412" s="23">
        <v>21</v>
      </c>
      <c r="Q412" s="23">
        <v>22</v>
      </c>
      <c r="R412" s="23">
        <v>30</v>
      </c>
      <c r="S412" s="23">
        <v>37</v>
      </c>
      <c r="T412" s="23">
        <v>16</v>
      </c>
      <c r="U412" s="23">
        <f t="shared" si="304"/>
        <v>139</v>
      </c>
      <c r="W412" s="22" t="str">
        <f t="shared" si="289"/>
        <v>홀수</v>
      </c>
      <c r="X412" s="22" t="str">
        <f t="shared" si="290"/>
        <v>짝수</v>
      </c>
      <c r="Y412" s="22" t="str">
        <f t="shared" si="291"/>
        <v>홀수</v>
      </c>
      <c r="Z412" s="22" t="str">
        <f t="shared" si="292"/>
        <v>짝수</v>
      </c>
      <c r="AA412" s="22" t="str">
        <f t="shared" si="293"/>
        <v>짝수</v>
      </c>
      <c r="AB412" s="22" t="str">
        <f t="shared" si="294"/>
        <v>홀수</v>
      </c>
      <c r="AC412" s="52" t="str">
        <f t="shared" si="295"/>
        <v>3 : 3</v>
      </c>
      <c r="AD412" s="22">
        <f t="shared" si="296"/>
        <v>3</v>
      </c>
      <c r="AE412" s="22">
        <f t="shared" si="297"/>
        <v>3</v>
      </c>
      <c r="AF412" s="22" t="str">
        <f t="shared" si="305"/>
        <v>저수</v>
      </c>
      <c r="AG412" s="22" t="str">
        <f t="shared" si="306"/>
        <v>저수</v>
      </c>
      <c r="AH412" s="22" t="str">
        <f t="shared" si="307"/>
        <v>저수</v>
      </c>
      <c r="AI412" s="22" t="str">
        <f t="shared" si="308"/>
        <v>저수</v>
      </c>
      <c r="AJ412" s="22" t="str">
        <f t="shared" si="309"/>
        <v>고수</v>
      </c>
      <c r="AK412" s="22" t="str">
        <f t="shared" si="310"/>
        <v>고수</v>
      </c>
      <c r="AL412" s="52" t="str">
        <f t="shared" si="311"/>
        <v>4 : 2</v>
      </c>
      <c r="AM412" s="22">
        <f t="shared" si="312"/>
        <v>4</v>
      </c>
      <c r="AN412" s="22">
        <f t="shared" si="313"/>
        <v>2</v>
      </c>
      <c r="AO412" s="22">
        <f t="shared" si="314"/>
        <v>19</v>
      </c>
      <c r="AP412" s="22" t="str">
        <f t="shared" si="315"/>
        <v>X</v>
      </c>
      <c r="AQ412" s="22" t="str">
        <f t="shared" si="316"/>
        <v>X</v>
      </c>
      <c r="AR412" s="22" t="str">
        <f t="shared" si="317"/>
        <v>X</v>
      </c>
      <c r="AS412" s="22" t="str">
        <f t="shared" si="318"/>
        <v>X</v>
      </c>
      <c r="AT412" s="22" t="str">
        <f t="shared" si="319"/>
        <v>X</v>
      </c>
      <c r="AU412" s="22" t="str">
        <f t="shared" si="320"/>
        <v>X</v>
      </c>
      <c r="AV412" s="22" t="str">
        <f t="shared" si="321"/>
        <v>X</v>
      </c>
      <c r="AW412" s="22" t="str">
        <f t="shared" si="322"/>
        <v>X</v>
      </c>
      <c r="AX412" s="22" t="str">
        <f t="shared" si="323"/>
        <v>X</v>
      </c>
      <c r="AY412" s="22" t="str">
        <f t="shared" si="324"/>
        <v>X</v>
      </c>
      <c r="AZ412" s="22" t="str">
        <f t="shared" si="325"/>
        <v>X</v>
      </c>
      <c r="BA412" s="22" t="str">
        <f t="shared" si="326"/>
        <v>O</v>
      </c>
      <c r="BB412" s="22">
        <f t="shared" si="327"/>
        <v>1</v>
      </c>
      <c r="BC412" s="22" t="str">
        <f t="shared" si="298"/>
        <v>1G</v>
      </c>
      <c r="BD412" s="22" t="str">
        <f t="shared" si="299"/>
        <v>2G</v>
      </c>
      <c r="BE412" s="22" t="str">
        <f t="shared" si="300"/>
        <v>2G</v>
      </c>
      <c r="BF412" s="22" t="str">
        <f t="shared" si="301"/>
        <v>2G</v>
      </c>
      <c r="BG412" s="22" t="str">
        <f t="shared" si="302"/>
        <v>2G</v>
      </c>
      <c r="BH412" s="22" t="str">
        <f t="shared" si="303"/>
        <v>3G</v>
      </c>
      <c r="BI412" s="22">
        <f t="shared" si="328"/>
        <v>1</v>
      </c>
      <c r="BJ412" s="22">
        <f t="shared" si="329"/>
        <v>4</v>
      </c>
      <c r="BK412" s="22">
        <f t="shared" si="330"/>
        <v>1</v>
      </c>
      <c r="BL412" s="22" t="str">
        <f t="shared" si="331"/>
        <v>141</v>
      </c>
      <c r="BS412"/>
      <c r="CL412" s="23">
        <v>169</v>
      </c>
      <c r="CM412" s="23">
        <v>160</v>
      </c>
      <c r="CO412"/>
    </row>
    <row r="413" spans="2:93" ht="17" hidden="1">
      <c r="B413" s="15">
        <v>409</v>
      </c>
      <c r="C413" s="23" t="s">
        <v>439</v>
      </c>
      <c r="D413" s="16">
        <v>4</v>
      </c>
      <c r="E413" s="17">
        <v>2896989750</v>
      </c>
      <c r="F413" s="16">
        <v>36</v>
      </c>
      <c r="G413" s="17">
        <v>53647959</v>
      </c>
      <c r="H413" s="17">
        <v>1320</v>
      </c>
      <c r="I413" s="17">
        <v>1463127</v>
      </c>
      <c r="J413" s="17">
        <v>64123</v>
      </c>
      <c r="K413" s="17">
        <v>50000</v>
      </c>
      <c r="L413" s="17">
        <v>1061106</v>
      </c>
      <c r="M413" s="17">
        <v>5000</v>
      </c>
      <c r="N413" s="23">
        <v>6</v>
      </c>
      <c r="O413" s="23">
        <v>9</v>
      </c>
      <c r="P413" s="23">
        <v>21</v>
      </c>
      <c r="Q413" s="23">
        <v>31</v>
      </c>
      <c r="R413" s="23">
        <v>32</v>
      </c>
      <c r="S413" s="23">
        <v>40</v>
      </c>
      <c r="T413" s="23">
        <v>38</v>
      </c>
      <c r="U413" s="23">
        <f t="shared" si="304"/>
        <v>139</v>
      </c>
      <c r="W413" s="22" t="str">
        <f t="shared" si="289"/>
        <v>짝수</v>
      </c>
      <c r="X413" s="22" t="str">
        <f t="shared" si="290"/>
        <v>홀수</v>
      </c>
      <c r="Y413" s="22" t="str">
        <f t="shared" si="291"/>
        <v>홀수</v>
      </c>
      <c r="Z413" s="22" t="str">
        <f t="shared" si="292"/>
        <v>홀수</v>
      </c>
      <c r="AA413" s="22" t="str">
        <f t="shared" si="293"/>
        <v>짝수</v>
      </c>
      <c r="AB413" s="22" t="str">
        <f t="shared" si="294"/>
        <v>짝수</v>
      </c>
      <c r="AC413" s="52" t="str">
        <f t="shared" si="295"/>
        <v>3 : 3</v>
      </c>
      <c r="AD413" s="22">
        <f t="shared" si="296"/>
        <v>3</v>
      </c>
      <c r="AE413" s="22">
        <f t="shared" si="297"/>
        <v>3</v>
      </c>
      <c r="AF413" s="22" t="str">
        <f t="shared" si="305"/>
        <v>저수</v>
      </c>
      <c r="AG413" s="22" t="str">
        <f t="shared" si="306"/>
        <v>저수</v>
      </c>
      <c r="AH413" s="22" t="str">
        <f t="shared" si="307"/>
        <v>저수</v>
      </c>
      <c r="AI413" s="22" t="str">
        <f t="shared" si="308"/>
        <v>고수</v>
      </c>
      <c r="AJ413" s="22" t="str">
        <f t="shared" si="309"/>
        <v>고수</v>
      </c>
      <c r="AK413" s="22" t="str">
        <f t="shared" si="310"/>
        <v>고수</v>
      </c>
      <c r="AL413" s="52" t="str">
        <f t="shared" si="311"/>
        <v>3 : 3</v>
      </c>
      <c r="AM413" s="22">
        <f t="shared" si="312"/>
        <v>3</v>
      </c>
      <c r="AN413" s="22">
        <f t="shared" si="313"/>
        <v>3</v>
      </c>
      <c r="AO413" s="22">
        <f t="shared" si="314"/>
        <v>19</v>
      </c>
      <c r="AP413" s="22" t="str">
        <f t="shared" si="315"/>
        <v>X</v>
      </c>
      <c r="AQ413" s="22" t="str">
        <f t="shared" si="316"/>
        <v>X</v>
      </c>
      <c r="AR413" s="22" t="str">
        <f t="shared" si="317"/>
        <v>X</v>
      </c>
      <c r="AS413" s="22" t="str">
        <f t="shared" si="318"/>
        <v>X</v>
      </c>
      <c r="AT413" s="22" t="str">
        <f t="shared" si="319"/>
        <v>X</v>
      </c>
      <c r="AU413" s="22" t="str">
        <f t="shared" si="320"/>
        <v>X</v>
      </c>
      <c r="AV413" s="22" t="str">
        <f t="shared" si="321"/>
        <v>X</v>
      </c>
      <c r="AW413" s="22" t="str">
        <f t="shared" si="322"/>
        <v>X</v>
      </c>
      <c r="AX413" s="22" t="str">
        <f t="shared" si="323"/>
        <v>X</v>
      </c>
      <c r="AY413" s="22" t="str">
        <f t="shared" si="324"/>
        <v>O</v>
      </c>
      <c r="AZ413" s="22" t="str">
        <f t="shared" si="325"/>
        <v>X</v>
      </c>
      <c r="BA413" s="22" t="str">
        <f t="shared" si="326"/>
        <v>X</v>
      </c>
      <c r="BB413" s="22">
        <f t="shared" si="327"/>
        <v>1</v>
      </c>
      <c r="BC413" s="22" t="str">
        <f t="shared" si="298"/>
        <v>1G</v>
      </c>
      <c r="BD413" s="22" t="str">
        <f t="shared" si="299"/>
        <v>1G</v>
      </c>
      <c r="BE413" s="22" t="str">
        <f t="shared" si="300"/>
        <v>2G</v>
      </c>
      <c r="BF413" s="22" t="str">
        <f t="shared" si="301"/>
        <v>3G</v>
      </c>
      <c r="BG413" s="22" t="str">
        <f t="shared" si="302"/>
        <v>3G</v>
      </c>
      <c r="BH413" s="22" t="str">
        <f t="shared" si="303"/>
        <v>3G</v>
      </c>
      <c r="BI413" s="22">
        <f t="shared" si="328"/>
        <v>2</v>
      </c>
      <c r="BJ413" s="22">
        <f t="shared" si="329"/>
        <v>1</v>
      </c>
      <c r="BK413" s="22">
        <f t="shared" si="330"/>
        <v>3</v>
      </c>
      <c r="BL413" s="22" t="str">
        <f t="shared" si="331"/>
        <v>213</v>
      </c>
      <c r="BS413"/>
      <c r="CL413" s="23">
        <v>169</v>
      </c>
      <c r="CM413" s="23">
        <v>160</v>
      </c>
      <c r="CO413"/>
    </row>
    <row r="414" spans="2:93" ht="17" hidden="1">
      <c r="B414" s="15">
        <v>410</v>
      </c>
      <c r="C414" s="23" t="s">
        <v>440</v>
      </c>
      <c r="D414" s="16">
        <v>9</v>
      </c>
      <c r="E414" s="17">
        <v>1249335709</v>
      </c>
      <c r="F414" s="16">
        <v>37</v>
      </c>
      <c r="G414" s="17">
        <v>50648745</v>
      </c>
      <c r="H414" s="17">
        <v>1303</v>
      </c>
      <c r="I414" s="17">
        <v>1438223</v>
      </c>
      <c r="J414" s="17">
        <v>65942</v>
      </c>
      <c r="K414" s="17">
        <v>50000</v>
      </c>
      <c r="L414" s="17">
        <v>1088956</v>
      </c>
      <c r="M414" s="17">
        <v>5000</v>
      </c>
      <c r="N414" s="23">
        <v>1</v>
      </c>
      <c r="O414" s="23">
        <v>3</v>
      </c>
      <c r="P414" s="23">
        <v>18</v>
      </c>
      <c r="Q414" s="23">
        <v>32</v>
      </c>
      <c r="R414" s="23">
        <v>40</v>
      </c>
      <c r="S414" s="23">
        <v>41</v>
      </c>
      <c r="T414" s="23">
        <v>16</v>
      </c>
      <c r="U414" s="23">
        <f t="shared" si="304"/>
        <v>135</v>
      </c>
      <c r="W414" s="22" t="str">
        <f t="shared" si="289"/>
        <v>홀수</v>
      </c>
      <c r="X414" s="22" t="str">
        <f t="shared" si="290"/>
        <v>홀수</v>
      </c>
      <c r="Y414" s="22" t="str">
        <f t="shared" si="291"/>
        <v>짝수</v>
      </c>
      <c r="Z414" s="22" t="str">
        <f t="shared" si="292"/>
        <v>짝수</v>
      </c>
      <c r="AA414" s="22" t="str">
        <f t="shared" si="293"/>
        <v>짝수</v>
      </c>
      <c r="AB414" s="22" t="str">
        <f t="shared" si="294"/>
        <v>홀수</v>
      </c>
      <c r="AC414" s="52" t="str">
        <f t="shared" si="295"/>
        <v>3 : 3</v>
      </c>
      <c r="AD414" s="22">
        <f t="shared" si="296"/>
        <v>3</v>
      </c>
      <c r="AE414" s="22">
        <f t="shared" si="297"/>
        <v>3</v>
      </c>
      <c r="AF414" s="22" t="str">
        <f t="shared" si="305"/>
        <v>저수</v>
      </c>
      <c r="AG414" s="22" t="str">
        <f t="shared" si="306"/>
        <v>저수</v>
      </c>
      <c r="AH414" s="22" t="str">
        <f t="shared" si="307"/>
        <v>저수</v>
      </c>
      <c r="AI414" s="22" t="str">
        <f t="shared" si="308"/>
        <v>고수</v>
      </c>
      <c r="AJ414" s="22" t="str">
        <f t="shared" si="309"/>
        <v>고수</v>
      </c>
      <c r="AK414" s="22" t="str">
        <f t="shared" si="310"/>
        <v>고수</v>
      </c>
      <c r="AL414" s="52" t="str">
        <f t="shared" si="311"/>
        <v>3 : 3</v>
      </c>
      <c r="AM414" s="22">
        <f t="shared" si="312"/>
        <v>3</v>
      </c>
      <c r="AN414" s="22">
        <f t="shared" si="313"/>
        <v>3</v>
      </c>
      <c r="AO414" s="22">
        <f t="shared" si="314"/>
        <v>15</v>
      </c>
      <c r="AP414" s="22" t="str">
        <f t="shared" si="315"/>
        <v>X</v>
      </c>
      <c r="AQ414" s="22" t="str">
        <f t="shared" si="316"/>
        <v>O</v>
      </c>
      <c r="AR414" s="22" t="str">
        <f t="shared" si="317"/>
        <v>X</v>
      </c>
      <c r="AS414" s="22" t="str">
        <f t="shared" si="318"/>
        <v>X</v>
      </c>
      <c r="AT414" s="22" t="str">
        <f t="shared" si="319"/>
        <v>X</v>
      </c>
      <c r="AU414" s="22" t="str">
        <f t="shared" si="320"/>
        <v>X</v>
      </c>
      <c r="AV414" s="22" t="str">
        <f t="shared" si="321"/>
        <v>X</v>
      </c>
      <c r="AW414" s="22" t="str">
        <f t="shared" si="322"/>
        <v>X</v>
      </c>
      <c r="AX414" s="22" t="str">
        <f t="shared" si="323"/>
        <v>X</v>
      </c>
      <c r="AY414" s="22" t="str">
        <f t="shared" si="324"/>
        <v>X</v>
      </c>
      <c r="AZ414" s="22" t="str">
        <f t="shared" si="325"/>
        <v>X</v>
      </c>
      <c r="BA414" s="22" t="str">
        <f t="shared" si="326"/>
        <v>O</v>
      </c>
      <c r="BB414" s="22">
        <f t="shared" si="327"/>
        <v>2</v>
      </c>
      <c r="BC414" s="22" t="str">
        <f t="shared" si="298"/>
        <v>1G</v>
      </c>
      <c r="BD414" s="22" t="str">
        <f t="shared" si="299"/>
        <v>1G</v>
      </c>
      <c r="BE414" s="22" t="str">
        <f t="shared" si="300"/>
        <v>2G</v>
      </c>
      <c r="BF414" s="22" t="str">
        <f t="shared" si="301"/>
        <v>3G</v>
      </c>
      <c r="BG414" s="22" t="str">
        <f t="shared" si="302"/>
        <v>3G</v>
      </c>
      <c r="BH414" s="22" t="str">
        <f t="shared" si="303"/>
        <v>3G</v>
      </c>
      <c r="BI414" s="22">
        <f t="shared" si="328"/>
        <v>2</v>
      </c>
      <c r="BJ414" s="22">
        <f t="shared" si="329"/>
        <v>1</v>
      </c>
      <c r="BK414" s="22">
        <f t="shared" si="330"/>
        <v>3</v>
      </c>
      <c r="BL414" s="22" t="str">
        <f t="shared" si="331"/>
        <v>213</v>
      </c>
      <c r="BS414"/>
      <c r="CL414" s="23">
        <v>169</v>
      </c>
      <c r="CM414" s="23">
        <v>160</v>
      </c>
      <c r="CO414"/>
    </row>
    <row r="415" spans="2:93" ht="17" hidden="1">
      <c r="B415" s="15">
        <v>411</v>
      </c>
      <c r="C415" s="23" t="s">
        <v>441</v>
      </c>
      <c r="D415" s="16">
        <v>12</v>
      </c>
      <c r="E415" s="17">
        <v>953227563</v>
      </c>
      <c r="F415" s="16">
        <v>36</v>
      </c>
      <c r="G415" s="17">
        <v>52957087</v>
      </c>
      <c r="H415" s="17">
        <v>1318</v>
      </c>
      <c r="I415" s="17">
        <v>1446476</v>
      </c>
      <c r="J415" s="17">
        <v>63403</v>
      </c>
      <c r="K415" s="17">
        <v>50000</v>
      </c>
      <c r="L415" s="17">
        <v>1041554</v>
      </c>
      <c r="M415" s="17">
        <v>5000</v>
      </c>
      <c r="N415" s="23">
        <v>11</v>
      </c>
      <c r="O415" s="23">
        <v>14</v>
      </c>
      <c r="P415" s="23">
        <v>22</v>
      </c>
      <c r="Q415" s="23">
        <v>35</v>
      </c>
      <c r="R415" s="23">
        <v>37</v>
      </c>
      <c r="S415" s="23">
        <v>39</v>
      </c>
      <c r="T415" s="23">
        <v>5</v>
      </c>
      <c r="U415" s="23">
        <f t="shared" si="304"/>
        <v>158</v>
      </c>
      <c r="W415" s="22" t="str">
        <f t="shared" si="289"/>
        <v>홀수</v>
      </c>
      <c r="X415" s="22" t="str">
        <f t="shared" si="290"/>
        <v>짝수</v>
      </c>
      <c r="Y415" s="22" t="str">
        <f t="shared" si="291"/>
        <v>짝수</v>
      </c>
      <c r="Z415" s="22" t="str">
        <f t="shared" si="292"/>
        <v>홀수</v>
      </c>
      <c r="AA415" s="22" t="str">
        <f t="shared" si="293"/>
        <v>홀수</v>
      </c>
      <c r="AB415" s="22" t="str">
        <f t="shared" si="294"/>
        <v>홀수</v>
      </c>
      <c r="AC415" s="52" t="str">
        <f t="shared" si="295"/>
        <v>4 : 2</v>
      </c>
      <c r="AD415" s="22">
        <f t="shared" si="296"/>
        <v>4</v>
      </c>
      <c r="AE415" s="22">
        <f t="shared" si="297"/>
        <v>2</v>
      </c>
      <c r="AF415" s="22" t="str">
        <f t="shared" si="305"/>
        <v>저수</v>
      </c>
      <c r="AG415" s="22" t="str">
        <f t="shared" si="306"/>
        <v>저수</v>
      </c>
      <c r="AH415" s="22" t="str">
        <f t="shared" si="307"/>
        <v>저수</v>
      </c>
      <c r="AI415" s="22" t="str">
        <f t="shared" si="308"/>
        <v>고수</v>
      </c>
      <c r="AJ415" s="22" t="str">
        <f t="shared" si="309"/>
        <v>고수</v>
      </c>
      <c r="AK415" s="22" t="str">
        <f t="shared" si="310"/>
        <v>고수</v>
      </c>
      <c r="AL415" s="52" t="str">
        <f t="shared" si="311"/>
        <v>3 : 3</v>
      </c>
      <c r="AM415" s="22">
        <f t="shared" si="312"/>
        <v>3</v>
      </c>
      <c r="AN415" s="22">
        <f t="shared" si="313"/>
        <v>3</v>
      </c>
      <c r="AO415" s="22">
        <f t="shared" si="314"/>
        <v>28</v>
      </c>
      <c r="AP415" s="22" t="str">
        <f t="shared" si="315"/>
        <v>O</v>
      </c>
      <c r="AQ415" s="22" t="str">
        <f t="shared" si="316"/>
        <v>X</v>
      </c>
      <c r="AR415" s="22" t="str">
        <f t="shared" si="317"/>
        <v>X</v>
      </c>
      <c r="AS415" s="22" t="str">
        <f t="shared" si="318"/>
        <v>X</v>
      </c>
      <c r="AT415" s="22" t="str">
        <f t="shared" si="319"/>
        <v>X</v>
      </c>
      <c r="AU415" s="22" t="str">
        <f t="shared" si="320"/>
        <v>X</v>
      </c>
      <c r="AV415" s="22" t="str">
        <f t="shared" si="321"/>
        <v>X</v>
      </c>
      <c r="AW415" s="22" t="str">
        <f t="shared" si="322"/>
        <v>X</v>
      </c>
      <c r="AX415" s="22" t="str">
        <f t="shared" si="323"/>
        <v>X</v>
      </c>
      <c r="AY415" s="22" t="str">
        <f t="shared" si="324"/>
        <v>X</v>
      </c>
      <c r="AZ415" s="22" t="str">
        <f t="shared" si="325"/>
        <v>O</v>
      </c>
      <c r="BA415" s="22" t="str">
        <f t="shared" si="326"/>
        <v>X</v>
      </c>
      <c r="BB415" s="22">
        <f t="shared" si="327"/>
        <v>2</v>
      </c>
      <c r="BC415" s="22" t="str">
        <f t="shared" si="298"/>
        <v>1G</v>
      </c>
      <c r="BD415" s="22" t="str">
        <f t="shared" si="299"/>
        <v>1G</v>
      </c>
      <c r="BE415" s="22" t="str">
        <f t="shared" si="300"/>
        <v>2G</v>
      </c>
      <c r="BF415" s="22" t="str">
        <f t="shared" si="301"/>
        <v>3G</v>
      </c>
      <c r="BG415" s="22" t="str">
        <f t="shared" si="302"/>
        <v>3G</v>
      </c>
      <c r="BH415" s="22" t="str">
        <f t="shared" si="303"/>
        <v>3G</v>
      </c>
      <c r="BI415" s="22">
        <f t="shared" si="328"/>
        <v>2</v>
      </c>
      <c r="BJ415" s="22">
        <f t="shared" si="329"/>
        <v>1</v>
      </c>
      <c r="BK415" s="22">
        <f t="shared" si="330"/>
        <v>3</v>
      </c>
      <c r="BL415" s="22" t="str">
        <f t="shared" si="331"/>
        <v>213</v>
      </c>
      <c r="BS415"/>
      <c r="CL415" s="23">
        <v>169</v>
      </c>
      <c r="CM415" s="23">
        <v>160</v>
      </c>
      <c r="CO415"/>
    </row>
    <row r="416" spans="2:93" ht="17" hidden="1">
      <c r="B416" s="15">
        <v>412</v>
      </c>
      <c r="C416" s="23" t="s">
        <v>442</v>
      </c>
      <c r="D416" s="16">
        <v>7</v>
      </c>
      <c r="E416" s="17">
        <v>1656199822</v>
      </c>
      <c r="F416" s="16">
        <v>34</v>
      </c>
      <c r="G416" s="17">
        <v>56830387</v>
      </c>
      <c r="H416" s="17">
        <v>1223</v>
      </c>
      <c r="I416" s="17">
        <v>1579913</v>
      </c>
      <c r="J416" s="17">
        <v>59882</v>
      </c>
      <c r="K416" s="17">
        <v>50000</v>
      </c>
      <c r="L416" s="17">
        <v>1016225</v>
      </c>
      <c r="M416" s="17">
        <v>5000</v>
      </c>
      <c r="N416" s="23">
        <v>4</v>
      </c>
      <c r="O416" s="23">
        <v>7</v>
      </c>
      <c r="P416" s="23">
        <v>39</v>
      </c>
      <c r="Q416" s="23">
        <v>41</v>
      </c>
      <c r="R416" s="23">
        <v>42</v>
      </c>
      <c r="S416" s="23">
        <v>45</v>
      </c>
      <c r="T416" s="23">
        <v>40</v>
      </c>
      <c r="U416" s="23">
        <f t="shared" si="304"/>
        <v>178</v>
      </c>
      <c r="W416" s="22" t="str">
        <f t="shared" si="289"/>
        <v>짝수</v>
      </c>
      <c r="X416" s="22" t="str">
        <f t="shared" si="290"/>
        <v>홀수</v>
      </c>
      <c r="Y416" s="22" t="str">
        <f t="shared" si="291"/>
        <v>홀수</v>
      </c>
      <c r="Z416" s="22" t="str">
        <f t="shared" si="292"/>
        <v>홀수</v>
      </c>
      <c r="AA416" s="22" t="str">
        <f t="shared" si="293"/>
        <v>짝수</v>
      </c>
      <c r="AB416" s="22" t="str">
        <f t="shared" si="294"/>
        <v>홀수</v>
      </c>
      <c r="AC416" s="52" t="str">
        <f t="shared" si="295"/>
        <v>4 : 2</v>
      </c>
      <c r="AD416" s="22">
        <f t="shared" si="296"/>
        <v>4</v>
      </c>
      <c r="AE416" s="22">
        <f t="shared" si="297"/>
        <v>2</v>
      </c>
      <c r="AF416" s="22" t="str">
        <f t="shared" si="305"/>
        <v>저수</v>
      </c>
      <c r="AG416" s="22" t="str">
        <f t="shared" si="306"/>
        <v>저수</v>
      </c>
      <c r="AH416" s="22" t="str">
        <f t="shared" si="307"/>
        <v>고수</v>
      </c>
      <c r="AI416" s="22" t="str">
        <f t="shared" si="308"/>
        <v>고수</v>
      </c>
      <c r="AJ416" s="22" t="str">
        <f t="shared" si="309"/>
        <v>고수</v>
      </c>
      <c r="AK416" s="22" t="str">
        <f t="shared" si="310"/>
        <v>고수</v>
      </c>
      <c r="AL416" s="52" t="str">
        <f t="shared" si="311"/>
        <v>2 : 4</v>
      </c>
      <c r="AM416" s="22">
        <f t="shared" si="312"/>
        <v>2</v>
      </c>
      <c r="AN416" s="22">
        <f t="shared" si="313"/>
        <v>4</v>
      </c>
      <c r="AO416" s="22">
        <f t="shared" si="314"/>
        <v>28</v>
      </c>
      <c r="AP416" s="22" t="str">
        <f t="shared" si="315"/>
        <v>X</v>
      </c>
      <c r="AQ416" s="22" t="str">
        <f t="shared" si="316"/>
        <v>O</v>
      </c>
      <c r="AR416" s="22" t="str">
        <f t="shared" si="317"/>
        <v>X</v>
      </c>
      <c r="AS416" s="22" t="str">
        <f t="shared" si="318"/>
        <v>X</v>
      </c>
      <c r="AT416" s="22" t="str">
        <f t="shared" si="319"/>
        <v>X</v>
      </c>
      <c r="AU416" s="22" t="str">
        <f t="shared" si="320"/>
        <v>X</v>
      </c>
      <c r="AV416" s="22" t="str">
        <f t="shared" si="321"/>
        <v>X</v>
      </c>
      <c r="AW416" s="22" t="str">
        <f t="shared" si="322"/>
        <v>X</v>
      </c>
      <c r="AX416" s="22" t="str">
        <f t="shared" si="323"/>
        <v>X</v>
      </c>
      <c r="AY416" s="22" t="str">
        <f t="shared" si="324"/>
        <v>O</v>
      </c>
      <c r="AZ416" s="22" t="str">
        <f t="shared" si="325"/>
        <v>X</v>
      </c>
      <c r="BA416" s="22" t="str">
        <f t="shared" si="326"/>
        <v>X</v>
      </c>
      <c r="BB416" s="22">
        <f t="shared" si="327"/>
        <v>2</v>
      </c>
      <c r="BC416" s="22" t="str">
        <f t="shared" si="298"/>
        <v>1G</v>
      </c>
      <c r="BD416" s="22" t="str">
        <f t="shared" si="299"/>
        <v>1G</v>
      </c>
      <c r="BE416" s="22" t="str">
        <f t="shared" si="300"/>
        <v>3G</v>
      </c>
      <c r="BF416" s="22" t="str">
        <f t="shared" si="301"/>
        <v>3G</v>
      </c>
      <c r="BG416" s="22" t="str">
        <f t="shared" si="302"/>
        <v>3G</v>
      </c>
      <c r="BH416" s="22" t="str">
        <f t="shared" si="303"/>
        <v>3G</v>
      </c>
      <c r="BI416" s="22">
        <f t="shared" si="328"/>
        <v>2</v>
      </c>
      <c r="BJ416" s="22">
        <f t="shared" si="329"/>
        <v>0</v>
      </c>
      <c r="BK416" s="22">
        <f t="shared" si="330"/>
        <v>4</v>
      </c>
      <c r="BL416" s="22" t="str">
        <f t="shared" si="331"/>
        <v>204</v>
      </c>
      <c r="BS416"/>
      <c r="CL416" s="23">
        <v>169</v>
      </c>
      <c r="CM416" s="23">
        <v>160</v>
      </c>
      <c r="CO416"/>
    </row>
    <row r="417" spans="1:93" ht="17" hidden="1">
      <c r="B417" s="15">
        <v>413</v>
      </c>
      <c r="C417" s="23" t="s">
        <v>443</v>
      </c>
      <c r="D417" s="16">
        <v>4</v>
      </c>
      <c r="E417" s="17">
        <v>2814673500</v>
      </c>
      <c r="F417" s="16">
        <v>36</v>
      </c>
      <c r="G417" s="17">
        <v>52123584</v>
      </c>
      <c r="H417" s="17">
        <v>1256</v>
      </c>
      <c r="I417" s="17">
        <v>1493989</v>
      </c>
      <c r="J417" s="17">
        <v>62797</v>
      </c>
      <c r="K417" s="17">
        <v>50000</v>
      </c>
      <c r="L417" s="17">
        <v>1062284</v>
      </c>
      <c r="M417" s="17">
        <v>5000</v>
      </c>
      <c r="N417" s="23">
        <v>2</v>
      </c>
      <c r="O417" s="23">
        <v>9</v>
      </c>
      <c r="P417" s="23">
        <v>15</v>
      </c>
      <c r="Q417" s="23">
        <v>23</v>
      </c>
      <c r="R417" s="23">
        <v>34</v>
      </c>
      <c r="S417" s="23">
        <v>40</v>
      </c>
      <c r="T417" s="23">
        <v>3</v>
      </c>
      <c r="U417" s="23">
        <f t="shared" si="304"/>
        <v>123</v>
      </c>
      <c r="W417" s="22" t="str">
        <f t="shared" si="289"/>
        <v>짝수</v>
      </c>
      <c r="X417" s="22" t="str">
        <f t="shared" si="290"/>
        <v>홀수</v>
      </c>
      <c r="Y417" s="22" t="str">
        <f t="shared" si="291"/>
        <v>홀수</v>
      </c>
      <c r="Z417" s="22" t="str">
        <f t="shared" si="292"/>
        <v>홀수</v>
      </c>
      <c r="AA417" s="22" t="str">
        <f t="shared" si="293"/>
        <v>짝수</v>
      </c>
      <c r="AB417" s="22" t="str">
        <f t="shared" si="294"/>
        <v>짝수</v>
      </c>
      <c r="AC417" s="52" t="str">
        <f t="shared" si="295"/>
        <v>3 : 3</v>
      </c>
      <c r="AD417" s="22">
        <f t="shared" si="296"/>
        <v>3</v>
      </c>
      <c r="AE417" s="22">
        <f t="shared" si="297"/>
        <v>3</v>
      </c>
      <c r="AF417" s="22" t="str">
        <f t="shared" si="305"/>
        <v>저수</v>
      </c>
      <c r="AG417" s="22" t="str">
        <f t="shared" si="306"/>
        <v>저수</v>
      </c>
      <c r="AH417" s="22" t="str">
        <f t="shared" si="307"/>
        <v>저수</v>
      </c>
      <c r="AI417" s="22" t="str">
        <f t="shared" si="308"/>
        <v>고수</v>
      </c>
      <c r="AJ417" s="22" t="str">
        <f t="shared" si="309"/>
        <v>고수</v>
      </c>
      <c r="AK417" s="22" t="str">
        <f t="shared" si="310"/>
        <v>고수</v>
      </c>
      <c r="AL417" s="52" t="str">
        <f t="shared" si="311"/>
        <v>3 : 3</v>
      </c>
      <c r="AM417" s="22">
        <f t="shared" si="312"/>
        <v>3</v>
      </c>
      <c r="AN417" s="22">
        <f t="shared" si="313"/>
        <v>3</v>
      </c>
      <c r="AO417" s="22">
        <f t="shared" si="314"/>
        <v>23</v>
      </c>
      <c r="AP417" s="22" t="str">
        <f t="shared" si="315"/>
        <v>O</v>
      </c>
      <c r="AQ417" s="22" t="str">
        <f t="shared" si="316"/>
        <v>X</v>
      </c>
      <c r="AR417" s="22" t="str">
        <f t="shared" si="317"/>
        <v>X</v>
      </c>
      <c r="AS417" s="22" t="str">
        <f t="shared" si="318"/>
        <v>X</v>
      </c>
      <c r="AT417" s="22" t="str">
        <f t="shared" si="319"/>
        <v>X</v>
      </c>
      <c r="AU417" s="22" t="str">
        <f t="shared" si="320"/>
        <v>X</v>
      </c>
      <c r="AV417" s="22" t="str">
        <f t="shared" si="321"/>
        <v>X</v>
      </c>
      <c r="AW417" s="22" t="str">
        <f t="shared" si="322"/>
        <v>X</v>
      </c>
      <c r="AX417" s="22" t="str">
        <f t="shared" si="323"/>
        <v>X</v>
      </c>
      <c r="AY417" s="22" t="str">
        <f t="shared" si="324"/>
        <v>O</v>
      </c>
      <c r="AZ417" s="22" t="str">
        <f t="shared" si="325"/>
        <v>X</v>
      </c>
      <c r="BA417" s="22" t="str">
        <f t="shared" si="326"/>
        <v>X</v>
      </c>
      <c r="BB417" s="22">
        <f t="shared" si="327"/>
        <v>2</v>
      </c>
      <c r="BC417" s="22" t="str">
        <f t="shared" si="298"/>
        <v>1G</v>
      </c>
      <c r="BD417" s="22" t="str">
        <f t="shared" si="299"/>
        <v>1G</v>
      </c>
      <c r="BE417" s="22" t="str">
        <f t="shared" si="300"/>
        <v>1G</v>
      </c>
      <c r="BF417" s="22" t="str">
        <f t="shared" si="301"/>
        <v>2G</v>
      </c>
      <c r="BG417" s="22" t="str">
        <f t="shared" si="302"/>
        <v>3G</v>
      </c>
      <c r="BH417" s="22" t="str">
        <f t="shared" si="303"/>
        <v>3G</v>
      </c>
      <c r="BI417" s="22">
        <f t="shared" si="328"/>
        <v>3</v>
      </c>
      <c r="BJ417" s="22">
        <f t="shared" si="329"/>
        <v>1</v>
      </c>
      <c r="BK417" s="22">
        <f t="shared" si="330"/>
        <v>2</v>
      </c>
      <c r="BL417" s="22" t="str">
        <f t="shared" si="331"/>
        <v>312</v>
      </c>
      <c r="BS417"/>
      <c r="CL417" s="23">
        <v>170</v>
      </c>
      <c r="CM417" s="23">
        <v>170</v>
      </c>
      <c r="CO417"/>
    </row>
    <row r="418" spans="1:93" ht="17" hidden="1">
      <c r="B418" s="15">
        <v>414</v>
      </c>
      <c r="C418" s="23" t="s">
        <v>444</v>
      </c>
      <c r="D418" s="16">
        <v>1</v>
      </c>
      <c r="E418" s="17">
        <v>11703832500</v>
      </c>
      <c r="F418" s="16">
        <v>35</v>
      </c>
      <c r="G418" s="17">
        <v>55732536</v>
      </c>
      <c r="H418" s="17">
        <v>1220</v>
      </c>
      <c r="I418" s="17">
        <v>1598885</v>
      </c>
      <c r="J418" s="17">
        <v>58726</v>
      </c>
      <c r="K418" s="17">
        <v>50000</v>
      </c>
      <c r="L418" s="17">
        <v>982817</v>
      </c>
      <c r="M418" s="17">
        <v>5000</v>
      </c>
      <c r="N418" s="23">
        <v>2</v>
      </c>
      <c r="O418" s="23">
        <v>14</v>
      </c>
      <c r="P418" s="23">
        <v>15</v>
      </c>
      <c r="Q418" s="23">
        <v>22</v>
      </c>
      <c r="R418" s="23">
        <v>23</v>
      </c>
      <c r="S418" s="23">
        <v>44</v>
      </c>
      <c r="T418" s="23">
        <v>43</v>
      </c>
      <c r="U418" s="23">
        <f t="shared" si="304"/>
        <v>120</v>
      </c>
      <c r="W418" s="22" t="str">
        <f t="shared" si="289"/>
        <v>짝수</v>
      </c>
      <c r="X418" s="22" t="str">
        <f t="shared" si="290"/>
        <v>짝수</v>
      </c>
      <c r="Y418" s="22" t="str">
        <f t="shared" si="291"/>
        <v>홀수</v>
      </c>
      <c r="Z418" s="22" t="str">
        <f t="shared" si="292"/>
        <v>짝수</v>
      </c>
      <c r="AA418" s="22" t="str">
        <f t="shared" si="293"/>
        <v>홀수</v>
      </c>
      <c r="AB418" s="22" t="str">
        <f t="shared" si="294"/>
        <v>짝수</v>
      </c>
      <c r="AC418" s="52" t="str">
        <f t="shared" si="295"/>
        <v>2 : 4</v>
      </c>
      <c r="AD418" s="22">
        <f t="shared" si="296"/>
        <v>2</v>
      </c>
      <c r="AE418" s="22">
        <f t="shared" si="297"/>
        <v>4</v>
      </c>
      <c r="AF418" s="22" t="str">
        <f t="shared" si="305"/>
        <v>저수</v>
      </c>
      <c r="AG418" s="22" t="str">
        <f t="shared" si="306"/>
        <v>저수</v>
      </c>
      <c r="AH418" s="22" t="str">
        <f t="shared" si="307"/>
        <v>저수</v>
      </c>
      <c r="AI418" s="22" t="str">
        <f t="shared" si="308"/>
        <v>저수</v>
      </c>
      <c r="AJ418" s="22" t="str">
        <f t="shared" si="309"/>
        <v>고수</v>
      </c>
      <c r="AK418" s="22" t="str">
        <f t="shared" si="310"/>
        <v>고수</v>
      </c>
      <c r="AL418" s="52" t="str">
        <f t="shared" si="311"/>
        <v>4 : 2</v>
      </c>
      <c r="AM418" s="22">
        <f t="shared" si="312"/>
        <v>4</v>
      </c>
      <c r="AN418" s="22">
        <f t="shared" si="313"/>
        <v>2</v>
      </c>
      <c r="AO418" s="22">
        <f t="shared" si="314"/>
        <v>20</v>
      </c>
      <c r="AP418" s="22" t="str">
        <f t="shared" si="315"/>
        <v>O</v>
      </c>
      <c r="AQ418" s="22" t="str">
        <f t="shared" si="316"/>
        <v>X</v>
      </c>
      <c r="AR418" s="22" t="str">
        <f t="shared" si="317"/>
        <v>X</v>
      </c>
      <c r="AS418" s="22" t="str">
        <f t="shared" si="318"/>
        <v>X</v>
      </c>
      <c r="AT418" s="22" t="str">
        <f t="shared" si="319"/>
        <v>X</v>
      </c>
      <c r="AU418" s="22" t="str">
        <f t="shared" si="320"/>
        <v>X</v>
      </c>
      <c r="AV418" s="22" t="str">
        <f t="shared" si="321"/>
        <v>X</v>
      </c>
      <c r="AW418" s="22" t="str">
        <f t="shared" si="322"/>
        <v>X</v>
      </c>
      <c r="AX418" s="22" t="str">
        <f t="shared" si="323"/>
        <v>X</v>
      </c>
      <c r="AY418" s="22" t="str">
        <f t="shared" si="324"/>
        <v>X</v>
      </c>
      <c r="AZ418" s="22" t="str">
        <f t="shared" si="325"/>
        <v>O</v>
      </c>
      <c r="BA418" s="22" t="str">
        <f t="shared" si="326"/>
        <v>X</v>
      </c>
      <c r="BB418" s="22">
        <f t="shared" si="327"/>
        <v>2</v>
      </c>
      <c r="BC418" s="22" t="str">
        <f t="shared" si="298"/>
        <v>1G</v>
      </c>
      <c r="BD418" s="22" t="str">
        <f t="shared" si="299"/>
        <v>1G</v>
      </c>
      <c r="BE418" s="22" t="str">
        <f t="shared" si="300"/>
        <v>1G</v>
      </c>
      <c r="BF418" s="22" t="str">
        <f t="shared" si="301"/>
        <v>2G</v>
      </c>
      <c r="BG418" s="22" t="str">
        <f t="shared" si="302"/>
        <v>2G</v>
      </c>
      <c r="BH418" s="22" t="str">
        <f t="shared" si="303"/>
        <v>3G</v>
      </c>
      <c r="BI418" s="22">
        <f t="shared" si="328"/>
        <v>3</v>
      </c>
      <c r="BJ418" s="22">
        <f t="shared" si="329"/>
        <v>2</v>
      </c>
      <c r="BK418" s="22">
        <f t="shared" si="330"/>
        <v>1</v>
      </c>
      <c r="BL418" s="22" t="str">
        <f t="shared" si="331"/>
        <v>321</v>
      </c>
      <c r="BS418"/>
      <c r="CL418" s="23">
        <v>170</v>
      </c>
      <c r="CM418" s="23">
        <v>170</v>
      </c>
      <c r="CO418"/>
    </row>
    <row r="419" spans="1:93" ht="17" hidden="1">
      <c r="B419" s="15">
        <v>415</v>
      </c>
      <c r="C419" s="23" t="s">
        <v>445</v>
      </c>
      <c r="D419" s="16">
        <v>8</v>
      </c>
      <c r="E419" s="17">
        <v>1334182407</v>
      </c>
      <c r="F419" s="16">
        <v>35</v>
      </c>
      <c r="G419" s="17">
        <v>50825997</v>
      </c>
      <c r="H419" s="17">
        <v>1587</v>
      </c>
      <c r="I419" s="17">
        <v>1120927</v>
      </c>
      <c r="J419" s="17">
        <v>71409</v>
      </c>
      <c r="K419" s="17">
        <v>50000</v>
      </c>
      <c r="L419" s="17">
        <v>1114259</v>
      </c>
      <c r="M419" s="17">
        <v>5000</v>
      </c>
      <c r="N419" s="23">
        <v>7</v>
      </c>
      <c r="O419" s="23">
        <v>17</v>
      </c>
      <c r="P419" s="23">
        <v>20</v>
      </c>
      <c r="Q419" s="23">
        <v>26</v>
      </c>
      <c r="R419" s="23">
        <v>30</v>
      </c>
      <c r="S419" s="23">
        <v>40</v>
      </c>
      <c r="T419" s="23">
        <v>24</v>
      </c>
      <c r="U419" s="23">
        <f t="shared" si="304"/>
        <v>140</v>
      </c>
      <c r="W419" s="22" t="str">
        <f t="shared" si="289"/>
        <v>홀수</v>
      </c>
      <c r="X419" s="22" t="str">
        <f t="shared" si="290"/>
        <v>홀수</v>
      </c>
      <c r="Y419" s="22" t="str">
        <f t="shared" si="291"/>
        <v>짝수</v>
      </c>
      <c r="Z419" s="22" t="str">
        <f t="shared" si="292"/>
        <v>짝수</v>
      </c>
      <c r="AA419" s="22" t="str">
        <f t="shared" si="293"/>
        <v>짝수</v>
      </c>
      <c r="AB419" s="22" t="str">
        <f t="shared" si="294"/>
        <v>짝수</v>
      </c>
      <c r="AC419" s="52" t="str">
        <f t="shared" si="295"/>
        <v>2 : 4</v>
      </c>
      <c r="AD419" s="22">
        <f t="shared" si="296"/>
        <v>2</v>
      </c>
      <c r="AE419" s="22">
        <f t="shared" si="297"/>
        <v>4</v>
      </c>
      <c r="AF419" s="22" t="str">
        <f t="shared" si="305"/>
        <v>저수</v>
      </c>
      <c r="AG419" s="22" t="str">
        <f t="shared" si="306"/>
        <v>저수</v>
      </c>
      <c r="AH419" s="22" t="str">
        <f t="shared" si="307"/>
        <v>저수</v>
      </c>
      <c r="AI419" s="22" t="str">
        <f t="shared" si="308"/>
        <v>고수</v>
      </c>
      <c r="AJ419" s="22" t="str">
        <f t="shared" si="309"/>
        <v>고수</v>
      </c>
      <c r="AK419" s="22" t="str">
        <f t="shared" si="310"/>
        <v>고수</v>
      </c>
      <c r="AL419" s="52" t="str">
        <f t="shared" si="311"/>
        <v>3 : 3</v>
      </c>
      <c r="AM419" s="22">
        <f t="shared" si="312"/>
        <v>3</v>
      </c>
      <c r="AN419" s="22">
        <f t="shared" si="313"/>
        <v>3</v>
      </c>
      <c r="AO419" s="22">
        <f t="shared" si="314"/>
        <v>20</v>
      </c>
      <c r="AP419" s="22" t="str">
        <f t="shared" si="315"/>
        <v>O</v>
      </c>
      <c r="AQ419" s="22" t="str">
        <f t="shared" si="316"/>
        <v>O</v>
      </c>
      <c r="AR419" s="22" t="str">
        <f t="shared" si="317"/>
        <v>X</v>
      </c>
      <c r="AS419" s="22" t="str">
        <f t="shared" si="318"/>
        <v>X</v>
      </c>
      <c r="AT419" s="22" t="str">
        <f t="shared" si="319"/>
        <v>X</v>
      </c>
      <c r="AU419" s="22" t="str">
        <f t="shared" si="320"/>
        <v>X</v>
      </c>
      <c r="AV419" s="22" t="str">
        <f t="shared" si="321"/>
        <v>X</v>
      </c>
      <c r="AW419" s="22" t="str">
        <f t="shared" si="322"/>
        <v>X</v>
      </c>
      <c r="AX419" s="22" t="str">
        <f t="shared" si="323"/>
        <v>X</v>
      </c>
      <c r="AY419" s="22" t="str">
        <f t="shared" si="324"/>
        <v>X</v>
      </c>
      <c r="AZ419" s="22" t="str">
        <f t="shared" si="325"/>
        <v>X</v>
      </c>
      <c r="BA419" s="22" t="str">
        <f t="shared" si="326"/>
        <v>X</v>
      </c>
      <c r="BB419" s="22">
        <f t="shared" si="327"/>
        <v>2</v>
      </c>
      <c r="BC419" s="22" t="str">
        <f t="shared" si="298"/>
        <v>1G</v>
      </c>
      <c r="BD419" s="22" t="str">
        <f t="shared" si="299"/>
        <v>2G</v>
      </c>
      <c r="BE419" s="22" t="str">
        <f t="shared" si="300"/>
        <v>2G</v>
      </c>
      <c r="BF419" s="22" t="str">
        <f t="shared" si="301"/>
        <v>2G</v>
      </c>
      <c r="BG419" s="22" t="str">
        <f t="shared" si="302"/>
        <v>2G</v>
      </c>
      <c r="BH419" s="22" t="str">
        <f t="shared" si="303"/>
        <v>3G</v>
      </c>
      <c r="BI419" s="22">
        <f t="shared" si="328"/>
        <v>1</v>
      </c>
      <c r="BJ419" s="22">
        <f t="shared" si="329"/>
        <v>4</v>
      </c>
      <c r="BK419" s="22">
        <f t="shared" si="330"/>
        <v>1</v>
      </c>
      <c r="BL419" s="22" t="str">
        <f t="shared" si="331"/>
        <v>141</v>
      </c>
      <c r="BS419"/>
      <c r="CL419" s="23">
        <v>170</v>
      </c>
      <c r="CM419" s="23">
        <v>170</v>
      </c>
      <c r="CO419"/>
    </row>
    <row r="420" spans="1:93" ht="17" hidden="1">
      <c r="B420" s="15">
        <v>416</v>
      </c>
      <c r="C420" s="23" t="s">
        <v>446</v>
      </c>
      <c r="D420" s="16">
        <v>10</v>
      </c>
      <c r="E420" s="17">
        <v>1072037100</v>
      </c>
      <c r="F420" s="16">
        <v>32</v>
      </c>
      <c r="G420" s="17">
        <v>55835266</v>
      </c>
      <c r="H420" s="17">
        <v>1501</v>
      </c>
      <c r="I420" s="17">
        <v>1190359</v>
      </c>
      <c r="J420" s="17">
        <v>70470</v>
      </c>
      <c r="K420" s="17">
        <v>50000</v>
      </c>
      <c r="L420" s="17">
        <v>1122015</v>
      </c>
      <c r="M420" s="17">
        <v>5000</v>
      </c>
      <c r="N420" s="23">
        <v>5</v>
      </c>
      <c r="O420" s="23">
        <v>6</v>
      </c>
      <c r="P420" s="23">
        <v>8</v>
      </c>
      <c r="Q420" s="23">
        <v>11</v>
      </c>
      <c r="R420" s="23">
        <v>22</v>
      </c>
      <c r="S420" s="23">
        <v>26</v>
      </c>
      <c r="T420" s="23">
        <v>44</v>
      </c>
      <c r="U420" s="23">
        <f t="shared" si="304"/>
        <v>78</v>
      </c>
      <c r="W420" s="22" t="str">
        <f t="shared" si="289"/>
        <v>홀수</v>
      </c>
      <c r="X420" s="22" t="str">
        <f t="shared" si="290"/>
        <v>짝수</v>
      </c>
      <c r="Y420" s="22" t="str">
        <f t="shared" si="291"/>
        <v>짝수</v>
      </c>
      <c r="Z420" s="22" t="str">
        <f t="shared" si="292"/>
        <v>홀수</v>
      </c>
      <c r="AA420" s="22" t="str">
        <f t="shared" si="293"/>
        <v>짝수</v>
      </c>
      <c r="AB420" s="22" t="str">
        <f t="shared" si="294"/>
        <v>짝수</v>
      </c>
      <c r="AC420" s="52" t="str">
        <f t="shared" si="295"/>
        <v>2 : 4</v>
      </c>
      <c r="AD420" s="22">
        <f t="shared" si="296"/>
        <v>2</v>
      </c>
      <c r="AE420" s="22">
        <f t="shared" si="297"/>
        <v>4</v>
      </c>
      <c r="AF420" s="22" t="str">
        <f t="shared" si="305"/>
        <v>저수</v>
      </c>
      <c r="AG420" s="22" t="str">
        <f t="shared" si="306"/>
        <v>저수</v>
      </c>
      <c r="AH420" s="22" t="str">
        <f t="shared" si="307"/>
        <v>저수</v>
      </c>
      <c r="AI420" s="22" t="str">
        <f t="shared" si="308"/>
        <v>저수</v>
      </c>
      <c r="AJ420" s="22" t="str">
        <f t="shared" si="309"/>
        <v>저수</v>
      </c>
      <c r="AK420" s="22" t="str">
        <f t="shared" si="310"/>
        <v>고수</v>
      </c>
      <c r="AL420" s="52" t="str">
        <f t="shared" si="311"/>
        <v>5 : 1</v>
      </c>
      <c r="AM420" s="22">
        <f t="shared" si="312"/>
        <v>5</v>
      </c>
      <c r="AN420" s="22">
        <f t="shared" si="313"/>
        <v>1</v>
      </c>
      <c r="AO420" s="22">
        <f t="shared" si="314"/>
        <v>28</v>
      </c>
      <c r="AP420" s="22" t="str">
        <f t="shared" si="315"/>
        <v>O</v>
      </c>
      <c r="AQ420" s="22" t="str">
        <f t="shared" si="316"/>
        <v>X</v>
      </c>
      <c r="AR420" s="22" t="str">
        <f t="shared" si="317"/>
        <v>X</v>
      </c>
      <c r="AS420" s="22" t="str">
        <f t="shared" si="318"/>
        <v>O</v>
      </c>
      <c r="AT420" s="22" t="str">
        <f t="shared" si="319"/>
        <v>X</v>
      </c>
      <c r="AU420" s="22" t="str">
        <f t="shared" si="320"/>
        <v>X</v>
      </c>
      <c r="AV420" s="22" t="str">
        <f t="shared" si="321"/>
        <v>X</v>
      </c>
      <c r="AW420" s="22" t="str">
        <f t="shared" si="322"/>
        <v>X</v>
      </c>
      <c r="AX420" s="22" t="str">
        <f t="shared" si="323"/>
        <v>X</v>
      </c>
      <c r="AY420" s="22" t="str">
        <f t="shared" si="324"/>
        <v>X</v>
      </c>
      <c r="AZ420" s="22" t="str">
        <f t="shared" si="325"/>
        <v>X</v>
      </c>
      <c r="BA420" s="22" t="str">
        <f t="shared" si="326"/>
        <v>X</v>
      </c>
      <c r="BB420" s="22">
        <f t="shared" si="327"/>
        <v>2</v>
      </c>
      <c r="BC420" s="22" t="str">
        <f t="shared" si="298"/>
        <v>1G</v>
      </c>
      <c r="BD420" s="22" t="str">
        <f t="shared" si="299"/>
        <v>1G</v>
      </c>
      <c r="BE420" s="22" t="str">
        <f t="shared" si="300"/>
        <v>1G</v>
      </c>
      <c r="BF420" s="22" t="str">
        <f t="shared" si="301"/>
        <v>1G</v>
      </c>
      <c r="BG420" s="22" t="str">
        <f t="shared" si="302"/>
        <v>2G</v>
      </c>
      <c r="BH420" s="22" t="str">
        <f t="shared" si="303"/>
        <v>2G</v>
      </c>
      <c r="BI420" s="22">
        <f t="shared" si="328"/>
        <v>4</v>
      </c>
      <c r="BJ420" s="22">
        <f t="shared" si="329"/>
        <v>2</v>
      </c>
      <c r="BK420" s="22">
        <f t="shared" si="330"/>
        <v>0</v>
      </c>
      <c r="BL420" s="22" t="str">
        <f t="shared" si="331"/>
        <v>420</v>
      </c>
      <c r="BS420"/>
      <c r="CL420" s="23">
        <v>170</v>
      </c>
      <c r="CM420" s="23">
        <v>170</v>
      </c>
      <c r="CO420"/>
    </row>
    <row r="421" spans="1:93" ht="17" hidden="1">
      <c r="B421" s="15">
        <v>417</v>
      </c>
      <c r="C421" s="23" t="s">
        <v>447</v>
      </c>
      <c r="D421" s="16">
        <v>4</v>
      </c>
      <c r="E421" s="17">
        <v>2818329938</v>
      </c>
      <c r="F421" s="16">
        <v>34</v>
      </c>
      <c r="G421" s="17">
        <v>55261372</v>
      </c>
      <c r="H421" s="17">
        <v>1181</v>
      </c>
      <c r="I421" s="17">
        <v>1590929</v>
      </c>
      <c r="J421" s="17">
        <v>58879</v>
      </c>
      <c r="K421" s="17">
        <v>50000</v>
      </c>
      <c r="L421" s="17">
        <v>1001817</v>
      </c>
      <c r="M421" s="17">
        <v>5000</v>
      </c>
      <c r="N421" s="23">
        <v>4</v>
      </c>
      <c r="O421" s="23">
        <v>5</v>
      </c>
      <c r="P421" s="23">
        <v>14</v>
      </c>
      <c r="Q421" s="23">
        <v>20</v>
      </c>
      <c r="R421" s="23">
        <v>22</v>
      </c>
      <c r="S421" s="23">
        <v>43</v>
      </c>
      <c r="T421" s="23">
        <v>44</v>
      </c>
      <c r="U421" s="23">
        <f t="shared" si="304"/>
        <v>108</v>
      </c>
      <c r="W421" s="22" t="str">
        <f t="shared" si="289"/>
        <v>짝수</v>
      </c>
      <c r="X421" s="22" t="str">
        <f t="shared" si="290"/>
        <v>홀수</v>
      </c>
      <c r="Y421" s="22" t="str">
        <f t="shared" si="291"/>
        <v>짝수</v>
      </c>
      <c r="Z421" s="22" t="str">
        <f t="shared" si="292"/>
        <v>짝수</v>
      </c>
      <c r="AA421" s="22" t="str">
        <f t="shared" si="293"/>
        <v>짝수</v>
      </c>
      <c r="AB421" s="22" t="str">
        <f t="shared" si="294"/>
        <v>홀수</v>
      </c>
      <c r="AC421" s="52" t="str">
        <f t="shared" si="295"/>
        <v>2 : 4</v>
      </c>
      <c r="AD421" s="22">
        <f t="shared" si="296"/>
        <v>2</v>
      </c>
      <c r="AE421" s="22">
        <f t="shared" si="297"/>
        <v>4</v>
      </c>
      <c r="AF421" s="22" t="str">
        <f t="shared" si="305"/>
        <v>저수</v>
      </c>
      <c r="AG421" s="22" t="str">
        <f t="shared" si="306"/>
        <v>저수</v>
      </c>
      <c r="AH421" s="22" t="str">
        <f t="shared" si="307"/>
        <v>저수</v>
      </c>
      <c r="AI421" s="22" t="str">
        <f t="shared" si="308"/>
        <v>저수</v>
      </c>
      <c r="AJ421" s="22" t="str">
        <f t="shared" si="309"/>
        <v>저수</v>
      </c>
      <c r="AK421" s="22" t="str">
        <f t="shared" si="310"/>
        <v>고수</v>
      </c>
      <c r="AL421" s="52" t="str">
        <f t="shared" si="311"/>
        <v>5 : 1</v>
      </c>
      <c r="AM421" s="22">
        <f t="shared" si="312"/>
        <v>5</v>
      </c>
      <c r="AN421" s="22">
        <f t="shared" si="313"/>
        <v>1</v>
      </c>
      <c r="AO421" s="22">
        <f t="shared" si="314"/>
        <v>18</v>
      </c>
      <c r="AP421" s="22" t="str">
        <f t="shared" si="315"/>
        <v>X</v>
      </c>
      <c r="AQ421" s="22" t="str">
        <f t="shared" si="316"/>
        <v>O</v>
      </c>
      <c r="AR421" s="22" t="str">
        <f t="shared" si="317"/>
        <v>X</v>
      </c>
      <c r="AS421" s="22" t="str">
        <f t="shared" si="318"/>
        <v>X</v>
      </c>
      <c r="AT421" s="22" t="str">
        <f t="shared" si="319"/>
        <v>X</v>
      </c>
      <c r="AU421" s="22" t="str">
        <f t="shared" si="320"/>
        <v>X</v>
      </c>
      <c r="AV421" s="22" t="str">
        <f t="shared" si="321"/>
        <v>X</v>
      </c>
      <c r="AW421" s="22" t="str">
        <f t="shared" si="322"/>
        <v>X</v>
      </c>
      <c r="AX421" s="22" t="str">
        <f t="shared" si="323"/>
        <v>X</v>
      </c>
      <c r="AY421" s="22" t="str">
        <f t="shared" si="324"/>
        <v>X</v>
      </c>
      <c r="AZ421" s="22" t="str">
        <f t="shared" si="325"/>
        <v>X</v>
      </c>
      <c r="BA421" s="22" t="str">
        <f t="shared" si="326"/>
        <v>O</v>
      </c>
      <c r="BB421" s="22">
        <f t="shared" si="327"/>
        <v>2</v>
      </c>
      <c r="BC421" s="22" t="str">
        <f t="shared" si="298"/>
        <v>1G</v>
      </c>
      <c r="BD421" s="22" t="str">
        <f t="shared" si="299"/>
        <v>1G</v>
      </c>
      <c r="BE421" s="22" t="str">
        <f t="shared" si="300"/>
        <v>1G</v>
      </c>
      <c r="BF421" s="22" t="str">
        <f t="shared" si="301"/>
        <v>2G</v>
      </c>
      <c r="BG421" s="22" t="str">
        <f t="shared" si="302"/>
        <v>2G</v>
      </c>
      <c r="BH421" s="22" t="str">
        <f t="shared" si="303"/>
        <v>3G</v>
      </c>
      <c r="BI421" s="22">
        <f t="shared" si="328"/>
        <v>3</v>
      </c>
      <c r="BJ421" s="22">
        <f t="shared" si="329"/>
        <v>2</v>
      </c>
      <c r="BK421" s="22">
        <f t="shared" si="330"/>
        <v>1</v>
      </c>
      <c r="BL421" s="22" t="str">
        <f t="shared" si="331"/>
        <v>321</v>
      </c>
      <c r="BS421"/>
      <c r="CL421" s="23">
        <v>170</v>
      </c>
      <c r="CM421" s="23">
        <v>170</v>
      </c>
      <c r="CO421"/>
    </row>
    <row r="422" spans="1:93" ht="17" hidden="1">
      <c r="B422" s="15">
        <v>418</v>
      </c>
      <c r="C422" s="23" t="s">
        <v>448</v>
      </c>
      <c r="D422" s="16">
        <v>8</v>
      </c>
      <c r="E422" s="17">
        <v>1435649766</v>
      </c>
      <c r="F422" s="16">
        <v>46</v>
      </c>
      <c r="G422" s="17">
        <v>41613037</v>
      </c>
      <c r="H422" s="17">
        <v>1316</v>
      </c>
      <c r="I422" s="17">
        <v>1454560</v>
      </c>
      <c r="J422" s="17">
        <v>61748</v>
      </c>
      <c r="K422" s="17">
        <v>50000</v>
      </c>
      <c r="L422" s="17">
        <v>1025606</v>
      </c>
      <c r="M422" s="17">
        <v>5000</v>
      </c>
      <c r="N422" s="23">
        <v>11</v>
      </c>
      <c r="O422" s="23">
        <v>13</v>
      </c>
      <c r="P422" s="23">
        <v>15</v>
      </c>
      <c r="Q422" s="23">
        <v>26</v>
      </c>
      <c r="R422" s="23">
        <v>28</v>
      </c>
      <c r="S422" s="23">
        <v>34</v>
      </c>
      <c r="T422" s="23">
        <v>31</v>
      </c>
      <c r="U422" s="23">
        <f t="shared" si="304"/>
        <v>127</v>
      </c>
      <c r="W422" s="22" t="str">
        <f t="shared" si="289"/>
        <v>홀수</v>
      </c>
      <c r="X422" s="22" t="str">
        <f t="shared" si="290"/>
        <v>홀수</v>
      </c>
      <c r="Y422" s="22" t="str">
        <f t="shared" si="291"/>
        <v>홀수</v>
      </c>
      <c r="Z422" s="22" t="str">
        <f t="shared" si="292"/>
        <v>짝수</v>
      </c>
      <c r="AA422" s="22" t="str">
        <f t="shared" si="293"/>
        <v>짝수</v>
      </c>
      <c r="AB422" s="22" t="str">
        <f t="shared" si="294"/>
        <v>짝수</v>
      </c>
      <c r="AC422" s="52" t="str">
        <f t="shared" si="295"/>
        <v>3 : 3</v>
      </c>
      <c r="AD422" s="22">
        <f t="shared" si="296"/>
        <v>3</v>
      </c>
      <c r="AE422" s="22">
        <f t="shared" si="297"/>
        <v>3</v>
      </c>
      <c r="AF422" s="22" t="str">
        <f t="shared" si="305"/>
        <v>저수</v>
      </c>
      <c r="AG422" s="22" t="str">
        <f t="shared" si="306"/>
        <v>저수</v>
      </c>
      <c r="AH422" s="22" t="str">
        <f t="shared" si="307"/>
        <v>저수</v>
      </c>
      <c r="AI422" s="22" t="str">
        <f t="shared" si="308"/>
        <v>고수</v>
      </c>
      <c r="AJ422" s="22" t="str">
        <f t="shared" si="309"/>
        <v>고수</v>
      </c>
      <c r="AK422" s="22" t="str">
        <f t="shared" si="310"/>
        <v>고수</v>
      </c>
      <c r="AL422" s="52" t="str">
        <f t="shared" si="311"/>
        <v>3 : 3</v>
      </c>
      <c r="AM422" s="22">
        <f t="shared" si="312"/>
        <v>3</v>
      </c>
      <c r="AN422" s="22">
        <f t="shared" si="313"/>
        <v>3</v>
      </c>
      <c r="AO422" s="22">
        <f t="shared" si="314"/>
        <v>27</v>
      </c>
      <c r="AP422" s="22" t="str">
        <f t="shared" si="315"/>
        <v>O</v>
      </c>
      <c r="AQ422" s="22" t="str">
        <f t="shared" si="316"/>
        <v>O</v>
      </c>
      <c r="AR422" s="22" t="str">
        <f t="shared" si="317"/>
        <v>X</v>
      </c>
      <c r="AS422" s="22" t="str">
        <f t="shared" si="318"/>
        <v>X</v>
      </c>
      <c r="AT422" s="22" t="str">
        <f t="shared" si="319"/>
        <v>X</v>
      </c>
      <c r="AU422" s="22" t="str">
        <f t="shared" si="320"/>
        <v>X</v>
      </c>
      <c r="AV422" s="22" t="str">
        <f t="shared" si="321"/>
        <v>X</v>
      </c>
      <c r="AW422" s="22" t="str">
        <f t="shared" si="322"/>
        <v>X</v>
      </c>
      <c r="AX422" s="22" t="str">
        <f t="shared" si="323"/>
        <v>X</v>
      </c>
      <c r="AY422" s="22" t="str">
        <f t="shared" si="324"/>
        <v>X</v>
      </c>
      <c r="AZ422" s="22" t="str">
        <f t="shared" si="325"/>
        <v>X</v>
      </c>
      <c r="BA422" s="22" t="str">
        <f t="shared" si="326"/>
        <v>X</v>
      </c>
      <c r="BB422" s="22">
        <f t="shared" si="327"/>
        <v>2</v>
      </c>
      <c r="BC422" s="22" t="str">
        <f t="shared" si="298"/>
        <v>1G</v>
      </c>
      <c r="BD422" s="22" t="str">
        <f t="shared" si="299"/>
        <v>1G</v>
      </c>
      <c r="BE422" s="22" t="str">
        <f t="shared" si="300"/>
        <v>1G</v>
      </c>
      <c r="BF422" s="22" t="str">
        <f t="shared" si="301"/>
        <v>2G</v>
      </c>
      <c r="BG422" s="22" t="str">
        <f t="shared" si="302"/>
        <v>2G</v>
      </c>
      <c r="BH422" s="22" t="str">
        <f t="shared" si="303"/>
        <v>3G</v>
      </c>
      <c r="BI422" s="22">
        <f t="shared" si="328"/>
        <v>3</v>
      </c>
      <c r="BJ422" s="22">
        <f t="shared" si="329"/>
        <v>2</v>
      </c>
      <c r="BK422" s="22">
        <f t="shared" si="330"/>
        <v>1</v>
      </c>
      <c r="BL422" s="22" t="str">
        <f t="shared" si="331"/>
        <v>321</v>
      </c>
      <c r="BS422"/>
      <c r="CL422" s="23">
        <v>170</v>
      </c>
      <c r="CM422" s="23">
        <v>170</v>
      </c>
      <c r="CO422"/>
    </row>
    <row r="423" spans="1:93" ht="17" hidden="1">
      <c r="B423" s="15">
        <v>419</v>
      </c>
      <c r="C423" s="23" t="s">
        <v>449</v>
      </c>
      <c r="D423" s="16">
        <v>3</v>
      </c>
      <c r="E423" s="17">
        <v>3796490750</v>
      </c>
      <c r="F423" s="16">
        <v>33</v>
      </c>
      <c r="G423" s="17">
        <v>57522588</v>
      </c>
      <c r="H423" s="17">
        <v>1194</v>
      </c>
      <c r="I423" s="17">
        <v>1589821</v>
      </c>
      <c r="J423" s="17">
        <v>60100</v>
      </c>
      <c r="K423" s="17">
        <v>50000</v>
      </c>
      <c r="L423" s="17">
        <v>1012637</v>
      </c>
      <c r="M423" s="17">
        <v>5000</v>
      </c>
      <c r="N423" s="23">
        <v>2</v>
      </c>
      <c r="O423" s="23">
        <v>11</v>
      </c>
      <c r="P423" s="23">
        <v>13</v>
      </c>
      <c r="Q423" s="23">
        <v>14</v>
      </c>
      <c r="R423" s="23">
        <v>28</v>
      </c>
      <c r="S423" s="23">
        <v>30</v>
      </c>
      <c r="T423" s="23">
        <v>7</v>
      </c>
      <c r="U423" s="23">
        <f t="shared" si="304"/>
        <v>98</v>
      </c>
      <c r="W423" s="22" t="str">
        <f t="shared" si="289"/>
        <v>짝수</v>
      </c>
      <c r="X423" s="22" t="str">
        <f t="shared" si="290"/>
        <v>홀수</v>
      </c>
      <c r="Y423" s="22" t="str">
        <f t="shared" si="291"/>
        <v>홀수</v>
      </c>
      <c r="Z423" s="22" t="str">
        <f t="shared" si="292"/>
        <v>짝수</v>
      </c>
      <c r="AA423" s="22" t="str">
        <f t="shared" si="293"/>
        <v>짝수</v>
      </c>
      <c r="AB423" s="22" t="str">
        <f t="shared" si="294"/>
        <v>짝수</v>
      </c>
      <c r="AC423" s="52" t="str">
        <f t="shared" si="295"/>
        <v>2 : 4</v>
      </c>
      <c r="AD423" s="22">
        <f t="shared" si="296"/>
        <v>2</v>
      </c>
      <c r="AE423" s="22">
        <f t="shared" si="297"/>
        <v>4</v>
      </c>
      <c r="AF423" s="22" t="str">
        <f t="shared" si="305"/>
        <v>저수</v>
      </c>
      <c r="AG423" s="22" t="str">
        <f t="shared" si="306"/>
        <v>저수</v>
      </c>
      <c r="AH423" s="22" t="str">
        <f t="shared" si="307"/>
        <v>저수</v>
      </c>
      <c r="AI423" s="22" t="str">
        <f t="shared" si="308"/>
        <v>저수</v>
      </c>
      <c r="AJ423" s="22" t="str">
        <f t="shared" si="309"/>
        <v>고수</v>
      </c>
      <c r="AK423" s="22" t="str">
        <f t="shared" si="310"/>
        <v>고수</v>
      </c>
      <c r="AL423" s="52" t="str">
        <f t="shared" si="311"/>
        <v>4 : 2</v>
      </c>
      <c r="AM423" s="22">
        <f t="shared" si="312"/>
        <v>4</v>
      </c>
      <c r="AN423" s="22">
        <f t="shared" si="313"/>
        <v>2</v>
      </c>
      <c r="AO423" s="22">
        <f t="shared" si="314"/>
        <v>18</v>
      </c>
      <c r="AP423" s="22" t="str">
        <f t="shared" si="315"/>
        <v>O</v>
      </c>
      <c r="AQ423" s="22" t="str">
        <f t="shared" si="316"/>
        <v>O</v>
      </c>
      <c r="AR423" s="22" t="str">
        <f t="shared" si="317"/>
        <v>O</v>
      </c>
      <c r="AS423" s="22" t="str">
        <f t="shared" si="318"/>
        <v>X</v>
      </c>
      <c r="AT423" s="22" t="str">
        <f t="shared" si="319"/>
        <v>X</v>
      </c>
      <c r="AU423" s="22" t="str">
        <f t="shared" si="320"/>
        <v>X</v>
      </c>
      <c r="AV423" s="22" t="str">
        <f t="shared" si="321"/>
        <v>X</v>
      </c>
      <c r="AW423" s="22" t="str">
        <f t="shared" si="322"/>
        <v>X</v>
      </c>
      <c r="AX423" s="22" t="str">
        <f t="shared" si="323"/>
        <v>X</v>
      </c>
      <c r="AY423" s="22" t="str">
        <f t="shared" si="324"/>
        <v>X</v>
      </c>
      <c r="AZ423" s="22" t="str">
        <f t="shared" si="325"/>
        <v>X</v>
      </c>
      <c r="BA423" s="22" t="str">
        <f t="shared" si="326"/>
        <v>X</v>
      </c>
      <c r="BB423" s="22">
        <f t="shared" si="327"/>
        <v>3</v>
      </c>
      <c r="BC423" s="22" t="str">
        <f t="shared" si="298"/>
        <v>1G</v>
      </c>
      <c r="BD423" s="22" t="str">
        <f t="shared" si="299"/>
        <v>1G</v>
      </c>
      <c r="BE423" s="22" t="str">
        <f t="shared" si="300"/>
        <v>1G</v>
      </c>
      <c r="BF423" s="22" t="str">
        <f t="shared" si="301"/>
        <v>1G</v>
      </c>
      <c r="BG423" s="22" t="str">
        <f t="shared" si="302"/>
        <v>2G</v>
      </c>
      <c r="BH423" s="22" t="str">
        <f t="shared" si="303"/>
        <v>2G</v>
      </c>
      <c r="BI423" s="22">
        <f t="shared" si="328"/>
        <v>4</v>
      </c>
      <c r="BJ423" s="22">
        <f t="shared" si="329"/>
        <v>2</v>
      </c>
      <c r="BK423" s="22">
        <f t="shared" si="330"/>
        <v>0</v>
      </c>
      <c r="BL423" s="22" t="str">
        <f t="shared" si="331"/>
        <v>420</v>
      </c>
      <c r="BS423"/>
      <c r="CL423" s="23">
        <v>171</v>
      </c>
      <c r="CM423" s="23">
        <v>170</v>
      </c>
      <c r="CO423"/>
    </row>
    <row r="424" spans="1:93" ht="17" hidden="1">
      <c r="B424" s="15">
        <v>420</v>
      </c>
      <c r="C424" s="23" t="s">
        <v>450</v>
      </c>
      <c r="D424" s="16">
        <v>8</v>
      </c>
      <c r="E424" s="17">
        <v>1424856375</v>
      </c>
      <c r="F424" s="16">
        <v>35</v>
      </c>
      <c r="G424" s="17">
        <v>54280243</v>
      </c>
      <c r="H424" s="17">
        <v>1187</v>
      </c>
      <c r="I424" s="17">
        <v>1600513</v>
      </c>
      <c r="J424" s="17">
        <v>62929</v>
      </c>
      <c r="K424" s="17">
        <v>50000</v>
      </c>
      <c r="L424" s="17">
        <v>1065564</v>
      </c>
      <c r="M424" s="17">
        <v>5000</v>
      </c>
      <c r="N424" s="23">
        <v>4</v>
      </c>
      <c r="O424" s="23">
        <v>9</v>
      </c>
      <c r="P424" s="23">
        <v>10</v>
      </c>
      <c r="Q424" s="23">
        <v>29</v>
      </c>
      <c r="R424" s="23">
        <v>31</v>
      </c>
      <c r="S424" s="23">
        <v>34</v>
      </c>
      <c r="T424" s="23">
        <v>27</v>
      </c>
      <c r="U424" s="23">
        <f t="shared" si="304"/>
        <v>117</v>
      </c>
      <c r="W424" s="22" t="str">
        <f t="shared" si="289"/>
        <v>짝수</v>
      </c>
      <c r="X424" s="22" t="str">
        <f t="shared" si="290"/>
        <v>홀수</v>
      </c>
      <c r="Y424" s="22" t="str">
        <f t="shared" si="291"/>
        <v>짝수</v>
      </c>
      <c r="Z424" s="22" t="str">
        <f t="shared" si="292"/>
        <v>홀수</v>
      </c>
      <c r="AA424" s="22" t="str">
        <f t="shared" si="293"/>
        <v>홀수</v>
      </c>
      <c r="AB424" s="22" t="str">
        <f t="shared" si="294"/>
        <v>짝수</v>
      </c>
      <c r="AC424" s="52" t="str">
        <f t="shared" si="295"/>
        <v>3 : 3</v>
      </c>
      <c r="AD424" s="22">
        <f t="shared" si="296"/>
        <v>3</v>
      </c>
      <c r="AE424" s="22">
        <f t="shared" si="297"/>
        <v>3</v>
      </c>
      <c r="AF424" s="22" t="str">
        <f t="shared" si="305"/>
        <v>저수</v>
      </c>
      <c r="AG424" s="22" t="str">
        <f t="shared" si="306"/>
        <v>저수</v>
      </c>
      <c r="AH424" s="22" t="str">
        <f t="shared" si="307"/>
        <v>저수</v>
      </c>
      <c r="AI424" s="22" t="str">
        <f t="shared" si="308"/>
        <v>고수</v>
      </c>
      <c r="AJ424" s="22" t="str">
        <f t="shared" si="309"/>
        <v>고수</v>
      </c>
      <c r="AK424" s="22" t="str">
        <f t="shared" si="310"/>
        <v>고수</v>
      </c>
      <c r="AL424" s="52" t="str">
        <f t="shared" si="311"/>
        <v>3 : 3</v>
      </c>
      <c r="AM424" s="22">
        <f t="shared" si="312"/>
        <v>3</v>
      </c>
      <c r="AN424" s="22">
        <f t="shared" si="313"/>
        <v>3</v>
      </c>
      <c r="AO424" s="22">
        <f t="shared" si="314"/>
        <v>27</v>
      </c>
      <c r="AP424" s="22" t="str">
        <f t="shared" si="315"/>
        <v>X</v>
      </c>
      <c r="AQ424" s="22" t="str">
        <f t="shared" si="316"/>
        <v>X</v>
      </c>
      <c r="AR424" s="22" t="str">
        <f t="shared" si="317"/>
        <v>X</v>
      </c>
      <c r="AS424" s="22" t="str">
        <f t="shared" si="318"/>
        <v>X</v>
      </c>
      <c r="AT424" s="22" t="str">
        <f t="shared" si="319"/>
        <v>X</v>
      </c>
      <c r="AU424" s="22" t="str">
        <f t="shared" si="320"/>
        <v>X</v>
      </c>
      <c r="AV424" s="22" t="str">
        <f t="shared" si="321"/>
        <v>X</v>
      </c>
      <c r="AW424" s="22" t="str">
        <f t="shared" si="322"/>
        <v>X</v>
      </c>
      <c r="AX424" s="22" t="str">
        <f t="shared" si="323"/>
        <v>X</v>
      </c>
      <c r="AY424" s="22" t="str">
        <f t="shared" si="324"/>
        <v>O</v>
      </c>
      <c r="AZ424" s="22" t="str">
        <f t="shared" si="325"/>
        <v>O</v>
      </c>
      <c r="BA424" s="22" t="str">
        <f t="shared" si="326"/>
        <v>X</v>
      </c>
      <c r="BB424" s="22">
        <f t="shared" si="327"/>
        <v>2</v>
      </c>
      <c r="BC424" s="22" t="str">
        <f t="shared" si="298"/>
        <v>1G</v>
      </c>
      <c r="BD424" s="22" t="str">
        <f t="shared" si="299"/>
        <v>1G</v>
      </c>
      <c r="BE424" s="22" t="str">
        <f t="shared" si="300"/>
        <v>1G</v>
      </c>
      <c r="BF424" s="22" t="str">
        <f t="shared" si="301"/>
        <v>2G</v>
      </c>
      <c r="BG424" s="22" t="str">
        <f t="shared" si="302"/>
        <v>3G</v>
      </c>
      <c r="BH424" s="22" t="str">
        <f t="shared" si="303"/>
        <v>3G</v>
      </c>
      <c r="BI424" s="22">
        <f t="shared" si="328"/>
        <v>3</v>
      </c>
      <c r="BJ424" s="22">
        <f t="shared" si="329"/>
        <v>1</v>
      </c>
      <c r="BK424" s="22">
        <f t="shared" si="330"/>
        <v>2</v>
      </c>
      <c r="BL424" s="22" t="str">
        <f t="shared" si="331"/>
        <v>312</v>
      </c>
      <c r="BS424"/>
      <c r="CL424" s="23">
        <v>172</v>
      </c>
      <c r="CM424" s="23">
        <v>170</v>
      </c>
      <c r="CO424"/>
    </row>
    <row r="425" spans="1:93" ht="17" hidden="1">
      <c r="B425" s="15">
        <v>421</v>
      </c>
      <c r="C425" s="23" t="s">
        <v>451</v>
      </c>
      <c r="D425" s="16">
        <v>5</v>
      </c>
      <c r="E425" s="17">
        <v>2321144325</v>
      </c>
      <c r="F425" s="16">
        <v>36</v>
      </c>
      <c r="G425" s="17">
        <v>53730193</v>
      </c>
      <c r="H425" s="17">
        <v>1203</v>
      </c>
      <c r="I425" s="17">
        <v>1607887</v>
      </c>
      <c r="J425" s="17">
        <v>62947</v>
      </c>
      <c r="K425" s="17">
        <v>50000</v>
      </c>
      <c r="L425" s="17">
        <v>1050873</v>
      </c>
      <c r="M425" s="17">
        <v>5000</v>
      </c>
      <c r="N425" s="23">
        <v>6</v>
      </c>
      <c r="O425" s="23">
        <v>11</v>
      </c>
      <c r="P425" s="23">
        <v>26</v>
      </c>
      <c r="Q425" s="23">
        <v>27</v>
      </c>
      <c r="R425" s="23">
        <v>28</v>
      </c>
      <c r="S425" s="23">
        <v>44</v>
      </c>
      <c r="T425" s="23">
        <v>30</v>
      </c>
      <c r="U425" s="23">
        <f t="shared" si="304"/>
        <v>142</v>
      </c>
      <c r="W425" s="22" t="str">
        <f t="shared" si="289"/>
        <v>짝수</v>
      </c>
      <c r="X425" s="22" t="str">
        <f t="shared" si="290"/>
        <v>홀수</v>
      </c>
      <c r="Y425" s="22" t="str">
        <f t="shared" si="291"/>
        <v>짝수</v>
      </c>
      <c r="Z425" s="22" t="str">
        <f t="shared" si="292"/>
        <v>홀수</v>
      </c>
      <c r="AA425" s="22" t="str">
        <f t="shared" si="293"/>
        <v>짝수</v>
      </c>
      <c r="AB425" s="22" t="str">
        <f t="shared" si="294"/>
        <v>짝수</v>
      </c>
      <c r="AC425" s="52" t="str">
        <f t="shared" si="295"/>
        <v>2 : 4</v>
      </c>
      <c r="AD425" s="22">
        <f t="shared" si="296"/>
        <v>2</v>
      </c>
      <c r="AE425" s="22">
        <f t="shared" si="297"/>
        <v>4</v>
      </c>
      <c r="AF425" s="22" t="str">
        <f t="shared" si="305"/>
        <v>저수</v>
      </c>
      <c r="AG425" s="22" t="str">
        <f t="shared" si="306"/>
        <v>저수</v>
      </c>
      <c r="AH425" s="22" t="str">
        <f t="shared" si="307"/>
        <v>고수</v>
      </c>
      <c r="AI425" s="22" t="str">
        <f t="shared" si="308"/>
        <v>고수</v>
      </c>
      <c r="AJ425" s="22" t="str">
        <f t="shared" si="309"/>
        <v>고수</v>
      </c>
      <c r="AK425" s="22" t="str">
        <f t="shared" si="310"/>
        <v>고수</v>
      </c>
      <c r="AL425" s="52" t="str">
        <f t="shared" si="311"/>
        <v>2 : 4</v>
      </c>
      <c r="AM425" s="22">
        <f t="shared" si="312"/>
        <v>2</v>
      </c>
      <c r="AN425" s="22">
        <f t="shared" si="313"/>
        <v>4</v>
      </c>
      <c r="AO425" s="22">
        <f t="shared" si="314"/>
        <v>32</v>
      </c>
      <c r="AP425" s="22" t="str">
        <f t="shared" si="315"/>
        <v>X</v>
      </c>
      <c r="AQ425" s="22" t="str">
        <f t="shared" si="316"/>
        <v>O</v>
      </c>
      <c r="AR425" s="22" t="str">
        <f t="shared" si="317"/>
        <v>X</v>
      </c>
      <c r="AS425" s="22" t="str">
        <f t="shared" si="318"/>
        <v>X</v>
      </c>
      <c r="AT425" s="22" t="str">
        <f t="shared" si="319"/>
        <v>X</v>
      </c>
      <c r="AU425" s="22" t="str">
        <f t="shared" si="320"/>
        <v>X</v>
      </c>
      <c r="AV425" s="22" t="str">
        <f t="shared" si="321"/>
        <v>X</v>
      </c>
      <c r="AW425" s="22" t="str">
        <f t="shared" si="322"/>
        <v>X</v>
      </c>
      <c r="AX425" s="22" t="str">
        <f t="shared" si="323"/>
        <v>X</v>
      </c>
      <c r="AY425" s="22" t="str">
        <f t="shared" si="324"/>
        <v>X</v>
      </c>
      <c r="AZ425" s="22" t="str">
        <f t="shared" si="325"/>
        <v>X</v>
      </c>
      <c r="BA425" s="22" t="str">
        <f t="shared" si="326"/>
        <v>X</v>
      </c>
      <c r="BB425" s="22">
        <f t="shared" si="327"/>
        <v>1</v>
      </c>
      <c r="BC425" s="22" t="str">
        <f t="shared" si="298"/>
        <v>1G</v>
      </c>
      <c r="BD425" s="22" t="str">
        <f t="shared" si="299"/>
        <v>1G</v>
      </c>
      <c r="BE425" s="22" t="str">
        <f t="shared" si="300"/>
        <v>2G</v>
      </c>
      <c r="BF425" s="22" t="str">
        <f t="shared" si="301"/>
        <v>2G</v>
      </c>
      <c r="BG425" s="22" t="str">
        <f t="shared" si="302"/>
        <v>2G</v>
      </c>
      <c r="BH425" s="22" t="str">
        <f t="shared" si="303"/>
        <v>3G</v>
      </c>
      <c r="BI425" s="22">
        <f t="shared" si="328"/>
        <v>2</v>
      </c>
      <c r="BJ425" s="22">
        <f t="shared" si="329"/>
        <v>3</v>
      </c>
      <c r="BK425" s="22">
        <f t="shared" si="330"/>
        <v>1</v>
      </c>
      <c r="BL425" s="22" t="str">
        <f t="shared" si="331"/>
        <v>231</v>
      </c>
      <c r="BS425"/>
      <c r="CL425" s="23">
        <v>172</v>
      </c>
      <c r="CM425" s="23">
        <v>170</v>
      </c>
      <c r="CO425"/>
    </row>
    <row r="426" spans="1:93" ht="17" hidden="1">
      <c r="A426" s="16">
        <v>2011</v>
      </c>
      <c r="B426" s="15">
        <v>422</v>
      </c>
      <c r="C426" s="23" t="s">
        <v>452</v>
      </c>
      <c r="D426" s="16">
        <v>6</v>
      </c>
      <c r="E426" s="17">
        <v>2205251375</v>
      </c>
      <c r="F426" s="16">
        <v>21</v>
      </c>
      <c r="G426" s="17">
        <v>105011971</v>
      </c>
      <c r="H426" s="17">
        <v>1293</v>
      </c>
      <c r="I426" s="17">
        <v>1705531</v>
      </c>
      <c r="J426" s="17">
        <v>64044</v>
      </c>
      <c r="K426" s="17">
        <v>50000</v>
      </c>
      <c r="L426" s="17">
        <v>1104218</v>
      </c>
      <c r="M426" s="17">
        <v>5000</v>
      </c>
      <c r="N426" s="23">
        <v>8</v>
      </c>
      <c r="O426" s="23">
        <v>15</v>
      </c>
      <c r="P426" s="23">
        <v>19</v>
      </c>
      <c r="Q426" s="23">
        <v>21</v>
      </c>
      <c r="R426" s="23">
        <v>34</v>
      </c>
      <c r="S426" s="23">
        <v>44</v>
      </c>
      <c r="T426" s="23">
        <v>12</v>
      </c>
      <c r="U426" s="23">
        <f t="shared" si="304"/>
        <v>141</v>
      </c>
      <c r="W426" s="22" t="str">
        <f t="shared" si="289"/>
        <v>짝수</v>
      </c>
      <c r="X426" s="22" t="str">
        <f t="shared" si="290"/>
        <v>홀수</v>
      </c>
      <c r="Y426" s="22" t="str">
        <f t="shared" si="291"/>
        <v>홀수</v>
      </c>
      <c r="Z426" s="22" t="str">
        <f t="shared" si="292"/>
        <v>홀수</v>
      </c>
      <c r="AA426" s="22" t="str">
        <f t="shared" si="293"/>
        <v>짝수</v>
      </c>
      <c r="AB426" s="22" t="str">
        <f t="shared" si="294"/>
        <v>짝수</v>
      </c>
      <c r="AC426" s="52" t="str">
        <f t="shared" si="295"/>
        <v>3 : 3</v>
      </c>
      <c r="AD426" s="22">
        <f t="shared" si="296"/>
        <v>3</v>
      </c>
      <c r="AE426" s="22">
        <f t="shared" si="297"/>
        <v>3</v>
      </c>
      <c r="AF426" s="22" t="str">
        <f t="shared" si="305"/>
        <v>저수</v>
      </c>
      <c r="AG426" s="22" t="str">
        <f t="shared" si="306"/>
        <v>저수</v>
      </c>
      <c r="AH426" s="22" t="str">
        <f t="shared" si="307"/>
        <v>저수</v>
      </c>
      <c r="AI426" s="22" t="str">
        <f t="shared" si="308"/>
        <v>저수</v>
      </c>
      <c r="AJ426" s="22" t="str">
        <f t="shared" si="309"/>
        <v>고수</v>
      </c>
      <c r="AK426" s="22" t="str">
        <f t="shared" si="310"/>
        <v>고수</v>
      </c>
      <c r="AL426" s="52" t="str">
        <f t="shared" si="311"/>
        <v>4 : 2</v>
      </c>
      <c r="AM426" s="22">
        <f t="shared" si="312"/>
        <v>4</v>
      </c>
      <c r="AN426" s="22">
        <f t="shared" si="313"/>
        <v>2</v>
      </c>
      <c r="AO426" s="22">
        <f t="shared" si="314"/>
        <v>31</v>
      </c>
      <c r="AP426" s="22" t="str">
        <f t="shared" si="315"/>
        <v>X</v>
      </c>
      <c r="AQ426" s="22" t="str">
        <f t="shared" si="316"/>
        <v>X</v>
      </c>
      <c r="AR426" s="22" t="str">
        <f t="shared" si="317"/>
        <v>O</v>
      </c>
      <c r="AS426" s="22" t="str">
        <f t="shared" si="318"/>
        <v>X</v>
      </c>
      <c r="AT426" s="22" t="str">
        <f t="shared" si="319"/>
        <v>X</v>
      </c>
      <c r="AU426" s="22" t="str">
        <f t="shared" si="320"/>
        <v>X</v>
      </c>
      <c r="AV426" s="22" t="str">
        <f t="shared" si="321"/>
        <v>X</v>
      </c>
      <c r="AW426" s="22" t="str">
        <f t="shared" si="322"/>
        <v>X</v>
      </c>
      <c r="AX426" s="22" t="str">
        <f t="shared" si="323"/>
        <v>X</v>
      </c>
      <c r="AY426" s="22" t="str">
        <f t="shared" si="324"/>
        <v>X</v>
      </c>
      <c r="AZ426" s="22" t="str">
        <f t="shared" si="325"/>
        <v>X</v>
      </c>
      <c r="BA426" s="22" t="str">
        <f t="shared" si="326"/>
        <v>X</v>
      </c>
      <c r="BB426" s="22">
        <f t="shared" si="327"/>
        <v>1</v>
      </c>
      <c r="BC426" s="22" t="str">
        <f t="shared" si="298"/>
        <v>1G</v>
      </c>
      <c r="BD426" s="22" t="str">
        <f t="shared" si="299"/>
        <v>1G</v>
      </c>
      <c r="BE426" s="22" t="str">
        <f t="shared" si="300"/>
        <v>2G</v>
      </c>
      <c r="BF426" s="22" t="str">
        <f t="shared" si="301"/>
        <v>2G</v>
      </c>
      <c r="BG426" s="22" t="str">
        <f t="shared" si="302"/>
        <v>3G</v>
      </c>
      <c r="BH426" s="22" t="str">
        <f t="shared" si="303"/>
        <v>3G</v>
      </c>
      <c r="BI426" s="22">
        <f t="shared" si="328"/>
        <v>2</v>
      </c>
      <c r="BJ426" s="22">
        <f t="shared" si="329"/>
        <v>2</v>
      </c>
      <c r="BK426" s="22">
        <f t="shared" si="330"/>
        <v>2</v>
      </c>
      <c r="BL426" s="22" t="str">
        <f t="shared" si="331"/>
        <v>222</v>
      </c>
      <c r="BS426"/>
      <c r="CL426" s="23">
        <v>172</v>
      </c>
      <c r="CM426" s="23">
        <v>170</v>
      </c>
      <c r="CO426"/>
    </row>
    <row r="427" spans="1:93" ht="17" hidden="1">
      <c r="B427" s="15">
        <v>423</v>
      </c>
      <c r="C427" s="23" t="s">
        <v>453</v>
      </c>
      <c r="D427" s="16">
        <v>3</v>
      </c>
      <c r="E427" s="17">
        <v>3896153875</v>
      </c>
      <c r="F427" s="16">
        <v>47</v>
      </c>
      <c r="G427" s="17">
        <v>41448446</v>
      </c>
      <c r="H427" s="17">
        <v>1432</v>
      </c>
      <c r="I427" s="17">
        <v>1360389</v>
      </c>
      <c r="J427" s="17">
        <v>69948</v>
      </c>
      <c r="K427" s="17">
        <v>50000</v>
      </c>
      <c r="L427" s="17">
        <v>1150428</v>
      </c>
      <c r="M427" s="17">
        <v>5000</v>
      </c>
      <c r="N427" s="23">
        <v>1</v>
      </c>
      <c r="O427" s="23">
        <v>17</v>
      </c>
      <c r="P427" s="23">
        <v>27</v>
      </c>
      <c r="Q427" s="23">
        <v>28</v>
      </c>
      <c r="R427" s="23">
        <v>29</v>
      </c>
      <c r="S427" s="23">
        <v>40</v>
      </c>
      <c r="T427" s="23">
        <v>5</v>
      </c>
      <c r="U427" s="23">
        <f t="shared" si="304"/>
        <v>142</v>
      </c>
      <c r="W427" s="22" t="str">
        <f t="shared" si="289"/>
        <v>홀수</v>
      </c>
      <c r="X427" s="22" t="str">
        <f t="shared" si="290"/>
        <v>홀수</v>
      </c>
      <c r="Y427" s="22" t="str">
        <f t="shared" si="291"/>
        <v>홀수</v>
      </c>
      <c r="Z427" s="22" t="str">
        <f t="shared" si="292"/>
        <v>짝수</v>
      </c>
      <c r="AA427" s="22" t="str">
        <f t="shared" si="293"/>
        <v>홀수</v>
      </c>
      <c r="AB427" s="22" t="str">
        <f t="shared" si="294"/>
        <v>짝수</v>
      </c>
      <c r="AC427" s="52" t="str">
        <f t="shared" si="295"/>
        <v>4 : 2</v>
      </c>
      <c r="AD427" s="22">
        <f t="shared" si="296"/>
        <v>4</v>
      </c>
      <c r="AE427" s="22">
        <f t="shared" si="297"/>
        <v>2</v>
      </c>
      <c r="AF427" s="22" t="str">
        <f t="shared" si="305"/>
        <v>저수</v>
      </c>
      <c r="AG427" s="22" t="str">
        <f t="shared" si="306"/>
        <v>저수</v>
      </c>
      <c r="AH427" s="22" t="str">
        <f t="shared" si="307"/>
        <v>고수</v>
      </c>
      <c r="AI427" s="22" t="str">
        <f t="shared" si="308"/>
        <v>고수</v>
      </c>
      <c r="AJ427" s="22" t="str">
        <f t="shared" si="309"/>
        <v>고수</v>
      </c>
      <c r="AK427" s="22" t="str">
        <f t="shared" si="310"/>
        <v>고수</v>
      </c>
      <c r="AL427" s="52" t="str">
        <f t="shared" si="311"/>
        <v>2 : 4</v>
      </c>
      <c r="AM427" s="22">
        <f t="shared" si="312"/>
        <v>2</v>
      </c>
      <c r="AN427" s="22">
        <f t="shared" si="313"/>
        <v>4</v>
      </c>
      <c r="AO427" s="22">
        <f t="shared" si="314"/>
        <v>32</v>
      </c>
      <c r="AP427" s="22" t="str">
        <f t="shared" si="315"/>
        <v>X</v>
      </c>
      <c r="AQ427" s="22" t="str">
        <f t="shared" si="316"/>
        <v>O</v>
      </c>
      <c r="AR427" s="22" t="str">
        <f t="shared" si="317"/>
        <v>X</v>
      </c>
      <c r="AS427" s="22" t="str">
        <f t="shared" si="318"/>
        <v>X</v>
      </c>
      <c r="AT427" s="22" t="str">
        <f t="shared" si="319"/>
        <v>X</v>
      </c>
      <c r="AU427" s="22" t="str">
        <f t="shared" si="320"/>
        <v>X</v>
      </c>
      <c r="AV427" s="22" t="str">
        <f t="shared" si="321"/>
        <v>X</v>
      </c>
      <c r="AW427" s="22" t="str">
        <f t="shared" si="322"/>
        <v>X</v>
      </c>
      <c r="AX427" s="22" t="str">
        <f t="shared" si="323"/>
        <v>X</v>
      </c>
      <c r="AY427" s="22" t="str">
        <f t="shared" si="324"/>
        <v>X</v>
      </c>
      <c r="AZ427" s="22" t="str">
        <f t="shared" si="325"/>
        <v>O</v>
      </c>
      <c r="BA427" s="22" t="str">
        <f t="shared" si="326"/>
        <v>X</v>
      </c>
      <c r="BB427" s="22">
        <f t="shared" si="327"/>
        <v>2</v>
      </c>
      <c r="BC427" s="22" t="str">
        <f t="shared" si="298"/>
        <v>1G</v>
      </c>
      <c r="BD427" s="22" t="str">
        <f t="shared" si="299"/>
        <v>2G</v>
      </c>
      <c r="BE427" s="22" t="str">
        <f t="shared" si="300"/>
        <v>2G</v>
      </c>
      <c r="BF427" s="22" t="str">
        <f t="shared" si="301"/>
        <v>2G</v>
      </c>
      <c r="BG427" s="22" t="str">
        <f t="shared" si="302"/>
        <v>2G</v>
      </c>
      <c r="BH427" s="22" t="str">
        <f t="shared" si="303"/>
        <v>3G</v>
      </c>
      <c r="BI427" s="22">
        <f t="shared" si="328"/>
        <v>1</v>
      </c>
      <c r="BJ427" s="22">
        <f t="shared" si="329"/>
        <v>4</v>
      </c>
      <c r="BK427" s="22">
        <f t="shared" si="330"/>
        <v>1</v>
      </c>
      <c r="BL427" s="22" t="str">
        <f t="shared" si="331"/>
        <v>141</v>
      </c>
      <c r="BS427"/>
      <c r="CL427" s="23">
        <v>172</v>
      </c>
      <c r="CM427" s="23">
        <v>170</v>
      </c>
      <c r="CO427"/>
    </row>
    <row r="428" spans="1:93" ht="17" hidden="1">
      <c r="B428" s="15">
        <v>424</v>
      </c>
      <c r="C428" s="23" t="s">
        <v>454</v>
      </c>
      <c r="D428" s="16">
        <v>10</v>
      </c>
      <c r="E428" s="17">
        <v>1109480813</v>
      </c>
      <c r="F428" s="16">
        <v>51</v>
      </c>
      <c r="G428" s="17">
        <v>36257543</v>
      </c>
      <c r="H428" s="17">
        <v>1686</v>
      </c>
      <c r="I428" s="17">
        <v>1096759</v>
      </c>
      <c r="J428" s="17">
        <v>75456</v>
      </c>
      <c r="K428" s="17">
        <v>50000</v>
      </c>
      <c r="L428" s="17">
        <v>1159669</v>
      </c>
      <c r="M428" s="17">
        <v>5000</v>
      </c>
      <c r="N428" s="23">
        <v>10</v>
      </c>
      <c r="O428" s="23">
        <v>11</v>
      </c>
      <c r="P428" s="23">
        <v>26</v>
      </c>
      <c r="Q428" s="23">
        <v>31</v>
      </c>
      <c r="R428" s="23">
        <v>34</v>
      </c>
      <c r="S428" s="23">
        <v>44</v>
      </c>
      <c r="T428" s="23">
        <v>30</v>
      </c>
      <c r="U428" s="23">
        <f t="shared" si="304"/>
        <v>156</v>
      </c>
      <c r="W428" s="22" t="str">
        <f t="shared" si="289"/>
        <v>짝수</v>
      </c>
      <c r="X428" s="22" t="str">
        <f t="shared" si="290"/>
        <v>홀수</v>
      </c>
      <c r="Y428" s="22" t="str">
        <f t="shared" si="291"/>
        <v>짝수</v>
      </c>
      <c r="Z428" s="22" t="str">
        <f t="shared" si="292"/>
        <v>홀수</v>
      </c>
      <c r="AA428" s="22" t="str">
        <f t="shared" si="293"/>
        <v>짝수</v>
      </c>
      <c r="AB428" s="22" t="str">
        <f t="shared" si="294"/>
        <v>짝수</v>
      </c>
      <c r="AC428" s="52" t="str">
        <f t="shared" si="295"/>
        <v>2 : 4</v>
      </c>
      <c r="AD428" s="22">
        <f t="shared" si="296"/>
        <v>2</v>
      </c>
      <c r="AE428" s="22">
        <f t="shared" si="297"/>
        <v>4</v>
      </c>
      <c r="AF428" s="22" t="str">
        <f t="shared" si="305"/>
        <v>저수</v>
      </c>
      <c r="AG428" s="22" t="str">
        <f t="shared" si="306"/>
        <v>저수</v>
      </c>
      <c r="AH428" s="22" t="str">
        <f t="shared" si="307"/>
        <v>고수</v>
      </c>
      <c r="AI428" s="22" t="str">
        <f t="shared" si="308"/>
        <v>고수</v>
      </c>
      <c r="AJ428" s="22" t="str">
        <f t="shared" si="309"/>
        <v>고수</v>
      </c>
      <c r="AK428" s="22" t="str">
        <f t="shared" si="310"/>
        <v>고수</v>
      </c>
      <c r="AL428" s="52" t="str">
        <f t="shared" si="311"/>
        <v>2 : 4</v>
      </c>
      <c r="AM428" s="22">
        <f t="shared" si="312"/>
        <v>2</v>
      </c>
      <c r="AN428" s="22">
        <f t="shared" si="313"/>
        <v>4</v>
      </c>
      <c r="AO428" s="22">
        <f t="shared" si="314"/>
        <v>16</v>
      </c>
      <c r="AP428" s="22" t="str">
        <f t="shared" si="315"/>
        <v>X</v>
      </c>
      <c r="AQ428" s="22" t="str">
        <f t="shared" si="316"/>
        <v>O</v>
      </c>
      <c r="AR428" s="22" t="str">
        <f t="shared" si="317"/>
        <v>X</v>
      </c>
      <c r="AS428" s="22" t="str">
        <f t="shared" si="318"/>
        <v>X</v>
      </c>
      <c r="AT428" s="22" t="str">
        <f t="shared" si="319"/>
        <v>X</v>
      </c>
      <c r="AU428" s="22" t="str">
        <f t="shared" si="320"/>
        <v>X</v>
      </c>
      <c r="AV428" s="22" t="str">
        <f t="shared" si="321"/>
        <v>X</v>
      </c>
      <c r="AW428" s="22" t="str">
        <f t="shared" si="322"/>
        <v>X</v>
      </c>
      <c r="AX428" s="22" t="str">
        <f t="shared" si="323"/>
        <v>X</v>
      </c>
      <c r="AY428" s="22" t="str">
        <f t="shared" si="324"/>
        <v>O</v>
      </c>
      <c r="AZ428" s="22" t="str">
        <f t="shared" si="325"/>
        <v>X</v>
      </c>
      <c r="BA428" s="22" t="str">
        <f t="shared" si="326"/>
        <v>X</v>
      </c>
      <c r="BB428" s="22">
        <f t="shared" si="327"/>
        <v>2</v>
      </c>
      <c r="BC428" s="22" t="str">
        <f t="shared" si="298"/>
        <v>1G</v>
      </c>
      <c r="BD428" s="22" t="str">
        <f t="shared" si="299"/>
        <v>1G</v>
      </c>
      <c r="BE428" s="22" t="str">
        <f t="shared" si="300"/>
        <v>2G</v>
      </c>
      <c r="BF428" s="22" t="str">
        <f t="shared" si="301"/>
        <v>3G</v>
      </c>
      <c r="BG428" s="22" t="str">
        <f t="shared" si="302"/>
        <v>3G</v>
      </c>
      <c r="BH428" s="22" t="str">
        <f t="shared" si="303"/>
        <v>3G</v>
      </c>
      <c r="BI428" s="22">
        <f t="shared" si="328"/>
        <v>2</v>
      </c>
      <c r="BJ428" s="22">
        <f t="shared" si="329"/>
        <v>1</v>
      </c>
      <c r="BK428" s="22">
        <f t="shared" si="330"/>
        <v>3</v>
      </c>
      <c r="BL428" s="22" t="str">
        <f t="shared" si="331"/>
        <v>213</v>
      </c>
      <c r="BS428"/>
      <c r="CL428" s="23">
        <v>173</v>
      </c>
      <c r="CM428" s="23">
        <v>170</v>
      </c>
      <c r="CO428"/>
    </row>
    <row r="429" spans="1:93" ht="17" hidden="1">
      <c r="B429" s="15">
        <v>425</v>
      </c>
      <c r="C429" s="23" t="s">
        <v>455</v>
      </c>
      <c r="D429" s="16">
        <v>8</v>
      </c>
      <c r="E429" s="17">
        <v>1534833000</v>
      </c>
      <c r="F429" s="16">
        <v>41</v>
      </c>
      <c r="G429" s="17">
        <v>49913269</v>
      </c>
      <c r="H429" s="17">
        <v>1297</v>
      </c>
      <c r="I429" s="17">
        <v>1577829</v>
      </c>
      <c r="J429" s="17">
        <v>66071</v>
      </c>
      <c r="K429" s="17">
        <v>50000</v>
      </c>
      <c r="L429" s="17">
        <v>1110949</v>
      </c>
      <c r="M429" s="17">
        <v>5000</v>
      </c>
      <c r="N429" s="23">
        <v>8</v>
      </c>
      <c r="O429" s="23">
        <v>10</v>
      </c>
      <c r="P429" s="23">
        <v>14</v>
      </c>
      <c r="Q429" s="23">
        <v>27</v>
      </c>
      <c r="R429" s="23">
        <v>33</v>
      </c>
      <c r="S429" s="23">
        <v>38</v>
      </c>
      <c r="T429" s="23">
        <v>3</v>
      </c>
      <c r="U429" s="23">
        <f t="shared" si="304"/>
        <v>130</v>
      </c>
      <c r="W429" s="22" t="str">
        <f t="shared" si="289"/>
        <v>짝수</v>
      </c>
      <c r="X429" s="22" t="str">
        <f t="shared" si="290"/>
        <v>짝수</v>
      </c>
      <c r="Y429" s="22" t="str">
        <f t="shared" si="291"/>
        <v>짝수</v>
      </c>
      <c r="Z429" s="22" t="str">
        <f t="shared" si="292"/>
        <v>홀수</v>
      </c>
      <c r="AA429" s="22" t="str">
        <f t="shared" si="293"/>
        <v>홀수</v>
      </c>
      <c r="AB429" s="22" t="str">
        <f t="shared" si="294"/>
        <v>짝수</v>
      </c>
      <c r="AC429" s="52" t="str">
        <f t="shared" si="295"/>
        <v>2 : 4</v>
      </c>
      <c r="AD429" s="22">
        <f t="shared" si="296"/>
        <v>2</v>
      </c>
      <c r="AE429" s="22">
        <f t="shared" si="297"/>
        <v>4</v>
      </c>
      <c r="AF429" s="22" t="str">
        <f t="shared" si="305"/>
        <v>저수</v>
      </c>
      <c r="AG429" s="22" t="str">
        <f t="shared" si="306"/>
        <v>저수</v>
      </c>
      <c r="AH429" s="22" t="str">
        <f t="shared" si="307"/>
        <v>저수</v>
      </c>
      <c r="AI429" s="22" t="str">
        <f t="shared" si="308"/>
        <v>고수</v>
      </c>
      <c r="AJ429" s="22" t="str">
        <f t="shared" si="309"/>
        <v>고수</v>
      </c>
      <c r="AK429" s="22" t="str">
        <f t="shared" si="310"/>
        <v>고수</v>
      </c>
      <c r="AL429" s="52" t="str">
        <f t="shared" si="311"/>
        <v>3 : 3</v>
      </c>
      <c r="AM429" s="22">
        <f t="shared" si="312"/>
        <v>3</v>
      </c>
      <c r="AN429" s="22">
        <f t="shared" si="313"/>
        <v>3</v>
      </c>
      <c r="AO429" s="22">
        <f t="shared" si="314"/>
        <v>30</v>
      </c>
      <c r="AP429" s="22" t="str">
        <f t="shared" si="315"/>
        <v>X</v>
      </c>
      <c r="AQ429" s="22" t="str">
        <f t="shared" si="316"/>
        <v>X</v>
      </c>
      <c r="AR429" s="22" t="str">
        <f t="shared" si="317"/>
        <v>X</v>
      </c>
      <c r="AS429" s="22" t="str">
        <f t="shared" si="318"/>
        <v>X</v>
      </c>
      <c r="AT429" s="22" t="str">
        <f t="shared" si="319"/>
        <v>X</v>
      </c>
      <c r="AU429" s="22" t="str">
        <f t="shared" si="320"/>
        <v>X</v>
      </c>
      <c r="AV429" s="22" t="str">
        <f t="shared" si="321"/>
        <v>X</v>
      </c>
      <c r="AW429" s="22" t="str">
        <f t="shared" si="322"/>
        <v>X</v>
      </c>
      <c r="AX429" s="22" t="str">
        <f t="shared" si="323"/>
        <v>X</v>
      </c>
      <c r="AY429" s="22" t="str">
        <f t="shared" si="324"/>
        <v>X</v>
      </c>
      <c r="AZ429" s="22" t="str">
        <f t="shared" si="325"/>
        <v>X</v>
      </c>
      <c r="BA429" s="22" t="str">
        <f t="shared" si="326"/>
        <v>X</v>
      </c>
      <c r="BB429" s="22">
        <f t="shared" si="327"/>
        <v>0</v>
      </c>
      <c r="BC429" s="22" t="str">
        <f t="shared" si="298"/>
        <v>1G</v>
      </c>
      <c r="BD429" s="22" t="str">
        <f t="shared" si="299"/>
        <v>1G</v>
      </c>
      <c r="BE429" s="22" t="str">
        <f t="shared" si="300"/>
        <v>1G</v>
      </c>
      <c r="BF429" s="22" t="str">
        <f t="shared" si="301"/>
        <v>2G</v>
      </c>
      <c r="BG429" s="22" t="str">
        <f t="shared" si="302"/>
        <v>3G</v>
      </c>
      <c r="BH429" s="22" t="str">
        <f t="shared" si="303"/>
        <v>3G</v>
      </c>
      <c r="BI429" s="22">
        <f t="shared" si="328"/>
        <v>3</v>
      </c>
      <c r="BJ429" s="22">
        <f t="shared" si="329"/>
        <v>1</v>
      </c>
      <c r="BK429" s="22">
        <f t="shared" si="330"/>
        <v>2</v>
      </c>
      <c r="BL429" s="22" t="str">
        <f t="shared" si="331"/>
        <v>312</v>
      </c>
      <c r="BS429"/>
      <c r="CL429" s="23">
        <v>173</v>
      </c>
      <c r="CM429" s="23">
        <v>170</v>
      </c>
      <c r="CO429"/>
    </row>
    <row r="430" spans="1:93" ht="17" hidden="1">
      <c r="B430" s="15">
        <v>426</v>
      </c>
      <c r="C430" s="23" t="s">
        <v>456</v>
      </c>
      <c r="D430" s="16">
        <v>4</v>
      </c>
      <c r="E430" s="17">
        <v>3057233625</v>
      </c>
      <c r="F430" s="16">
        <v>63</v>
      </c>
      <c r="G430" s="17">
        <v>32351679</v>
      </c>
      <c r="H430" s="17">
        <v>1463</v>
      </c>
      <c r="I430" s="17">
        <v>1393135</v>
      </c>
      <c r="J430" s="17">
        <v>71102</v>
      </c>
      <c r="K430" s="17">
        <v>50000</v>
      </c>
      <c r="L430" s="17">
        <v>1174590</v>
      </c>
      <c r="M430" s="17">
        <v>5000</v>
      </c>
      <c r="N430" s="23">
        <v>4</v>
      </c>
      <c r="O430" s="23">
        <v>17</v>
      </c>
      <c r="P430" s="23">
        <v>18</v>
      </c>
      <c r="Q430" s="23">
        <v>27</v>
      </c>
      <c r="R430" s="23">
        <v>39</v>
      </c>
      <c r="S430" s="23">
        <v>43</v>
      </c>
      <c r="T430" s="23">
        <v>19</v>
      </c>
      <c r="U430" s="23">
        <f t="shared" si="304"/>
        <v>148</v>
      </c>
      <c r="W430" s="22" t="str">
        <f t="shared" si="289"/>
        <v>짝수</v>
      </c>
      <c r="X430" s="22" t="str">
        <f t="shared" si="290"/>
        <v>홀수</v>
      </c>
      <c r="Y430" s="22" t="str">
        <f t="shared" si="291"/>
        <v>짝수</v>
      </c>
      <c r="Z430" s="22" t="str">
        <f t="shared" si="292"/>
        <v>홀수</v>
      </c>
      <c r="AA430" s="22" t="str">
        <f t="shared" si="293"/>
        <v>홀수</v>
      </c>
      <c r="AB430" s="22" t="str">
        <f t="shared" si="294"/>
        <v>홀수</v>
      </c>
      <c r="AC430" s="52" t="str">
        <f t="shared" si="295"/>
        <v>4 : 2</v>
      </c>
      <c r="AD430" s="22">
        <f t="shared" si="296"/>
        <v>4</v>
      </c>
      <c r="AE430" s="22">
        <f t="shared" si="297"/>
        <v>2</v>
      </c>
      <c r="AF430" s="22" t="str">
        <f t="shared" si="305"/>
        <v>저수</v>
      </c>
      <c r="AG430" s="22" t="str">
        <f t="shared" si="306"/>
        <v>저수</v>
      </c>
      <c r="AH430" s="22" t="str">
        <f t="shared" si="307"/>
        <v>저수</v>
      </c>
      <c r="AI430" s="22" t="str">
        <f t="shared" si="308"/>
        <v>고수</v>
      </c>
      <c r="AJ430" s="22" t="str">
        <f t="shared" si="309"/>
        <v>고수</v>
      </c>
      <c r="AK430" s="22" t="str">
        <f t="shared" si="310"/>
        <v>고수</v>
      </c>
      <c r="AL430" s="52" t="str">
        <f t="shared" si="311"/>
        <v>3 : 3</v>
      </c>
      <c r="AM430" s="22">
        <f t="shared" si="312"/>
        <v>3</v>
      </c>
      <c r="AN430" s="22">
        <f t="shared" si="313"/>
        <v>3</v>
      </c>
      <c r="AO430" s="22">
        <f t="shared" si="314"/>
        <v>38</v>
      </c>
      <c r="AP430" s="22" t="str">
        <f t="shared" si="315"/>
        <v>X</v>
      </c>
      <c r="AQ430" s="22" t="str">
        <f t="shared" si="316"/>
        <v>O</v>
      </c>
      <c r="AR430" s="22" t="str">
        <f t="shared" si="317"/>
        <v>X</v>
      </c>
      <c r="AS430" s="22" t="str">
        <f t="shared" si="318"/>
        <v>X</v>
      </c>
      <c r="AT430" s="22" t="str">
        <f t="shared" si="319"/>
        <v>X</v>
      </c>
      <c r="AU430" s="22" t="str">
        <f t="shared" si="320"/>
        <v>X</v>
      </c>
      <c r="AV430" s="22" t="str">
        <f t="shared" si="321"/>
        <v>X</v>
      </c>
      <c r="AW430" s="22" t="str">
        <f t="shared" si="322"/>
        <v>X</v>
      </c>
      <c r="AX430" s="22" t="str">
        <f t="shared" si="323"/>
        <v>X</v>
      </c>
      <c r="AY430" s="22" t="str">
        <f t="shared" si="324"/>
        <v>X</v>
      </c>
      <c r="AZ430" s="22" t="str">
        <f t="shared" si="325"/>
        <v>X</v>
      </c>
      <c r="BA430" s="22" t="str">
        <f t="shared" si="326"/>
        <v>O</v>
      </c>
      <c r="BB430" s="22">
        <f t="shared" si="327"/>
        <v>2</v>
      </c>
      <c r="BC430" s="22" t="str">
        <f t="shared" si="298"/>
        <v>1G</v>
      </c>
      <c r="BD430" s="22" t="str">
        <f t="shared" si="299"/>
        <v>2G</v>
      </c>
      <c r="BE430" s="22" t="str">
        <f t="shared" si="300"/>
        <v>2G</v>
      </c>
      <c r="BF430" s="22" t="str">
        <f t="shared" si="301"/>
        <v>2G</v>
      </c>
      <c r="BG430" s="22" t="str">
        <f t="shared" si="302"/>
        <v>3G</v>
      </c>
      <c r="BH430" s="22" t="str">
        <f t="shared" si="303"/>
        <v>3G</v>
      </c>
      <c r="BI430" s="22">
        <f t="shared" si="328"/>
        <v>1</v>
      </c>
      <c r="BJ430" s="22">
        <f t="shared" si="329"/>
        <v>3</v>
      </c>
      <c r="BK430" s="22">
        <f t="shared" si="330"/>
        <v>2</v>
      </c>
      <c r="BL430" s="22" t="str">
        <f t="shared" si="331"/>
        <v>132</v>
      </c>
      <c r="BS430"/>
      <c r="CL430" s="23">
        <v>174</v>
      </c>
      <c r="CM430" s="23">
        <v>170</v>
      </c>
      <c r="CO430"/>
    </row>
    <row r="431" spans="1:93" ht="17" hidden="1">
      <c r="B431" s="15">
        <v>427</v>
      </c>
      <c r="C431" s="23" t="s">
        <v>457</v>
      </c>
      <c r="D431" s="16">
        <v>1</v>
      </c>
      <c r="E431" s="17">
        <v>12571445625</v>
      </c>
      <c r="F431" s="16">
        <v>33</v>
      </c>
      <c r="G431" s="17">
        <v>63492150</v>
      </c>
      <c r="H431" s="17">
        <v>1415</v>
      </c>
      <c r="I431" s="17">
        <v>1480736</v>
      </c>
      <c r="J431" s="17">
        <v>71400</v>
      </c>
      <c r="K431" s="17">
        <v>50000</v>
      </c>
      <c r="L431" s="17">
        <v>1184720</v>
      </c>
      <c r="M431" s="17">
        <v>5000</v>
      </c>
      <c r="N431" s="23">
        <v>6</v>
      </c>
      <c r="O431" s="23">
        <v>7</v>
      </c>
      <c r="P431" s="23">
        <v>15</v>
      </c>
      <c r="Q431" s="23">
        <v>24</v>
      </c>
      <c r="R431" s="23">
        <v>28</v>
      </c>
      <c r="S431" s="23">
        <v>30</v>
      </c>
      <c r="T431" s="23">
        <v>21</v>
      </c>
      <c r="U431" s="23">
        <f t="shared" si="304"/>
        <v>110</v>
      </c>
      <c r="W431" s="22" t="str">
        <f t="shared" si="289"/>
        <v>짝수</v>
      </c>
      <c r="X431" s="22" t="str">
        <f t="shared" si="290"/>
        <v>홀수</v>
      </c>
      <c r="Y431" s="22" t="str">
        <f t="shared" si="291"/>
        <v>홀수</v>
      </c>
      <c r="Z431" s="22" t="str">
        <f t="shared" si="292"/>
        <v>짝수</v>
      </c>
      <c r="AA431" s="22" t="str">
        <f t="shared" si="293"/>
        <v>짝수</v>
      </c>
      <c r="AB431" s="22" t="str">
        <f t="shared" si="294"/>
        <v>짝수</v>
      </c>
      <c r="AC431" s="52" t="str">
        <f t="shared" si="295"/>
        <v>2 : 4</v>
      </c>
      <c r="AD431" s="22">
        <f t="shared" si="296"/>
        <v>2</v>
      </c>
      <c r="AE431" s="22">
        <f t="shared" si="297"/>
        <v>4</v>
      </c>
      <c r="AF431" s="22" t="str">
        <f t="shared" si="305"/>
        <v>저수</v>
      </c>
      <c r="AG431" s="22" t="str">
        <f t="shared" si="306"/>
        <v>저수</v>
      </c>
      <c r="AH431" s="22" t="str">
        <f t="shared" si="307"/>
        <v>저수</v>
      </c>
      <c r="AI431" s="22" t="str">
        <f t="shared" si="308"/>
        <v>고수</v>
      </c>
      <c r="AJ431" s="22" t="str">
        <f t="shared" si="309"/>
        <v>고수</v>
      </c>
      <c r="AK431" s="22" t="str">
        <f t="shared" si="310"/>
        <v>고수</v>
      </c>
      <c r="AL431" s="52" t="str">
        <f t="shared" si="311"/>
        <v>3 : 3</v>
      </c>
      <c r="AM431" s="22">
        <f t="shared" si="312"/>
        <v>3</v>
      </c>
      <c r="AN431" s="22">
        <f t="shared" si="313"/>
        <v>3</v>
      </c>
      <c r="AO431" s="22">
        <f t="shared" si="314"/>
        <v>30</v>
      </c>
      <c r="AP431" s="22" t="str">
        <f t="shared" si="315"/>
        <v>X</v>
      </c>
      <c r="AQ431" s="22" t="str">
        <f t="shared" si="316"/>
        <v>O</v>
      </c>
      <c r="AR431" s="22" t="str">
        <f t="shared" si="317"/>
        <v>X</v>
      </c>
      <c r="AS431" s="22" t="str">
        <f t="shared" si="318"/>
        <v>X</v>
      </c>
      <c r="AT431" s="22" t="str">
        <f t="shared" si="319"/>
        <v>X</v>
      </c>
      <c r="AU431" s="22" t="str">
        <f t="shared" si="320"/>
        <v>X</v>
      </c>
      <c r="AV431" s="22" t="str">
        <f t="shared" si="321"/>
        <v>X</v>
      </c>
      <c r="AW431" s="22" t="str">
        <f t="shared" si="322"/>
        <v>X</v>
      </c>
      <c r="AX431" s="22" t="str">
        <f t="shared" si="323"/>
        <v>X</v>
      </c>
      <c r="AY431" s="22" t="str">
        <f t="shared" si="324"/>
        <v>X</v>
      </c>
      <c r="AZ431" s="22" t="str">
        <f t="shared" si="325"/>
        <v>X</v>
      </c>
      <c r="BA431" s="22" t="str">
        <f t="shared" si="326"/>
        <v>X</v>
      </c>
      <c r="BB431" s="22">
        <f t="shared" si="327"/>
        <v>1</v>
      </c>
      <c r="BC431" s="22" t="str">
        <f t="shared" si="298"/>
        <v>1G</v>
      </c>
      <c r="BD431" s="22" t="str">
        <f t="shared" si="299"/>
        <v>1G</v>
      </c>
      <c r="BE431" s="22" t="str">
        <f t="shared" si="300"/>
        <v>1G</v>
      </c>
      <c r="BF431" s="22" t="str">
        <f t="shared" si="301"/>
        <v>2G</v>
      </c>
      <c r="BG431" s="22" t="str">
        <f t="shared" si="302"/>
        <v>2G</v>
      </c>
      <c r="BH431" s="22" t="str">
        <f t="shared" si="303"/>
        <v>2G</v>
      </c>
      <c r="BI431" s="22">
        <f t="shared" si="328"/>
        <v>3</v>
      </c>
      <c r="BJ431" s="22">
        <f t="shared" si="329"/>
        <v>3</v>
      </c>
      <c r="BK431" s="22">
        <f t="shared" si="330"/>
        <v>0</v>
      </c>
      <c r="BL431" s="22" t="str">
        <f t="shared" si="331"/>
        <v>330</v>
      </c>
      <c r="BS431"/>
      <c r="CL431" s="23">
        <v>174</v>
      </c>
      <c r="CM431" s="23">
        <v>170</v>
      </c>
      <c r="CO431"/>
    </row>
    <row r="432" spans="1:93" ht="17" hidden="1">
      <c r="B432" s="15">
        <v>428</v>
      </c>
      <c r="C432" s="23" t="s">
        <v>458</v>
      </c>
      <c r="D432" s="16">
        <v>9</v>
      </c>
      <c r="E432" s="17">
        <v>1437683209</v>
      </c>
      <c r="F432" s="16">
        <v>30</v>
      </c>
      <c r="G432" s="17">
        <v>71884161</v>
      </c>
      <c r="H432" s="17">
        <v>1568</v>
      </c>
      <c r="I432" s="17">
        <v>1375335</v>
      </c>
      <c r="J432" s="17">
        <v>76003</v>
      </c>
      <c r="K432" s="17">
        <v>50000</v>
      </c>
      <c r="L432" s="17">
        <v>1258031</v>
      </c>
      <c r="M432" s="17">
        <v>5000</v>
      </c>
      <c r="N432" s="23">
        <v>12</v>
      </c>
      <c r="O432" s="23">
        <v>16</v>
      </c>
      <c r="P432" s="23">
        <v>19</v>
      </c>
      <c r="Q432" s="23">
        <v>22</v>
      </c>
      <c r="R432" s="23">
        <v>37</v>
      </c>
      <c r="S432" s="23">
        <v>40</v>
      </c>
      <c r="T432" s="23">
        <v>8</v>
      </c>
      <c r="U432" s="23">
        <f t="shared" si="304"/>
        <v>146</v>
      </c>
      <c r="W432" s="22" t="str">
        <f t="shared" si="289"/>
        <v>짝수</v>
      </c>
      <c r="X432" s="22" t="str">
        <f t="shared" si="290"/>
        <v>짝수</v>
      </c>
      <c r="Y432" s="22" t="str">
        <f t="shared" si="291"/>
        <v>홀수</v>
      </c>
      <c r="Z432" s="22" t="str">
        <f t="shared" si="292"/>
        <v>짝수</v>
      </c>
      <c r="AA432" s="22" t="str">
        <f t="shared" si="293"/>
        <v>홀수</v>
      </c>
      <c r="AB432" s="22" t="str">
        <f t="shared" si="294"/>
        <v>짝수</v>
      </c>
      <c r="AC432" s="52" t="str">
        <f t="shared" si="295"/>
        <v>2 : 4</v>
      </c>
      <c r="AD432" s="22">
        <f t="shared" si="296"/>
        <v>2</v>
      </c>
      <c r="AE432" s="22">
        <f t="shared" si="297"/>
        <v>4</v>
      </c>
      <c r="AF432" s="22" t="str">
        <f t="shared" si="305"/>
        <v>저수</v>
      </c>
      <c r="AG432" s="22" t="str">
        <f t="shared" si="306"/>
        <v>저수</v>
      </c>
      <c r="AH432" s="22" t="str">
        <f t="shared" si="307"/>
        <v>저수</v>
      </c>
      <c r="AI432" s="22" t="str">
        <f t="shared" si="308"/>
        <v>저수</v>
      </c>
      <c r="AJ432" s="22" t="str">
        <f t="shared" si="309"/>
        <v>고수</v>
      </c>
      <c r="AK432" s="22" t="str">
        <f t="shared" si="310"/>
        <v>고수</v>
      </c>
      <c r="AL432" s="52" t="str">
        <f t="shared" si="311"/>
        <v>4 : 2</v>
      </c>
      <c r="AM432" s="22">
        <f t="shared" si="312"/>
        <v>4</v>
      </c>
      <c r="AN432" s="22">
        <f t="shared" si="313"/>
        <v>2</v>
      </c>
      <c r="AO432" s="22">
        <f t="shared" si="314"/>
        <v>26</v>
      </c>
      <c r="AP432" s="22" t="str">
        <f t="shared" si="315"/>
        <v>X</v>
      </c>
      <c r="AQ432" s="22" t="str">
        <f t="shared" si="316"/>
        <v>X</v>
      </c>
      <c r="AR432" s="22" t="str">
        <f t="shared" si="317"/>
        <v>O</v>
      </c>
      <c r="AS432" s="22" t="str">
        <f t="shared" si="318"/>
        <v>X</v>
      </c>
      <c r="AT432" s="22" t="str">
        <f t="shared" si="319"/>
        <v>X</v>
      </c>
      <c r="AU432" s="22" t="str">
        <f t="shared" si="320"/>
        <v>X</v>
      </c>
      <c r="AV432" s="22" t="str">
        <f t="shared" si="321"/>
        <v>X</v>
      </c>
      <c r="AW432" s="22" t="str">
        <f t="shared" si="322"/>
        <v>X</v>
      </c>
      <c r="AX432" s="22" t="str">
        <f t="shared" si="323"/>
        <v>X</v>
      </c>
      <c r="AY432" s="22" t="str">
        <f t="shared" si="324"/>
        <v>X</v>
      </c>
      <c r="AZ432" s="22" t="str">
        <f t="shared" si="325"/>
        <v>O</v>
      </c>
      <c r="BA432" s="22" t="str">
        <f t="shared" si="326"/>
        <v>X</v>
      </c>
      <c r="BB432" s="22">
        <f t="shared" si="327"/>
        <v>2</v>
      </c>
      <c r="BC432" s="22" t="str">
        <f t="shared" si="298"/>
        <v>1G</v>
      </c>
      <c r="BD432" s="22" t="str">
        <f t="shared" si="299"/>
        <v>2G</v>
      </c>
      <c r="BE432" s="22" t="str">
        <f t="shared" si="300"/>
        <v>2G</v>
      </c>
      <c r="BF432" s="22" t="str">
        <f t="shared" si="301"/>
        <v>2G</v>
      </c>
      <c r="BG432" s="22" t="str">
        <f t="shared" si="302"/>
        <v>3G</v>
      </c>
      <c r="BH432" s="22" t="str">
        <f t="shared" si="303"/>
        <v>3G</v>
      </c>
      <c r="BI432" s="22">
        <f t="shared" si="328"/>
        <v>1</v>
      </c>
      <c r="BJ432" s="22">
        <f t="shared" si="329"/>
        <v>3</v>
      </c>
      <c r="BK432" s="22">
        <f t="shared" si="330"/>
        <v>2</v>
      </c>
      <c r="BL432" s="22" t="str">
        <f t="shared" si="331"/>
        <v>132</v>
      </c>
      <c r="BS432"/>
      <c r="CL432" s="23">
        <v>174</v>
      </c>
      <c r="CM432" s="23">
        <v>170</v>
      </c>
      <c r="CO432"/>
    </row>
    <row r="433" spans="2:93" ht="17" hidden="1">
      <c r="B433" s="15">
        <v>429</v>
      </c>
      <c r="C433" s="23" t="s">
        <v>459</v>
      </c>
      <c r="D433" s="16">
        <v>9</v>
      </c>
      <c r="E433" s="17">
        <v>1485904709</v>
      </c>
      <c r="F433" s="16">
        <v>37</v>
      </c>
      <c r="G433" s="17">
        <v>60239381</v>
      </c>
      <c r="H433" s="17">
        <v>1389</v>
      </c>
      <c r="I433" s="17">
        <v>1604649</v>
      </c>
      <c r="J433" s="17">
        <v>68256</v>
      </c>
      <c r="K433" s="17">
        <v>50000</v>
      </c>
      <c r="L433" s="17">
        <v>1150652</v>
      </c>
      <c r="M433" s="17">
        <v>5000</v>
      </c>
      <c r="N433" s="23">
        <v>3</v>
      </c>
      <c r="O433" s="23">
        <v>23</v>
      </c>
      <c r="P433" s="23">
        <v>28</v>
      </c>
      <c r="Q433" s="23">
        <v>34</v>
      </c>
      <c r="R433" s="23">
        <v>39</v>
      </c>
      <c r="S433" s="23">
        <v>42</v>
      </c>
      <c r="T433" s="23">
        <v>16</v>
      </c>
      <c r="U433" s="23">
        <f t="shared" si="304"/>
        <v>169</v>
      </c>
      <c r="W433" s="22" t="str">
        <f t="shared" si="289"/>
        <v>홀수</v>
      </c>
      <c r="X433" s="22" t="str">
        <f t="shared" si="290"/>
        <v>홀수</v>
      </c>
      <c r="Y433" s="22" t="str">
        <f t="shared" si="291"/>
        <v>짝수</v>
      </c>
      <c r="Z433" s="22" t="str">
        <f t="shared" si="292"/>
        <v>짝수</v>
      </c>
      <c r="AA433" s="22" t="str">
        <f t="shared" si="293"/>
        <v>홀수</v>
      </c>
      <c r="AB433" s="22" t="str">
        <f t="shared" si="294"/>
        <v>짝수</v>
      </c>
      <c r="AC433" s="52" t="str">
        <f t="shared" si="295"/>
        <v>3 : 3</v>
      </c>
      <c r="AD433" s="22">
        <f t="shared" si="296"/>
        <v>3</v>
      </c>
      <c r="AE433" s="22">
        <f t="shared" si="297"/>
        <v>3</v>
      </c>
      <c r="AF433" s="22" t="str">
        <f t="shared" si="305"/>
        <v>저수</v>
      </c>
      <c r="AG433" s="22" t="str">
        <f t="shared" si="306"/>
        <v>고수</v>
      </c>
      <c r="AH433" s="22" t="str">
        <f t="shared" si="307"/>
        <v>고수</v>
      </c>
      <c r="AI433" s="22" t="str">
        <f t="shared" si="308"/>
        <v>고수</v>
      </c>
      <c r="AJ433" s="22" t="str">
        <f t="shared" si="309"/>
        <v>고수</v>
      </c>
      <c r="AK433" s="22" t="str">
        <f t="shared" si="310"/>
        <v>고수</v>
      </c>
      <c r="AL433" s="52" t="str">
        <f t="shared" si="311"/>
        <v>1 : 5</v>
      </c>
      <c r="AM433" s="22">
        <f t="shared" si="312"/>
        <v>1</v>
      </c>
      <c r="AN433" s="22">
        <f t="shared" si="313"/>
        <v>5</v>
      </c>
      <c r="AO433" s="22">
        <f t="shared" si="314"/>
        <v>29</v>
      </c>
      <c r="AP433" s="22" t="str">
        <f>IF(N433=2,"O",IF(N433=3,"O",IF(N433=5,"O",IF(N433=7,"O",IF(N433=11,"O",IF(N433=13,"O",IF(N433=17,"O",IF(N433=19,"O","X"))))))))</f>
        <v>O</v>
      </c>
      <c r="AQ433" s="22" t="str">
        <f t="shared" si="316"/>
        <v>X</v>
      </c>
      <c r="AR433" s="22" t="str">
        <f t="shared" si="317"/>
        <v>X</v>
      </c>
      <c r="AS433" s="22" t="str">
        <f t="shared" si="318"/>
        <v>X</v>
      </c>
      <c r="AT433" s="22" t="str">
        <f t="shared" si="319"/>
        <v>X</v>
      </c>
      <c r="AU433" s="22" t="str">
        <f t="shared" si="320"/>
        <v>X</v>
      </c>
      <c r="AV433" s="22" t="str">
        <f t="shared" si="321"/>
        <v>X</v>
      </c>
      <c r="AW433" s="22" t="str">
        <f t="shared" si="322"/>
        <v>O</v>
      </c>
      <c r="AX433" s="22" t="str">
        <f t="shared" si="323"/>
        <v>X</v>
      </c>
      <c r="AY433" s="22" t="str">
        <f t="shared" si="324"/>
        <v>X</v>
      </c>
      <c r="AZ433" s="22" t="str">
        <f t="shared" si="325"/>
        <v>X</v>
      </c>
      <c r="BA433" s="22" t="str">
        <f t="shared" si="326"/>
        <v>X</v>
      </c>
      <c r="BB433" s="22">
        <f t="shared" si="327"/>
        <v>2</v>
      </c>
      <c r="BC433" s="22" t="str">
        <f t="shared" si="298"/>
        <v>1G</v>
      </c>
      <c r="BD433" s="22" t="str">
        <f t="shared" si="299"/>
        <v>2G</v>
      </c>
      <c r="BE433" s="22" t="str">
        <f t="shared" si="300"/>
        <v>2G</v>
      </c>
      <c r="BF433" s="22" t="str">
        <f t="shared" si="301"/>
        <v>3G</v>
      </c>
      <c r="BG433" s="22" t="str">
        <f t="shared" si="302"/>
        <v>3G</v>
      </c>
      <c r="BH433" s="22" t="str">
        <f t="shared" si="303"/>
        <v>3G</v>
      </c>
      <c r="BI433" s="22">
        <f t="shared" si="328"/>
        <v>1</v>
      </c>
      <c r="BJ433" s="22">
        <f t="shared" si="329"/>
        <v>2</v>
      </c>
      <c r="BK433" s="22">
        <f t="shared" si="330"/>
        <v>3</v>
      </c>
      <c r="BL433" s="22" t="str">
        <f t="shared" si="331"/>
        <v>123</v>
      </c>
      <c r="BS433"/>
      <c r="CL433" s="23">
        <v>174</v>
      </c>
      <c r="CM433" s="23">
        <v>170</v>
      </c>
      <c r="CO433"/>
    </row>
    <row r="434" spans="2:93" ht="17" hidden="1">
      <c r="B434" s="15">
        <v>430</v>
      </c>
      <c r="C434" s="23" t="s">
        <v>460</v>
      </c>
      <c r="D434" s="16">
        <v>8</v>
      </c>
      <c r="E434" s="17">
        <v>1611763219</v>
      </c>
      <c r="F434" s="16">
        <v>45</v>
      </c>
      <c r="G434" s="17">
        <v>47755948</v>
      </c>
      <c r="H434" s="17">
        <v>1449</v>
      </c>
      <c r="I434" s="17">
        <v>1483104</v>
      </c>
      <c r="J434" s="17">
        <v>70039</v>
      </c>
      <c r="K434" s="17">
        <v>50000</v>
      </c>
      <c r="L434" s="17">
        <v>1180669</v>
      </c>
      <c r="M434" s="17">
        <v>5000</v>
      </c>
      <c r="N434" s="23">
        <v>1</v>
      </c>
      <c r="O434" s="23">
        <v>3</v>
      </c>
      <c r="P434" s="23">
        <v>16</v>
      </c>
      <c r="Q434" s="23">
        <v>18</v>
      </c>
      <c r="R434" s="23">
        <v>30</v>
      </c>
      <c r="S434" s="23">
        <v>34</v>
      </c>
      <c r="T434" s="23">
        <v>44</v>
      </c>
      <c r="U434" s="23">
        <f t="shared" si="304"/>
        <v>102</v>
      </c>
      <c r="W434" s="22" t="str">
        <f t="shared" si="289"/>
        <v>홀수</v>
      </c>
      <c r="X434" s="22" t="str">
        <f t="shared" si="290"/>
        <v>홀수</v>
      </c>
      <c r="Y434" s="22" t="str">
        <f t="shared" si="291"/>
        <v>짝수</v>
      </c>
      <c r="Z434" s="22" t="str">
        <f t="shared" si="292"/>
        <v>짝수</v>
      </c>
      <c r="AA434" s="22" t="str">
        <f t="shared" si="293"/>
        <v>짝수</v>
      </c>
      <c r="AB434" s="22" t="str">
        <f t="shared" si="294"/>
        <v>짝수</v>
      </c>
      <c r="AC434" s="52" t="str">
        <f t="shared" si="295"/>
        <v>2 : 4</v>
      </c>
      <c r="AD434" s="22">
        <f t="shared" si="296"/>
        <v>2</v>
      </c>
      <c r="AE434" s="22">
        <f t="shared" si="297"/>
        <v>4</v>
      </c>
      <c r="AF434" s="22" t="str">
        <f t="shared" si="305"/>
        <v>저수</v>
      </c>
      <c r="AG434" s="22" t="str">
        <f t="shared" si="306"/>
        <v>저수</v>
      </c>
      <c r="AH434" s="22" t="str">
        <f t="shared" si="307"/>
        <v>저수</v>
      </c>
      <c r="AI434" s="22" t="str">
        <f t="shared" si="308"/>
        <v>저수</v>
      </c>
      <c r="AJ434" s="22" t="str">
        <f t="shared" si="309"/>
        <v>고수</v>
      </c>
      <c r="AK434" s="22" t="str">
        <f t="shared" si="310"/>
        <v>고수</v>
      </c>
      <c r="AL434" s="52" t="str">
        <f t="shared" si="311"/>
        <v>4 : 2</v>
      </c>
      <c r="AM434" s="22">
        <f t="shared" si="312"/>
        <v>4</v>
      </c>
      <c r="AN434" s="22">
        <f t="shared" si="313"/>
        <v>2</v>
      </c>
      <c r="AO434" s="22">
        <f t="shared" si="314"/>
        <v>22</v>
      </c>
      <c r="AP434" s="22" t="str">
        <f t="shared" si="315"/>
        <v>X</v>
      </c>
      <c r="AQ434" s="22" t="str">
        <f>IF(O434=2,"O",IF(O434=3,"O",IF(O434=5,"O",IF(O434=7,"O",IF(O434=11,"O",IF(O434=13,"O",IF(O434=17,"O",IF(O434=19,"O","X"))))))))</f>
        <v>O</v>
      </c>
      <c r="AR434" s="22" t="str">
        <f t="shared" si="317"/>
        <v>X</v>
      </c>
      <c r="AS434" s="22" t="str">
        <f t="shared" si="318"/>
        <v>X</v>
      </c>
      <c r="AT434" s="22" t="str">
        <f t="shared" si="319"/>
        <v>X</v>
      </c>
      <c r="AU434" s="22" t="str">
        <f t="shared" si="320"/>
        <v>X</v>
      </c>
      <c r="AV434" s="22" t="str">
        <f t="shared" si="321"/>
        <v>X</v>
      </c>
      <c r="AW434" s="22" t="str">
        <f t="shared" si="322"/>
        <v>X</v>
      </c>
      <c r="AX434" s="22" t="str">
        <f t="shared" si="323"/>
        <v>X</v>
      </c>
      <c r="AY434" s="22" t="str">
        <f t="shared" si="324"/>
        <v>X</v>
      </c>
      <c r="AZ434" s="22" t="str">
        <f t="shared" si="325"/>
        <v>X</v>
      </c>
      <c r="BA434" s="22" t="str">
        <f t="shared" si="326"/>
        <v>X</v>
      </c>
      <c r="BB434" s="22">
        <f t="shared" si="327"/>
        <v>1</v>
      </c>
      <c r="BC434" s="22" t="str">
        <f t="shared" si="298"/>
        <v>1G</v>
      </c>
      <c r="BD434" s="22" t="str">
        <f t="shared" si="299"/>
        <v>1G</v>
      </c>
      <c r="BE434" s="22" t="str">
        <f t="shared" si="300"/>
        <v>2G</v>
      </c>
      <c r="BF434" s="22" t="str">
        <f t="shared" si="301"/>
        <v>2G</v>
      </c>
      <c r="BG434" s="22" t="str">
        <f t="shared" si="302"/>
        <v>2G</v>
      </c>
      <c r="BH434" s="22" t="str">
        <f t="shared" si="303"/>
        <v>3G</v>
      </c>
      <c r="BI434" s="22">
        <f t="shared" si="328"/>
        <v>2</v>
      </c>
      <c r="BJ434" s="22">
        <f t="shared" si="329"/>
        <v>3</v>
      </c>
      <c r="BK434" s="22">
        <f t="shared" si="330"/>
        <v>1</v>
      </c>
      <c r="BL434" s="22" t="str">
        <f t="shared" si="331"/>
        <v>231</v>
      </c>
      <c r="BS434"/>
      <c r="CL434" s="23">
        <v>175</v>
      </c>
      <c r="CM434" s="23">
        <v>170</v>
      </c>
      <c r="CO434"/>
    </row>
    <row r="435" spans="2:93" ht="17" hidden="1">
      <c r="B435" s="15">
        <v>431</v>
      </c>
      <c r="C435" s="23" t="s">
        <v>461</v>
      </c>
      <c r="D435" s="16">
        <v>10</v>
      </c>
      <c r="E435" s="17">
        <v>1268434013</v>
      </c>
      <c r="F435" s="16">
        <v>43</v>
      </c>
      <c r="G435" s="17">
        <v>49164110</v>
      </c>
      <c r="H435" s="17">
        <v>1337</v>
      </c>
      <c r="I435" s="17">
        <v>1581195</v>
      </c>
      <c r="J435" s="17">
        <v>66865</v>
      </c>
      <c r="K435" s="17">
        <v>50000</v>
      </c>
      <c r="L435" s="17">
        <v>1115054</v>
      </c>
      <c r="M435" s="17">
        <v>5000</v>
      </c>
      <c r="N435" s="23">
        <v>18</v>
      </c>
      <c r="O435" s="23">
        <v>22</v>
      </c>
      <c r="P435" s="23">
        <v>25</v>
      </c>
      <c r="Q435" s="23">
        <v>31</v>
      </c>
      <c r="R435" s="23">
        <v>38</v>
      </c>
      <c r="S435" s="23">
        <v>45</v>
      </c>
      <c r="T435" s="23">
        <v>6</v>
      </c>
      <c r="U435" s="23">
        <f t="shared" si="304"/>
        <v>179</v>
      </c>
      <c r="W435" s="22" t="str">
        <f t="shared" si="289"/>
        <v>짝수</v>
      </c>
      <c r="X435" s="22" t="str">
        <f t="shared" si="290"/>
        <v>짝수</v>
      </c>
      <c r="Y435" s="22" t="str">
        <f t="shared" si="291"/>
        <v>홀수</v>
      </c>
      <c r="Z435" s="22" t="str">
        <f t="shared" si="292"/>
        <v>홀수</v>
      </c>
      <c r="AA435" s="22" t="str">
        <f t="shared" si="293"/>
        <v>짝수</v>
      </c>
      <c r="AB435" s="22" t="str">
        <f t="shared" si="294"/>
        <v>홀수</v>
      </c>
      <c r="AC435" s="52" t="str">
        <f t="shared" si="295"/>
        <v>3 : 3</v>
      </c>
      <c r="AD435" s="22">
        <f t="shared" si="296"/>
        <v>3</v>
      </c>
      <c r="AE435" s="22">
        <f t="shared" si="297"/>
        <v>3</v>
      </c>
      <c r="AF435" s="22" t="str">
        <f t="shared" si="305"/>
        <v>저수</v>
      </c>
      <c r="AG435" s="22" t="str">
        <f t="shared" si="306"/>
        <v>저수</v>
      </c>
      <c r="AH435" s="22" t="str">
        <f t="shared" si="307"/>
        <v>고수</v>
      </c>
      <c r="AI435" s="22" t="str">
        <f t="shared" si="308"/>
        <v>고수</v>
      </c>
      <c r="AJ435" s="22" t="str">
        <f t="shared" si="309"/>
        <v>고수</v>
      </c>
      <c r="AK435" s="22" t="str">
        <f t="shared" si="310"/>
        <v>고수</v>
      </c>
      <c r="AL435" s="52" t="str">
        <f t="shared" si="311"/>
        <v>2 : 4</v>
      </c>
      <c r="AM435" s="22">
        <f t="shared" si="312"/>
        <v>2</v>
      </c>
      <c r="AN435" s="22">
        <f t="shared" si="313"/>
        <v>4</v>
      </c>
      <c r="AO435" s="22">
        <f t="shared" si="314"/>
        <v>29</v>
      </c>
      <c r="AP435" s="22" t="str">
        <f t="shared" si="315"/>
        <v>X</v>
      </c>
      <c r="AQ435" s="22" t="str">
        <f t="shared" si="316"/>
        <v>X</v>
      </c>
      <c r="AR435" s="22" t="str">
        <f t="shared" si="317"/>
        <v>X</v>
      </c>
      <c r="AS435" s="22" t="str">
        <f t="shared" si="318"/>
        <v>X</v>
      </c>
      <c r="AT435" s="22" t="str">
        <f t="shared" si="319"/>
        <v>X</v>
      </c>
      <c r="AU435" s="22" t="str">
        <f t="shared" si="320"/>
        <v>X</v>
      </c>
      <c r="AV435" s="22" t="str">
        <f t="shared" si="321"/>
        <v>X</v>
      </c>
      <c r="AW435" s="22" t="str">
        <f t="shared" si="322"/>
        <v>X</v>
      </c>
      <c r="AX435" s="22" t="str">
        <f t="shared" si="323"/>
        <v>X</v>
      </c>
      <c r="AY435" s="22" t="str">
        <f t="shared" si="324"/>
        <v>O</v>
      </c>
      <c r="AZ435" s="22" t="str">
        <f t="shared" si="325"/>
        <v>X</v>
      </c>
      <c r="BA435" s="22" t="str">
        <f t="shared" si="326"/>
        <v>X</v>
      </c>
      <c r="BB435" s="22">
        <f t="shared" si="327"/>
        <v>1</v>
      </c>
      <c r="BC435" s="22" t="str">
        <f t="shared" si="298"/>
        <v>2G</v>
      </c>
      <c r="BD435" s="22" t="str">
        <f t="shared" si="299"/>
        <v>2G</v>
      </c>
      <c r="BE435" s="22" t="str">
        <f t="shared" si="300"/>
        <v>2G</v>
      </c>
      <c r="BF435" s="22" t="str">
        <f t="shared" si="301"/>
        <v>3G</v>
      </c>
      <c r="BG435" s="22" t="str">
        <f t="shared" si="302"/>
        <v>3G</v>
      </c>
      <c r="BH435" s="22" t="str">
        <f t="shared" si="303"/>
        <v>3G</v>
      </c>
      <c r="BI435" s="22">
        <f t="shared" si="328"/>
        <v>0</v>
      </c>
      <c r="BJ435" s="22">
        <f t="shared" si="329"/>
        <v>3</v>
      </c>
      <c r="BK435" s="22">
        <f t="shared" si="330"/>
        <v>3</v>
      </c>
      <c r="BL435" s="22" t="str">
        <f t="shared" si="331"/>
        <v>033</v>
      </c>
      <c r="BS435"/>
      <c r="CL435" s="23">
        <v>175</v>
      </c>
      <c r="CM435" s="23">
        <v>170</v>
      </c>
      <c r="CO435"/>
    </row>
    <row r="436" spans="2:93" ht="17" hidden="1">
      <c r="B436" s="15">
        <v>432</v>
      </c>
      <c r="C436" s="23" t="s">
        <v>462</v>
      </c>
      <c r="D436" s="16">
        <v>5</v>
      </c>
      <c r="E436" s="17">
        <v>2299427550</v>
      </c>
      <c r="F436" s="16">
        <v>48</v>
      </c>
      <c r="G436" s="17">
        <v>39920618</v>
      </c>
      <c r="H436" s="17">
        <v>1747</v>
      </c>
      <c r="I436" s="17">
        <v>1096846</v>
      </c>
      <c r="J436" s="17">
        <v>83754</v>
      </c>
      <c r="K436" s="17">
        <v>50000</v>
      </c>
      <c r="L436" s="17">
        <v>1331414</v>
      </c>
      <c r="M436" s="17">
        <v>5000</v>
      </c>
      <c r="N436" s="23">
        <v>2</v>
      </c>
      <c r="O436" s="23">
        <v>3</v>
      </c>
      <c r="P436" s="23">
        <v>5</v>
      </c>
      <c r="Q436" s="23">
        <v>11</v>
      </c>
      <c r="R436" s="23">
        <v>27</v>
      </c>
      <c r="S436" s="23">
        <v>39</v>
      </c>
      <c r="T436" s="23">
        <v>33</v>
      </c>
      <c r="U436" s="23">
        <f t="shared" si="304"/>
        <v>87</v>
      </c>
      <c r="W436" s="22" t="str">
        <f t="shared" si="289"/>
        <v>짝수</v>
      </c>
      <c r="X436" s="22" t="str">
        <f t="shared" si="290"/>
        <v>홀수</v>
      </c>
      <c r="Y436" s="22" t="str">
        <f t="shared" si="291"/>
        <v>홀수</v>
      </c>
      <c r="Z436" s="22" t="str">
        <f t="shared" si="292"/>
        <v>홀수</v>
      </c>
      <c r="AA436" s="22" t="str">
        <f t="shared" si="293"/>
        <v>홀수</v>
      </c>
      <c r="AB436" s="22" t="str">
        <f t="shared" si="294"/>
        <v>홀수</v>
      </c>
      <c r="AC436" s="52" t="str">
        <f t="shared" si="295"/>
        <v>5 : 1</v>
      </c>
      <c r="AD436" s="22">
        <f t="shared" si="296"/>
        <v>5</v>
      </c>
      <c r="AE436" s="22">
        <f t="shared" si="297"/>
        <v>1</v>
      </c>
      <c r="AF436" s="22" t="str">
        <f t="shared" si="305"/>
        <v>저수</v>
      </c>
      <c r="AG436" s="22" t="str">
        <f t="shared" si="306"/>
        <v>저수</v>
      </c>
      <c r="AH436" s="22" t="str">
        <f t="shared" si="307"/>
        <v>저수</v>
      </c>
      <c r="AI436" s="22" t="str">
        <f t="shared" si="308"/>
        <v>저수</v>
      </c>
      <c r="AJ436" s="22" t="str">
        <f t="shared" si="309"/>
        <v>고수</v>
      </c>
      <c r="AK436" s="22" t="str">
        <f t="shared" si="310"/>
        <v>고수</v>
      </c>
      <c r="AL436" s="52" t="str">
        <f t="shared" si="311"/>
        <v>4 : 2</v>
      </c>
      <c r="AM436" s="22">
        <f t="shared" si="312"/>
        <v>4</v>
      </c>
      <c r="AN436" s="22">
        <f t="shared" si="313"/>
        <v>2</v>
      </c>
      <c r="AO436" s="22">
        <f t="shared" si="314"/>
        <v>27</v>
      </c>
      <c r="AP436" s="22" t="str">
        <f t="shared" si="315"/>
        <v>O</v>
      </c>
      <c r="AQ436" s="22" t="str">
        <f t="shared" si="316"/>
        <v>O</v>
      </c>
      <c r="AR436" s="22" t="str">
        <f t="shared" si="317"/>
        <v>O</v>
      </c>
      <c r="AS436" s="22" t="str">
        <f t="shared" si="318"/>
        <v>O</v>
      </c>
      <c r="AT436" s="22" t="str">
        <f t="shared" si="319"/>
        <v>X</v>
      </c>
      <c r="AU436" s="22" t="str">
        <f t="shared" si="320"/>
        <v>X</v>
      </c>
      <c r="AV436" s="22" t="str">
        <f t="shared" si="321"/>
        <v>X</v>
      </c>
      <c r="AW436" s="22" t="str">
        <f t="shared" si="322"/>
        <v>X</v>
      </c>
      <c r="AX436" s="22" t="str">
        <f t="shared" si="323"/>
        <v>X</v>
      </c>
      <c r="AY436" s="22" t="str">
        <f t="shared" si="324"/>
        <v>X</v>
      </c>
      <c r="AZ436" s="22" t="str">
        <f t="shared" si="325"/>
        <v>X</v>
      </c>
      <c r="BA436" s="22" t="str">
        <f t="shared" si="326"/>
        <v>X</v>
      </c>
      <c r="BB436" s="22">
        <f t="shared" si="327"/>
        <v>4</v>
      </c>
      <c r="BC436" s="22" t="str">
        <f t="shared" si="298"/>
        <v>1G</v>
      </c>
      <c r="BD436" s="22" t="str">
        <f t="shared" si="299"/>
        <v>1G</v>
      </c>
      <c r="BE436" s="22" t="str">
        <f t="shared" si="300"/>
        <v>1G</v>
      </c>
      <c r="BF436" s="22" t="str">
        <f t="shared" si="301"/>
        <v>1G</v>
      </c>
      <c r="BG436" s="22" t="str">
        <f t="shared" si="302"/>
        <v>2G</v>
      </c>
      <c r="BH436" s="22" t="str">
        <f t="shared" si="303"/>
        <v>3G</v>
      </c>
      <c r="BI436" s="22">
        <f t="shared" si="328"/>
        <v>4</v>
      </c>
      <c r="BJ436" s="22">
        <f t="shared" si="329"/>
        <v>1</v>
      </c>
      <c r="BK436" s="22">
        <f t="shared" si="330"/>
        <v>1</v>
      </c>
      <c r="BL436" s="22" t="str">
        <f t="shared" si="331"/>
        <v>411</v>
      </c>
      <c r="BS436"/>
      <c r="CL436" s="23">
        <v>175</v>
      </c>
      <c r="CM436" s="23">
        <v>170</v>
      </c>
      <c r="CO436"/>
    </row>
    <row r="437" spans="2:93" ht="17" hidden="1">
      <c r="B437" s="15">
        <v>433</v>
      </c>
      <c r="C437" s="23" t="s">
        <v>463</v>
      </c>
      <c r="D437" s="16">
        <v>11</v>
      </c>
      <c r="E437" s="17">
        <v>1182294410</v>
      </c>
      <c r="F437" s="16">
        <v>41</v>
      </c>
      <c r="G437" s="17">
        <v>52866824</v>
      </c>
      <c r="H437" s="17">
        <v>1278</v>
      </c>
      <c r="I437" s="17">
        <v>1696041</v>
      </c>
      <c r="J437" s="17">
        <v>65906</v>
      </c>
      <c r="K437" s="17">
        <v>50000</v>
      </c>
      <c r="L437" s="17">
        <v>1112537</v>
      </c>
      <c r="M437" s="17">
        <v>5000</v>
      </c>
      <c r="N437" s="23">
        <v>19</v>
      </c>
      <c r="O437" s="23">
        <v>23</v>
      </c>
      <c r="P437" s="23">
        <v>29</v>
      </c>
      <c r="Q437" s="23">
        <v>33</v>
      </c>
      <c r="R437" s="23">
        <v>35</v>
      </c>
      <c r="S437" s="23">
        <v>43</v>
      </c>
      <c r="T437" s="23">
        <v>27</v>
      </c>
      <c r="U437" s="23">
        <f t="shared" si="304"/>
        <v>182</v>
      </c>
      <c r="W437" s="22" t="str">
        <f t="shared" si="289"/>
        <v>홀수</v>
      </c>
      <c r="X437" s="22" t="str">
        <f t="shared" si="290"/>
        <v>홀수</v>
      </c>
      <c r="Y437" s="22" t="str">
        <f t="shared" si="291"/>
        <v>홀수</v>
      </c>
      <c r="Z437" s="22" t="str">
        <f t="shared" si="292"/>
        <v>홀수</v>
      </c>
      <c r="AA437" s="22" t="str">
        <f t="shared" si="293"/>
        <v>홀수</v>
      </c>
      <c r="AB437" s="22" t="str">
        <f t="shared" si="294"/>
        <v>홀수</v>
      </c>
      <c r="AC437" s="52" t="str">
        <f t="shared" si="295"/>
        <v>6 : 0</v>
      </c>
      <c r="AD437" s="22">
        <f t="shared" si="296"/>
        <v>6</v>
      </c>
      <c r="AE437" s="22">
        <f t="shared" si="297"/>
        <v>0</v>
      </c>
      <c r="AF437" s="22" t="str">
        <f t="shared" si="305"/>
        <v>저수</v>
      </c>
      <c r="AG437" s="22" t="str">
        <f t="shared" si="306"/>
        <v>고수</v>
      </c>
      <c r="AH437" s="22" t="str">
        <f t="shared" si="307"/>
        <v>고수</v>
      </c>
      <c r="AI437" s="22" t="str">
        <f t="shared" si="308"/>
        <v>고수</v>
      </c>
      <c r="AJ437" s="22" t="str">
        <f t="shared" si="309"/>
        <v>고수</v>
      </c>
      <c r="AK437" s="22" t="str">
        <f t="shared" si="310"/>
        <v>고수</v>
      </c>
      <c r="AL437" s="52" t="str">
        <f t="shared" si="311"/>
        <v>1 : 5</v>
      </c>
      <c r="AM437" s="22">
        <f t="shared" si="312"/>
        <v>1</v>
      </c>
      <c r="AN437" s="22">
        <f t="shared" si="313"/>
        <v>5</v>
      </c>
      <c r="AO437" s="22">
        <f t="shared" si="314"/>
        <v>32</v>
      </c>
      <c r="AP437" s="22" t="str">
        <f t="shared" si="315"/>
        <v>O</v>
      </c>
      <c r="AQ437" s="22" t="str">
        <f t="shared" si="316"/>
        <v>X</v>
      </c>
      <c r="AR437" s="22" t="str">
        <f t="shared" si="317"/>
        <v>X</v>
      </c>
      <c r="AS437" s="22" t="str">
        <f t="shared" si="318"/>
        <v>X</v>
      </c>
      <c r="AT437" s="22" t="str">
        <f t="shared" si="319"/>
        <v>X</v>
      </c>
      <c r="AU437" s="22" t="str">
        <f t="shared" si="320"/>
        <v>X</v>
      </c>
      <c r="AV437" s="22" t="str">
        <f t="shared" si="321"/>
        <v>X</v>
      </c>
      <c r="AW437" s="22" t="str">
        <f t="shared" si="322"/>
        <v>O</v>
      </c>
      <c r="AX437" s="22" t="str">
        <f t="shared" si="323"/>
        <v>O</v>
      </c>
      <c r="AY437" s="22" t="str">
        <f t="shared" si="324"/>
        <v>X</v>
      </c>
      <c r="AZ437" s="22" t="str">
        <f t="shared" si="325"/>
        <v>X</v>
      </c>
      <c r="BA437" s="22" t="str">
        <f t="shared" si="326"/>
        <v>O</v>
      </c>
      <c r="BB437" s="22">
        <f t="shared" si="327"/>
        <v>4</v>
      </c>
      <c r="BC437" s="22" t="str">
        <f t="shared" si="298"/>
        <v>2G</v>
      </c>
      <c r="BD437" s="22" t="str">
        <f t="shared" si="299"/>
        <v>2G</v>
      </c>
      <c r="BE437" s="22" t="str">
        <f t="shared" si="300"/>
        <v>2G</v>
      </c>
      <c r="BF437" s="22" t="str">
        <f t="shared" si="301"/>
        <v>3G</v>
      </c>
      <c r="BG437" s="22" t="str">
        <f t="shared" si="302"/>
        <v>3G</v>
      </c>
      <c r="BH437" s="22" t="str">
        <f t="shared" si="303"/>
        <v>3G</v>
      </c>
      <c r="BI437" s="22">
        <f t="shared" si="328"/>
        <v>0</v>
      </c>
      <c r="BJ437" s="22">
        <f t="shared" si="329"/>
        <v>3</v>
      </c>
      <c r="BK437" s="22">
        <f t="shared" si="330"/>
        <v>3</v>
      </c>
      <c r="BL437" s="22" t="str">
        <f t="shared" si="331"/>
        <v>033</v>
      </c>
      <c r="BS437"/>
      <c r="CL437" s="23">
        <v>175</v>
      </c>
      <c r="CM437" s="23">
        <v>170</v>
      </c>
      <c r="CO437"/>
    </row>
    <row r="438" spans="2:93" ht="17" hidden="1">
      <c r="B438" s="15">
        <v>434</v>
      </c>
      <c r="C438" s="23" t="s">
        <v>464</v>
      </c>
      <c r="D438" s="16">
        <v>8</v>
      </c>
      <c r="E438" s="17">
        <v>1480060266</v>
      </c>
      <c r="F438" s="16">
        <v>37</v>
      </c>
      <c r="G438" s="17">
        <v>53335506</v>
      </c>
      <c r="H438" s="17">
        <v>1867</v>
      </c>
      <c r="I438" s="17">
        <v>1056998</v>
      </c>
      <c r="J438" s="17">
        <v>78263</v>
      </c>
      <c r="K438" s="17">
        <v>50000</v>
      </c>
      <c r="L438" s="17">
        <v>1217852</v>
      </c>
      <c r="M438" s="17">
        <v>5000</v>
      </c>
      <c r="N438" s="23">
        <v>3</v>
      </c>
      <c r="O438" s="23">
        <v>13</v>
      </c>
      <c r="P438" s="23">
        <v>20</v>
      </c>
      <c r="Q438" s="23">
        <v>24</v>
      </c>
      <c r="R438" s="23">
        <v>33</v>
      </c>
      <c r="S438" s="23">
        <v>37</v>
      </c>
      <c r="T438" s="23">
        <v>35</v>
      </c>
      <c r="U438" s="23">
        <f t="shared" si="304"/>
        <v>130</v>
      </c>
      <c r="W438" s="22" t="str">
        <f t="shared" ref="W438:W506" si="332">IF(RIGHT(N438,1)="1","홀수",IF(RIGHT(N438,1)="3","홀수",IF(RIGHT(N438,1)="5","홀수",IF(RIGHT(N438,1)="7","홀수",IF(RIGHT(N438,1)="9","홀수","짝수")))))</f>
        <v>홀수</v>
      </c>
      <c r="X438" s="22" t="str">
        <f t="shared" ref="X438:X506" si="333">IF(RIGHT(O438,1)="1","홀수",IF(RIGHT(O438,1)="3","홀수",IF(RIGHT(O438,1)="5","홀수",IF(RIGHT(O438,1)="7","홀수",IF(RIGHT(O438,1)="9","홀수","짝수")))))</f>
        <v>홀수</v>
      </c>
      <c r="Y438" s="22" t="str">
        <f t="shared" ref="Y438:Y506" si="334">IF(RIGHT(P438,1)="1","홀수",IF(RIGHT(P438,1)="3","홀수",IF(RIGHT(P438,1)="5","홀수",IF(RIGHT(P438,1)="7","홀수",IF(RIGHT(P438,1)="9","홀수","짝수")))))</f>
        <v>짝수</v>
      </c>
      <c r="Z438" s="22" t="str">
        <f t="shared" ref="Z438:Z506" si="335">IF(RIGHT(Q438,1)="1","홀수",IF(RIGHT(Q438,1)="3","홀수",IF(RIGHT(Q438,1)="5","홀수",IF(RIGHT(Q438,1)="7","홀수",IF(RIGHT(Q438,1)="9","홀수","짝수")))))</f>
        <v>짝수</v>
      </c>
      <c r="AA438" s="22" t="str">
        <f t="shared" ref="AA438:AA506" si="336">IF(RIGHT(R438,1)="1","홀수",IF(RIGHT(R438,1)="3","홀수",IF(RIGHT(R438,1)="5","홀수",IF(RIGHT(R438,1)="7","홀수",IF(RIGHT(R438,1)="9","홀수","짝수")))))</f>
        <v>홀수</v>
      </c>
      <c r="AB438" s="22" t="str">
        <f t="shared" ref="AB438:AB506" si="337">IF(RIGHT(S438,1)="1","홀수",IF(RIGHT(S438,1)="3","홀수",IF(RIGHT(S438,1)="5","홀수",IF(RIGHT(S438,1)="7","홀수",IF(RIGHT(S438,1)="9","홀수","짝수")))))</f>
        <v>홀수</v>
      </c>
      <c r="AC438" s="52" t="str">
        <f t="shared" ref="AC438:AC506" si="338">AD438&amp;" : "&amp;AE438</f>
        <v>4 : 2</v>
      </c>
      <c r="AD438" s="22">
        <f t="shared" ref="AD438:AD506" si="339">COUNTIF(W438:AB438,"홀수")</f>
        <v>4</v>
      </c>
      <c r="AE438" s="22">
        <f t="shared" ref="AE438:AE506" si="340">COUNTIF(W438:AB438,"짝수")</f>
        <v>2</v>
      </c>
      <c r="AF438" s="22" t="str">
        <f t="shared" si="305"/>
        <v>저수</v>
      </c>
      <c r="AG438" s="22" t="str">
        <f t="shared" si="306"/>
        <v>저수</v>
      </c>
      <c r="AH438" s="22" t="str">
        <f t="shared" si="307"/>
        <v>저수</v>
      </c>
      <c r="AI438" s="22" t="str">
        <f t="shared" si="308"/>
        <v>고수</v>
      </c>
      <c r="AJ438" s="22" t="str">
        <f t="shared" si="309"/>
        <v>고수</v>
      </c>
      <c r="AK438" s="22" t="str">
        <f t="shared" si="310"/>
        <v>고수</v>
      </c>
      <c r="AL438" s="52" t="str">
        <f t="shared" si="311"/>
        <v>3 : 3</v>
      </c>
      <c r="AM438" s="22">
        <f t="shared" si="312"/>
        <v>3</v>
      </c>
      <c r="AN438" s="22">
        <f t="shared" si="313"/>
        <v>3</v>
      </c>
      <c r="AO438" s="22">
        <f t="shared" si="314"/>
        <v>20</v>
      </c>
      <c r="AP438" s="22" t="str">
        <f t="shared" si="315"/>
        <v>O</v>
      </c>
      <c r="AQ438" s="22" t="str">
        <f t="shared" si="316"/>
        <v>O</v>
      </c>
      <c r="AR438" s="22" t="str">
        <f t="shared" si="317"/>
        <v>X</v>
      </c>
      <c r="AS438" s="22" t="str">
        <f t="shared" si="318"/>
        <v>X</v>
      </c>
      <c r="AT438" s="22" t="str">
        <f t="shared" si="319"/>
        <v>X</v>
      </c>
      <c r="AU438" s="22" t="str">
        <f t="shared" si="320"/>
        <v>X</v>
      </c>
      <c r="AV438" s="22" t="str">
        <f t="shared" si="321"/>
        <v>X</v>
      </c>
      <c r="AW438" s="22" t="str">
        <f t="shared" si="322"/>
        <v>X</v>
      </c>
      <c r="AX438" s="22" t="str">
        <f t="shared" si="323"/>
        <v>X</v>
      </c>
      <c r="AY438" s="22" t="str">
        <f t="shared" si="324"/>
        <v>X</v>
      </c>
      <c r="AZ438" s="22" t="str">
        <f t="shared" si="325"/>
        <v>X</v>
      </c>
      <c r="BA438" s="22" t="str">
        <f t="shared" si="326"/>
        <v>O</v>
      </c>
      <c r="BB438" s="22">
        <f t="shared" si="327"/>
        <v>3</v>
      </c>
      <c r="BC438" s="22" t="str">
        <f t="shared" si="298"/>
        <v>1G</v>
      </c>
      <c r="BD438" s="22" t="str">
        <f t="shared" si="299"/>
        <v>1G</v>
      </c>
      <c r="BE438" s="22" t="str">
        <f t="shared" si="300"/>
        <v>2G</v>
      </c>
      <c r="BF438" s="22" t="str">
        <f t="shared" si="301"/>
        <v>2G</v>
      </c>
      <c r="BG438" s="22" t="str">
        <f t="shared" si="302"/>
        <v>3G</v>
      </c>
      <c r="BH438" s="22" t="str">
        <f t="shared" si="303"/>
        <v>3G</v>
      </c>
      <c r="BI438" s="22">
        <f t="shared" si="328"/>
        <v>2</v>
      </c>
      <c r="BJ438" s="22">
        <f t="shared" si="329"/>
        <v>2</v>
      </c>
      <c r="BK438" s="22">
        <f t="shared" si="330"/>
        <v>2</v>
      </c>
      <c r="BL438" s="22" t="str">
        <f t="shared" si="331"/>
        <v>222</v>
      </c>
      <c r="BS438"/>
      <c r="CL438" s="23">
        <v>175</v>
      </c>
      <c r="CM438" s="23">
        <v>170</v>
      </c>
      <c r="CO438"/>
    </row>
    <row r="439" spans="2:93" ht="17" hidden="1">
      <c r="B439" s="15">
        <v>435</v>
      </c>
      <c r="C439" s="23" t="s">
        <v>465</v>
      </c>
      <c r="D439" s="16">
        <v>10</v>
      </c>
      <c r="E439" s="17">
        <v>1287550013</v>
      </c>
      <c r="F439" s="16">
        <v>31</v>
      </c>
      <c r="G439" s="17">
        <v>69223119</v>
      </c>
      <c r="H439" s="17">
        <v>1426</v>
      </c>
      <c r="I439" s="17">
        <v>1504851</v>
      </c>
      <c r="J439" s="17">
        <v>67838</v>
      </c>
      <c r="K439" s="17">
        <v>50000</v>
      </c>
      <c r="L439" s="17">
        <v>1122280</v>
      </c>
      <c r="M439" s="17">
        <v>5000</v>
      </c>
      <c r="N439" s="23">
        <v>8</v>
      </c>
      <c r="O439" s="23">
        <v>16</v>
      </c>
      <c r="P439" s="23">
        <v>26</v>
      </c>
      <c r="Q439" s="23">
        <v>30</v>
      </c>
      <c r="R439" s="23">
        <v>38</v>
      </c>
      <c r="S439" s="23">
        <v>45</v>
      </c>
      <c r="T439" s="23">
        <v>42</v>
      </c>
      <c r="U439" s="23">
        <f t="shared" si="304"/>
        <v>163</v>
      </c>
      <c r="W439" s="22" t="str">
        <f t="shared" si="332"/>
        <v>짝수</v>
      </c>
      <c r="X439" s="22" t="str">
        <f t="shared" si="333"/>
        <v>짝수</v>
      </c>
      <c r="Y439" s="22" t="str">
        <f t="shared" si="334"/>
        <v>짝수</v>
      </c>
      <c r="Z439" s="22" t="str">
        <f t="shared" si="335"/>
        <v>짝수</v>
      </c>
      <c r="AA439" s="22" t="str">
        <f t="shared" si="336"/>
        <v>짝수</v>
      </c>
      <c r="AB439" s="22" t="str">
        <f t="shared" si="337"/>
        <v>홀수</v>
      </c>
      <c r="AC439" s="52" t="str">
        <f t="shared" si="338"/>
        <v>1 : 5</v>
      </c>
      <c r="AD439" s="22">
        <f t="shared" si="339"/>
        <v>1</v>
      </c>
      <c r="AE439" s="22">
        <f t="shared" si="340"/>
        <v>5</v>
      </c>
      <c r="AF439" s="22" t="str">
        <f t="shared" si="305"/>
        <v>저수</v>
      </c>
      <c r="AG439" s="22" t="str">
        <f t="shared" si="306"/>
        <v>저수</v>
      </c>
      <c r="AH439" s="22" t="str">
        <f t="shared" si="307"/>
        <v>고수</v>
      </c>
      <c r="AI439" s="22" t="str">
        <f t="shared" si="308"/>
        <v>고수</v>
      </c>
      <c r="AJ439" s="22" t="str">
        <f t="shared" si="309"/>
        <v>고수</v>
      </c>
      <c r="AK439" s="22" t="str">
        <f t="shared" si="310"/>
        <v>고수</v>
      </c>
      <c r="AL439" s="52" t="str">
        <f t="shared" si="311"/>
        <v>2 : 4</v>
      </c>
      <c r="AM439" s="22">
        <f t="shared" si="312"/>
        <v>2</v>
      </c>
      <c r="AN439" s="22">
        <f t="shared" si="313"/>
        <v>4</v>
      </c>
      <c r="AO439" s="22">
        <f t="shared" si="314"/>
        <v>33</v>
      </c>
      <c r="AP439" s="22" t="str">
        <f t="shared" si="315"/>
        <v>X</v>
      </c>
      <c r="AQ439" s="22" t="str">
        <f t="shared" si="316"/>
        <v>X</v>
      </c>
      <c r="AR439" s="22" t="str">
        <f t="shared" si="317"/>
        <v>X</v>
      </c>
      <c r="AS439" s="22" t="str">
        <f t="shared" si="318"/>
        <v>X</v>
      </c>
      <c r="AT439" s="22" t="str">
        <f t="shared" si="319"/>
        <v>X</v>
      </c>
      <c r="AU439" s="22" t="str">
        <f t="shared" si="320"/>
        <v>X</v>
      </c>
      <c r="AV439" s="22" t="str">
        <f t="shared" si="321"/>
        <v>X</v>
      </c>
      <c r="AW439" s="22" t="str">
        <f t="shared" si="322"/>
        <v>X</v>
      </c>
      <c r="AX439" s="22" t="str">
        <f t="shared" si="323"/>
        <v>X</v>
      </c>
      <c r="AY439" s="22" t="str">
        <f t="shared" si="324"/>
        <v>X</v>
      </c>
      <c r="AZ439" s="22" t="str">
        <f t="shared" si="325"/>
        <v>X</v>
      </c>
      <c r="BA439" s="22" t="str">
        <f t="shared" si="326"/>
        <v>X</v>
      </c>
      <c r="BB439" s="22">
        <f t="shared" si="327"/>
        <v>0</v>
      </c>
      <c r="BC439" s="22" t="str">
        <f t="shared" si="298"/>
        <v>1G</v>
      </c>
      <c r="BD439" s="22" t="str">
        <f t="shared" si="299"/>
        <v>2G</v>
      </c>
      <c r="BE439" s="22" t="str">
        <f t="shared" si="300"/>
        <v>2G</v>
      </c>
      <c r="BF439" s="22" t="str">
        <f t="shared" si="301"/>
        <v>2G</v>
      </c>
      <c r="BG439" s="22" t="str">
        <f t="shared" si="302"/>
        <v>3G</v>
      </c>
      <c r="BH439" s="22" t="str">
        <f t="shared" si="303"/>
        <v>3G</v>
      </c>
      <c r="BI439" s="22">
        <f t="shared" si="328"/>
        <v>1</v>
      </c>
      <c r="BJ439" s="22">
        <f t="shared" si="329"/>
        <v>3</v>
      </c>
      <c r="BK439" s="22">
        <f t="shared" si="330"/>
        <v>2</v>
      </c>
      <c r="BL439" s="22" t="str">
        <f t="shared" si="331"/>
        <v>132</v>
      </c>
      <c r="BS439"/>
      <c r="CL439" s="23">
        <v>175</v>
      </c>
      <c r="CM439" s="23">
        <v>170</v>
      </c>
      <c r="CO439"/>
    </row>
    <row r="440" spans="2:93" ht="17" hidden="1">
      <c r="B440" s="15">
        <v>436</v>
      </c>
      <c r="C440" s="23" t="s">
        <v>466</v>
      </c>
      <c r="D440" s="16">
        <v>8</v>
      </c>
      <c r="E440" s="17">
        <v>1512266579</v>
      </c>
      <c r="F440" s="16">
        <v>44</v>
      </c>
      <c r="G440" s="17">
        <v>45826260</v>
      </c>
      <c r="H440" s="17">
        <v>1425</v>
      </c>
      <c r="I440" s="17">
        <v>1414987</v>
      </c>
      <c r="J440" s="17">
        <v>70742</v>
      </c>
      <c r="K440" s="17">
        <v>50000</v>
      </c>
      <c r="L440" s="17">
        <v>1153313</v>
      </c>
      <c r="M440" s="17">
        <v>5000</v>
      </c>
      <c r="N440" s="23">
        <v>9</v>
      </c>
      <c r="O440" s="23">
        <v>14</v>
      </c>
      <c r="P440" s="23">
        <v>20</v>
      </c>
      <c r="Q440" s="23">
        <v>22</v>
      </c>
      <c r="R440" s="23">
        <v>33</v>
      </c>
      <c r="S440" s="23">
        <v>34</v>
      </c>
      <c r="T440" s="23">
        <v>28</v>
      </c>
      <c r="U440" s="23">
        <f t="shared" si="304"/>
        <v>132</v>
      </c>
      <c r="W440" s="22" t="str">
        <f t="shared" si="332"/>
        <v>홀수</v>
      </c>
      <c r="X440" s="22" t="str">
        <f t="shared" si="333"/>
        <v>짝수</v>
      </c>
      <c r="Y440" s="22" t="str">
        <f t="shared" si="334"/>
        <v>짝수</v>
      </c>
      <c r="Z440" s="22" t="str">
        <f t="shared" si="335"/>
        <v>짝수</v>
      </c>
      <c r="AA440" s="22" t="str">
        <f t="shared" si="336"/>
        <v>홀수</v>
      </c>
      <c r="AB440" s="22" t="str">
        <f t="shared" si="337"/>
        <v>짝수</v>
      </c>
      <c r="AC440" s="52" t="str">
        <f t="shared" si="338"/>
        <v>2 : 4</v>
      </c>
      <c r="AD440" s="22">
        <f t="shared" si="339"/>
        <v>2</v>
      </c>
      <c r="AE440" s="22">
        <f t="shared" si="340"/>
        <v>4</v>
      </c>
      <c r="AF440" s="22" t="str">
        <f t="shared" si="305"/>
        <v>저수</v>
      </c>
      <c r="AG440" s="22" t="str">
        <f t="shared" si="306"/>
        <v>저수</v>
      </c>
      <c r="AH440" s="22" t="str">
        <f t="shared" si="307"/>
        <v>저수</v>
      </c>
      <c r="AI440" s="22" t="str">
        <f t="shared" si="308"/>
        <v>저수</v>
      </c>
      <c r="AJ440" s="22" t="str">
        <f t="shared" si="309"/>
        <v>고수</v>
      </c>
      <c r="AK440" s="22" t="str">
        <f t="shared" si="310"/>
        <v>고수</v>
      </c>
      <c r="AL440" s="52" t="str">
        <f t="shared" si="311"/>
        <v>4 : 2</v>
      </c>
      <c r="AM440" s="22">
        <f t="shared" si="312"/>
        <v>4</v>
      </c>
      <c r="AN440" s="22">
        <f t="shared" si="313"/>
        <v>2</v>
      </c>
      <c r="AO440" s="22">
        <f t="shared" si="314"/>
        <v>22</v>
      </c>
      <c r="AP440" s="22" t="str">
        <f t="shared" si="315"/>
        <v>X</v>
      </c>
      <c r="AQ440" s="22" t="str">
        <f t="shared" si="316"/>
        <v>X</v>
      </c>
      <c r="AR440" s="22" t="str">
        <f t="shared" si="317"/>
        <v>X</v>
      </c>
      <c r="AS440" s="22" t="str">
        <f t="shared" si="318"/>
        <v>X</v>
      </c>
      <c r="AT440" s="22" t="str">
        <f t="shared" si="319"/>
        <v>X</v>
      </c>
      <c r="AU440" s="22" t="str">
        <f t="shared" si="320"/>
        <v>X</v>
      </c>
      <c r="AV440" s="22" t="str">
        <f t="shared" si="321"/>
        <v>X</v>
      </c>
      <c r="AW440" s="22" t="str">
        <f t="shared" si="322"/>
        <v>X</v>
      </c>
      <c r="AX440" s="22" t="str">
        <f t="shared" si="323"/>
        <v>X</v>
      </c>
      <c r="AY440" s="22" t="str">
        <f t="shared" si="324"/>
        <v>X</v>
      </c>
      <c r="AZ440" s="22" t="str">
        <f t="shared" si="325"/>
        <v>X</v>
      </c>
      <c r="BA440" s="22" t="str">
        <f t="shared" si="326"/>
        <v>X</v>
      </c>
      <c r="BB440" s="22">
        <f t="shared" si="327"/>
        <v>0</v>
      </c>
      <c r="BC440" s="22" t="str">
        <f t="shared" si="298"/>
        <v>1G</v>
      </c>
      <c r="BD440" s="22" t="str">
        <f t="shared" si="299"/>
        <v>1G</v>
      </c>
      <c r="BE440" s="22" t="str">
        <f t="shared" si="300"/>
        <v>2G</v>
      </c>
      <c r="BF440" s="22" t="str">
        <f t="shared" si="301"/>
        <v>2G</v>
      </c>
      <c r="BG440" s="22" t="str">
        <f t="shared" si="302"/>
        <v>3G</v>
      </c>
      <c r="BH440" s="22" t="str">
        <f t="shared" si="303"/>
        <v>3G</v>
      </c>
      <c r="BI440" s="22">
        <f t="shared" si="328"/>
        <v>2</v>
      </c>
      <c r="BJ440" s="22">
        <f t="shared" si="329"/>
        <v>2</v>
      </c>
      <c r="BK440" s="22">
        <f t="shared" si="330"/>
        <v>2</v>
      </c>
      <c r="BL440" s="22" t="str">
        <f t="shared" si="331"/>
        <v>222</v>
      </c>
      <c r="BS440"/>
      <c r="CL440" s="23">
        <v>176</v>
      </c>
      <c r="CM440" s="23">
        <v>170</v>
      </c>
      <c r="CO440"/>
    </row>
    <row r="441" spans="2:93" ht="17" hidden="1">
      <c r="B441" s="15">
        <v>437</v>
      </c>
      <c r="C441" s="23" t="s">
        <v>467</v>
      </c>
      <c r="D441" s="16">
        <v>6</v>
      </c>
      <c r="E441" s="17">
        <v>2096245438</v>
      </c>
      <c r="F441" s="16">
        <v>33</v>
      </c>
      <c r="G441" s="17">
        <v>63522590</v>
      </c>
      <c r="H441" s="17">
        <v>1286</v>
      </c>
      <c r="I441" s="17">
        <v>1630051</v>
      </c>
      <c r="J441" s="17">
        <v>64531</v>
      </c>
      <c r="K441" s="17">
        <v>50000</v>
      </c>
      <c r="L441" s="17">
        <v>1080539</v>
      </c>
      <c r="M441" s="17">
        <v>5000</v>
      </c>
      <c r="N441" s="23">
        <v>11</v>
      </c>
      <c r="O441" s="23">
        <v>16</v>
      </c>
      <c r="P441" s="23">
        <v>29</v>
      </c>
      <c r="Q441" s="23">
        <v>38</v>
      </c>
      <c r="R441" s="23">
        <v>41</v>
      </c>
      <c r="S441" s="23">
        <v>44</v>
      </c>
      <c r="T441" s="23">
        <v>21</v>
      </c>
      <c r="U441" s="23">
        <f t="shared" si="304"/>
        <v>179</v>
      </c>
      <c r="W441" s="22" t="str">
        <f t="shared" si="332"/>
        <v>홀수</v>
      </c>
      <c r="X441" s="22" t="str">
        <f t="shared" si="333"/>
        <v>짝수</v>
      </c>
      <c r="Y441" s="22" t="str">
        <f t="shared" si="334"/>
        <v>홀수</v>
      </c>
      <c r="Z441" s="22" t="str">
        <f t="shared" si="335"/>
        <v>짝수</v>
      </c>
      <c r="AA441" s="22" t="str">
        <f t="shared" si="336"/>
        <v>홀수</v>
      </c>
      <c r="AB441" s="22" t="str">
        <f t="shared" si="337"/>
        <v>짝수</v>
      </c>
      <c r="AC441" s="52" t="str">
        <f t="shared" si="338"/>
        <v>3 : 3</v>
      </c>
      <c r="AD441" s="22">
        <f t="shared" si="339"/>
        <v>3</v>
      </c>
      <c r="AE441" s="22">
        <f t="shared" si="340"/>
        <v>3</v>
      </c>
      <c r="AF441" s="22" t="str">
        <f t="shared" si="305"/>
        <v>저수</v>
      </c>
      <c r="AG441" s="22" t="str">
        <f t="shared" si="306"/>
        <v>저수</v>
      </c>
      <c r="AH441" s="22" t="str">
        <f t="shared" si="307"/>
        <v>고수</v>
      </c>
      <c r="AI441" s="22" t="str">
        <f t="shared" si="308"/>
        <v>고수</v>
      </c>
      <c r="AJ441" s="22" t="str">
        <f t="shared" si="309"/>
        <v>고수</v>
      </c>
      <c r="AK441" s="22" t="str">
        <f t="shared" si="310"/>
        <v>고수</v>
      </c>
      <c r="AL441" s="52" t="str">
        <f t="shared" si="311"/>
        <v>2 : 4</v>
      </c>
      <c r="AM441" s="22">
        <f t="shared" si="312"/>
        <v>2</v>
      </c>
      <c r="AN441" s="22">
        <f t="shared" si="313"/>
        <v>4</v>
      </c>
      <c r="AO441" s="22">
        <f t="shared" si="314"/>
        <v>29</v>
      </c>
      <c r="AP441" s="22" t="str">
        <f t="shared" si="315"/>
        <v>O</v>
      </c>
      <c r="AQ441" s="22" t="str">
        <f t="shared" si="316"/>
        <v>X</v>
      </c>
      <c r="AR441" s="22" t="str">
        <f t="shared" si="317"/>
        <v>X</v>
      </c>
      <c r="AS441" s="22" t="str">
        <f t="shared" si="318"/>
        <v>X</v>
      </c>
      <c r="AT441" s="22" t="str">
        <f t="shared" si="319"/>
        <v>X</v>
      </c>
      <c r="AU441" s="22" t="str">
        <f t="shared" si="320"/>
        <v>X</v>
      </c>
      <c r="AV441" s="22" t="str">
        <f t="shared" si="321"/>
        <v>X</v>
      </c>
      <c r="AW441" s="22" t="str">
        <f t="shared" si="322"/>
        <v>X</v>
      </c>
      <c r="AX441" s="22" t="str">
        <f t="shared" si="323"/>
        <v>O</v>
      </c>
      <c r="AY441" s="22" t="str">
        <f t="shared" si="324"/>
        <v>X</v>
      </c>
      <c r="AZ441" s="22" t="str">
        <f t="shared" si="325"/>
        <v>O</v>
      </c>
      <c r="BA441" s="22" t="str">
        <f t="shared" si="326"/>
        <v>X</v>
      </c>
      <c r="BB441" s="22">
        <f t="shared" si="327"/>
        <v>3</v>
      </c>
      <c r="BC441" s="22" t="str">
        <f t="shared" si="298"/>
        <v>1G</v>
      </c>
      <c r="BD441" s="22" t="str">
        <f t="shared" si="299"/>
        <v>2G</v>
      </c>
      <c r="BE441" s="22" t="str">
        <f t="shared" si="300"/>
        <v>2G</v>
      </c>
      <c r="BF441" s="22" t="str">
        <f t="shared" si="301"/>
        <v>3G</v>
      </c>
      <c r="BG441" s="22" t="str">
        <f t="shared" si="302"/>
        <v>3G</v>
      </c>
      <c r="BH441" s="22" t="str">
        <f t="shared" si="303"/>
        <v>3G</v>
      </c>
      <c r="BI441" s="22">
        <f t="shared" si="328"/>
        <v>1</v>
      </c>
      <c r="BJ441" s="22">
        <f t="shared" si="329"/>
        <v>2</v>
      </c>
      <c r="BK441" s="22">
        <f t="shared" si="330"/>
        <v>3</v>
      </c>
      <c r="BL441" s="22" t="str">
        <f t="shared" si="331"/>
        <v>123</v>
      </c>
      <c r="BS441"/>
      <c r="CL441" s="23">
        <v>176</v>
      </c>
      <c r="CM441" s="23">
        <v>170</v>
      </c>
      <c r="CO441"/>
    </row>
    <row r="442" spans="2:93" ht="17" hidden="1">
      <c r="B442" s="15">
        <v>438</v>
      </c>
      <c r="C442" s="23" t="s">
        <v>497</v>
      </c>
      <c r="N442" s="23">
        <v>6</v>
      </c>
      <c r="O442" s="23">
        <v>12</v>
      </c>
      <c r="P442" s="23">
        <v>20</v>
      </c>
      <c r="Q442" s="23">
        <v>26</v>
      </c>
      <c r="R442" s="23">
        <v>29</v>
      </c>
      <c r="S442" s="23">
        <v>38</v>
      </c>
      <c r="T442" s="23">
        <v>45</v>
      </c>
      <c r="U442" s="23">
        <f t="shared" si="304"/>
        <v>131</v>
      </c>
      <c r="W442" s="22" t="str">
        <f t="shared" si="332"/>
        <v>짝수</v>
      </c>
      <c r="X442" s="22" t="str">
        <f t="shared" si="333"/>
        <v>짝수</v>
      </c>
      <c r="Y442" s="22" t="str">
        <f t="shared" si="334"/>
        <v>짝수</v>
      </c>
      <c r="Z442" s="22" t="str">
        <f t="shared" si="335"/>
        <v>짝수</v>
      </c>
      <c r="AA442" s="22" t="str">
        <f t="shared" si="336"/>
        <v>홀수</v>
      </c>
      <c r="AB442" s="22" t="str">
        <f t="shared" si="337"/>
        <v>짝수</v>
      </c>
      <c r="AC442" s="52" t="str">
        <f t="shared" si="338"/>
        <v>1 : 5</v>
      </c>
      <c r="AD442" s="22">
        <f t="shared" si="339"/>
        <v>1</v>
      </c>
      <c r="AE442" s="22">
        <f t="shared" si="340"/>
        <v>5</v>
      </c>
      <c r="AF442" s="22" t="str">
        <f t="shared" si="305"/>
        <v>저수</v>
      </c>
      <c r="AG442" s="22" t="str">
        <f t="shared" si="306"/>
        <v>저수</v>
      </c>
      <c r="AH442" s="22" t="str">
        <f t="shared" si="307"/>
        <v>저수</v>
      </c>
      <c r="AI442" s="22" t="str">
        <f t="shared" si="308"/>
        <v>고수</v>
      </c>
      <c r="AJ442" s="22" t="str">
        <f t="shared" si="309"/>
        <v>고수</v>
      </c>
      <c r="AK442" s="22" t="str">
        <f t="shared" si="310"/>
        <v>고수</v>
      </c>
      <c r="AL442" s="52" t="str">
        <f t="shared" si="311"/>
        <v>3 : 3</v>
      </c>
      <c r="AM442" s="22">
        <f t="shared" si="312"/>
        <v>3</v>
      </c>
      <c r="AN442" s="22">
        <f t="shared" si="313"/>
        <v>3</v>
      </c>
      <c r="AO442" s="22">
        <f t="shared" si="314"/>
        <v>31</v>
      </c>
      <c r="AP442" s="22" t="str">
        <f t="shared" si="315"/>
        <v>X</v>
      </c>
      <c r="AQ442" s="22" t="str">
        <f t="shared" si="316"/>
        <v>X</v>
      </c>
      <c r="AR442" s="22" t="str">
        <f t="shared" si="317"/>
        <v>X</v>
      </c>
      <c r="AS442" s="22" t="str">
        <f t="shared" si="318"/>
        <v>X</v>
      </c>
      <c r="AT442" s="22" t="str">
        <f t="shared" si="319"/>
        <v>X</v>
      </c>
      <c r="AU442" s="22" t="str">
        <f t="shared" si="320"/>
        <v>X</v>
      </c>
      <c r="AV442" s="22" t="str">
        <f t="shared" si="321"/>
        <v>X</v>
      </c>
      <c r="AW442" s="22" t="str">
        <f t="shared" si="322"/>
        <v>X</v>
      </c>
      <c r="AX442" s="22" t="str">
        <f t="shared" si="323"/>
        <v>X</v>
      </c>
      <c r="AY442" s="22" t="str">
        <f t="shared" si="324"/>
        <v>X</v>
      </c>
      <c r="AZ442" s="22" t="str">
        <f t="shared" si="325"/>
        <v>O</v>
      </c>
      <c r="BA442" s="22" t="str">
        <f t="shared" si="326"/>
        <v>X</v>
      </c>
      <c r="BB442" s="22">
        <f t="shared" si="327"/>
        <v>1</v>
      </c>
      <c r="BC442" s="22" t="str">
        <f t="shared" si="298"/>
        <v>1G</v>
      </c>
      <c r="BD442" s="22" t="str">
        <f t="shared" si="299"/>
        <v>1G</v>
      </c>
      <c r="BE442" s="22" t="str">
        <f t="shared" si="300"/>
        <v>2G</v>
      </c>
      <c r="BF442" s="22" t="str">
        <f t="shared" si="301"/>
        <v>2G</v>
      </c>
      <c r="BG442" s="22" t="str">
        <f t="shared" si="302"/>
        <v>2G</v>
      </c>
      <c r="BH442" s="22" t="str">
        <f t="shared" si="303"/>
        <v>3G</v>
      </c>
      <c r="BI442" s="22">
        <f t="shared" si="328"/>
        <v>2</v>
      </c>
      <c r="BJ442" s="22">
        <f t="shared" si="329"/>
        <v>3</v>
      </c>
      <c r="BK442" s="22">
        <f t="shared" si="330"/>
        <v>1</v>
      </c>
      <c r="BL442" s="22" t="str">
        <f t="shared" si="331"/>
        <v>231</v>
      </c>
      <c r="BS442"/>
      <c r="CL442" s="23">
        <v>176</v>
      </c>
      <c r="CM442" s="23">
        <v>170</v>
      </c>
      <c r="CO442"/>
    </row>
    <row r="443" spans="2:93" ht="17" hidden="1">
      <c r="B443" s="15">
        <v>439</v>
      </c>
      <c r="C443" s="23" t="s">
        <v>498</v>
      </c>
      <c r="N443" s="23">
        <v>17</v>
      </c>
      <c r="O443" s="23">
        <v>20</v>
      </c>
      <c r="P443" s="23">
        <v>30</v>
      </c>
      <c r="Q443" s="23">
        <v>31</v>
      </c>
      <c r="R443" s="23">
        <v>37</v>
      </c>
      <c r="S443" s="23">
        <v>40</v>
      </c>
      <c r="T443" s="23">
        <v>25</v>
      </c>
      <c r="U443" s="23">
        <f t="shared" si="304"/>
        <v>175</v>
      </c>
      <c r="W443" s="22" t="str">
        <f t="shared" si="332"/>
        <v>홀수</v>
      </c>
      <c r="X443" s="22" t="str">
        <f t="shared" si="333"/>
        <v>짝수</v>
      </c>
      <c r="Y443" s="22" t="str">
        <f t="shared" si="334"/>
        <v>짝수</v>
      </c>
      <c r="Z443" s="22" t="str">
        <f t="shared" si="335"/>
        <v>홀수</v>
      </c>
      <c r="AA443" s="22" t="str">
        <f t="shared" si="336"/>
        <v>홀수</v>
      </c>
      <c r="AB443" s="22" t="str">
        <f t="shared" si="337"/>
        <v>짝수</v>
      </c>
      <c r="AC443" s="52" t="str">
        <f t="shared" si="338"/>
        <v>3 : 3</v>
      </c>
      <c r="AD443" s="22">
        <f t="shared" si="339"/>
        <v>3</v>
      </c>
      <c r="AE443" s="22">
        <f t="shared" si="340"/>
        <v>3</v>
      </c>
      <c r="AF443" s="22" t="str">
        <f t="shared" si="305"/>
        <v>저수</v>
      </c>
      <c r="AG443" s="22" t="str">
        <f t="shared" si="306"/>
        <v>저수</v>
      </c>
      <c r="AH443" s="22" t="str">
        <f t="shared" si="307"/>
        <v>고수</v>
      </c>
      <c r="AI443" s="22" t="str">
        <f t="shared" si="308"/>
        <v>고수</v>
      </c>
      <c r="AJ443" s="22" t="str">
        <f t="shared" si="309"/>
        <v>고수</v>
      </c>
      <c r="AK443" s="22" t="str">
        <f t="shared" si="310"/>
        <v>고수</v>
      </c>
      <c r="AL443" s="52" t="str">
        <f t="shared" si="311"/>
        <v>2 : 4</v>
      </c>
      <c r="AM443" s="22">
        <f t="shared" si="312"/>
        <v>2</v>
      </c>
      <c r="AN443" s="22">
        <f t="shared" si="313"/>
        <v>4</v>
      </c>
      <c r="AO443" s="22">
        <f t="shared" si="314"/>
        <v>15</v>
      </c>
      <c r="AP443" s="22" t="str">
        <f t="shared" si="315"/>
        <v>O</v>
      </c>
      <c r="AQ443" s="22" t="str">
        <f t="shared" si="316"/>
        <v>X</v>
      </c>
      <c r="AR443" s="22" t="str">
        <f t="shared" si="317"/>
        <v>X</v>
      </c>
      <c r="AS443" s="22" t="str">
        <f t="shared" si="318"/>
        <v>X</v>
      </c>
      <c r="AT443" s="22" t="str">
        <f t="shared" si="319"/>
        <v>X</v>
      </c>
      <c r="AU443" s="22" t="str">
        <f t="shared" si="320"/>
        <v>X</v>
      </c>
      <c r="AV443" s="22" t="str">
        <f t="shared" si="321"/>
        <v>X</v>
      </c>
      <c r="AW443" s="22" t="str">
        <f t="shared" si="322"/>
        <v>X</v>
      </c>
      <c r="AX443" s="22" t="str">
        <f t="shared" si="323"/>
        <v>X</v>
      </c>
      <c r="AY443" s="22" t="str">
        <f t="shared" si="324"/>
        <v>O</v>
      </c>
      <c r="AZ443" s="22" t="str">
        <f t="shared" si="325"/>
        <v>O</v>
      </c>
      <c r="BA443" s="22" t="str">
        <f t="shared" si="326"/>
        <v>X</v>
      </c>
      <c r="BB443" s="22">
        <f t="shared" si="327"/>
        <v>3</v>
      </c>
      <c r="BC443" s="22" t="str">
        <f t="shared" si="298"/>
        <v>2G</v>
      </c>
      <c r="BD443" s="22" t="str">
        <f t="shared" si="299"/>
        <v>2G</v>
      </c>
      <c r="BE443" s="22" t="str">
        <f t="shared" si="300"/>
        <v>2G</v>
      </c>
      <c r="BF443" s="22" t="str">
        <f t="shared" si="301"/>
        <v>3G</v>
      </c>
      <c r="BG443" s="22" t="str">
        <f t="shared" si="302"/>
        <v>3G</v>
      </c>
      <c r="BH443" s="22" t="str">
        <f t="shared" si="303"/>
        <v>3G</v>
      </c>
      <c r="BI443" s="22">
        <f t="shared" si="328"/>
        <v>0</v>
      </c>
      <c r="BJ443" s="22">
        <f t="shared" si="329"/>
        <v>3</v>
      </c>
      <c r="BK443" s="22">
        <f t="shared" si="330"/>
        <v>3</v>
      </c>
      <c r="BL443" s="22" t="str">
        <f t="shared" si="331"/>
        <v>033</v>
      </c>
      <c r="BS443"/>
      <c r="CL443" s="23">
        <v>177</v>
      </c>
      <c r="CM443" s="23">
        <v>170</v>
      </c>
      <c r="CO443"/>
    </row>
    <row r="444" spans="2:93" ht="17" hidden="1">
      <c r="B444" s="15">
        <v>440</v>
      </c>
      <c r="C444" s="23" t="s">
        <v>499</v>
      </c>
      <c r="N444" s="23">
        <v>10</v>
      </c>
      <c r="O444" s="23">
        <v>22</v>
      </c>
      <c r="P444" s="23">
        <v>28</v>
      </c>
      <c r="Q444" s="23">
        <v>34</v>
      </c>
      <c r="R444" s="23">
        <v>36</v>
      </c>
      <c r="S444" s="23">
        <v>44</v>
      </c>
      <c r="T444" s="23">
        <v>2</v>
      </c>
      <c r="U444" s="23">
        <f t="shared" si="304"/>
        <v>174</v>
      </c>
      <c r="W444" s="22" t="str">
        <f t="shared" si="332"/>
        <v>짝수</v>
      </c>
      <c r="X444" s="22" t="str">
        <f t="shared" si="333"/>
        <v>짝수</v>
      </c>
      <c r="Y444" s="22" t="str">
        <f t="shared" si="334"/>
        <v>짝수</v>
      </c>
      <c r="Z444" s="22" t="str">
        <f t="shared" si="335"/>
        <v>짝수</v>
      </c>
      <c r="AA444" s="22" t="str">
        <f t="shared" si="336"/>
        <v>짝수</v>
      </c>
      <c r="AB444" s="22" t="str">
        <f t="shared" si="337"/>
        <v>짝수</v>
      </c>
      <c r="AC444" s="52" t="str">
        <f t="shared" si="338"/>
        <v>0 : 6</v>
      </c>
      <c r="AD444" s="22">
        <f t="shared" si="339"/>
        <v>0</v>
      </c>
      <c r="AE444" s="22">
        <f t="shared" si="340"/>
        <v>6</v>
      </c>
      <c r="AF444" s="22" t="str">
        <f t="shared" si="305"/>
        <v>저수</v>
      </c>
      <c r="AG444" s="22" t="str">
        <f t="shared" si="306"/>
        <v>저수</v>
      </c>
      <c r="AH444" s="22" t="str">
        <f t="shared" si="307"/>
        <v>고수</v>
      </c>
      <c r="AI444" s="22" t="str">
        <f t="shared" si="308"/>
        <v>고수</v>
      </c>
      <c r="AJ444" s="22" t="str">
        <f t="shared" si="309"/>
        <v>고수</v>
      </c>
      <c r="AK444" s="22" t="str">
        <f t="shared" si="310"/>
        <v>고수</v>
      </c>
      <c r="AL444" s="52" t="str">
        <f t="shared" si="311"/>
        <v>2 : 4</v>
      </c>
      <c r="AM444" s="22">
        <f t="shared" si="312"/>
        <v>2</v>
      </c>
      <c r="AN444" s="22">
        <f t="shared" si="313"/>
        <v>4</v>
      </c>
      <c r="AO444" s="22">
        <f t="shared" si="314"/>
        <v>24</v>
      </c>
      <c r="AP444" s="22" t="str">
        <f t="shared" si="315"/>
        <v>X</v>
      </c>
      <c r="AQ444" s="22" t="str">
        <f t="shared" si="316"/>
        <v>X</v>
      </c>
      <c r="AR444" s="22" t="str">
        <f t="shared" si="317"/>
        <v>X</v>
      </c>
      <c r="AS444" s="22" t="str">
        <f t="shared" si="318"/>
        <v>X</v>
      </c>
      <c r="AT444" s="22" t="str">
        <f t="shared" si="319"/>
        <v>X</v>
      </c>
      <c r="AU444" s="22" t="str">
        <f t="shared" si="320"/>
        <v>X</v>
      </c>
      <c r="AV444" s="22" t="str">
        <f t="shared" si="321"/>
        <v>X</v>
      </c>
      <c r="AW444" s="22" t="str">
        <f t="shared" si="322"/>
        <v>X</v>
      </c>
      <c r="AX444" s="22" t="str">
        <f t="shared" si="323"/>
        <v>X</v>
      </c>
      <c r="AY444" s="22" t="str">
        <f t="shared" si="324"/>
        <v>X</v>
      </c>
      <c r="AZ444" s="22" t="str">
        <f t="shared" si="325"/>
        <v>X</v>
      </c>
      <c r="BA444" s="22" t="str">
        <f t="shared" si="326"/>
        <v>X</v>
      </c>
      <c r="BB444" s="22">
        <f t="shared" si="327"/>
        <v>0</v>
      </c>
      <c r="BC444" s="22" t="str">
        <f t="shared" si="298"/>
        <v>1G</v>
      </c>
      <c r="BD444" s="22" t="str">
        <f t="shared" si="299"/>
        <v>2G</v>
      </c>
      <c r="BE444" s="22" t="str">
        <f t="shared" si="300"/>
        <v>2G</v>
      </c>
      <c r="BF444" s="22" t="str">
        <f t="shared" si="301"/>
        <v>3G</v>
      </c>
      <c r="BG444" s="22" t="str">
        <f t="shared" si="302"/>
        <v>3G</v>
      </c>
      <c r="BH444" s="22" t="str">
        <f t="shared" si="303"/>
        <v>3G</v>
      </c>
      <c r="BI444" s="22">
        <f t="shared" si="328"/>
        <v>1</v>
      </c>
      <c r="BJ444" s="22">
        <f t="shared" si="329"/>
        <v>2</v>
      </c>
      <c r="BK444" s="22">
        <f t="shared" si="330"/>
        <v>3</v>
      </c>
      <c r="BL444" s="22" t="str">
        <f t="shared" si="331"/>
        <v>123</v>
      </c>
      <c r="BS444"/>
      <c r="CL444" s="23">
        <v>177</v>
      </c>
      <c r="CM444" s="23">
        <v>170</v>
      </c>
      <c r="CO444"/>
    </row>
    <row r="445" spans="2:93" ht="17" hidden="1">
      <c r="B445" s="15">
        <v>441</v>
      </c>
      <c r="C445" s="23" t="s">
        <v>500</v>
      </c>
      <c r="N445" s="23">
        <v>1</v>
      </c>
      <c r="O445" s="23">
        <v>23</v>
      </c>
      <c r="P445" s="23">
        <v>28</v>
      </c>
      <c r="Q445" s="23">
        <v>30</v>
      </c>
      <c r="R445" s="23">
        <v>34</v>
      </c>
      <c r="S445" s="23">
        <v>35</v>
      </c>
      <c r="T445" s="23">
        <v>9</v>
      </c>
      <c r="U445" s="23">
        <f t="shared" si="304"/>
        <v>151</v>
      </c>
      <c r="W445" s="22" t="str">
        <f t="shared" si="332"/>
        <v>홀수</v>
      </c>
      <c r="X445" s="22" t="str">
        <f t="shared" si="333"/>
        <v>홀수</v>
      </c>
      <c r="Y445" s="22" t="str">
        <f t="shared" si="334"/>
        <v>짝수</v>
      </c>
      <c r="Z445" s="22" t="str">
        <f t="shared" si="335"/>
        <v>짝수</v>
      </c>
      <c r="AA445" s="22" t="str">
        <f t="shared" si="336"/>
        <v>짝수</v>
      </c>
      <c r="AB445" s="22" t="str">
        <f t="shared" si="337"/>
        <v>홀수</v>
      </c>
      <c r="AC445" s="52" t="str">
        <f t="shared" si="338"/>
        <v>3 : 3</v>
      </c>
      <c r="AD445" s="22">
        <f t="shared" si="339"/>
        <v>3</v>
      </c>
      <c r="AE445" s="22">
        <f t="shared" si="340"/>
        <v>3</v>
      </c>
      <c r="AF445" s="22" t="str">
        <f t="shared" si="305"/>
        <v>저수</v>
      </c>
      <c r="AG445" s="22" t="str">
        <f t="shared" si="306"/>
        <v>고수</v>
      </c>
      <c r="AH445" s="22" t="str">
        <f t="shared" si="307"/>
        <v>고수</v>
      </c>
      <c r="AI445" s="22" t="str">
        <f t="shared" si="308"/>
        <v>고수</v>
      </c>
      <c r="AJ445" s="22" t="str">
        <f t="shared" si="309"/>
        <v>고수</v>
      </c>
      <c r="AK445" s="22" t="str">
        <f t="shared" si="310"/>
        <v>고수</v>
      </c>
      <c r="AL445" s="52" t="str">
        <f t="shared" si="311"/>
        <v>1 : 5</v>
      </c>
      <c r="AM445" s="22">
        <f t="shared" si="312"/>
        <v>1</v>
      </c>
      <c r="AN445" s="22">
        <f t="shared" si="313"/>
        <v>5</v>
      </c>
      <c r="AO445" s="22">
        <f t="shared" si="314"/>
        <v>21</v>
      </c>
      <c r="AP445" s="22" t="str">
        <f t="shared" si="315"/>
        <v>X</v>
      </c>
      <c r="AQ445" s="22" t="str">
        <f t="shared" si="316"/>
        <v>X</v>
      </c>
      <c r="AR445" s="22" t="str">
        <f t="shared" si="317"/>
        <v>X</v>
      </c>
      <c r="AS445" s="22" t="str">
        <f t="shared" si="318"/>
        <v>X</v>
      </c>
      <c r="AT445" s="22" t="str">
        <f t="shared" si="319"/>
        <v>X</v>
      </c>
      <c r="AU445" s="22" t="str">
        <f t="shared" si="320"/>
        <v>X</v>
      </c>
      <c r="AV445" s="22" t="str">
        <f t="shared" si="321"/>
        <v>X</v>
      </c>
      <c r="AW445" s="22" t="str">
        <f t="shared" si="322"/>
        <v>O</v>
      </c>
      <c r="AX445" s="22" t="str">
        <f t="shared" si="323"/>
        <v>X</v>
      </c>
      <c r="AY445" s="22" t="str">
        <f t="shared" si="324"/>
        <v>X</v>
      </c>
      <c r="AZ445" s="22" t="str">
        <f t="shared" si="325"/>
        <v>X</v>
      </c>
      <c r="BA445" s="22" t="str">
        <f t="shared" si="326"/>
        <v>X</v>
      </c>
      <c r="BB445" s="22">
        <f t="shared" si="327"/>
        <v>1</v>
      </c>
      <c r="BC445" s="22" t="str">
        <f t="shared" si="298"/>
        <v>1G</v>
      </c>
      <c r="BD445" s="22" t="str">
        <f t="shared" si="299"/>
        <v>2G</v>
      </c>
      <c r="BE445" s="22" t="str">
        <f t="shared" si="300"/>
        <v>2G</v>
      </c>
      <c r="BF445" s="22" t="str">
        <f t="shared" si="301"/>
        <v>2G</v>
      </c>
      <c r="BG445" s="22" t="str">
        <f t="shared" si="302"/>
        <v>3G</v>
      </c>
      <c r="BH445" s="22" t="str">
        <f t="shared" si="303"/>
        <v>3G</v>
      </c>
      <c r="BI445" s="22">
        <f t="shared" si="328"/>
        <v>1</v>
      </c>
      <c r="BJ445" s="22">
        <f t="shared" si="329"/>
        <v>3</v>
      </c>
      <c r="BK445" s="22">
        <f t="shared" si="330"/>
        <v>2</v>
      </c>
      <c r="BL445" s="22" t="str">
        <f t="shared" si="331"/>
        <v>132</v>
      </c>
      <c r="BS445"/>
      <c r="CL445" s="23">
        <v>177</v>
      </c>
      <c r="CM445" s="23">
        <v>170</v>
      </c>
      <c r="CO445"/>
    </row>
    <row r="446" spans="2:93" ht="17" hidden="1">
      <c r="B446" s="15">
        <v>442</v>
      </c>
      <c r="C446" s="23" t="s">
        <v>501</v>
      </c>
      <c r="N446" s="23">
        <v>25</v>
      </c>
      <c r="O446" s="23">
        <v>27</v>
      </c>
      <c r="P446" s="23">
        <v>29</v>
      </c>
      <c r="Q446" s="23">
        <v>36</v>
      </c>
      <c r="R446" s="23">
        <v>38</v>
      </c>
      <c r="S446" s="23">
        <v>40</v>
      </c>
      <c r="T446" s="23">
        <v>41</v>
      </c>
      <c r="U446" s="23">
        <f t="shared" si="304"/>
        <v>195</v>
      </c>
      <c r="W446" s="22" t="str">
        <f t="shared" si="332"/>
        <v>홀수</v>
      </c>
      <c r="X446" s="22" t="str">
        <f t="shared" si="333"/>
        <v>홀수</v>
      </c>
      <c r="Y446" s="22" t="str">
        <f t="shared" si="334"/>
        <v>홀수</v>
      </c>
      <c r="Z446" s="22" t="str">
        <f t="shared" si="335"/>
        <v>짝수</v>
      </c>
      <c r="AA446" s="22" t="str">
        <f t="shared" si="336"/>
        <v>짝수</v>
      </c>
      <c r="AB446" s="22" t="str">
        <f t="shared" si="337"/>
        <v>짝수</v>
      </c>
      <c r="AC446" s="52" t="str">
        <f t="shared" si="338"/>
        <v>3 : 3</v>
      </c>
      <c r="AD446" s="22">
        <f t="shared" si="339"/>
        <v>3</v>
      </c>
      <c r="AE446" s="22">
        <f t="shared" si="340"/>
        <v>3</v>
      </c>
      <c r="AF446" s="22" t="str">
        <f t="shared" si="305"/>
        <v>고수</v>
      </c>
      <c r="AG446" s="22" t="str">
        <f t="shared" si="306"/>
        <v>고수</v>
      </c>
      <c r="AH446" s="22" t="str">
        <f t="shared" si="307"/>
        <v>고수</v>
      </c>
      <c r="AI446" s="22" t="str">
        <f t="shared" si="308"/>
        <v>고수</v>
      </c>
      <c r="AJ446" s="22" t="str">
        <f t="shared" si="309"/>
        <v>고수</v>
      </c>
      <c r="AK446" s="22" t="str">
        <f t="shared" si="310"/>
        <v>고수</v>
      </c>
      <c r="AL446" s="52" t="str">
        <f t="shared" si="311"/>
        <v>0 : 6</v>
      </c>
      <c r="AM446" s="22">
        <f t="shared" si="312"/>
        <v>0</v>
      </c>
      <c r="AN446" s="22">
        <f t="shared" si="313"/>
        <v>6</v>
      </c>
      <c r="AO446" s="22">
        <f t="shared" si="314"/>
        <v>35</v>
      </c>
      <c r="AP446" s="22" t="str">
        <f t="shared" si="315"/>
        <v>X</v>
      </c>
      <c r="AQ446" s="22" t="str">
        <f t="shared" si="316"/>
        <v>X</v>
      </c>
      <c r="AR446" s="22" t="str">
        <f t="shared" si="317"/>
        <v>X</v>
      </c>
      <c r="AS446" s="22" t="str">
        <f t="shared" si="318"/>
        <v>X</v>
      </c>
      <c r="AT446" s="22" t="str">
        <f t="shared" si="319"/>
        <v>X</v>
      </c>
      <c r="AU446" s="22" t="str">
        <f t="shared" si="320"/>
        <v>X</v>
      </c>
      <c r="AV446" s="22" t="str">
        <f t="shared" si="321"/>
        <v>X</v>
      </c>
      <c r="AW446" s="22" t="str">
        <f t="shared" si="322"/>
        <v>X</v>
      </c>
      <c r="AX446" s="22" t="str">
        <f t="shared" si="323"/>
        <v>O</v>
      </c>
      <c r="AY446" s="22" t="str">
        <f t="shared" si="324"/>
        <v>X</v>
      </c>
      <c r="AZ446" s="22" t="str">
        <f t="shared" si="325"/>
        <v>X</v>
      </c>
      <c r="BA446" s="22" t="str">
        <f t="shared" si="326"/>
        <v>X</v>
      </c>
      <c r="BB446" s="22">
        <f t="shared" si="327"/>
        <v>1</v>
      </c>
      <c r="BC446" s="22" t="str">
        <f t="shared" si="298"/>
        <v>2G</v>
      </c>
      <c r="BD446" s="22" t="str">
        <f t="shared" si="299"/>
        <v>2G</v>
      </c>
      <c r="BE446" s="22" t="str">
        <f t="shared" si="300"/>
        <v>2G</v>
      </c>
      <c r="BF446" s="22" t="str">
        <f t="shared" si="301"/>
        <v>3G</v>
      </c>
      <c r="BG446" s="22" t="str">
        <f t="shared" si="302"/>
        <v>3G</v>
      </c>
      <c r="BH446" s="22" t="str">
        <f t="shared" si="303"/>
        <v>3G</v>
      </c>
      <c r="BI446" s="22">
        <f t="shared" si="328"/>
        <v>0</v>
      </c>
      <c r="BJ446" s="22">
        <f t="shared" si="329"/>
        <v>3</v>
      </c>
      <c r="BK446" s="22">
        <f t="shared" si="330"/>
        <v>3</v>
      </c>
      <c r="BL446" s="22" t="str">
        <f t="shared" si="331"/>
        <v>033</v>
      </c>
      <c r="BS446"/>
      <c r="CL446" s="23">
        <v>178</v>
      </c>
      <c r="CM446" s="23">
        <v>170</v>
      </c>
      <c r="CO446"/>
    </row>
    <row r="447" spans="2:93" ht="17" hidden="1">
      <c r="B447" s="15">
        <v>443</v>
      </c>
      <c r="C447" s="23" t="s">
        <v>502</v>
      </c>
      <c r="N447" s="23">
        <v>4</v>
      </c>
      <c r="O447" s="23">
        <v>6</v>
      </c>
      <c r="P447" s="23">
        <v>10</v>
      </c>
      <c r="Q447" s="23">
        <v>19</v>
      </c>
      <c r="R447" s="23">
        <v>20</v>
      </c>
      <c r="S447" s="23">
        <v>44</v>
      </c>
      <c r="T447" s="23">
        <v>14</v>
      </c>
      <c r="U447" s="23">
        <f t="shared" si="304"/>
        <v>103</v>
      </c>
      <c r="W447" s="22" t="str">
        <f t="shared" si="332"/>
        <v>짝수</v>
      </c>
      <c r="X447" s="22" t="str">
        <f t="shared" si="333"/>
        <v>짝수</v>
      </c>
      <c r="Y447" s="22" t="str">
        <f t="shared" si="334"/>
        <v>짝수</v>
      </c>
      <c r="Z447" s="22" t="str">
        <f t="shared" si="335"/>
        <v>홀수</v>
      </c>
      <c r="AA447" s="22" t="str">
        <f t="shared" si="336"/>
        <v>짝수</v>
      </c>
      <c r="AB447" s="22" t="str">
        <f t="shared" si="337"/>
        <v>짝수</v>
      </c>
      <c r="AC447" s="52" t="str">
        <f t="shared" si="338"/>
        <v>1 : 5</v>
      </c>
      <c r="AD447" s="22">
        <f t="shared" si="339"/>
        <v>1</v>
      </c>
      <c r="AE447" s="22">
        <f t="shared" si="340"/>
        <v>5</v>
      </c>
      <c r="AF447" s="22" t="str">
        <f t="shared" si="305"/>
        <v>저수</v>
      </c>
      <c r="AG447" s="22" t="str">
        <f t="shared" si="306"/>
        <v>저수</v>
      </c>
      <c r="AH447" s="22" t="str">
        <f t="shared" si="307"/>
        <v>저수</v>
      </c>
      <c r="AI447" s="22" t="str">
        <f t="shared" si="308"/>
        <v>저수</v>
      </c>
      <c r="AJ447" s="22" t="str">
        <f t="shared" si="309"/>
        <v>저수</v>
      </c>
      <c r="AK447" s="22" t="str">
        <f t="shared" si="310"/>
        <v>고수</v>
      </c>
      <c r="AL447" s="52" t="str">
        <f t="shared" si="311"/>
        <v>5 : 1</v>
      </c>
      <c r="AM447" s="22">
        <f t="shared" si="312"/>
        <v>5</v>
      </c>
      <c r="AN447" s="22">
        <f t="shared" si="313"/>
        <v>1</v>
      </c>
      <c r="AO447" s="22">
        <f t="shared" si="314"/>
        <v>23</v>
      </c>
      <c r="AP447" s="22" t="str">
        <f t="shared" si="315"/>
        <v>X</v>
      </c>
      <c r="AQ447" s="22" t="str">
        <f t="shared" si="316"/>
        <v>X</v>
      </c>
      <c r="AR447" s="22" t="str">
        <f t="shared" si="317"/>
        <v>X</v>
      </c>
      <c r="AS447" s="22" t="str">
        <f t="shared" si="318"/>
        <v>O</v>
      </c>
      <c r="AT447" s="22" t="str">
        <f t="shared" si="319"/>
        <v>X</v>
      </c>
      <c r="AU447" s="22" t="str">
        <f t="shared" si="320"/>
        <v>X</v>
      </c>
      <c r="AV447" s="22" t="str">
        <f t="shared" si="321"/>
        <v>X</v>
      </c>
      <c r="AW447" s="22" t="str">
        <f t="shared" si="322"/>
        <v>X</v>
      </c>
      <c r="AX447" s="22" t="str">
        <f t="shared" si="323"/>
        <v>X</v>
      </c>
      <c r="AY447" s="22" t="str">
        <f t="shared" si="324"/>
        <v>X</v>
      </c>
      <c r="AZ447" s="22" t="str">
        <f t="shared" si="325"/>
        <v>X</v>
      </c>
      <c r="BA447" s="22" t="str">
        <f t="shared" si="326"/>
        <v>X</v>
      </c>
      <c r="BB447" s="22">
        <f t="shared" si="327"/>
        <v>1</v>
      </c>
      <c r="BC447" s="22" t="str">
        <f t="shared" si="298"/>
        <v>1G</v>
      </c>
      <c r="BD447" s="22" t="str">
        <f t="shared" si="299"/>
        <v>1G</v>
      </c>
      <c r="BE447" s="22" t="str">
        <f t="shared" si="300"/>
        <v>1G</v>
      </c>
      <c r="BF447" s="22" t="str">
        <f t="shared" si="301"/>
        <v>2G</v>
      </c>
      <c r="BG447" s="22" t="str">
        <f t="shared" si="302"/>
        <v>2G</v>
      </c>
      <c r="BH447" s="22" t="str">
        <f t="shared" si="303"/>
        <v>3G</v>
      </c>
      <c r="BI447" s="22">
        <f t="shared" si="328"/>
        <v>3</v>
      </c>
      <c r="BJ447" s="22">
        <f t="shared" si="329"/>
        <v>2</v>
      </c>
      <c r="BK447" s="22">
        <f t="shared" si="330"/>
        <v>1</v>
      </c>
      <c r="BL447" s="22" t="str">
        <f t="shared" si="331"/>
        <v>321</v>
      </c>
      <c r="BS447"/>
      <c r="CL447" s="23">
        <v>178</v>
      </c>
      <c r="CM447" s="23">
        <v>170</v>
      </c>
      <c r="CO447"/>
    </row>
    <row r="448" spans="2:93" ht="17" hidden="1">
      <c r="B448" s="15">
        <v>444</v>
      </c>
      <c r="C448" s="23" t="s">
        <v>503</v>
      </c>
      <c r="N448" s="23">
        <v>11</v>
      </c>
      <c r="O448" s="23">
        <v>13</v>
      </c>
      <c r="P448" s="23">
        <v>23</v>
      </c>
      <c r="Q448" s="23">
        <v>35</v>
      </c>
      <c r="R448" s="23">
        <v>43</v>
      </c>
      <c r="S448" s="23">
        <v>45</v>
      </c>
      <c r="T448" s="23">
        <v>17</v>
      </c>
      <c r="U448" s="23">
        <f t="shared" si="304"/>
        <v>170</v>
      </c>
      <c r="W448" s="22" t="str">
        <f t="shared" si="332"/>
        <v>홀수</v>
      </c>
      <c r="X448" s="22" t="str">
        <f t="shared" si="333"/>
        <v>홀수</v>
      </c>
      <c r="Y448" s="22" t="str">
        <f t="shared" si="334"/>
        <v>홀수</v>
      </c>
      <c r="Z448" s="22" t="str">
        <f t="shared" si="335"/>
        <v>홀수</v>
      </c>
      <c r="AA448" s="22" t="str">
        <f t="shared" si="336"/>
        <v>홀수</v>
      </c>
      <c r="AB448" s="22" t="str">
        <f t="shared" si="337"/>
        <v>홀수</v>
      </c>
      <c r="AC448" s="52" t="str">
        <f t="shared" si="338"/>
        <v>6 : 0</v>
      </c>
      <c r="AD448" s="22">
        <f t="shared" si="339"/>
        <v>6</v>
      </c>
      <c r="AE448" s="22">
        <f t="shared" si="340"/>
        <v>0</v>
      </c>
      <c r="AF448" s="22" t="str">
        <f t="shared" si="305"/>
        <v>저수</v>
      </c>
      <c r="AG448" s="22" t="str">
        <f t="shared" si="306"/>
        <v>저수</v>
      </c>
      <c r="AH448" s="22" t="str">
        <f t="shared" si="307"/>
        <v>고수</v>
      </c>
      <c r="AI448" s="22" t="str">
        <f t="shared" si="308"/>
        <v>고수</v>
      </c>
      <c r="AJ448" s="22" t="str">
        <f t="shared" si="309"/>
        <v>고수</v>
      </c>
      <c r="AK448" s="22" t="str">
        <f t="shared" si="310"/>
        <v>고수</v>
      </c>
      <c r="AL448" s="52" t="str">
        <f t="shared" si="311"/>
        <v>2 : 4</v>
      </c>
      <c r="AM448" s="22">
        <f t="shared" si="312"/>
        <v>2</v>
      </c>
      <c r="AN448" s="22">
        <f t="shared" si="313"/>
        <v>4</v>
      </c>
      <c r="AO448" s="22">
        <f t="shared" si="314"/>
        <v>20</v>
      </c>
      <c r="AP448" s="22" t="str">
        <f t="shared" si="315"/>
        <v>O</v>
      </c>
      <c r="AQ448" s="22" t="str">
        <f t="shared" si="316"/>
        <v>O</v>
      </c>
      <c r="AR448" s="22" t="str">
        <f t="shared" si="317"/>
        <v>X</v>
      </c>
      <c r="AS448" s="22" t="str">
        <f t="shared" si="318"/>
        <v>X</v>
      </c>
      <c r="AT448" s="22" t="str">
        <f t="shared" si="319"/>
        <v>X</v>
      </c>
      <c r="AU448" s="22" t="str">
        <f t="shared" si="320"/>
        <v>X</v>
      </c>
      <c r="AV448" s="22" t="str">
        <f t="shared" si="321"/>
        <v>X</v>
      </c>
      <c r="AW448" s="22" t="str">
        <f t="shared" si="322"/>
        <v>X</v>
      </c>
      <c r="AX448" s="22" t="str">
        <f t="shared" si="323"/>
        <v>O</v>
      </c>
      <c r="AY448" s="22" t="str">
        <f t="shared" si="324"/>
        <v>X</v>
      </c>
      <c r="AZ448" s="22" t="str">
        <f t="shared" si="325"/>
        <v>O</v>
      </c>
      <c r="BA448" s="22" t="str">
        <f t="shared" si="326"/>
        <v>X</v>
      </c>
      <c r="BB448" s="22">
        <f t="shared" si="327"/>
        <v>4</v>
      </c>
      <c r="BC448" s="22" t="str">
        <f t="shared" si="298"/>
        <v>1G</v>
      </c>
      <c r="BD448" s="22" t="str">
        <f t="shared" si="299"/>
        <v>1G</v>
      </c>
      <c r="BE448" s="22" t="str">
        <f t="shared" si="300"/>
        <v>2G</v>
      </c>
      <c r="BF448" s="22" t="str">
        <f t="shared" si="301"/>
        <v>3G</v>
      </c>
      <c r="BG448" s="22" t="str">
        <f t="shared" si="302"/>
        <v>3G</v>
      </c>
      <c r="BH448" s="22" t="str">
        <f t="shared" si="303"/>
        <v>3G</v>
      </c>
      <c r="BI448" s="22">
        <f t="shared" si="328"/>
        <v>2</v>
      </c>
      <c r="BJ448" s="22">
        <f t="shared" si="329"/>
        <v>1</v>
      </c>
      <c r="BK448" s="22">
        <f t="shared" si="330"/>
        <v>3</v>
      </c>
      <c r="BL448" s="22" t="str">
        <f t="shared" si="331"/>
        <v>213</v>
      </c>
      <c r="BS448"/>
      <c r="CL448" s="23">
        <v>178</v>
      </c>
      <c r="CM448" s="23">
        <v>170</v>
      </c>
      <c r="CO448"/>
    </row>
    <row r="449" spans="2:93" ht="17" hidden="1">
      <c r="B449" s="15">
        <v>445</v>
      </c>
      <c r="C449" s="23" t="s">
        <v>504</v>
      </c>
      <c r="N449" s="23">
        <v>13</v>
      </c>
      <c r="O449" s="23">
        <v>20</v>
      </c>
      <c r="P449" s="23">
        <v>21</v>
      </c>
      <c r="Q449" s="23">
        <v>30</v>
      </c>
      <c r="R449" s="23">
        <v>39</v>
      </c>
      <c r="S449" s="23">
        <v>45</v>
      </c>
      <c r="T449" s="23">
        <v>32</v>
      </c>
      <c r="U449" s="23">
        <f t="shared" si="304"/>
        <v>168</v>
      </c>
      <c r="W449" s="22" t="str">
        <f t="shared" si="332"/>
        <v>홀수</v>
      </c>
      <c r="X449" s="22" t="str">
        <f t="shared" si="333"/>
        <v>짝수</v>
      </c>
      <c r="Y449" s="22" t="str">
        <f t="shared" si="334"/>
        <v>홀수</v>
      </c>
      <c r="Z449" s="22" t="str">
        <f t="shared" si="335"/>
        <v>짝수</v>
      </c>
      <c r="AA449" s="22" t="str">
        <f t="shared" si="336"/>
        <v>홀수</v>
      </c>
      <c r="AB449" s="22" t="str">
        <f t="shared" si="337"/>
        <v>홀수</v>
      </c>
      <c r="AC449" s="52" t="str">
        <f t="shared" si="338"/>
        <v>4 : 2</v>
      </c>
      <c r="AD449" s="22">
        <f t="shared" si="339"/>
        <v>4</v>
      </c>
      <c r="AE449" s="22">
        <f t="shared" si="340"/>
        <v>2</v>
      </c>
      <c r="AF449" s="22" t="str">
        <f t="shared" si="305"/>
        <v>저수</v>
      </c>
      <c r="AG449" s="22" t="str">
        <f t="shared" si="306"/>
        <v>저수</v>
      </c>
      <c r="AH449" s="22" t="str">
        <f t="shared" si="307"/>
        <v>저수</v>
      </c>
      <c r="AI449" s="22" t="str">
        <f t="shared" si="308"/>
        <v>고수</v>
      </c>
      <c r="AJ449" s="22" t="str">
        <f t="shared" si="309"/>
        <v>고수</v>
      </c>
      <c r="AK449" s="22" t="str">
        <f t="shared" si="310"/>
        <v>고수</v>
      </c>
      <c r="AL449" s="52" t="str">
        <f t="shared" si="311"/>
        <v>3 : 3</v>
      </c>
      <c r="AM449" s="22">
        <f t="shared" si="312"/>
        <v>3</v>
      </c>
      <c r="AN449" s="22">
        <f t="shared" si="313"/>
        <v>3</v>
      </c>
      <c r="AO449" s="22">
        <f t="shared" si="314"/>
        <v>18</v>
      </c>
      <c r="AP449" s="22" t="str">
        <f t="shared" si="315"/>
        <v>O</v>
      </c>
      <c r="AQ449" s="22" t="str">
        <f t="shared" si="316"/>
        <v>X</v>
      </c>
      <c r="AR449" s="22" t="str">
        <f t="shared" si="317"/>
        <v>X</v>
      </c>
      <c r="AS449" s="22" t="str">
        <f t="shared" si="318"/>
        <v>X</v>
      </c>
      <c r="AT449" s="22" t="str">
        <f t="shared" si="319"/>
        <v>X</v>
      </c>
      <c r="AU449" s="22" t="str">
        <f t="shared" si="320"/>
        <v>X</v>
      </c>
      <c r="AV449" s="22" t="str">
        <f t="shared" si="321"/>
        <v>X</v>
      </c>
      <c r="AW449" s="22" t="str">
        <f t="shared" si="322"/>
        <v>X</v>
      </c>
      <c r="AX449" s="22" t="str">
        <f t="shared" si="323"/>
        <v>X</v>
      </c>
      <c r="AY449" s="22" t="str">
        <f t="shared" si="324"/>
        <v>X</v>
      </c>
      <c r="AZ449" s="22" t="str">
        <f t="shared" si="325"/>
        <v>X</v>
      </c>
      <c r="BA449" s="22" t="str">
        <f t="shared" si="326"/>
        <v>X</v>
      </c>
      <c r="BB449" s="22">
        <f t="shared" si="327"/>
        <v>1</v>
      </c>
      <c r="BC449" s="22" t="str">
        <f t="shared" si="298"/>
        <v>1G</v>
      </c>
      <c r="BD449" s="22" t="str">
        <f t="shared" si="299"/>
        <v>2G</v>
      </c>
      <c r="BE449" s="22" t="str">
        <f t="shared" si="300"/>
        <v>2G</v>
      </c>
      <c r="BF449" s="22" t="str">
        <f t="shared" si="301"/>
        <v>2G</v>
      </c>
      <c r="BG449" s="22" t="str">
        <f t="shared" si="302"/>
        <v>3G</v>
      </c>
      <c r="BH449" s="22" t="str">
        <f t="shared" si="303"/>
        <v>3G</v>
      </c>
      <c r="BI449" s="22">
        <f t="shared" si="328"/>
        <v>1</v>
      </c>
      <c r="BJ449" s="22">
        <f t="shared" si="329"/>
        <v>3</v>
      </c>
      <c r="BK449" s="22">
        <f t="shared" si="330"/>
        <v>2</v>
      </c>
      <c r="BL449" s="22" t="str">
        <f t="shared" si="331"/>
        <v>132</v>
      </c>
      <c r="BS449"/>
      <c r="CL449" s="23">
        <v>178</v>
      </c>
      <c r="CM449" s="23">
        <v>170</v>
      </c>
      <c r="CO449"/>
    </row>
    <row r="450" spans="2:93" ht="17" hidden="1">
      <c r="B450" s="15">
        <v>446</v>
      </c>
      <c r="C450" s="23" t="s">
        <v>505</v>
      </c>
      <c r="N450" s="23">
        <v>1</v>
      </c>
      <c r="O450" s="23">
        <v>11</v>
      </c>
      <c r="P450" s="23">
        <v>12</v>
      </c>
      <c r="Q450" s="23">
        <v>14</v>
      </c>
      <c r="R450" s="23">
        <v>26</v>
      </c>
      <c r="S450" s="23">
        <v>35</v>
      </c>
      <c r="T450" s="23">
        <v>6</v>
      </c>
      <c r="U450" s="23">
        <f t="shared" si="304"/>
        <v>99</v>
      </c>
      <c r="W450" s="22" t="str">
        <f t="shared" si="332"/>
        <v>홀수</v>
      </c>
      <c r="X450" s="22" t="str">
        <f t="shared" si="333"/>
        <v>홀수</v>
      </c>
      <c r="Y450" s="22" t="str">
        <f t="shared" si="334"/>
        <v>짝수</v>
      </c>
      <c r="Z450" s="22" t="str">
        <f t="shared" si="335"/>
        <v>짝수</v>
      </c>
      <c r="AA450" s="22" t="str">
        <f t="shared" si="336"/>
        <v>짝수</v>
      </c>
      <c r="AB450" s="22" t="str">
        <f t="shared" si="337"/>
        <v>홀수</v>
      </c>
      <c r="AC450" s="52" t="str">
        <f t="shared" si="338"/>
        <v>3 : 3</v>
      </c>
      <c r="AD450" s="22">
        <f t="shared" si="339"/>
        <v>3</v>
      </c>
      <c r="AE450" s="22">
        <f t="shared" si="340"/>
        <v>3</v>
      </c>
      <c r="AF450" s="22" t="str">
        <f t="shared" si="305"/>
        <v>저수</v>
      </c>
      <c r="AG450" s="22" t="str">
        <f t="shared" si="306"/>
        <v>저수</v>
      </c>
      <c r="AH450" s="22" t="str">
        <f t="shared" si="307"/>
        <v>저수</v>
      </c>
      <c r="AI450" s="22" t="str">
        <f t="shared" si="308"/>
        <v>저수</v>
      </c>
      <c r="AJ450" s="22" t="str">
        <f t="shared" si="309"/>
        <v>고수</v>
      </c>
      <c r="AK450" s="22" t="str">
        <f t="shared" si="310"/>
        <v>고수</v>
      </c>
      <c r="AL450" s="52" t="str">
        <f t="shared" si="311"/>
        <v>4 : 2</v>
      </c>
      <c r="AM450" s="22">
        <f t="shared" si="312"/>
        <v>4</v>
      </c>
      <c r="AN450" s="22">
        <f t="shared" si="313"/>
        <v>2</v>
      </c>
      <c r="AO450" s="22">
        <f t="shared" si="314"/>
        <v>19</v>
      </c>
      <c r="AP450" s="22" t="str">
        <f t="shared" si="315"/>
        <v>X</v>
      </c>
      <c r="AQ450" s="22" t="str">
        <f t="shared" si="316"/>
        <v>O</v>
      </c>
      <c r="AR450" s="22" t="str">
        <f t="shared" si="317"/>
        <v>X</v>
      </c>
      <c r="AS450" s="22" t="str">
        <f t="shared" si="318"/>
        <v>X</v>
      </c>
      <c r="AT450" s="22" t="str">
        <f t="shared" si="319"/>
        <v>X</v>
      </c>
      <c r="AU450" s="22" t="str">
        <f t="shared" si="320"/>
        <v>X</v>
      </c>
      <c r="AV450" s="22" t="str">
        <f t="shared" si="321"/>
        <v>X</v>
      </c>
      <c r="AW450" s="22" t="str">
        <f t="shared" si="322"/>
        <v>X</v>
      </c>
      <c r="AX450" s="22" t="str">
        <f t="shared" si="323"/>
        <v>X</v>
      </c>
      <c r="AY450" s="22" t="str">
        <f t="shared" si="324"/>
        <v>X</v>
      </c>
      <c r="AZ450" s="22" t="str">
        <f t="shared" si="325"/>
        <v>X</v>
      </c>
      <c r="BA450" s="22" t="str">
        <f t="shared" si="326"/>
        <v>X</v>
      </c>
      <c r="BB450" s="22">
        <f t="shared" si="327"/>
        <v>1</v>
      </c>
      <c r="BC450" s="22" t="str">
        <f t="shared" si="298"/>
        <v>1G</v>
      </c>
      <c r="BD450" s="22" t="str">
        <f t="shared" si="299"/>
        <v>1G</v>
      </c>
      <c r="BE450" s="22" t="str">
        <f t="shared" si="300"/>
        <v>1G</v>
      </c>
      <c r="BF450" s="22" t="str">
        <f t="shared" si="301"/>
        <v>1G</v>
      </c>
      <c r="BG450" s="22" t="str">
        <f t="shared" si="302"/>
        <v>2G</v>
      </c>
      <c r="BH450" s="22" t="str">
        <f t="shared" si="303"/>
        <v>3G</v>
      </c>
      <c r="BI450" s="22">
        <f t="shared" si="328"/>
        <v>4</v>
      </c>
      <c r="BJ450" s="22">
        <f t="shared" si="329"/>
        <v>1</v>
      </c>
      <c r="BK450" s="22">
        <f t="shared" si="330"/>
        <v>1</v>
      </c>
      <c r="BL450" s="22" t="str">
        <f t="shared" si="331"/>
        <v>411</v>
      </c>
      <c r="BS450"/>
      <c r="CL450" s="23">
        <v>179</v>
      </c>
      <c r="CM450" s="23">
        <v>170</v>
      </c>
      <c r="CO450"/>
    </row>
    <row r="451" spans="2:93" ht="17" hidden="1">
      <c r="B451" s="15">
        <v>447</v>
      </c>
      <c r="C451" s="23" t="s">
        <v>506</v>
      </c>
      <c r="N451" s="23">
        <v>2</v>
      </c>
      <c r="O451" s="23">
        <v>7</v>
      </c>
      <c r="P451" s="23">
        <v>8</v>
      </c>
      <c r="Q451" s="23">
        <v>9</v>
      </c>
      <c r="R451" s="23">
        <v>17</v>
      </c>
      <c r="S451" s="23">
        <v>33</v>
      </c>
      <c r="T451" s="23">
        <v>34</v>
      </c>
      <c r="U451" s="23">
        <f t="shared" si="304"/>
        <v>76</v>
      </c>
      <c r="W451" s="22" t="str">
        <f t="shared" si="332"/>
        <v>짝수</v>
      </c>
      <c r="X451" s="22" t="str">
        <f t="shared" si="333"/>
        <v>홀수</v>
      </c>
      <c r="Y451" s="22" t="str">
        <f t="shared" si="334"/>
        <v>짝수</v>
      </c>
      <c r="Z451" s="22" t="str">
        <f t="shared" si="335"/>
        <v>홀수</v>
      </c>
      <c r="AA451" s="22" t="str">
        <f t="shared" si="336"/>
        <v>홀수</v>
      </c>
      <c r="AB451" s="22" t="str">
        <f t="shared" si="337"/>
        <v>홀수</v>
      </c>
      <c r="AC451" s="52" t="str">
        <f t="shared" si="338"/>
        <v>4 : 2</v>
      </c>
      <c r="AD451" s="22">
        <f t="shared" si="339"/>
        <v>4</v>
      </c>
      <c r="AE451" s="22">
        <f t="shared" si="340"/>
        <v>2</v>
      </c>
      <c r="AF451" s="22" t="str">
        <f t="shared" si="305"/>
        <v>저수</v>
      </c>
      <c r="AG451" s="22" t="str">
        <f t="shared" si="306"/>
        <v>저수</v>
      </c>
      <c r="AH451" s="22" t="str">
        <f t="shared" si="307"/>
        <v>저수</v>
      </c>
      <c r="AI451" s="22" t="str">
        <f t="shared" si="308"/>
        <v>저수</v>
      </c>
      <c r="AJ451" s="22" t="str">
        <f t="shared" si="309"/>
        <v>저수</v>
      </c>
      <c r="AK451" s="22" t="str">
        <f t="shared" si="310"/>
        <v>고수</v>
      </c>
      <c r="AL451" s="52" t="str">
        <f t="shared" si="311"/>
        <v>5 : 1</v>
      </c>
      <c r="AM451" s="22">
        <f t="shared" si="312"/>
        <v>5</v>
      </c>
      <c r="AN451" s="22">
        <f t="shared" si="313"/>
        <v>1</v>
      </c>
      <c r="AO451" s="22">
        <f t="shared" si="314"/>
        <v>36</v>
      </c>
      <c r="AP451" s="22" t="str">
        <f t="shared" si="315"/>
        <v>O</v>
      </c>
      <c r="AQ451" s="22" t="str">
        <f t="shared" si="316"/>
        <v>O</v>
      </c>
      <c r="AR451" s="22" t="str">
        <f t="shared" si="317"/>
        <v>X</v>
      </c>
      <c r="AS451" s="22" t="str">
        <f t="shared" si="318"/>
        <v>X</v>
      </c>
      <c r="AT451" s="22" t="str">
        <f t="shared" si="319"/>
        <v>O</v>
      </c>
      <c r="AU451" s="22" t="str">
        <f t="shared" si="320"/>
        <v>X</v>
      </c>
      <c r="AV451" s="22" t="str">
        <f t="shared" si="321"/>
        <v>X</v>
      </c>
      <c r="AW451" s="22" t="str">
        <f t="shared" si="322"/>
        <v>X</v>
      </c>
      <c r="AX451" s="22" t="str">
        <f t="shared" si="323"/>
        <v>X</v>
      </c>
      <c r="AY451" s="22" t="str">
        <f t="shared" si="324"/>
        <v>X</v>
      </c>
      <c r="AZ451" s="22" t="str">
        <f t="shared" si="325"/>
        <v>X</v>
      </c>
      <c r="BA451" s="22" t="str">
        <f t="shared" si="326"/>
        <v>X</v>
      </c>
      <c r="BB451" s="22">
        <f t="shared" si="327"/>
        <v>3</v>
      </c>
      <c r="BC451" s="22" t="str">
        <f t="shared" si="298"/>
        <v>1G</v>
      </c>
      <c r="BD451" s="22" t="str">
        <f t="shared" si="299"/>
        <v>1G</v>
      </c>
      <c r="BE451" s="22" t="str">
        <f t="shared" si="300"/>
        <v>1G</v>
      </c>
      <c r="BF451" s="22" t="str">
        <f t="shared" si="301"/>
        <v>1G</v>
      </c>
      <c r="BG451" s="22" t="str">
        <f t="shared" si="302"/>
        <v>2G</v>
      </c>
      <c r="BH451" s="22" t="str">
        <f t="shared" si="303"/>
        <v>3G</v>
      </c>
      <c r="BI451" s="22">
        <f t="shared" si="328"/>
        <v>4</v>
      </c>
      <c r="BJ451" s="22">
        <f t="shared" si="329"/>
        <v>1</v>
      </c>
      <c r="BK451" s="22">
        <f t="shared" si="330"/>
        <v>1</v>
      </c>
      <c r="BL451" s="22" t="str">
        <f t="shared" si="331"/>
        <v>411</v>
      </c>
      <c r="BS451"/>
      <c r="CL451" s="23">
        <v>179</v>
      </c>
      <c r="CM451" s="23">
        <v>170</v>
      </c>
      <c r="CO451"/>
    </row>
    <row r="452" spans="2:93" ht="17" hidden="1">
      <c r="B452" s="15">
        <v>448</v>
      </c>
      <c r="C452" s="23" t="s">
        <v>507</v>
      </c>
      <c r="N452" s="23">
        <v>3</v>
      </c>
      <c r="O452" s="23">
        <v>7</v>
      </c>
      <c r="P452" s="23">
        <v>13</v>
      </c>
      <c r="Q452" s="23">
        <v>27</v>
      </c>
      <c r="R452" s="23">
        <v>40</v>
      </c>
      <c r="S452" s="23">
        <v>41</v>
      </c>
      <c r="T452" s="23">
        <v>36</v>
      </c>
      <c r="U452" s="23">
        <f t="shared" si="304"/>
        <v>131</v>
      </c>
      <c r="W452" s="22" t="str">
        <f t="shared" si="332"/>
        <v>홀수</v>
      </c>
      <c r="X452" s="22" t="str">
        <f t="shared" si="333"/>
        <v>홀수</v>
      </c>
      <c r="Y452" s="22" t="str">
        <f t="shared" si="334"/>
        <v>홀수</v>
      </c>
      <c r="Z452" s="22" t="str">
        <f t="shared" si="335"/>
        <v>홀수</v>
      </c>
      <c r="AA452" s="22" t="str">
        <f t="shared" si="336"/>
        <v>짝수</v>
      </c>
      <c r="AB452" s="22" t="str">
        <f t="shared" si="337"/>
        <v>홀수</v>
      </c>
      <c r="AC452" s="52" t="str">
        <f t="shared" si="338"/>
        <v>5 : 1</v>
      </c>
      <c r="AD452" s="22">
        <f t="shared" si="339"/>
        <v>5</v>
      </c>
      <c r="AE452" s="22">
        <f t="shared" si="340"/>
        <v>1</v>
      </c>
      <c r="AF452" s="22" t="str">
        <f t="shared" si="305"/>
        <v>저수</v>
      </c>
      <c r="AG452" s="22" t="str">
        <f t="shared" si="306"/>
        <v>저수</v>
      </c>
      <c r="AH452" s="22" t="str">
        <f t="shared" si="307"/>
        <v>저수</v>
      </c>
      <c r="AI452" s="22" t="str">
        <f t="shared" si="308"/>
        <v>고수</v>
      </c>
      <c r="AJ452" s="22" t="str">
        <f t="shared" si="309"/>
        <v>고수</v>
      </c>
      <c r="AK452" s="22" t="str">
        <f t="shared" si="310"/>
        <v>고수</v>
      </c>
      <c r="AL452" s="52" t="str">
        <f t="shared" si="311"/>
        <v>3 : 3</v>
      </c>
      <c r="AM452" s="22">
        <f t="shared" si="312"/>
        <v>3</v>
      </c>
      <c r="AN452" s="22">
        <f t="shared" si="313"/>
        <v>3</v>
      </c>
      <c r="AO452" s="22">
        <f t="shared" si="314"/>
        <v>21</v>
      </c>
      <c r="AP452" s="22" t="str">
        <f t="shared" si="315"/>
        <v>O</v>
      </c>
      <c r="AQ452" s="22" t="str">
        <f t="shared" si="316"/>
        <v>O</v>
      </c>
      <c r="AR452" s="22" t="str">
        <f t="shared" si="317"/>
        <v>O</v>
      </c>
      <c r="AS452" s="22" t="str">
        <f t="shared" si="318"/>
        <v>X</v>
      </c>
      <c r="AT452" s="22" t="str">
        <f t="shared" si="319"/>
        <v>X</v>
      </c>
      <c r="AU452" s="22" t="str">
        <f t="shared" si="320"/>
        <v>X</v>
      </c>
      <c r="AV452" s="22" t="str">
        <f t="shared" si="321"/>
        <v>X</v>
      </c>
      <c r="AW452" s="22" t="str">
        <f t="shared" si="322"/>
        <v>X</v>
      </c>
      <c r="AX452" s="22" t="str">
        <f t="shared" si="323"/>
        <v>X</v>
      </c>
      <c r="AY452" s="22" t="str">
        <f t="shared" si="324"/>
        <v>X</v>
      </c>
      <c r="AZ452" s="22" t="str">
        <f t="shared" si="325"/>
        <v>X</v>
      </c>
      <c r="BA452" s="22" t="str">
        <f t="shared" si="326"/>
        <v>O</v>
      </c>
      <c r="BB452" s="22">
        <f t="shared" si="327"/>
        <v>4</v>
      </c>
      <c r="BC452" s="22" t="str">
        <f t="shared" si="298"/>
        <v>1G</v>
      </c>
      <c r="BD452" s="22" t="str">
        <f t="shared" si="299"/>
        <v>1G</v>
      </c>
      <c r="BE452" s="22" t="str">
        <f t="shared" si="300"/>
        <v>1G</v>
      </c>
      <c r="BF452" s="22" t="str">
        <f t="shared" si="301"/>
        <v>2G</v>
      </c>
      <c r="BG452" s="22" t="str">
        <f t="shared" si="302"/>
        <v>3G</v>
      </c>
      <c r="BH452" s="22" t="str">
        <f t="shared" si="303"/>
        <v>3G</v>
      </c>
      <c r="BI452" s="22">
        <f t="shared" si="328"/>
        <v>3</v>
      </c>
      <c r="BJ452" s="22">
        <f t="shared" si="329"/>
        <v>1</v>
      </c>
      <c r="BK452" s="22">
        <f t="shared" si="330"/>
        <v>2</v>
      </c>
      <c r="BL452" s="22" t="str">
        <f t="shared" si="331"/>
        <v>312</v>
      </c>
      <c r="BS452"/>
      <c r="CL452" s="23">
        <v>180</v>
      </c>
      <c r="CM452" s="23">
        <v>180</v>
      </c>
      <c r="CO452"/>
    </row>
    <row r="453" spans="2:93" ht="17" hidden="1">
      <c r="B453" s="15">
        <v>449</v>
      </c>
      <c r="C453" s="23" t="s">
        <v>508</v>
      </c>
      <c r="N453" s="23">
        <v>3</v>
      </c>
      <c r="O453" s="23">
        <v>10</v>
      </c>
      <c r="P453" s="23">
        <v>20</v>
      </c>
      <c r="Q453" s="23">
        <v>26</v>
      </c>
      <c r="R453" s="23">
        <v>35</v>
      </c>
      <c r="S453" s="23">
        <v>43</v>
      </c>
      <c r="T453" s="23">
        <v>36</v>
      </c>
      <c r="U453" s="23">
        <f t="shared" si="304"/>
        <v>137</v>
      </c>
      <c r="W453" s="22" t="str">
        <f t="shared" si="332"/>
        <v>홀수</v>
      </c>
      <c r="X453" s="22" t="str">
        <f t="shared" si="333"/>
        <v>짝수</v>
      </c>
      <c r="Y453" s="22" t="str">
        <f t="shared" si="334"/>
        <v>짝수</v>
      </c>
      <c r="Z453" s="22" t="str">
        <f t="shared" si="335"/>
        <v>짝수</v>
      </c>
      <c r="AA453" s="22" t="str">
        <f t="shared" si="336"/>
        <v>홀수</v>
      </c>
      <c r="AB453" s="22" t="str">
        <f t="shared" si="337"/>
        <v>홀수</v>
      </c>
      <c r="AC453" s="52" t="str">
        <f t="shared" si="338"/>
        <v>3 : 3</v>
      </c>
      <c r="AD453" s="22">
        <f t="shared" si="339"/>
        <v>3</v>
      </c>
      <c r="AE453" s="22">
        <f t="shared" si="340"/>
        <v>3</v>
      </c>
      <c r="AF453" s="22" t="str">
        <f t="shared" si="305"/>
        <v>저수</v>
      </c>
      <c r="AG453" s="22" t="str">
        <f t="shared" si="306"/>
        <v>저수</v>
      </c>
      <c r="AH453" s="22" t="str">
        <f t="shared" si="307"/>
        <v>저수</v>
      </c>
      <c r="AI453" s="22" t="str">
        <f t="shared" si="308"/>
        <v>고수</v>
      </c>
      <c r="AJ453" s="22" t="str">
        <f t="shared" si="309"/>
        <v>고수</v>
      </c>
      <c r="AK453" s="22" t="str">
        <f t="shared" si="310"/>
        <v>고수</v>
      </c>
      <c r="AL453" s="52" t="str">
        <f t="shared" si="311"/>
        <v>3 : 3</v>
      </c>
      <c r="AM453" s="22">
        <f t="shared" si="312"/>
        <v>3</v>
      </c>
      <c r="AN453" s="22">
        <f t="shared" si="313"/>
        <v>3</v>
      </c>
      <c r="AO453" s="22">
        <f t="shared" si="314"/>
        <v>17</v>
      </c>
      <c r="AP453" s="22" t="str">
        <f t="shared" si="315"/>
        <v>O</v>
      </c>
      <c r="AQ453" s="22" t="str">
        <f t="shared" si="316"/>
        <v>X</v>
      </c>
      <c r="AR453" s="22" t="str">
        <f t="shared" si="317"/>
        <v>X</v>
      </c>
      <c r="AS453" s="22" t="str">
        <f t="shared" si="318"/>
        <v>X</v>
      </c>
      <c r="AT453" s="22" t="str">
        <f t="shared" si="319"/>
        <v>X</v>
      </c>
      <c r="AU453" s="22" t="str">
        <f t="shared" si="320"/>
        <v>X</v>
      </c>
      <c r="AV453" s="22" t="str">
        <f t="shared" si="321"/>
        <v>X</v>
      </c>
      <c r="AW453" s="22" t="str">
        <f t="shared" si="322"/>
        <v>X</v>
      </c>
      <c r="AX453" s="22" t="str">
        <f t="shared" si="323"/>
        <v>X</v>
      </c>
      <c r="AY453" s="22" t="str">
        <f t="shared" si="324"/>
        <v>X</v>
      </c>
      <c r="AZ453" s="22" t="str">
        <f t="shared" si="325"/>
        <v>X</v>
      </c>
      <c r="BA453" s="22" t="str">
        <f t="shared" si="326"/>
        <v>O</v>
      </c>
      <c r="BB453" s="22">
        <f t="shared" si="327"/>
        <v>2</v>
      </c>
      <c r="BC453" s="22" t="str">
        <f t="shared" ref="BC453:BC506" si="341">VLOOKUP(N453,삼그룹,6,FALSE)</f>
        <v>1G</v>
      </c>
      <c r="BD453" s="22" t="str">
        <f t="shared" ref="BD453:BD506" si="342">VLOOKUP(O453,삼그룹,6,FALSE)</f>
        <v>1G</v>
      </c>
      <c r="BE453" s="22" t="str">
        <f t="shared" ref="BE453:BE506" si="343">VLOOKUP(P453,삼그룹,6,FALSE)</f>
        <v>2G</v>
      </c>
      <c r="BF453" s="22" t="str">
        <f t="shared" ref="BF453:BF506" si="344">VLOOKUP(Q453,삼그룹,6,FALSE)</f>
        <v>2G</v>
      </c>
      <c r="BG453" s="22" t="str">
        <f t="shared" ref="BG453:BG506" si="345">VLOOKUP(R453,삼그룹,6,FALSE)</f>
        <v>3G</v>
      </c>
      <c r="BH453" s="22" t="str">
        <f t="shared" ref="BH453:BH506" si="346">VLOOKUP(S453,삼그룹,6,FALSE)</f>
        <v>3G</v>
      </c>
      <c r="BI453" s="22">
        <f t="shared" si="328"/>
        <v>2</v>
      </c>
      <c r="BJ453" s="22">
        <f t="shared" si="329"/>
        <v>2</v>
      </c>
      <c r="BK453" s="22">
        <f t="shared" si="330"/>
        <v>2</v>
      </c>
      <c r="BL453" s="22" t="str">
        <f t="shared" si="331"/>
        <v>222</v>
      </c>
      <c r="BS453"/>
      <c r="CL453" s="23">
        <v>180</v>
      </c>
      <c r="CM453" s="23">
        <v>180</v>
      </c>
      <c r="CO453"/>
    </row>
    <row r="454" spans="2:93" ht="17" hidden="1">
      <c r="B454" s="15">
        <v>450</v>
      </c>
      <c r="C454" s="23" t="s">
        <v>509</v>
      </c>
      <c r="N454" s="23">
        <v>6</v>
      </c>
      <c r="O454" s="23">
        <v>14</v>
      </c>
      <c r="P454" s="23">
        <v>19</v>
      </c>
      <c r="Q454" s="23">
        <v>21</v>
      </c>
      <c r="R454" s="23">
        <v>23</v>
      </c>
      <c r="S454" s="23">
        <v>31</v>
      </c>
      <c r="T454" s="23">
        <v>13</v>
      </c>
      <c r="U454" s="23">
        <f t="shared" ref="U454:U488" si="347">SUM(N454:S454)</f>
        <v>114</v>
      </c>
      <c r="W454" s="22" t="str">
        <f t="shared" si="332"/>
        <v>짝수</v>
      </c>
      <c r="X454" s="22" t="str">
        <f t="shared" si="333"/>
        <v>짝수</v>
      </c>
      <c r="Y454" s="22" t="str">
        <f t="shared" si="334"/>
        <v>홀수</v>
      </c>
      <c r="Z454" s="22" t="str">
        <f t="shared" si="335"/>
        <v>홀수</v>
      </c>
      <c r="AA454" s="22" t="str">
        <f t="shared" si="336"/>
        <v>홀수</v>
      </c>
      <c r="AB454" s="22" t="str">
        <f t="shared" si="337"/>
        <v>홀수</v>
      </c>
      <c r="AC454" s="52" t="str">
        <f t="shared" si="338"/>
        <v>4 : 2</v>
      </c>
      <c r="AD454" s="22">
        <f t="shared" si="339"/>
        <v>4</v>
      </c>
      <c r="AE454" s="22">
        <f t="shared" si="340"/>
        <v>2</v>
      </c>
      <c r="AF454" s="22" t="str">
        <f t="shared" ref="AF454:AF506" si="348">IF(N454&lt;23,"저수","고수")</f>
        <v>저수</v>
      </c>
      <c r="AG454" s="22" t="str">
        <f t="shared" ref="AG454:AG506" si="349">IF(O454&lt;23,"저수","고수")</f>
        <v>저수</v>
      </c>
      <c r="AH454" s="22" t="str">
        <f t="shared" ref="AH454:AH506" si="350">IF(P454&lt;23,"저수","고수")</f>
        <v>저수</v>
      </c>
      <c r="AI454" s="22" t="str">
        <f t="shared" ref="AI454:AI506" si="351">IF(Q454&lt;23,"저수","고수")</f>
        <v>저수</v>
      </c>
      <c r="AJ454" s="22" t="str">
        <f t="shared" ref="AJ454:AJ506" si="352">IF(R454&lt;23,"저수","고수")</f>
        <v>고수</v>
      </c>
      <c r="AK454" s="22" t="str">
        <f t="shared" ref="AK454:AK506" si="353">IF(S454&lt;23,"저수","고수")</f>
        <v>고수</v>
      </c>
      <c r="AL454" s="52" t="str">
        <f t="shared" ref="AL454:AL506" si="354">AM454&amp;" : "&amp;AN454</f>
        <v>4 : 2</v>
      </c>
      <c r="AM454" s="22">
        <f t="shared" ref="AM454:AM506" si="355">COUNTIF(AF454:AK454,"저수")</f>
        <v>4</v>
      </c>
      <c r="AN454" s="22">
        <f t="shared" ref="AN454:AN506" si="356">COUNTIF(AF454:AK454,"고수")</f>
        <v>2</v>
      </c>
      <c r="AO454" s="22">
        <f t="shared" ref="AO454:AO506" si="357">RIGHT(N454,1)+RIGHT(O454,1)+RIGHT(P454,1)+RIGHT(Q454,1)+RIGHT(R454,1)+RIGHT(S454,1)</f>
        <v>24</v>
      </c>
      <c r="AP454" s="22" t="str">
        <f t="shared" ref="AP454:AP506" si="358">IF(N454=2,"O",IF(N454=3,"O",IF(N454=5,"O",IF(N454=7,"O",IF(N454=11,"O",IF(N454=13,"O",IF(N454=17,"O",IF(N454=19,"O","X"))))))))</f>
        <v>X</v>
      </c>
      <c r="AQ454" s="22" t="str">
        <f t="shared" ref="AQ454:AQ506" si="359">IF(O454=2,"O",IF(O454=3,"O",IF(O454=5,"O",IF(O454=7,"O",IF(O454=11,"O",IF(O454=13,"O",IF(O454=17,"O",IF(O454=19,"O","X"))))))))</f>
        <v>X</v>
      </c>
      <c r="AR454" s="22" t="str">
        <f t="shared" ref="AR454:AR506" si="360">IF(P454=2,"O",IF(P454=3,"O",IF(P454=5,"O",IF(P454=7,"O",IF(P454=11,"O",IF(P454=13,"O",IF(P454=17,"O",IF(P454=19,"O","X"))))))))</f>
        <v>O</v>
      </c>
      <c r="AS454" s="22" t="str">
        <f t="shared" ref="AS454:AS506" si="361">IF(Q454=2,"O",IF(Q454=3,"O",IF(Q454=5,"O",IF(Q454=7,"O",IF(Q454=11,"O",IF(Q454=13,"O",IF(Q454=17,"O",IF(Q454=19,"O","X"))))))))</f>
        <v>X</v>
      </c>
      <c r="AT454" s="22" t="str">
        <f t="shared" ref="AT454:AT506" si="362">IF(R454=2,"O",IF(R454=3,"O",IF(R454=5,"O",IF(R454=7,"O",IF(R454=11,"O",IF(R454=13,"O",IF(R454=17,"O",IF(R454=19,"O","X"))))))))</f>
        <v>X</v>
      </c>
      <c r="AU454" s="22" t="str">
        <f t="shared" ref="AU454:AU506" si="363">IF(S454=2,"O",IF(S454=3,"O",IF(S454=5,"O",IF(S454=7,"O",IF(S454=11,"O",IF(S454=13,"O",IF(S454=17,"O",IF(S454=19,"O","X"))))))))</f>
        <v>X</v>
      </c>
      <c r="AV454" s="22" t="str">
        <f t="shared" ref="AV454:AV506" si="364">IF(N454=23,"O",IF(N454=29,"O",IF(N454=31,"O",IF(N454=37,"O",IF(N454=41,"O",IF(N454=43,"O","X"))))))</f>
        <v>X</v>
      </c>
      <c r="AW454" s="22" t="str">
        <f t="shared" ref="AW454:AW506" si="365">IF(O454=23,"O",IF(O454=29,"O",IF(O454=31,"O",IF(O454=37,"O",IF(O454=41,"O",IF(O454=43,"O","X"))))))</f>
        <v>X</v>
      </c>
      <c r="AX454" s="22" t="str">
        <f t="shared" ref="AX454:AX506" si="366">IF(P454=23,"O",IF(P454=29,"O",IF(P454=31,"O",IF(P454=37,"O",IF(P454=41,"O",IF(P454=43,"O","X"))))))</f>
        <v>X</v>
      </c>
      <c r="AY454" s="22" t="str">
        <f t="shared" ref="AY454:AY506" si="367">IF(Q454=23,"O",IF(Q454=29,"O",IF(Q454=31,"O",IF(Q454=37,"O",IF(Q454=41,"O",IF(Q454=43,"O","X"))))))</f>
        <v>X</v>
      </c>
      <c r="AZ454" s="22" t="str">
        <f t="shared" ref="AZ454:AZ506" si="368">IF(R454=23,"O",IF(R454=29,"O",IF(R454=31,"O",IF(R454=37,"O",IF(R454=41,"O",IF(R454=43,"O","X"))))))</f>
        <v>O</v>
      </c>
      <c r="BA454" s="22" t="str">
        <f t="shared" ref="BA454:BA506" si="369">IF(S454=23,"O",IF(S454=29,"O",IF(S454=31,"O",IF(S454=37,"O",IF(S454=41,"O",IF(S454=43,"O","X"))))))</f>
        <v>O</v>
      </c>
      <c r="BB454" s="22">
        <f t="shared" ref="BB454:BB506" si="370">COUNTIF(AP454:BA454,"O")</f>
        <v>3</v>
      </c>
      <c r="BC454" s="22" t="str">
        <f t="shared" si="341"/>
        <v>1G</v>
      </c>
      <c r="BD454" s="22" t="str">
        <f t="shared" si="342"/>
        <v>1G</v>
      </c>
      <c r="BE454" s="22" t="str">
        <f t="shared" si="343"/>
        <v>2G</v>
      </c>
      <c r="BF454" s="22" t="str">
        <f t="shared" si="344"/>
        <v>2G</v>
      </c>
      <c r="BG454" s="22" t="str">
        <f t="shared" si="345"/>
        <v>2G</v>
      </c>
      <c r="BH454" s="22" t="str">
        <f t="shared" si="346"/>
        <v>3G</v>
      </c>
      <c r="BI454" s="22">
        <f t="shared" ref="BI454:BI517" si="371">COUNTIF($BC454:$BH454,"1G")</f>
        <v>2</v>
      </c>
      <c r="BJ454" s="22">
        <f t="shared" ref="BJ454:BJ517" si="372">COUNTIF($BC454:$BH454,"2G")</f>
        <v>3</v>
      </c>
      <c r="BK454" s="22">
        <f t="shared" ref="BK454:BK517" si="373">COUNTIF($BC454:$BH454,"3G")</f>
        <v>1</v>
      </c>
      <c r="BL454" s="22" t="str">
        <f t="shared" ref="BL454:BL506" si="374">BI454&amp;BJ454&amp;BK454</f>
        <v>231</v>
      </c>
      <c r="BS454"/>
      <c r="CL454" s="23">
        <v>181</v>
      </c>
      <c r="CM454" s="23">
        <v>180</v>
      </c>
      <c r="CO454"/>
    </row>
    <row r="455" spans="2:93" ht="17" hidden="1">
      <c r="B455" s="15">
        <v>451</v>
      </c>
      <c r="C455" s="23" t="s">
        <v>510</v>
      </c>
      <c r="N455" s="23">
        <v>12</v>
      </c>
      <c r="O455" s="23">
        <v>15</v>
      </c>
      <c r="P455" s="23">
        <v>20</v>
      </c>
      <c r="Q455" s="23">
        <v>24</v>
      </c>
      <c r="R455" s="23">
        <v>30</v>
      </c>
      <c r="S455" s="23">
        <v>38</v>
      </c>
      <c r="T455" s="23">
        <v>29</v>
      </c>
      <c r="U455" s="23">
        <f t="shared" si="347"/>
        <v>139</v>
      </c>
      <c r="W455" s="22" t="str">
        <f t="shared" si="332"/>
        <v>짝수</v>
      </c>
      <c r="X455" s="22" t="str">
        <f t="shared" si="333"/>
        <v>홀수</v>
      </c>
      <c r="Y455" s="22" t="str">
        <f t="shared" si="334"/>
        <v>짝수</v>
      </c>
      <c r="Z455" s="22" t="str">
        <f t="shared" si="335"/>
        <v>짝수</v>
      </c>
      <c r="AA455" s="22" t="str">
        <f t="shared" si="336"/>
        <v>짝수</v>
      </c>
      <c r="AB455" s="22" t="str">
        <f t="shared" si="337"/>
        <v>짝수</v>
      </c>
      <c r="AC455" s="52" t="str">
        <f t="shared" si="338"/>
        <v>1 : 5</v>
      </c>
      <c r="AD455" s="22">
        <f t="shared" si="339"/>
        <v>1</v>
      </c>
      <c r="AE455" s="22">
        <f t="shared" si="340"/>
        <v>5</v>
      </c>
      <c r="AF455" s="22" t="str">
        <f t="shared" si="348"/>
        <v>저수</v>
      </c>
      <c r="AG455" s="22" t="str">
        <f t="shared" si="349"/>
        <v>저수</v>
      </c>
      <c r="AH455" s="22" t="str">
        <f t="shared" si="350"/>
        <v>저수</v>
      </c>
      <c r="AI455" s="22" t="str">
        <f t="shared" si="351"/>
        <v>고수</v>
      </c>
      <c r="AJ455" s="22" t="str">
        <f t="shared" si="352"/>
        <v>고수</v>
      </c>
      <c r="AK455" s="22" t="str">
        <f t="shared" si="353"/>
        <v>고수</v>
      </c>
      <c r="AL455" s="52" t="str">
        <f t="shared" si="354"/>
        <v>3 : 3</v>
      </c>
      <c r="AM455" s="22">
        <f t="shared" si="355"/>
        <v>3</v>
      </c>
      <c r="AN455" s="22">
        <f t="shared" si="356"/>
        <v>3</v>
      </c>
      <c r="AO455" s="22">
        <f t="shared" si="357"/>
        <v>19</v>
      </c>
      <c r="AP455" s="22" t="str">
        <f t="shared" si="358"/>
        <v>X</v>
      </c>
      <c r="AQ455" s="22" t="str">
        <f t="shared" si="359"/>
        <v>X</v>
      </c>
      <c r="AR455" s="22" t="str">
        <f t="shared" si="360"/>
        <v>X</v>
      </c>
      <c r="AS455" s="22" t="str">
        <f t="shared" si="361"/>
        <v>X</v>
      </c>
      <c r="AT455" s="22" t="str">
        <f t="shared" si="362"/>
        <v>X</v>
      </c>
      <c r="AU455" s="22" t="str">
        <f t="shared" si="363"/>
        <v>X</v>
      </c>
      <c r="AV455" s="22" t="str">
        <f t="shared" si="364"/>
        <v>X</v>
      </c>
      <c r="AW455" s="22" t="str">
        <f t="shared" si="365"/>
        <v>X</v>
      </c>
      <c r="AX455" s="22" t="str">
        <f t="shared" si="366"/>
        <v>X</v>
      </c>
      <c r="AY455" s="22" t="str">
        <f t="shared" si="367"/>
        <v>X</v>
      </c>
      <c r="AZ455" s="22" t="str">
        <f t="shared" si="368"/>
        <v>X</v>
      </c>
      <c r="BA455" s="22" t="str">
        <f t="shared" si="369"/>
        <v>X</v>
      </c>
      <c r="BB455" s="22">
        <f t="shared" si="370"/>
        <v>0</v>
      </c>
      <c r="BC455" s="22" t="str">
        <f t="shared" si="341"/>
        <v>1G</v>
      </c>
      <c r="BD455" s="22" t="str">
        <f t="shared" si="342"/>
        <v>1G</v>
      </c>
      <c r="BE455" s="22" t="str">
        <f t="shared" si="343"/>
        <v>2G</v>
      </c>
      <c r="BF455" s="22" t="str">
        <f t="shared" si="344"/>
        <v>2G</v>
      </c>
      <c r="BG455" s="22" t="str">
        <f t="shared" si="345"/>
        <v>2G</v>
      </c>
      <c r="BH455" s="22" t="str">
        <f t="shared" si="346"/>
        <v>3G</v>
      </c>
      <c r="BI455" s="22">
        <f t="shared" si="371"/>
        <v>2</v>
      </c>
      <c r="BJ455" s="22">
        <f t="shared" si="372"/>
        <v>3</v>
      </c>
      <c r="BK455" s="22">
        <f t="shared" si="373"/>
        <v>1</v>
      </c>
      <c r="BL455" s="22" t="str">
        <f t="shared" si="374"/>
        <v>231</v>
      </c>
      <c r="BS455"/>
      <c r="CL455" s="23">
        <v>181</v>
      </c>
      <c r="CM455" s="23">
        <v>180</v>
      </c>
      <c r="CO455"/>
    </row>
    <row r="456" spans="2:93" ht="17" hidden="1">
      <c r="B456" s="15">
        <v>452</v>
      </c>
      <c r="C456" s="23" t="s">
        <v>511</v>
      </c>
      <c r="N456" s="23">
        <v>8</v>
      </c>
      <c r="O456" s="23">
        <v>10</v>
      </c>
      <c r="P456" s="23">
        <v>18</v>
      </c>
      <c r="Q456" s="23">
        <v>30</v>
      </c>
      <c r="R456" s="23">
        <v>32</v>
      </c>
      <c r="S456" s="23">
        <v>34</v>
      </c>
      <c r="T456" s="23">
        <v>27</v>
      </c>
      <c r="U456" s="23">
        <f t="shared" si="347"/>
        <v>132</v>
      </c>
      <c r="W456" s="22" t="str">
        <f t="shared" si="332"/>
        <v>짝수</v>
      </c>
      <c r="X456" s="22" t="str">
        <f t="shared" si="333"/>
        <v>짝수</v>
      </c>
      <c r="Y456" s="22" t="str">
        <f t="shared" si="334"/>
        <v>짝수</v>
      </c>
      <c r="Z456" s="22" t="str">
        <f t="shared" si="335"/>
        <v>짝수</v>
      </c>
      <c r="AA456" s="22" t="str">
        <f t="shared" si="336"/>
        <v>짝수</v>
      </c>
      <c r="AB456" s="22" t="str">
        <f t="shared" si="337"/>
        <v>짝수</v>
      </c>
      <c r="AC456" s="52" t="str">
        <f t="shared" si="338"/>
        <v>0 : 6</v>
      </c>
      <c r="AD456" s="22">
        <f t="shared" si="339"/>
        <v>0</v>
      </c>
      <c r="AE456" s="22">
        <f t="shared" si="340"/>
        <v>6</v>
      </c>
      <c r="AF456" s="22" t="str">
        <f t="shared" si="348"/>
        <v>저수</v>
      </c>
      <c r="AG456" s="22" t="str">
        <f t="shared" si="349"/>
        <v>저수</v>
      </c>
      <c r="AH456" s="22" t="str">
        <f t="shared" si="350"/>
        <v>저수</v>
      </c>
      <c r="AI456" s="22" t="str">
        <f t="shared" si="351"/>
        <v>고수</v>
      </c>
      <c r="AJ456" s="22" t="str">
        <f t="shared" si="352"/>
        <v>고수</v>
      </c>
      <c r="AK456" s="22" t="str">
        <f t="shared" si="353"/>
        <v>고수</v>
      </c>
      <c r="AL456" s="52" t="str">
        <f t="shared" si="354"/>
        <v>3 : 3</v>
      </c>
      <c r="AM456" s="22">
        <f t="shared" si="355"/>
        <v>3</v>
      </c>
      <c r="AN456" s="22">
        <f t="shared" si="356"/>
        <v>3</v>
      </c>
      <c r="AO456" s="22">
        <f t="shared" si="357"/>
        <v>22</v>
      </c>
      <c r="AP456" s="22" t="str">
        <f t="shared" si="358"/>
        <v>X</v>
      </c>
      <c r="AQ456" s="22" t="str">
        <f t="shared" si="359"/>
        <v>X</v>
      </c>
      <c r="AR456" s="22" t="str">
        <f t="shared" si="360"/>
        <v>X</v>
      </c>
      <c r="AS456" s="22" t="str">
        <f t="shared" si="361"/>
        <v>X</v>
      </c>
      <c r="AT456" s="22" t="str">
        <f t="shared" si="362"/>
        <v>X</v>
      </c>
      <c r="AU456" s="22" t="str">
        <f t="shared" si="363"/>
        <v>X</v>
      </c>
      <c r="AV456" s="22" t="str">
        <f t="shared" si="364"/>
        <v>X</v>
      </c>
      <c r="AW456" s="22" t="str">
        <f t="shared" si="365"/>
        <v>X</v>
      </c>
      <c r="AX456" s="22" t="str">
        <f t="shared" si="366"/>
        <v>X</v>
      </c>
      <c r="AY456" s="22" t="str">
        <f t="shared" si="367"/>
        <v>X</v>
      </c>
      <c r="AZ456" s="22" t="str">
        <f t="shared" si="368"/>
        <v>X</v>
      </c>
      <c r="BA456" s="22" t="str">
        <f t="shared" si="369"/>
        <v>X</v>
      </c>
      <c r="BB456" s="22">
        <f t="shared" si="370"/>
        <v>0</v>
      </c>
      <c r="BC456" s="22" t="str">
        <f t="shared" si="341"/>
        <v>1G</v>
      </c>
      <c r="BD456" s="22" t="str">
        <f t="shared" si="342"/>
        <v>1G</v>
      </c>
      <c r="BE456" s="22" t="str">
        <f t="shared" si="343"/>
        <v>2G</v>
      </c>
      <c r="BF456" s="22" t="str">
        <f t="shared" si="344"/>
        <v>2G</v>
      </c>
      <c r="BG456" s="22" t="str">
        <f t="shared" si="345"/>
        <v>3G</v>
      </c>
      <c r="BH456" s="22" t="str">
        <f t="shared" si="346"/>
        <v>3G</v>
      </c>
      <c r="BI456" s="22">
        <f t="shared" si="371"/>
        <v>2</v>
      </c>
      <c r="BJ456" s="22">
        <f t="shared" si="372"/>
        <v>2</v>
      </c>
      <c r="BK456" s="22">
        <f t="shared" si="373"/>
        <v>2</v>
      </c>
      <c r="BL456" s="22" t="str">
        <f t="shared" si="374"/>
        <v>222</v>
      </c>
      <c r="BS456"/>
      <c r="CL456" s="23">
        <v>182</v>
      </c>
      <c r="CM456" s="23">
        <v>180</v>
      </c>
      <c r="CO456"/>
    </row>
    <row r="457" spans="2:93" ht="17" hidden="1">
      <c r="B457" s="15">
        <v>453</v>
      </c>
      <c r="C457" s="23" t="s">
        <v>472</v>
      </c>
      <c r="N457" s="23">
        <v>12</v>
      </c>
      <c r="O457" s="23">
        <v>24</v>
      </c>
      <c r="P457" s="23">
        <v>33</v>
      </c>
      <c r="Q457" s="23">
        <v>38</v>
      </c>
      <c r="R457" s="23">
        <v>40</v>
      </c>
      <c r="S457" s="23">
        <v>42</v>
      </c>
      <c r="T457" s="23">
        <v>30</v>
      </c>
      <c r="U457" s="23">
        <f t="shared" si="347"/>
        <v>189</v>
      </c>
      <c r="W457" s="22" t="str">
        <f t="shared" si="332"/>
        <v>짝수</v>
      </c>
      <c r="X457" s="22" t="str">
        <f t="shared" si="333"/>
        <v>짝수</v>
      </c>
      <c r="Y457" s="22" t="str">
        <f t="shared" si="334"/>
        <v>홀수</v>
      </c>
      <c r="Z457" s="22" t="str">
        <f t="shared" si="335"/>
        <v>짝수</v>
      </c>
      <c r="AA457" s="22" t="str">
        <f t="shared" si="336"/>
        <v>짝수</v>
      </c>
      <c r="AB457" s="22" t="str">
        <f t="shared" si="337"/>
        <v>짝수</v>
      </c>
      <c r="AC457" s="52" t="str">
        <f t="shared" si="338"/>
        <v>1 : 5</v>
      </c>
      <c r="AD457" s="22">
        <f t="shared" si="339"/>
        <v>1</v>
      </c>
      <c r="AE457" s="22">
        <f t="shared" si="340"/>
        <v>5</v>
      </c>
      <c r="AF457" s="22" t="str">
        <f t="shared" si="348"/>
        <v>저수</v>
      </c>
      <c r="AG457" s="22" t="str">
        <f t="shared" si="349"/>
        <v>고수</v>
      </c>
      <c r="AH457" s="22" t="str">
        <f t="shared" si="350"/>
        <v>고수</v>
      </c>
      <c r="AI457" s="22" t="str">
        <f t="shared" si="351"/>
        <v>고수</v>
      </c>
      <c r="AJ457" s="22" t="str">
        <f t="shared" si="352"/>
        <v>고수</v>
      </c>
      <c r="AK457" s="22" t="str">
        <f t="shared" si="353"/>
        <v>고수</v>
      </c>
      <c r="AL457" s="52" t="str">
        <f t="shared" si="354"/>
        <v>1 : 5</v>
      </c>
      <c r="AM457" s="22">
        <f t="shared" si="355"/>
        <v>1</v>
      </c>
      <c r="AN457" s="22">
        <f t="shared" si="356"/>
        <v>5</v>
      </c>
      <c r="AO457" s="22">
        <f t="shared" si="357"/>
        <v>19</v>
      </c>
      <c r="AP457" s="22" t="str">
        <f t="shared" si="358"/>
        <v>X</v>
      </c>
      <c r="AQ457" s="22" t="str">
        <f t="shared" si="359"/>
        <v>X</v>
      </c>
      <c r="AR457" s="22" t="str">
        <f t="shared" si="360"/>
        <v>X</v>
      </c>
      <c r="AS457" s="22" t="str">
        <f t="shared" si="361"/>
        <v>X</v>
      </c>
      <c r="AT457" s="22" t="str">
        <f t="shared" si="362"/>
        <v>X</v>
      </c>
      <c r="AU457" s="22" t="str">
        <f t="shared" si="363"/>
        <v>X</v>
      </c>
      <c r="AV457" s="22" t="str">
        <f t="shared" si="364"/>
        <v>X</v>
      </c>
      <c r="AW457" s="22" t="str">
        <f t="shared" si="365"/>
        <v>X</v>
      </c>
      <c r="AX457" s="22" t="str">
        <f t="shared" si="366"/>
        <v>X</v>
      </c>
      <c r="AY457" s="22" t="str">
        <f t="shared" si="367"/>
        <v>X</v>
      </c>
      <c r="AZ457" s="22" t="str">
        <f t="shared" si="368"/>
        <v>X</v>
      </c>
      <c r="BA457" s="22" t="str">
        <f t="shared" si="369"/>
        <v>X</v>
      </c>
      <c r="BB457" s="22">
        <f t="shared" si="370"/>
        <v>0</v>
      </c>
      <c r="BC457" s="22" t="str">
        <f t="shared" si="341"/>
        <v>1G</v>
      </c>
      <c r="BD457" s="22" t="str">
        <f t="shared" si="342"/>
        <v>2G</v>
      </c>
      <c r="BE457" s="22" t="str">
        <f t="shared" si="343"/>
        <v>3G</v>
      </c>
      <c r="BF457" s="22" t="str">
        <f t="shared" si="344"/>
        <v>3G</v>
      </c>
      <c r="BG457" s="22" t="str">
        <f t="shared" si="345"/>
        <v>3G</v>
      </c>
      <c r="BH457" s="22" t="str">
        <f t="shared" si="346"/>
        <v>3G</v>
      </c>
      <c r="BI457" s="22">
        <f t="shared" si="371"/>
        <v>1</v>
      </c>
      <c r="BJ457" s="22">
        <f t="shared" si="372"/>
        <v>1</v>
      </c>
      <c r="BK457" s="22">
        <f t="shared" si="373"/>
        <v>4</v>
      </c>
      <c r="BL457" s="22" t="str">
        <f t="shared" si="374"/>
        <v>114</v>
      </c>
      <c r="BS457"/>
      <c r="CL457" s="23">
        <v>182</v>
      </c>
      <c r="CM457" s="23">
        <v>180</v>
      </c>
      <c r="CO457"/>
    </row>
    <row r="458" spans="2:93" ht="17" hidden="1">
      <c r="B458" s="15">
        <v>454</v>
      </c>
      <c r="C458" s="147" t="s">
        <v>473</v>
      </c>
      <c r="N458" s="23">
        <v>13</v>
      </c>
      <c r="O458" s="23">
        <v>25</v>
      </c>
      <c r="P458" s="23">
        <v>27</v>
      </c>
      <c r="Q458" s="23">
        <v>34</v>
      </c>
      <c r="R458" s="23">
        <v>38</v>
      </c>
      <c r="S458" s="23">
        <v>41</v>
      </c>
      <c r="T458" s="23">
        <v>10</v>
      </c>
      <c r="U458" s="23">
        <f t="shared" si="347"/>
        <v>178</v>
      </c>
      <c r="W458" s="22" t="str">
        <f t="shared" si="332"/>
        <v>홀수</v>
      </c>
      <c r="X458" s="22" t="str">
        <f t="shared" si="333"/>
        <v>홀수</v>
      </c>
      <c r="Y458" s="22" t="str">
        <f t="shared" si="334"/>
        <v>홀수</v>
      </c>
      <c r="Z458" s="22" t="str">
        <f t="shared" si="335"/>
        <v>짝수</v>
      </c>
      <c r="AA458" s="22" t="str">
        <f t="shared" si="336"/>
        <v>짝수</v>
      </c>
      <c r="AB458" s="22" t="str">
        <f t="shared" si="337"/>
        <v>홀수</v>
      </c>
      <c r="AC458" s="52" t="str">
        <f t="shared" si="338"/>
        <v>4 : 2</v>
      </c>
      <c r="AD458" s="22">
        <f t="shared" si="339"/>
        <v>4</v>
      </c>
      <c r="AE458" s="22">
        <f t="shared" si="340"/>
        <v>2</v>
      </c>
      <c r="AF458" s="22" t="str">
        <f t="shared" si="348"/>
        <v>저수</v>
      </c>
      <c r="AG458" s="22" t="str">
        <f t="shared" si="349"/>
        <v>고수</v>
      </c>
      <c r="AH458" s="22" t="str">
        <f t="shared" si="350"/>
        <v>고수</v>
      </c>
      <c r="AI458" s="22" t="str">
        <f t="shared" si="351"/>
        <v>고수</v>
      </c>
      <c r="AJ458" s="22" t="str">
        <f t="shared" si="352"/>
        <v>고수</v>
      </c>
      <c r="AK458" s="22" t="str">
        <f t="shared" si="353"/>
        <v>고수</v>
      </c>
      <c r="AL458" s="52" t="str">
        <f t="shared" si="354"/>
        <v>1 : 5</v>
      </c>
      <c r="AM458" s="22">
        <f t="shared" si="355"/>
        <v>1</v>
      </c>
      <c r="AN458" s="22">
        <f t="shared" si="356"/>
        <v>5</v>
      </c>
      <c r="AO458" s="22">
        <f t="shared" si="357"/>
        <v>28</v>
      </c>
      <c r="AP458" s="22" t="str">
        <f t="shared" si="358"/>
        <v>O</v>
      </c>
      <c r="AQ458" s="22" t="str">
        <f t="shared" si="359"/>
        <v>X</v>
      </c>
      <c r="AR458" s="22" t="str">
        <f t="shared" si="360"/>
        <v>X</v>
      </c>
      <c r="AS458" s="22" t="str">
        <f t="shared" si="361"/>
        <v>X</v>
      </c>
      <c r="AT458" s="22" t="str">
        <f t="shared" si="362"/>
        <v>X</v>
      </c>
      <c r="AU458" s="22" t="str">
        <f t="shared" si="363"/>
        <v>X</v>
      </c>
      <c r="AV458" s="22" t="str">
        <f t="shared" si="364"/>
        <v>X</v>
      </c>
      <c r="AW458" s="22" t="str">
        <f t="shared" si="365"/>
        <v>X</v>
      </c>
      <c r="AX458" s="22" t="str">
        <f t="shared" si="366"/>
        <v>X</v>
      </c>
      <c r="AY458" s="22" t="str">
        <f t="shared" si="367"/>
        <v>X</v>
      </c>
      <c r="AZ458" s="22" t="str">
        <f t="shared" si="368"/>
        <v>X</v>
      </c>
      <c r="BA458" s="22" t="str">
        <f t="shared" si="369"/>
        <v>O</v>
      </c>
      <c r="BB458" s="22">
        <f t="shared" si="370"/>
        <v>2</v>
      </c>
      <c r="BC458" s="22" t="str">
        <f t="shared" si="341"/>
        <v>1G</v>
      </c>
      <c r="BD458" s="22" t="str">
        <f t="shared" si="342"/>
        <v>2G</v>
      </c>
      <c r="BE458" s="22" t="str">
        <f t="shared" si="343"/>
        <v>2G</v>
      </c>
      <c r="BF458" s="22" t="str">
        <f t="shared" si="344"/>
        <v>3G</v>
      </c>
      <c r="BG458" s="22" t="str">
        <f t="shared" si="345"/>
        <v>3G</v>
      </c>
      <c r="BH458" s="22" t="str">
        <f t="shared" si="346"/>
        <v>3G</v>
      </c>
      <c r="BI458" s="22">
        <f t="shared" si="371"/>
        <v>1</v>
      </c>
      <c r="BJ458" s="22">
        <f t="shared" si="372"/>
        <v>2</v>
      </c>
      <c r="BK458" s="22">
        <f t="shared" si="373"/>
        <v>3</v>
      </c>
      <c r="BL458" s="22" t="str">
        <f t="shared" si="374"/>
        <v>123</v>
      </c>
      <c r="BS458"/>
      <c r="CL458" s="23">
        <v>182</v>
      </c>
      <c r="CM458" s="23">
        <v>180</v>
      </c>
      <c r="CO458"/>
    </row>
    <row r="459" spans="2:93" ht="17" hidden="1">
      <c r="B459" s="15">
        <v>455</v>
      </c>
      <c r="C459" s="147" t="s">
        <v>474</v>
      </c>
      <c r="N459" s="23">
        <v>4</v>
      </c>
      <c r="O459" s="23">
        <v>19</v>
      </c>
      <c r="P459" s="23">
        <v>20</v>
      </c>
      <c r="Q459" s="23">
        <v>26</v>
      </c>
      <c r="R459" s="23">
        <v>30</v>
      </c>
      <c r="S459" s="23">
        <v>35</v>
      </c>
      <c r="T459" s="23">
        <v>24</v>
      </c>
      <c r="U459" s="23">
        <f t="shared" si="347"/>
        <v>134</v>
      </c>
      <c r="W459" s="22" t="str">
        <f t="shared" si="332"/>
        <v>짝수</v>
      </c>
      <c r="X459" s="22" t="str">
        <f t="shared" si="333"/>
        <v>홀수</v>
      </c>
      <c r="Y459" s="22" t="str">
        <f t="shared" si="334"/>
        <v>짝수</v>
      </c>
      <c r="Z459" s="22" t="str">
        <f t="shared" si="335"/>
        <v>짝수</v>
      </c>
      <c r="AA459" s="22" t="str">
        <f t="shared" si="336"/>
        <v>짝수</v>
      </c>
      <c r="AB459" s="22" t="str">
        <f t="shared" si="337"/>
        <v>홀수</v>
      </c>
      <c r="AC459" s="52" t="str">
        <f t="shared" si="338"/>
        <v>2 : 4</v>
      </c>
      <c r="AD459" s="22">
        <f t="shared" si="339"/>
        <v>2</v>
      </c>
      <c r="AE459" s="22">
        <f t="shared" si="340"/>
        <v>4</v>
      </c>
      <c r="AF459" s="22" t="str">
        <f t="shared" si="348"/>
        <v>저수</v>
      </c>
      <c r="AG459" s="22" t="str">
        <f t="shared" si="349"/>
        <v>저수</v>
      </c>
      <c r="AH459" s="22" t="str">
        <f t="shared" si="350"/>
        <v>저수</v>
      </c>
      <c r="AI459" s="22" t="str">
        <f t="shared" si="351"/>
        <v>고수</v>
      </c>
      <c r="AJ459" s="22" t="str">
        <f t="shared" si="352"/>
        <v>고수</v>
      </c>
      <c r="AK459" s="22" t="str">
        <f t="shared" si="353"/>
        <v>고수</v>
      </c>
      <c r="AL459" s="52" t="str">
        <f t="shared" si="354"/>
        <v>3 : 3</v>
      </c>
      <c r="AM459" s="22">
        <f t="shared" si="355"/>
        <v>3</v>
      </c>
      <c r="AN459" s="22">
        <f t="shared" si="356"/>
        <v>3</v>
      </c>
      <c r="AO459" s="22">
        <f t="shared" si="357"/>
        <v>24</v>
      </c>
      <c r="AP459" s="22" t="str">
        <f t="shared" si="358"/>
        <v>X</v>
      </c>
      <c r="AQ459" s="22" t="str">
        <f t="shared" si="359"/>
        <v>O</v>
      </c>
      <c r="AR459" s="22" t="str">
        <f t="shared" si="360"/>
        <v>X</v>
      </c>
      <c r="AS459" s="22" t="str">
        <f t="shared" si="361"/>
        <v>X</v>
      </c>
      <c r="AT459" s="22" t="str">
        <f t="shared" si="362"/>
        <v>X</v>
      </c>
      <c r="AU459" s="22" t="str">
        <f t="shared" si="363"/>
        <v>X</v>
      </c>
      <c r="AV459" s="22" t="str">
        <f t="shared" si="364"/>
        <v>X</v>
      </c>
      <c r="AW459" s="22" t="str">
        <f t="shared" si="365"/>
        <v>X</v>
      </c>
      <c r="AX459" s="22" t="str">
        <f t="shared" si="366"/>
        <v>X</v>
      </c>
      <c r="AY459" s="22" t="str">
        <f t="shared" si="367"/>
        <v>X</v>
      </c>
      <c r="AZ459" s="22" t="str">
        <f t="shared" si="368"/>
        <v>X</v>
      </c>
      <c r="BA459" s="22" t="str">
        <f t="shared" si="369"/>
        <v>X</v>
      </c>
      <c r="BB459" s="22">
        <f t="shared" si="370"/>
        <v>1</v>
      </c>
      <c r="BC459" s="22" t="str">
        <f t="shared" si="341"/>
        <v>1G</v>
      </c>
      <c r="BD459" s="22" t="str">
        <f t="shared" si="342"/>
        <v>2G</v>
      </c>
      <c r="BE459" s="22" t="str">
        <f t="shared" si="343"/>
        <v>2G</v>
      </c>
      <c r="BF459" s="22" t="str">
        <f t="shared" si="344"/>
        <v>2G</v>
      </c>
      <c r="BG459" s="22" t="str">
        <f t="shared" si="345"/>
        <v>2G</v>
      </c>
      <c r="BH459" s="22" t="str">
        <f t="shared" si="346"/>
        <v>3G</v>
      </c>
      <c r="BI459" s="22">
        <f t="shared" si="371"/>
        <v>1</v>
      </c>
      <c r="BJ459" s="22">
        <f t="shared" si="372"/>
        <v>4</v>
      </c>
      <c r="BK459" s="22">
        <f t="shared" si="373"/>
        <v>1</v>
      </c>
      <c r="BL459" s="22" t="str">
        <f t="shared" si="374"/>
        <v>141</v>
      </c>
      <c r="BS459"/>
      <c r="CL459" s="23">
        <v>182</v>
      </c>
      <c r="CM459" s="23">
        <v>180</v>
      </c>
      <c r="CO459"/>
    </row>
    <row r="460" spans="2:93" ht="17" hidden="1">
      <c r="B460" s="15">
        <v>456</v>
      </c>
      <c r="C460" s="147" t="s">
        <v>475</v>
      </c>
      <c r="N460" s="23">
        <v>1</v>
      </c>
      <c r="O460" s="23">
        <v>7</v>
      </c>
      <c r="P460" s="23">
        <v>12</v>
      </c>
      <c r="Q460" s="23">
        <v>18</v>
      </c>
      <c r="R460" s="23">
        <v>23</v>
      </c>
      <c r="S460" s="23">
        <v>27</v>
      </c>
      <c r="T460" s="23">
        <v>44</v>
      </c>
      <c r="U460" s="23">
        <f t="shared" si="347"/>
        <v>88</v>
      </c>
      <c r="W460" s="22" t="str">
        <f t="shared" si="332"/>
        <v>홀수</v>
      </c>
      <c r="X460" s="22" t="str">
        <f t="shared" si="333"/>
        <v>홀수</v>
      </c>
      <c r="Y460" s="22" t="str">
        <f t="shared" si="334"/>
        <v>짝수</v>
      </c>
      <c r="Z460" s="22" t="str">
        <f t="shared" si="335"/>
        <v>짝수</v>
      </c>
      <c r="AA460" s="22" t="str">
        <f t="shared" si="336"/>
        <v>홀수</v>
      </c>
      <c r="AB460" s="22" t="str">
        <f t="shared" si="337"/>
        <v>홀수</v>
      </c>
      <c r="AC460" s="52" t="str">
        <f t="shared" si="338"/>
        <v>4 : 2</v>
      </c>
      <c r="AD460" s="22">
        <f t="shared" si="339"/>
        <v>4</v>
      </c>
      <c r="AE460" s="22">
        <f t="shared" si="340"/>
        <v>2</v>
      </c>
      <c r="AF460" s="22" t="str">
        <f t="shared" si="348"/>
        <v>저수</v>
      </c>
      <c r="AG460" s="22" t="str">
        <f t="shared" si="349"/>
        <v>저수</v>
      </c>
      <c r="AH460" s="22" t="str">
        <f t="shared" si="350"/>
        <v>저수</v>
      </c>
      <c r="AI460" s="22" t="str">
        <f t="shared" si="351"/>
        <v>저수</v>
      </c>
      <c r="AJ460" s="22" t="str">
        <f t="shared" si="352"/>
        <v>고수</v>
      </c>
      <c r="AK460" s="22" t="str">
        <f t="shared" si="353"/>
        <v>고수</v>
      </c>
      <c r="AL460" s="52" t="str">
        <f t="shared" si="354"/>
        <v>4 : 2</v>
      </c>
      <c r="AM460" s="22">
        <f t="shared" si="355"/>
        <v>4</v>
      </c>
      <c r="AN460" s="22">
        <f t="shared" si="356"/>
        <v>2</v>
      </c>
      <c r="AO460" s="22">
        <f t="shared" si="357"/>
        <v>28</v>
      </c>
      <c r="AP460" s="22" t="str">
        <f t="shared" si="358"/>
        <v>X</v>
      </c>
      <c r="AQ460" s="22" t="str">
        <f t="shared" si="359"/>
        <v>O</v>
      </c>
      <c r="AR460" s="22" t="str">
        <f t="shared" si="360"/>
        <v>X</v>
      </c>
      <c r="AS460" s="22" t="str">
        <f t="shared" si="361"/>
        <v>X</v>
      </c>
      <c r="AT460" s="22" t="str">
        <f t="shared" si="362"/>
        <v>X</v>
      </c>
      <c r="AU460" s="22" t="str">
        <f t="shared" si="363"/>
        <v>X</v>
      </c>
      <c r="AV460" s="22" t="str">
        <f t="shared" si="364"/>
        <v>X</v>
      </c>
      <c r="AW460" s="22" t="str">
        <f t="shared" si="365"/>
        <v>X</v>
      </c>
      <c r="AX460" s="22" t="str">
        <f t="shared" si="366"/>
        <v>X</v>
      </c>
      <c r="AY460" s="22" t="str">
        <f t="shared" si="367"/>
        <v>X</v>
      </c>
      <c r="AZ460" s="22" t="str">
        <f t="shared" si="368"/>
        <v>O</v>
      </c>
      <c r="BA460" s="22" t="str">
        <f t="shared" si="369"/>
        <v>X</v>
      </c>
      <c r="BB460" s="22">
        <f t="shared" si="370"/>
        <v>2</v>
      </c>
      <c r="BC460" s="22" t="str">
        <f t="shared" si="341"/>
        <v>1G</v>
      </c>
      <c r="BD460" s="22" t="str">
        <f t="shared" si="342"/>
        <v>1G</v>
      </c>
      <c r="BE460" s="22" t="str">
        <f t="shared" si="343"/>
        <v>1G</v>
      </c>
      <c r="BF460" s="22" t="str">
        <f t="shared" si="344"/>
        <v>2G</v>
      </c>
      <c r="BG460" s="22" t="str">
        <f t="shared" si="345"/>
        <v>2G</v>
      </c>
      <c r="BH460" s="22" t="str">
        <f t="shared" si="346"/>
        <v>2G</v>
      </c>
      <c r="BI460" s="22">
        <f t="shared" si="371"/>
        <v>3</v>
      </c>
      <c r="BJ460" s="22">
        <f t="shared" si="372"/>
        <v>3</v>
      </c>
      <c r="BK460" s="22">
        <f t="shared" si="373"/>
        <v>0</v>
      </c>
      <c r="BL460" s="22" t="str">
        <f t="shared" si="374"/>
        <v>330</v>
      </c>
      <c r="BS460"/>
      <c r="CL460" s="23">
        <v>183</v>
      </c>
      <c r="CM460" s="23">
        <v>180</v>
      </c>
      <c r="CO460"/>
    </row>
    <row r="461" spans="2:93" ht="17" hidden="1">
      <c r="B461" s="15">
        <v>457</v>
      </c>
      <c r="C461" s="147" t="s">
        <v>476</v>
      </c>
      <c r="N461" s="23">
        <v>8</v>
      </c>
      <c r="O461" s="23">
        <v>10</v>
      </c>
      <c r="P461" s="23">
        <v>18</v>
      </c>
      <c r="Q461" s="23">
        <v>23</v>
      </c>
      <c r="R461" s="23">
        <v>27</v>
      </c>
      <c r="S461" s="23">
        <v>40</v>
      </c>
      <c r="T461" s="23">
        <v>33</v>
      </c>
      <c r="U461" s="23">
        <f t="shared" si="347"/>
        <v>126</v>
      </c>
      <c r="W461" s="22" t="str">
        <f t="shared" si="332"/>
        <v>짝수</v>
      </c>
      <c r="X461" s="22" t="str">
        <f t="shared" si="333"/>
        <v>짝수</v>
      </c>
      <c r="Y461" s="22" t="str">
        <f t="shared" si="334"/>
        <v>짝수</v>
      </c>
      <c r="Z461" s="22" t="str">
        <f t="shared" si="335"/>
        <v>홀수</v>
      </c>
      <c r="AA461" s="22" t="str">
        <f t="shared" si="336"/>
        <v>홀수</v>
      </c>
      <c r="AB461" s="22" t="str">
        <f t="shared" si="337"/>
        <v>짝수</v>
      </c>
      <c r="AC461" s="52" t="str">
        <f t="shared" si="338"/>
        <v>2 : 4</v>
      </c>
      <c r="AD461" s="22">
        <f t="shared" si="339"/>
        <v>2</v>
      </c>
      <c r="AE461" s="22">
        <f t="shared" si="340"/>
        <v>4</v>
      </c>
      <c r="AF461" s="22" t="str">
        <f t="shared" si="348"/>
        <v>저수</v>
      </c>
      <c r="AG461" s="22" t="str">
        <f t="shared" si="349"/>
        <v>저수</v>
      </c>
      <c r="AH461" s="22" t="str">
        <f t="shared" si="350"/>
        <v>저수</v>
      </c>
      <c r="AI461" s="22" t="str">
        <f t="shared" si="351"/>
        <v>고수</v>
      </c>
      <c r="AJ461" s="22" t="str">
        <f t="shared" si="352"/>
        <v>고수</v>
      </c>
      <c r="AK461" s="22" t="str">
        <f t="shared" si="353"/>
        <v>고수</v>
      </c>
      <c r="AL461" s="52" t="str">
        <f t="shared" si="354"/>
        <v>3 : 3</v>
      </c>
      <c r="AM461" s="22">
        <f t="shared" si="355"/>
        <v>3</v>
      </c>
      <c r="AN461" s="22">
        <f t="shared" si="356"/>
        <v>3</v>
      </c>
      <c r="AO461" s="22">
        <f t="shared" si="357"/>
        <v>26</v>
      </c>
      <c r="AP461" s="22" t="str">
        <f t="shared" si="358"/>
        <v>X</v>
      </c>
      <c r="AQ461" s="22" t="str">
        <f t="shared" si="359"/>
        <v>X</v>
      </c>
      <c r="AR461" s="22" t="str">
        <f t="shared" si="360"/>
        <v>X</v>
      </c>
      <c r="AS461" s="22" t="str">
        <f t="shared" si="361"/>
        <v>X</v>
      </c>
      <c r="AT461" s="22" t="str">
        <f t="shared" si="362"/>
        <v>X</v>
      </c>
      <c r="AU461" s="22" t="str">
        <f t="shared" si="363"/>
        <v>X</v>
      </c>
      <c r="AV461" s="22" t="str">
        <f t="shared" si="364"/>
        <v>X</v>
      </c>
      <c r="AW461" s="22" t="str">
        <f t="shared" si="365"/>
        <v>X</v>
      </c>
      <c r="AX461" s="22" t="str">
        <f t="shared" si="366"/>
        <v>X</v>
      </c>
      <c r="AY461" s="22" t="str">
        <f t="shared" si="367"/>
        <v>O</v>
      </c>
      <c r="AZ461" s="22" t="str">
        <f t="shared" si="368"/>
        <v>X</v>
      </c>
      <c r="BA461" s="22" t="str">
        <f t="shared" si="369"/>
        <v>X</v>
      </c>
      <c r="BB461" s="22">
        <f t="shared" si="370"/>
        <v>1</v>
      </c>
      <c r="BC461" s="22" t="str">
        <f t="shared" si="341"/>
        <v>1G</v>
      </c>
      <c r="BD461" s="22" t="str">
        <f t="shared" si="342"/>
        <v>1G</v>
      </c>
      <c r="BE461" s="22" t="str">
        <f t="shared" si="343"/>
        <v>2G</v>
      </c>
      <c r="BF461" s="22" t="str">
        <f t="shared" si="344"/>
        <v>2G</v>
      </c>
      <c r="BG461" s="22" t="str">
        <f t="shared" si="345"/>
        <v>2G</v>
      </c>
      <c r="BH461" s="22" t="str">
        <f t="shared" si="346"/>
        <v>3G</v>
      </c>
      <c r="BI461" s="22">
        <f t="shared" si="371"/>
        <v>2</v>
      </c>
      <c r="BJ461" s="22">
        <f t="shared" si="372"/>
        <v>3</v>
      </c>
      <c r="BK461" s="22">
        <f t="shared" si="373"/>
        <v>1</v>
      </c>
      <c r="BL461" s="22" t="str">
        <f t="shared" si="374"/>
        <v>231</v>
      </c>
      <c r="BS461"/>
      <c r="CL461" s="23">
        <v>183</v>
      </c>
      <c r="CM461" s="23">
        <v>180</v>
      </c>
      <c r="CO461"/>
    </row>
    <row r="462" spans="2:93" ht="17" hidden="1">
      <c r="B462" s="15">
        <v>458</v>
      </c>
      <c r="C462" s="147" t="s">
        <v>477</v>
      </c>
      <c r="N462" s="23">
        <v>4</v>
      </c>
      <c r="O462" s="23">
        <v>9</v>
      </c>
      <c r="P462" s="23">
        <v>10</v>
      </c>
      <c r="Q462" s="23">
        <v>32</v>
      </c>
      <c r="R462" s="23">
        <v>36</v>
      </c>
      <c r="S462" s="23">
        <v>40</v>
      </c>
      <c r="T462" s="23">
        <v>18</v>
      </c>
      <c r="U462" s="23">
        <f t="shared" si="347"/>
        <v>131</v>
      </c>
      <c r="W462" s="22" t="str">
        <f t="shared" si="332"/>
        <v>짝수</v>
      </c>
      <c r="X462" s="22" t="str">
        <f t="shared" si="333"/>
        <v>홀수</v>
      </c>
      <c r="Y462" s="22" t="str">
        <f t="shared" si="334"/>
        <v>짝수</v>
      </c>
      <c r="Z462" s="22" t="str">
        <f t="shared" si="335"/>
        <v>짝수</v>
      </c>
      <c r="AA462" s="22" t="str">
        <f t="shared" si="336"/>
        <v>짝수</v>
      </c>
      <c r="AB462" s="22" t="str">
        <f t="shared" si="337"/>
        <v>짝수</v>
      </c>
      <c r="AC462" s="52" t="str">
        <f t="shared" si="338"/>
        <v>1 : 5</v>
      </c>
      <c r="AD462" s="22">
        <f t="shared" si="339"/>
        <v>1</v>
      </c>
      <c r="AE462" s="22">
        <f t="shared" si="340"/>
        <v>5</v>
      </c>
      <c r="AF462" s="22" t="str">
        <f t="shared" si="348"/>
        <v>저수</v>
      </c>
      <c r="AG462" s="22" t="str">
        <f t="shared" si="349"/>
        <v>저수</v>
      </c>
      <c r="AH462" s="22" t="str">
        <f t="shared" si="350"/>
        <v>저수</v>
      </c>
      <c r="AI462" s="22" t="str">
        <f t="shared" si="351"/>
        <v>고수</v>
      </c>
      <c r="AJ462" s="22" t="str">
        <f t="shared" si="352"/>
        <v>고수</v>
      </c>
      <c r="AK462" s="22" t="str">
        <f t="shared" si="353"/>
        <v>고수</v>
      </c>
      <c r="AL462" s="52" t="str">
        <f t="shared" si="354"/>
        <v>3 : 3</v>
      </c>
      <c r="AM462" s="22">
        <f t="shared" si="355"/>
        <v>3</v>
      </c>
      <c r="AN462" s="22">
        <f t="shared" si="356"/>
        <v>3</v>
      </c>
      <c r="AO462" s="22">
        <f t="shared" si="357"/>
        <v>21</v>
      </c>
      <c r="AP462" s="22" t="str">
        <f t="shared" si="358"/>
        <v>X</v>
      </c>
      <c r="AQ462" s="22" t="str">
        <f t="shared" si="359"/>
        <v>X</v>
      </c>
      <c r="AR462" s="22" t="str">
        <f t="shared" si="360"/>
        <v>X</v>
      </c>
      <c r="AS462" s="22" t="str">
        <f t="shared" si="361"/>
        <v>X</v>
      </c>
      <c r="AT462" s="22" t="str">
        <f t="shared" si="362"/>
        <v>X</v>
      </c>
      <c r="AU462" s="22" t="str">
        <f t="shared" si="363"/>
        <v>X</v>
      </c>
      <c r="AV462" s="22" t="str">
        <f t="shared" si="364"/>
        <v>X</v>
      </c>
      <c r="AW462" s="22" t="str">
        <f t="shared" si="365"/>
        <v>X</v>
      </c>
      <c r="AX462" s="22" t="str">
        <f t="shared" si="366"/>
        <v>X</v>
      </c>
      <c r="AY462" s="22" t="str">
        <f t="shared" si="367"/>
        <v>X</v>
      </c>
      <c r="AZ462" s="22" t="str">
        <f t="shared" si="368"/>
        <v>X</v>
      </c>
      <c r="BA462" s="22" t="str">
        <f t="shared" si="369"/>
        <v>X</v>
      </c>
      <c r="BB462" s="22">
        <f t="shared" si="370"/>
        <v>0</v>
      </c>
      <c r="BC462" s="22" t="str">
        <f t="shared" si="341"/>
        <v>1G</v>
      </c>
      <c r="BD462" s="22" t="str">
        <f t="shared" si="342"/>
        <v>1G</v>
      </c>
      <c r="BE462" s="22" t="str">
        <f t="shared" si="343"/>
        <v>1G</v>
      </c>
      <c r="BF462" s="22" t="str">
        <f t="shared" si="344"/>
        <v>3G</v>
      </c>
      <c r="BG462" s="22" t="str">
        <f t="shared" si="345"/>
        <v>3G</v>
      </c>
      <c r="BH462" s="22" t="str">
        <f t="shared" si="346"/>
        <v>3G</v>
      </c>
      <c r="BI462" s="22">
        <f t="shared" si="371"/>
        <v>3</v>
      </c>
      <c r="BJ462" s="22">
        <f t="shared" si="372"/>
        <v>0</v>
      </c>
      <c r="BK462" s="22">
        <f t="shared" si="373"/>
        <v>3</v>
      </c>
      <c r="BL462" s="22" t="str">
        <f t="shared" si="374"/>
        <v>303</v>
      </c>
      <c r="BS462"/>
      <c r="CL462" s="23">
        <v>184</v>
      </c>
      <c r="CM462" s="23">
        <v>180</v>
      </c>
      <c r="CO462"/>
    </row>
    <row r="463" spans="2:93" ht="17" hidden="1">
      <c r="B463" s="15">
        <v>459</v>
      </c>
      <c r="C463" s="147" t="s">
        <v>478</v>
      </c>
      <c r="N463" s="23">
        <v>4</v>
      </c>
      <c r="O463" s="23">
        <v>6</v>
      </c>
      <c r="P463" s="23">
        <v>10</v>
      </c>
      <c r="Q463" s="23">
        <v>14</v>
      </c>
      <c r="R463" s="23">
        <v>25</v>
      </c>
      <c r="S463" s="23">
        <v>40</v>
      </c>
      <c r="T463" s="23">
        <v>12</v>
      </c>
      <c r="U463" s="23">
        <f t="shared" si="347"/>
        <v>99</v>
      </c>
      <c r="W463" s="22" t="str">
        <f t="shared" si="332"/>
        <v>짝수</v>
      </c>
      <c r="X463" s="22" t="str">
        <f t="shared" si="333"/>
        <v>짝수</v>
      </c>
      <c r="Y463" s="22" t="str">
        <f t="shared" si="334"/>
        <v>짝수</v>
      </c>
      <c r="Z463" s="22" t="str">
        <f t="shared" si="335"/>
        <v>짝수</v>
      </c>
      <c r="AA463" s="22" t="str">
        <f t="shared" si="336"/>
        <v>홀수</v>
      </c>
      <c r="AB463" s="22" t="str">
        <f t="shared" si="337"/>
        <v>짝수</v>
      </c>
      <c r="AC463" s="52" t="str">
        <f t="shared" si="338"/>
        <v>1 : 5</v>
      </c>
      <c r="AD463" s="22">
        <f t="shared" si="339"/>
        <v>1</v>
      </c>
      <c r="AE463" s="22">
        <f t="shared" si="340"/>
        <v>5</v>
      </c>
      <c r="AF463" s="22" t="str">
        <f t="shared" si="348"/>
        <v>저수</v>
      </c>
      <c r="AG463" s="22" t="str">
        <f t="shared" si="349"/>
        <v>저수</v>
      </c>
      <c r="AH463" s="22" t="str">
        <f t="shared" si="350"/>
        <v>저수</v>
      </c>
      <c r="AI463" s="22" t="str">
        <f t="shared" si="351"/>
        <v>저수</v>
      </c>
      <c r="AJ463" s="22" t="str">
        <f t="shared" si="352"/>
        <v>고수</v>
      </c>
      <c r="AK463" s="22" t="str">
        <f t="shared" si="353"/>
        <v>고수</v>
      </c>
      <c r="AL463" s="52" t="str">
        <f t="shared" si="354"/>
        <v>4 : 2</v>
      </c>
      <c r="AM463" s="22">
        <f t="shared" si="355"/>
        <v>4</v>
      </c>
      <c r="AN463" s="22">
        <f t="shared" si="356"/>
        <v>2</v>
      </c>
      <c r="AO463" s="22">
        <f t="shared" si="357"/>
        <v>19</v>
      </c>
      <c r="AP463" s="22" t="str">
        <f t="shared" si="358"/>
        <v>X</v>
      </c>
      <c r="AQ463" s="22" t="str">
        <f t="shared" si="359"/>
        <v>X</v>
      </c>
      <c r="AR463" s="22" t="str">
        <f t="shared" si="360"/>
        <v>X</v>
      </c>
      <c r="AS463" s="22" t="str">
        <f t="shared" si="361"/>
        <v>X</v>
      </c>
      <c r="AT463" s="22" t="str">
        <f t="shared" si="362"/>
        <v>X</v>
      </c>
      <c r="AU463" s="22" t="str">
        <f t="shared" si="363"/>
        <v>X</v>
      </c>
      <c r="AV463" s="22" t="str">
        <f t="shared" si="364"/>
        <v>X</v>
      </c>
      <c r="AW463" s="22" t="str">
        <f t="shared" si="365"/>
        <v>X</v>
      </c>
      <c r="AX463" s="22" t="str">
        <f t="shared" si="366"/>
        <v>X</v>
      </c>
      <c r="AY463" s="22" t="str">
        <f t="shared" si="367"/>
        <v>X</v>
      </c>
      <c r="AZ463" s="22" t="str">
        <f t="shared" si="368"/>
        <v>X</v>
      </c>
      <c r="BA463" s="22" t="str">
        <f t="shared" si="369"/>
        <v>X</v>
      </c>
      <c r="BB463" s="22">
        <f t="shared" si="370"/>
        <v>0</v>
      </c>
      <c r="BC463" s="22" t="str">
        <f t="shared" si="341"/>
        <v>1G</v>
      </c>
      <c r="BD463" s="22" t="str">
        <f t="shared" si="342"/>
        <v>1G</v>
      </c>
      <c r="BE463" s="22" t="str">
        <f t="shared" si="343"/>
        <v>1G</v>
      </c>
      <c r="BF463" s="22" t="str">
        <f t="shared" si="344"/>
        <v>1G</v>
      </c>
      <c r="BG463" s="22" t="str">
        <f t="shared" si="345"/>
        <v>2G</v>
      </c>
      <c r="BH463" s="22" t="str">
        <f t="shared" si="346"/>
        <v>3G</v>
      </c>
      <c r="BI463" s="22">
        <f t="shared" si="371"/>
        <v>4</v>
      </c>
      <c r="BJ463" s="22">
        <f t="shared" si="372"/>
        <v>1</v>
      </c>
      <c r="BK463" s="22">
        <f t="shared" si="373"/>
        <v>1</v>
      </c>
      <c r="BL463" s="22" t="str">
        <f t="shared" si="374"/>
        <v>411</v>
      </c>
      <c r="BS463"/>
      <c r="CL463" s="23">
        <v>184</v>
      </c>
      <c r="CM463" s="23">
        <v>180</v>
      </c>
      <c r="CO463"/>
    </row>
    <row r="464" spans="2:93" ht="17" hidden="1">
      <c r="B464" s="15">
        <v>460</v>
      </c>
      <c r="C464" s="147" t="s">
        <v>479</v>
      </c>
      <c r="N464" s="23">
        <v>8</v>
      </c>
      <c r="O464" s="23">
        <v>11</v>
      </c>
      <c r="P464" s="23">
        <v>28</v>
      </c>
      <c r="Q464" s="23">
        <v>30</v>
      </c>
      <c r="R464" s="23">
        <v>43</v>
      </c>
      <c r="S464" s="23">
        <v>45</v>
      </c>
      <c r="T464" s="23">
        <v>41</v>
      </c>
      <c r="U464" s="23">
        <f t="shared" si="347"/>
        <v>165</v>
      </c>
      <c r="W464" s="22" t="str">
        <f t="shared" si="332"/>
        <v>짝수</v>
      </c>
      <c r="X464" s="22" t="str">
        <f t="shared" si="333"/>
        <v>홀수</v>
      </c>
      <c r="Y464" s="22" t="str">
        <f t="shared" si="334"/>
        <v>짝수</v>
      </c>
      <c r="Z464" s="22" t="str">
        <f t="shared" si="335"/>
        <v>짝수</v>
      </c>
      <c r="AA464" s="22" t="str">
        <f t="shared" si="336"/>
        <v>홀수</v>
      </c>
      <c r="AB464" s="22" t="str">
        <f t="shared" si="337"/>
        <v>홀수</v>
      </c>
      <c r="AC464" s="52" t="str">
        <f t="shared" si="338"/>
        <v>3 : 3</v>
      </c>
      <c r="AD464" s="22">
        <f t="shared" si="339"/>
        <v>3</v>
      </c>
      <c r="AE464" s="22">
        <f t="shared" si="340"/>
        <v>3</v>
      </c>
      <c r="AF464" s="22" t="str">
        <f t="shared" si="348"/>
        <v>저수</v>
      </c>
      <c r="AG464" s="22" t="str">
        <f t="shared" si="349"/>
        <v>저수</v>
      </c>
      <c r="AH464" s="22" t="str">
        <f t="shared" si="350"/>
        <v>고수</v>
      </c>
      <c r="AI464" s="22" t="str">
        <f t="shared" si="351"/>
        <v>고수</v>
      </c>
      <c r="AJ464" s="22" t="str">
        <f t="shared" si="352"/>
        <v>고수</v>
      </c>
      <c r="AK464" s="22" t="str">
        <f t="shared" si="353"/>
        <v>고수</v>
      </c>
      <c r="AL464" s="52" t="str">
        <f t="shared" si="354"/>
        <v>2 : 4</v>
      </c>
      <c r="AM464" s="22">
        <f t="shared" si="355"/>
        <v>2</v>
      </c>
      <c r="AN464" s="22">
        <f t="shared" si="356"/>
        <v>4</v>
      </c>
      <c r="AO464" s="22">
        <f t="shared" si="357"/>
        <v>25</v>
      </c>
      <c r="AP464" s="22" t="str">
        <f t="shared" si="358"/>
        <v>X</v>
      </c>
      <c r="AQ464" s="22" t="str">
        <f t="shared" si="359"/>
        <v>O</v>
      </c>
      <c r="AR464" s="22" t="str">
        <f t="shared" si="360"/>
        <v>X</v>
      </c>
      <c r="AS464" s="22" t="str">
        <f t="shared" si="361"/>
        <v>X</v>
      </c>
      <c r="AT464" s="22" t="str">
        <f t="shared" si="362"/>
        <v>X</v>
      </c>
      <c r="AU464" s="22" t="str">
        <f t="shared" si="363"/>
        <v>X</v>
      </c>
      <c r="AV464" s="22" t="str">
        <f t="shared" si="364"/>
        <v>X</v>
      </c>
      <c r="AW464" s="22" t="str">
        <f t="shared" si="365"/>
        <v>X</v>
      </c>
      <c r="AX464" s="22" t="str">
        <f t="shared" si="366"/>
        <v>X</v>
      </c>
      <c r="AY464" s="22" t="str">
        <f t="shared" si="367"/>
        <v>X</v>
      </c>
      <c r="AZ464" s="22" t="str">
        <f t="shared" si="368"/>
        <v>O</v>
      </c>
      <c r="BA464" s="22" t="str">
        <f t="shared" si="369"/>
        <v>X</v>
      </c>
      <c r="BB464" s="22">
        <f t="shared" si="370"/>
        <v>2</v>
      </c>
      <c r="BC464" s="22" t="str">
        <f t="shared" si="341"/>
        <v>1G</v>
      </c>
      <c r="BD464" s="22" t="str">
        <f t="shared" si="342"/>
        <v>1G</v>
      </c>
      <c r="BE464" s="22" t="str">
        <f t="shared" si="343"/>
        <v>2G</v>
      </c>
      <c r="BF464" s="22" t="str">
        <f t="shared" si="344"/>
        <v>2G</v>
      </c>
      <c r="BG464" s="22" t="str">
        <f t="shared" si="345"/>
        <v>3G</v>
      </c>
      <c r="BH464" s="22" t="str">
        <f t="shared" si="346"/>
        <v>3G</v>
      </c>
      <c r="BI464" s="22">
        <f t="shared" si="371"/>
        <v>2</v>
      </c>
      <c r="BJ464" s="22">
        <f t="shared" si="372"/>
        <v>2</v>
      </c>
      <c r="BK464" s="22">
        <f t="shared" si="373"/>
        <v>2</v>
      </c>
      <c r="BL464" s="22" t="str">
        <f t="shared" si="374"/>
        <v>222</v>
      </c>
      <c r="BS464"/>
      <c r="CL464" s="23">
        <v>184</v>
      </c>
      <c r="CM464" s="23">
        <v>180</v>
      </c>
      <c r="CO464"/>
    </row>
    <row r="465" spans="2:93" ht="17" hidden="1">
      <c r="B465" s="15">
        <v>461</v>
      </c>
      <c r="C465" s="147" t="s">
        <v>480</v>
      </c>
      <c r="N465" s="23">
        <v>11</v>
      </c>
      <c r="O465" s="23">
        <v>18</v>
      </c>
      <c r="P465" s="23">
        <v>26</v>
      </c>
      <c r="Q465" s="23">
        <v>31</v>
      </c>
      <c r="R465" s="23">
        <v>37</v>
      </c>
      <c r="S465" s="23">
        <v>40</v>
      </c>
      <c r="T465" s="23">
        <v>43</v>
      </c>
      <c r="U465" s="23">
        <f t="shared" si="347"/>
        <v>163</v>
      </c>
      <c r="W465" s="22" t="str">
        <f t="shared" si="332"/>
        <v>홀수</v>
      </c>
      <c r="X465" s="22" t="str">
        <f t="shared" si="333"/>
        <v>짝수</v>
      </c>
      <c r="Y465" s="22" t="str">
        <f t="shared" si="334"/>
        <v>짝수</v>
      </c>
      <c r="Z465" s="22" t="str">
        <f t="shared" si="335"/>
        <v>홀수</v>
      </c>
      <c r="AA465" s="22" t="str">
        <f t="shared" si="336"/>
        <v>홀수</v>
      </c>
      <c r="AB465" s="22" t="str">
        <f t="shared" si="337"/>
        <v>짝수</v>
      </c>
      <c r="AC465" s="52" t="str">
        <f t="shared" si="338"/>
        <v>3 : 3</v>
      </c>
      <c r="AD465" s="22">
        <f t="shared" si="339"/>
        <v>3</v>
      </c>
      <c r="AE465" s="22">
        <f t="shared" si="340"/>
        <v>3</v>
      </c>
      <c r="AF465" s="22" t="str">
        <f t="shared" si="348"/>
        <v>저수</v>
      </c>
      <c r="AG465" s="22" t="str">
        <f t="shared" si="349"/>
        <v>저수</v>
      </c>
      <c r="AH465" s="22" t="str">
        <f t="shared" si="350"/>
        <v>고수</v>
      </c>
      <c r="AI465" s="22" t="str">
        <f t="shared" si="351"/>
        <v>고수</v>
      </c>
      <c r="AJ465" s="22" t="str">
        <f t="shared" si="352"/>
        <v>고수</v>
      </c>
      <c r="AK465" s="22" t="str">
        <f t="shared" si="353"/>
        <v>고수</v>
      </c>
      <c r="AL465" s="52" t="str">
        <f t="shared" si="354"/>
        <v>2 : 4</v>
      </c>
      <c r="AM465" s="22">
        <f t="shared" si="355"/>
        <v>2</v>
      </c>
      <c r="AN465" s="22">
        <f t="shared" si="356"/>
        <v>4</v>
      </c>
      <c r="AO465" s="22">
        <f t="shared" si="357"/>
        <v>23</v>
      </c>
      <c r="AP465" s="22" t="str">
        <f t="shared" si="358"/>
        <v>O</v>
      </c>
      <c r="AQ465" s="22" t="str">
        <f t="shared" si="359"/>
        <v>X</v>
      </c>
      <c r="AR465" s="22" t="str">
        <f t="shared" si="360"/>
        <v>X</v>
      </c>
      <c r="AS465" s="22" t="str">
        <f t="shared" si="361"/>
        <v>X</v>
      </c>
      <c r="AT465" s="22" t="str">
        <f t="shared" si="362"/>
        <v>X</v>
      </c>
      <c r="AU465" s="22" t="str">
        <f t="shared" si="363"/>
        <v>X</v>
      </c>
      <c r="AV465" s="22" t="str">
        <f t="shared" si="364"/>
        <v>X</v>
      </c>
      <c r="AW465" s="22" t="str">
        <f t="shared" si="365"/>
        <v>X</v>
      </c>
      <c r="AX465" s="22" t="str">
        <f t="shared" si="366"/>
        <v>X</v>
      </c>
      <c r="AY465" s="22" t="str">
        <f t="shared" si="367"/>
        <v>O</v>
      </c>
      <c r="AZ465" s="22" t="str">
        <f t="shared" si="368"/>
        <v>O</v>
      </c>
      <c r="BA465" s="22" t="str">
        <f t="shared" si="369"/>
        <v>X</v>
      </c>
      <c r="BB465" s="22">
        <f t="shared" si="370"/>
        <v>3</v>
      </c>
      <c r="BC465" s="22" t="str">
        <f t="shared" si="341"/>
        <v>1G</v>
      </c>
      <c r="BD465" s="22" t="str">
        <f t="shared" si="342"/>
        <v>2G</v>
      </c>
      <c r="BE465" s="22" t="str">
        <f t="shared" si="343"/>
        <v>2G</v>
      </c>
      <c r="BF465" s="22" t="str">
        <f t="shared" si="344"/>
        <v>3G</v>
      </c>
      <c r="BG465" s="22" t="str">
        <f t="shared" si="345"/>
        <v>3G</v>
      </c>
      <c r="BH465" s="22" t="str">
        <f t="shared" si="346"/>
        <v>3G</v>
      </c>
      <c r="BI465" s="22">
        <f t="shared" si="371"/>
        <v>1</v>
      </c>
      <c r="BJ465" s="22">
        <f t="shared" si="372"/>
        <v>2</v>
      </c>
      <c r="BK465" s="22">
        <f t="shared" si="373"/>
        <v>3</v>
      </c>
      <c r="BL465" s="22" t="str">
        <f t="shared" si="374"/>
        <v>123</v>
      </c>
      <c r="BS465"/>
      <c r="CL465" s="23">
        <v>185</v>
      </c>
      <c r="CM465" s="23">
        <v>180</v>
      </c>
      <c r="CO465"/>
    </row>
    <row r="466" spans="2:93" ht="17" hidden="1">
      <c r="B466" s="15">
        <v>462</v>
      </c>
      <c r="C466" s="23" t="s">
        <v>481</v>
      </c>
      <c r="N466" s="23">
        <v>3</v>
      </c>
      <c r="O466" s="23">
        <v>20</v>
      </c>
      <c r="P466" s="23">
        <v>24</v>
      </c>
      <c r="Q466" s="23">
        <v>32</v>
      </c>
      <c r="R466" s="23">
        <v>37</v>
      </c>
      <c r="S466" s="23">
        <v>45</v>
      </c>
      <c r="T466" s="23">
        <v>4</v>
      </c>
      <c r="U466" s="23">
        <f t="shared" si="347"/>
        <v>161</v>
      </c>
      <c r="W466" s="22" t="str">
        <f t="shared" si="332"/>
        <v>홀수</v>
      </c>
      <c r="X466" s="22" t="str">
        <f t="shared" si="333"/>
        <v>짝수</v>
      </c>
      <c r="Y466" s="22" t="str">
        <f t="shared" si="334"/>
        <v>짝수</v>
      </c>
      <c r="Z466" s="22" t="str">
        <f t="shared" si="335"/>
        <v>짝수</v>
      </c>
      <c r="AA466" s="22" t="str">
        <f t="shared" si="336"/>
        <v>홀수</v>
      </c>
      <c r="AB466" s="22" t="str">
        <f t="shared" si="337"/>
        <v>홀수</v>
      </c>
      <c r="AC466" s="52" t="str">
        <f t="shared" si="338"/>
        <v>3 : 3</v>
      </c>
      <c r="AD466" s="22">
        <f t="shared" si="339"/>
        <v>3</v>
      </c>
      <c r="AE466" s="22">
        <f t="shared" si="340"/>
        <v>3</v>
      </c>
      <c r="AF466" s="22" t="str">
        <f t="shared" si="348"/>
        <v>저수</v>
      </c>
      <c r="AG466" s="22" t="str">
        <f t="shared" si="349"/>
        <v>저수</v>
      </c>
      <c r="AH466" s="22" t="str">
        <f t="shared" si="350"/>
        <v>고수</v>
      </c>
      <c r="AI466" s="22" t="str">
        <f t="shared" si="351"/>
        <v>고수</v>
      </c>
      <c r="AJ466" s="22" t="str">
        <f t="shared" si="352"/>
        <v>고수</v>
      </c>
      <c r="AK466" s="22" t="str">
        <f t="shared" si="353"/>
        <v>고수</v>
      </c>
      <c r="AL466" s="52" t="str">
        <f t="shared" si="354"/>
        <v>2 : 4</v>
      </c>
      <c r="AM466" s="22">
        <f t="shared" si="355"/>
        <v>2</v>
      </c>
      <c r="AN466" s="22">
        <f t="shared" si="356"/>
        <v>4</v>
      </c>
      <c r="AO466" s="22">
        <f t="shared" si="357"/>
        <v>21</v>
      </c>
      <c r="AP466" s="22" t="str">
        <f t="shared" si="358"/>
        <v>O</v>
      </c>
      <c r="AQ466" s="22" t="str">
        <f t="shared" si="359"/>
        <v>X</v>
      </c>
      <c r="AR466" s="22" t="str">
        <f t="shared" si="360"/>
        <v>X</v>
      </c>
      <c r="AS466" s="22" t="str">
        <f t="shared" si="361"/>
        <v>X</v>
      </c>
      <c r="AT466" s="22" t="str">
        <f t="shared" si="362"/>
        <v>X</v>
      </c>
      <c r="AU466" s="22" t="str">
        <f t="shared" si="363"/>
        <v>X</v>
      </c>
      <c r="AV466" s="22" t="str">
        <f t="shared" si="364"/>
        <v>X</v>
      </c>
      <c r="AW466" s="22" t="str">
        <f t="shared" si="365"/>
        <v>X</v>
      </c>
      <c r="AX466" s="22" t="str">
        <f t="shared" si="366"/>
        <v>X</v>
      </c>
      <c r="AY466" s="22" t="str">
        <f t="shared" si="367"/>
        <v>X</v>
      </c>
      <c r="AZ466" s="22" t="str">
        <f t="shared" si="368"/>
        <v>O</v>
      </c>
      <c r="BA466" s="22" t="str">
        <f t="shared" si="369"/>
        <v>X</v>
      </c>
      <c r="BB466" s="22">
        <f t="shared" si="370"/>
        <v>2</v>
      </c>
      <c r="BC466" s="22" t="str">
        <f t="shared" si="341"/>
        <v>1G</v>
      </c>
      <c r="BD466" s="22" t="str">
        <f t="shared" si="342"/>
        <v>2G</v>
      </c>
      <c r="BE466" s="22" t="str">
        <f t="shared" si="343"/>
        <v>2G</v>
      </c>
      <c r="BF466" s="22" t="str">
        <f t="shared" si="344"/>
        <v>3G</v>
      </c>
      <c r="BG466" s="22" t="str">
        <f t="shared" si="345"/>
        <v>3G</v>
      </c>
      <c r="BH466" s="22" t="str">
        <f t="shared" si="346"/>
        <v>3G</v>
      </c>
      <c r="BI466" s="22">
        <f t="shared" si="371"/>
        <v>1</v>
      </c>
      <c r="BJ466" s="22">
        <f t="shared" si="372"/>
        <v>2</v>
      </c>
      <c r="BK466" s="22">
        <f t="shared" si="373"/>
        <v>3</v>
      </c>
      <c r="BL466" s="22" t="str">
        <f t="shared" si="374"/>
        <v>123</v>
      </c>
      <c r="BS466"/>
      <c r="CL466" s="23">
        <v>187</v>
      </c>
      <c r="CM466" s="23">
        <v>180</v>
      </c>
      <c r="CO466"/>
    </row>
    <row r="467" spans="2:93" ht="17" hidden="1">
      <c r="B467" s="15">
        <v>463</v>
      </c>
      <c r="C467" s="23" t="s">
        <v>482</v>
      </c>
      <c r="N467" s="23">
        <v>23</v>
      </c>
      <c r="O467" s="23">
        <v>29</v>
      </c>
      <c r="P467" s="23">
        <v>31</v>
      </c>
      <c r="Q467" s="23">
        <v>33</v>
      </c>
      <c r="R467" s="23">
        <v>34</v>
      </c>
      <c r="S467" s="23">
        <v>44</v>
      </c>
      <c r="T467" s="23">
        <v>40</v>
      </c>
      <c r="U467" s="23">
        <f t="shared" si="347"/>
        <v>194</v>
      </c>
      <c r="W467" s="22" t="str">
        <f t="shared" si="332"/>
        <v>홀수</v>
      </c>
      <c r="X467" s="22" t="str">
        <f t="shared" si="333"/>
        <v>홀수</v>
      </c>
      <c r="Y467" s="22" t="str">
        <f t="shared" si="334"/>
        <v>홀수</v>
      </c>
      <c r="Z467" s="22" t="str">
        <f t="shared" si="335"/>
        <v>홀수</v>
      </c>
      <c r="AA467" s="22" t="str">
        <f t="shared" si="336"/>
        <v>짝수</v>
      </c>
      <c r="AB467" s="22" t="str">
        <f t="shared" si="337"/>
        <v>짝수</v>
      </c>
      <c r="AC467" s="52" t="str">
        <f t="shared" si="338"/>
        <v>4 : 2</v>
      </c>
      <c r="AD467" s="22">
        <f t="shared" si="339"/>
        <v>4</v>
      </c>
      <c r="AE467" s="22">
        <f t="shared" si="340"/>
        <v>2</v>
      </c>
      <c r="AF467" s="22" t="str">
        <f t="shared" si="348"/>
        <v>고수</v>
      </c>
      <c r="AG467" s="22" t="str">
        <f t="shared" si="349"/>
        <v>고수</v>
      </c>
      <c r="AH467" s="22" t="str">
        <f t="shared" si="350"/>
        <v>고수</v>
      </c>
      <c r="AI467" s="22" t="str">
        <f t="shared" si="351"/>
        <v>고수</v>
      </c>
      <c r="AJ467" s="22" t="str">
        <f t="shared" si="352"/>
        <v>고수</v>
      </c>
      <c r="AK467" s="22" t="str">
        <f t="shared" si="353"/>
        <v>고수</v>
      </c>
      <c r="AL467" s="52" t="str">
        <f t="shared" si="354"/>
        <v>0 : 6</v>
      </c>
      <c r="AM467" s="22">
        <f t="shared" si="355"/>
        <v>0</v>
      </c>
      <c r="AN467" s="22">
        <f t="shared" si="356"/>
        <v>6</v>
      </c>
      <c r="AO467" s="22">
        <f t="shared" si="357"/>
        <v>24</v>
      </c>
      <c r="AP467" s="22" t="str">
        <f t="shared" si="358"/>
        <v>X</v>
      </c>
      <c r="AQ467" s="22" t="str">
        <f t="shared" si="359"/>
        <v>X</v>
      </c>
      <c r="AR467" s="22" t="str">
        <f t="shared" si="360"/>
        <v>X</v>
      </c>
      <c r="AS467" s="22" t="str">
        <f t="shared" si="361"/>
        <v>X</v>
      </c>
      <c r="AT467" s="22" t="str">
        <f t="shared" si="362"/>
        <v>X</v>
      </c>
      <c r="AU467" s="22" t="str">
        <f t="shared" si="363"/>
        <v>X</v>
      </c>
      <c r="AV467" s="22" t="str">
        <f t="shared" si="364"/>
        <v>O</v>
      </c>
      <c r="AW467" s="22" t="str">
        <f t="shared" si="365"/>
        <v>O</v>
      </c>
      <c r="AX467" s="22" t="str">
        <f t="shared" si="366"/>
        <v>O</v>
      </c>
      <c r="AY467" s="22" t="str">
        <f t="shared" si="367"/>
        <v>X</v>
      </c>
      <c r="AZ467" s="22" t="str">
        <f t="shared" si="368"/>
        <v>X</v>
      </c>
      <c r="BA467" s="22" t="str">
        <f t="shared" si="369"/>
        <v>X</v>
      </c>
      <c r="BB467" s="22">
        <f t="shared" si="370"/>
        <v>3</v>
      </c>
      <c r="BC467" s="22" t="str">
        <f t="shared" si="341"/>
        <v>2G</v>
      </c>
      <c r="BD467" s="22" t="str">
        <f t="shared" si="342"/>
        <v>2G</v>
      </c>
      <c r="BE467" s="22" t="str">
        <f t="shared" si="343"/>
        <v>3G</v>
      </c>
      <c r="BF467" s="22" t="str">
        <f t="shared" si="344"/>
        <v>3G</v>
      </c>
      <c r="BG467" s="22" t="str">
        <f t="shared" si="345"/>
        <v>3G</v>
      </c>
      <c r="BH467" s="22" t="str">
        <f t="shared" si="346"/>
        <v>3G</v>
      </c>
      <c r="BI467" s="22">
        <f t="shared" si="371"/>
        <v>0</v>
      </c>
      <c r="BJ467" s="22">
        <f t="shared" si="372"/>
        <v>2</v>
      </c>
      <c r="BK467" s="22">
        <f t="shared" si="373"/>
        <v>4</v>
      </c>
      <c r="BL467" s="22" t="str">
        <f t="shared" si="374"/>
        <v>024</v>
      </c>
      <c r="BS467"/>
      <c r="CL467" s="23">
        <v>187</v>
      </c>
      <c r="CM467" s="23">
        <v>180</v>
      </c>
      <c r="CO467"/>
    </row>
    <row r="468" spans="2:93" ht="17" hidden="1">
      <c r="B468" s="15">
        <v>464</v>
      </c>
      <c r="C468" s="23" t="s">
        <v>483</v>
      </c>
      <c r="N468" s="23">
        <v>6</v>
      </c>
      <c r="O468" s="23">
        <v>12</v>
      </c>
      <c r="P468" s="23">
        <v>15</v>
      </c>
      <c r="Q468" s="23">
        <v>34</v>
      </c>
      <c r="R468" s="23">
        <v>42</v>
      </c>
      <c r="S468" s="23">
        <v>44</v>
      </c>
      <c r="T468" s="23">
        <v>4</v>
      </c>
      <c r="U468" s="23">
        <f t="shared" si="347"/>
        <v>153</v>
      </c>
      <c r="W468" s="22" t="str">
        <f t="shared" si="332"/>
        <v>짝수</v>
      </c>
      <c r="X468" s="22" t="str">
        <f t="shared" si="333"/>
        <v>짝수</v>
      </c>
      <c r="Y468" s="22" t="str">
        <f t="shared" si="334"/>
        <v>홀수</v>
      </c>
      <c r="Z468" s="22" t="str">
        <f t="shared" si="335"/>
        <v>짝수</v>
      </c>
      <c r="AA468" s="22" t="str">
        <f t="shared" si="336"/>
        <v>짝수</v>
      </c>
      <c r="AB468" s="22" t="str">
        <f t="shared" si="337"/>
        <v>짝수</v>
      </c>
      <c r="AC468" s="52" t="str">
        <f t="shared" si="338"/>
        <v>1 : 5</v>
      </c>
      <c r="AD468" s="22">
        <f t="shared" si="339"/>
        <v>1</v>
      </c>
      <c r="AE468" s="22">
        <f t="shared" si="340"/>
        <v>5</v>
      </c>
      <c r="AF468" s="22" t="str">
        <f t="shared" si="348"/>
        <v>저수</v>
      </c>
      <c r="AG468" s="22" t="str">
        <f t="shared" si="349"/>
        <v>저수</v>
      </c>
      <c r="AH468" s="22" t="str">
        <f t="shared" si="350"/>
        <v>저수</v>
      </c>
      <c r="AI468" s="22" t="str">
        <f t="shared" si="351"/>
        <v>고수</v>
      </c>
      <c r="AJ468" s="22" t="str">
        <f t="shared" si="352"/>
        <v>고수</v>
      </c>
      <c r="AK468" s="22" t="str">
        <f t="shared" si="353"/>
        <v>고수</v>
      </c>
      <c r="AL468" s="52" t="str">
        <f t="shared" si="354"/>
        <v>3 : 3</v>
      </c>
      <c r="AM468" s="22">
        <f t="shared" si="355"/>
        <v>3</v>
      </c>
      <c r="AN468" s="22">
        <f t="shared" si="356"/>
        <v>3</v>
      </c>
      <c r="AO468" s="22">
        <f t="shared" si="357"/>
        <v>23</v>
      </c>
      <c r="AP468" s="22" t="str">
        <f t="shared" si="358"/>
        <v>X</v>
      </c>
      <c r="AQ468" s="22" t="str">
        <f t="shared" si="359"/>
        <v>X</v>
      </c>
      <c r="AR468" s="22" t="str">
        <f t="shared" si="360"/>
        <v>X</v>
      </c>
      <c r="AS468" s="22" t="str">
        <f t="shared" si="361"/>
        <v>X</v>
      </c>
      <c r="AT468" s="22" t="str">
        <f t="shared" si="362"/>
        <v>X</v>
      </c>
      <c r="AU468" s="22" t="str">
        <f t="shared" si="363"/>
        <v>X</v>
      </c>
      <c r="AV468" s="22" t="str">
        <f t="shared" si="364"/>
        <v>X</v>
      </c>
      <c r="AW468" s="22" t="str">
        <f t="shared" si="365"/>
        <v>X</v>
      </c>
      <c r="AX468" s="22" t="str">
        <f t="shared" si="366"/>
        <v>X</v>
      </c>
      <c r="AY468" s="22" t="str">
        <f t="shared" si="367"/>
        <v>X</v>
      </c>
      <c r="AZ468" s="22" t="str">
        <f t="shared" si="368"/>
        <v>X</v>
      </c>
      <c r="BA468" s="22" t="str">
        <f t="shared" si="369"/>
        <v>X</v>
      </c>
      <c r="BB468" s="22">
        <f t="shared" si="370"/>
        <v>0</v>
      </c>
      <c r="BC468" s="22" t="str">
        <f t="shared" si="341"/>
        <v>1G</v>
      </c>
      <c r="BD468" s="22" t="str">
        <f t="shared" si="342"/>
        <v>1G</v>
      </c>
      <c r="BE468" s="22" t="str">
        <f t="shared" si="343"/>
        <v>1G</v>
      </c>
      <c r="BF468" s="22" t="str">
        <f t="shared" si="344"/>
        <v>3G</v>
      </c>
      <c r="BG468" s="22" t="str">
        <f t="shared" si="345"/>
        <v>3G</v>
      </c>
      <c r="BH468" s="22" t="str">
        <f t="shared" si="346"/>
        <v>3G</v>
      </c>
      <c r="BI468" s="22">
        <f t="shared" si="371"/>
        <v>3</v>
      </c>
      <c r="BJ468" s="22">
        <f t="shared" si="372"/>
        <v>0</v>
      </c>
      <c r="BK468" s="22">
        <f t="shared" si="373"/>
        <v>3</v>
      </c>
      <c r="BL468" s="22" t="str">
        <f t="shared" si="374"/>
        <v>303</v>
      </c>
      <c r="BS468"/>
      <c r="CL468" s="23">
        <v>187</v>
      </c>
      <c r="CM468" s="23">
        <v>180</v>
      </c>
      <c r="CO468"/>
    </row>
    <row r="469" spans="2:93" ht="17" hidden="1">
      <c r="B469" s="15">
        <v>465</v>
      </c>
      <c r="C469" s="23" t="s">
        <v>484</v>
      </c>
      <c r="N469" s="23">
        <v>1</v>
      </c>
      <c r="O469" s="23">
        <v>8</v>
      </c>
      <c r="P469" s="23">
        <v>11</v>
      </c>
      <c r="Q469" s="23">
        <v>13</v>
      </c>
      <c r="R469" s="23">
        <v>22</v>
      </c>
      <c r="S469" s="23">
        <v>38</v>
      </c>
      <c r="T469" s="23">
        <v>31</v>
      </c>
      <c r="U469" s="23">
        <f t="shared" si="347"/>
        <v>93</v>
      </c>
      <c r="W469" s="22" t="str">
        <f t="shared" si="332"/>
        <v>홀수</v>
      </c>
      <c r="X469" s="22" t="str">
        <f t="shared" si="333"/>
        <v>짝수</v>
      </c>
      <c r="Y469" s="22" t="str">
        <f t="shared" si="334"/>
        <v>홀수</v>
      </c>
      <c r="Z469" s="22" t="str">
        <f t="shared" si="335"/>
        <v>홀수</v>
      </c>
      <c r="AA469" s="22" t="str">
        <f t="shared" si="336"/>
        <v>짝수</v>
      </c>
      <c r="AB469" s="22" t="str">
        <f t="shared" si="337"/>
        <v>짝수</v>
      </c>
      <c r="AC469" s="52" t="str">
        <f t="shared" si="338"/>
        <v>3 : 3</v>
      </c>
      <c r="AD469" s="22">
        <f t="shared" si="339"/>
        <v>3</v>
      </c>
      <c r="AE469" s="22">
        <f t="shared" si="340"/>
        <v>3</v>
      </c>
      <c r="AF469" s="22" t="str">
        <f t="shared" si="348"/>
        <v>저수</v>
      </c>
      <c r="AG469" s="22" t="str">
        <f t="shared" si="349"/>
        <v>저수</v>
      </c>
      <c r="AH469" s="22" t="str">
        <f t="shared" si="350"/>
        <v>저수</v>
      </c>
      <c r="AI469" s="22" t="str">
        <f t="shared" si="351"/>
        <v>저수</v>
      </c>
      <c r="AJ469" s="22" t="str">
        <f t="shared" si="352"/>
        <v>저수</v>
      </c>
      <c r="AK469" s="22" t="str">
        <f t="shared" si="353"/>
        <v>고수</v>
      </c>
      <c r="AL469" s="52" t="str">
        <f t="shared" si="354"/>
        <v>5 : 1</v>
      </c>
      <c r="AM469" s="22">
        <f t="shared" si="355"/>
        <v>5</v>
      </c>
      <c r="AN469" s="22">
        <f t="shared" si="356"/>
        <v>1</v>
      </c>
      <c r="AO469" s="22">
        <f t="shared" si="357"/>
        <v>23</v>
      </c>
      <c r="AP469" s="22" t="str">
        <f t="shared" si="358"/>
        <v>X</v>
      </c>
      <c r="AQ469" s="22" t="str">
        <f t="shared" si="359"/>
        <v>X</v>
      </c>
      <c r="AR469" s="22" t="str">
        <f t="shared" si="360"/>
        <v>O</v>
      </c>
      <c r="AS469" s="22" t="str">
        <f t="shared" si="361"/>
        <v>O</v>
      </c>
      <c r="AT469" s="22" t="str">
        <f t="shared" si="362"/>
        <v>X</v>
      </c>
      <c r="AU469" s="22" t="str">
        <f t="shared" si="363"/>
        <v>X</v>
      </c>
      <c r="AV469" s="22" t="str">
        <f t="shared" si="364"/>
        <v>X</v>
      </c>
      <c r="AW469" s="22" t="str">
        <f t="shared" si="365"/>
        <v>X</v>
      </c>
      <c r="AX469" s="22" t="str">
        <f t="shared" si="366"/>
        <v>X</v>
      </c>
      <c r="AY469" s="22" t="str">
        <f t="shared" si="367"/>
        <v>X</v>
      </c>
      <c r="AZ469" s="22" t="str">
        <f t="shared" si="368"/>
        <v>X</v>
      </c>
      <c r="BA469" s="22" t="str">
        <f t="shared" si="369"/>
        <v>X</v>
      </c>
      <c r="BB469" s="22">
        <f t="shared" si="370"/>
        <v>2</v>
      </c>
      <c r="BC469" s="22" t="str">
        <f t="shared" si="341"/>
        <v>1G</v>
      </c>
      <c r="BD469" s="22" t="str">
        <f t="shared" si="342"/>
        <v>1G</v>
      </c>
      <c r="BE469" s="22" t="str">
        <f t="shared" si="343"/>
        <v>1G</v>
      </c>
      <c r="BF469" s="22" t="str">
        <f t="shared" si="344"/>
        <v>1G</v>
      </c>
      <c r="BG469" s="22" t="str">
        <f t="shared" si="345"/>
        <v>2G</v>
      </c>
      <c r="BH469" s="22" t="str">
        <f t="shared" si="346"/>
        <v>3G</v>
      </c>
      <c r="BI469" s="22">
        <f t="shared" si="371"/>
        <v>4</v>
      </c>
      <c r="BJ469" s="22">
        <f t="shared" si="372"/>
        <v>1</v>
      </c>
      <c r="BK469" s="22">
        <f t="shared" si="373"/>
        <v>1</v>
      </c>
      <c r="BL469" s="22" t="str">
        <f t="shared" si="374"/>
        <v>411</v>
      </c>
      <c r="BS469"/>
      <c r="CL469" s="23">
        <v>188</v>
      </c>
      <c r="CM469" s="23">
        <v>180</v>
      </c>
      <c r="CO469"/>
    </row>
    <row r="470" spans="2:93" ht="17" hidden="1">
      <c r="B470" s="15">
        <v>466</v>
      </c>
      <c r="C470" s="23" t="s">
        <v>485</v>
      </c>
      <c r="N470" s="23">
        <v>4</v>
      </c>
      <c r="O470" s="23">
        <v>10</v>
      </c>
      <c r="P470" s="23">
        <v>13</v>
      </c>
      <c r="Q470" s="23">
        <v>23</v>
      </c>
      <c r="R470" s="23">
        <v>32</v>
      </c>
      <c r="S470" s="23">
        <v>44</v>
      </c>
      <c r="T470" s="23">
        <v>20</v>
      </c>
      <c r="U470" s="23">
        <f t="shared" si="347"/>
        <v>126</v>
      </c>
      <c r="W470" s="22" t="str">
        <f t="shared" si="332"/>
        <v>짝수</v>
      </c>
      <c r="X470" s="22" t="str">
        <f t="shared" si="333"/>
        <v>짝수</v>
      </c>
      <c r="Y470" s="22" t="str">
        <f t="shared" si="334"/>
        <v>홀수</v>
      </c>
      <c r="Z470" s="22" t="str">
        <f t="shared" si="335"/>
        <v>홀수</v>
      </c>
      <c r="AA470" s="22" t="str">
        <f t="shared" si="336"/>
        <v>짝수</v>
      </c>
      <c r="AB470" s="22" t="str">
        <f t="shared" si="337"/>
        <v>짝수</v>
      </c>
      <c r="AC470" s="52" t="str">
        <f t="shared" si="338"/>
        <v>2 : 4</v>
      </c>
      <c r="AD470" s="22">
        <f t="shared" si="339"/>
        <v>2</v>
      </c>
      <c r="AE470" s="22">
        <f t="shared" si="340"/>
        <v>4</v>
      </c>
      <c r="AF470" s="22" t="str">
        <f t="shared" si="348"/>
        <v>저수</v>
      </c>
      <c r="AG470" s="22" t="str">
        <f t="shared" si="349"/>
        <v>저수</v>
      </c>
      <c r="AH470" s="22" t="str">
        <f t="shared" si="350"/>
        <v>저수</v>
      </c>
      <c r="AI470" s="22" t="str">
        <f t="shared" si="351"/>
        <v>고수</v>
      </c>
      <c r="AJ470" s="22" t="str">
        <f t="shared" si="352"/>
        <v>고수</v>
      </c>
      <c r="AK470" s="22" t="str">
        <f t="shared" si="353"/>
        <v>고수</v>
      </c>
      <c r="AL470" s="52" t="str">
        <f t="shared" si="354"/>
        <v>3 : 3</v>
      </c>
      <c r="AM470" s="22">
        <f t="shared" si="355"/>
        <v>3</v>
      </c>
      <c r="AN470" s="22">
        <f t="shared" si="356"/>
        <v>3</v>
      </c>
      <c r="AO470" s="22">
        <f t="shared" si="357"/>
        <v>16</v>
      </c>
      <c r="AP470" s="22" t="str">
        <f t="shared" si="358"/>
        <v>X</v>
      </c>
      <c r="AQ470" s="22" t="str">
        <f t="shared" si="359"/>
        <v>X</v>
      </c>
      <c r="AR470" s="22" t="str">
        <f t="shared" si="360"/>
        <v>O</v>
      </c>
      <c r="AS470" s="22" t="str">
        <f t="shared" si="361"/>
        <v>X</v>
      </c>
      <c r="AT470" s="22" t="str">
        <f t="shared" si="362"/>
        <v>X</v>
      </c>
      <c r="AU470" s="22" t="str">
        <f t="shared" si="363"/>
        <v>X</v>
      </c>
      <c r="AV470" s="22" t="str">
        <f t="shared" si="364"/>
        <v>X</v>
      </c>
      <c r="AW470" s="22" t="str">
        <f t="shared" si="365"/>
        <v>X</v>
      </c>
      <c r="AX470" s="22" t="str">
        <f t="shared" si="366"/>
        <v>X</v>
      </c>
      <c r="AY470" s="22" t="str">
        <f t="shared" si="367"/>
        <v>O</v>
      </c>
      <c r="AZ470" s="22" t="str">
        <f t="shared" si="368"/>
        <v>X</v>
      </c>
      <c r="BA470" s="22" t="str">
        <f t="shared" si="369"/>
        <v>X</v>
      </c>
      <c r="BB470" s="22">
        <f t="shared" si="370"/>
        <v>2</v>
      </c>
      <c r="BC470" s="22" t="str">
        <f t="shared" si="341"/>
        <v>1G</v>
      </c>
      <c r="BD470" s="22" t="str">
        <f t="shared" si="342"/>
        <v>1G</v>
      </c>
      <c r="BE470" s="22" t="str">
        <f t="shared" si="343"/>
        <v>1G</v>
      </c>
      <c r="BF470" s="22" t="str">
        <f t="shared" si="344"/>
        <v>2G</v>
      </c>
      <c r="BG470" s="22" t="str">
        <f t="shared" si="345"/>
        <v>3G</v>
      </c>
      <c r="BH470" s="22" t="str">
        <f t="shared" si="346"/>
        <v>3G</v>
      </c>
      <c r="BI470" s="22">
        <f t="shared" si="371"/>
        <v>3</v>
      </c>
      <c r="BJ470" s="22">
        <f t="shared" si="372"/>
        <v>1</v>
      </c>
      <c r="BK470" s="22">
        <f t="shared" si="373"/>
        <v>2</v>
      </c>
      <c r="BL470" s="22" t="str">
        <f t="shared" si="374"/>
        <v>312</v>
      </c>
      <c r="BS470"/>
      <c r="CL470" s="23">
        <v>188</v>
      </c>
      <c r="CM470" s="23">
        <v>180</v>
      </c>
      <c r="CO470"/>
    </row>
    <row r="471" spans="2:93" ht="17" hidden="1">
      <c r="B471" s="15">
        <v>467</v>
      </c>
      <c r="C471" s="23" t="s">
        <v>486</v>
      </c>
      <c r="N471" s="23">
        <v>2</v>
      </c>
      <c r="O471" s="23">
        <v>12</v>
      </c>
      <c r="P471" s="23">
        <v>14</v>
      </c>
      <c r="Q471" s="23">
        <v>17</v>
      </c>
      <c r="R471" s="23">
        <v>24</v>
      </c>
      <c r="S471" s="23">
        <v>40</v>
      </c>
      <c r="T471" s="23">
        <v>39</v>
      </c>
      <c r="U471" s="23">
        <f t="shared" si="347"/>
        <v>109</v>
      </c>
      <c r="W471" s="22" t="str">
        <f t="shared" si="332"/>
        <v>짝수</v>
      </c>
      <c r="X471" s="22" t="str">
        <f t="shared" si="333"/>
        <v>짝수</v>
      </c>
      <c r="Y471" s="22" t="str">
        <f t="shared" si="334"/>
        <v>짝수</v>
      </c>
      <c r="Z471" s="22" t="str">
        <f t="shared" si="335"/>
        <v>홀수</v>
      </c>
      <c r="AA471" s="22" t="str">
        <f t="shared" si="336"/>
        <v>짝수</v>
      </c>
      <c r="AB471" s="22" t="str">
        <f t="shared" si="337"/>
        <v>짝수</v>
      </c>
      <c r="AC471" s="52" t="str">
        <f t="shared" si="338"/>
        <v>1 : 5</v>
      </c>
      <c r="AD471" s="22">
        <f t="shared" si="339"/>
        <v>1</v>
      </c>
      <c r="AE471" s="22">
        <f t="shared" si="340"/>
        <v>5</v>
      </c>
      <c r="AF471" s="22" t="str">
        <f t="shared" si="348"/>
        <v>저수</v>
      </c>
      <c r="AG471" s="22" t="str">
        <f t="shared" si="349"/>
        <v>저수</v>
      </c>
      <c r="AH471" s="22" t="str">
        <f t="shared" si="350"/>
        <v>저수</v>
      </c>
      <c r="AI471" s="22" t="str">
        <f t="shared" si="351"/>
        <v>저수</v>
      </c>
      <c r="AJ471" s="22" t="str">
        <f t="shared" si="352"/>
        <v>고수</v>
      </c>
      <c r="AK471" s="22" t="str">
        <f t="shared" si="353"/>
        <v>고수</v>
      </c>
      <c r="AL471" s="52" t="str">
        <f t="shared" si="354"/>
        <v>4 : 2</v>
      </c>
      <c r="AM471" s="22">
        <f t="shared" si="355"/>
        <v>4</v>
      </c>
      <c r="AN471" s="22">
        <f t="shared" si="356"/>
        <v>2</v>
      </c>
      <c r="AO471" s="22">
        <f t="shared" si="357"/>
        <v>19</v>
      </c>
      <c r="AP471" s="22" t="str">
        <f t="shared" si="358"/>
        <v>O</v>
      </c>
      <c r="AQ471" s="22" t="str">
        <f t="shared" si="359"/>
        <v>X</v>
      </c>
      <c r="AR471" s="22" t="str">
        <f t="shared" si="360"/>
        <v>X</v>
      </c>
      <c r="AS471" s="22" t="str">
        <f t="shared" si="361"/>
        <v>O</v>
      </c>
      <c r="AT471" s="22" t="str">
        <f t="shared" si="362"/>
        <v>X</v>
      </c>
      <c r="AU471" s="22" t="str">
        <f t="shared" si="363"/>
        <v>X</v>
      </c>
      <c r="AV471" s="22" t="str">
        <f t="shared" si="364"/>
        <v>X</v>
      </c>
      <c r="AW471" s="22" t="str">
        <f t="shared" si="365"/>
        <v>X</v>
      </c>
      <c r="AX471" s="22" t="str">
        <f t="shared" si="366"/>
        <v>X</v>
      </c>
      <c r="AY471" s="22" t="str">
        <f t="shared" si="367"/>
        <v>X</v>
      </c>
      <c r="AZ471" s="22" t="str">
        <f t="shared" si="368"/>
        <v>X</v>
      </c>
      <c r="BA471" s="22" t="str">
        <f t="shared" si="369"/>
        <v>X</v>
      </c>
      <c r="BB471" s="22">
        <f t="shared" si="370"/>
        <v>2</v>
      </c>
      <c r="BC471" s="22" t="str">
        <f t="shared" si="341"/>
        <v>1G</v>
      </c>
      <c r="BD471" s="22" t="str">
        <f t="shared" si="342"/>
        <v>1G</v>
      </c>
      <c r="BE471" s="22" t="str">
        <f t="shared" si="343"/>
        <v>1G</v>
      </c>
      <c r="BF471" s="22" t="str">
        <f t="shared" si="344"/>
        <v>2G</v>
      </c>
      <c r="BG471" s="22" t="str">
        <f t="shared" si="345"/>
        <v>2G</v>
      </c>
      <c r="BH471" s="22" t="str">
        <f t="shared" si="346"/>
        <v>3G</v>
      </c>
      <c r="BI471" s="22">
        <f t="shared" si="371"/>
        <v>3</v>
      </c>
      <c r="BJ471" s="22">
        <f t="shared" si="372"/>
        <v>2</v>
      </c>
      <c r="BK471" s="22">
        <f t="shared" si="373"/>
        <v>1</v>
      </c>
      <c r="BL471" s="22" t="str">
        <f t="shared" si="374"/>
        <v>321</v>
      </c>
      <c r="BS471"/>
      <c r="CL471" s="23">
        <v>189</v>
      </c>
      <c r="CM471" s="23">
        <v>180</v>
      </c>
      <c r="CO471"/>
    </row>
    <row r="472" spans="2:93" ht="17" hidden="1">
      <c r="B472" s="15">
        <v>468</v>
      </c>
      <c r="C472" s="23" t="s">
        <v>487</v>
      </c>
      <c r="N472" s="23">
        <v>8</v>
      </c>
      <c r="O472" s="23">
        <v>13</v>
      </c>
      <c r="P472" s="23">
        <v>15</v>
      </c>
      <c r="Q472" s="23">
        <v>28</v>
      </c>
      <c r="R472" s="23">
        <v>37</v>
      </c>
      <c r="S472" s="23">
        <v>43</v>
      </c>
      <c r="T472" s="23">
        <v>17</v>
      </c>
      <c r="U472" s="23">
        <f t="shared" si="347"/>
        <v>144</v>
      </c>
      <c r="W472" s="22" t="str">
        <f t="shared" si="332"/>
        <v>짝수</v>
      </c>
      <c r="X472" s="22" t="str">
        <f t="shared" si="333"/>
        <v>홀수</v>
      </c>
      <c r="Y472" s="22" t="str">
        <f t="shared" si="334"/>
        <v>홀수</v>
      </c>
      <c r="Z472" s="22" t="str">
        <f t="shared" si="335"/>
        <v>짝수</v>
      </c>
      <c r="AA472" s="22" t="str">
        <f t="shared" si="336"/>
        <v>홀수</v>
      </c>
      <c r="AB472" s="22" t="str">
        <f t="shared" si="337"/>
        <v>홀수</v>
      </c>
      <c r="AC472" s="52" t="str">
        <f t="shared" si="338"/>
        <v>4 : 2</v>
      </c>
      <c r="AD472" s="22">
        <f t="shared" si="339"/>
        <v>4</v>
      </c>
      <c r="AE472" s="22">
        <f t="shared" si="340"/>
        <v>2</v>
      </c>
      <c r="AF472" s="22" t="str">
        <f t="shared" si="348"/>
        <v>저수</v>
      </c>
      <c r="AG472" s="22" t="str">
        <f t="shared" si="349"/>
        <v>저수</v>
      </c>
      <c r="AH472" s="22" t="str">
        <f t="shared" si="350"/>
        <v>저수</v>
      </c>
      <c r="AI472" s="22" t="str">
        <f t="shared" si="351"/>
        <v>고수</v>
      </c>
      <c r="AJ472" s="22" t="str">
        <f t="shared" si="352"/>
        <v>고수</v>
      </c>
      <c r="AK472" s="22" t="str">
        <f t="shared" si="353"/>
        <v>고수</v>
      </c>
      <c r="AL472" s="52" t="str">
        <f t="shared" si="354"/>
        <v>3 : 3</v>
      </c>
      <c r="AM472" s="22">
        <f t="shared" si="355"/>
        <v>3</v>
      </c>
      <c r="AN472" s="22">
        <f t="shared" si="356"/>
        <v>3</v>
      </c>
      <c r="AO472" s="22">
        <f t="shared" si="357"/>
        <v>34</v>
      </c>
      <c r="AP472" s="22" t="str">
        <f t="shared" si="358"/>
        <v>X</v>
      </c>
      <c r="AQ472" s="22" t="str">
        <f t="shared" si="359"/>
        <v>O</v>
      </c>
      <c r="AR472" s="22" t="str">
        <f t="shared" si="360"/>
        <v>X</v>
      </c>
      <c r="AS472" s="22" t="str">
        <f t="shared" si="361"/>
        <v>X</v>
      </c>
      <c r="AT472" s="22" t="str">
        <f t="shared" si="362"/>
        <v>X</v>
      </c>
      <c r="AU472" s="22" t="str">
        <f t="shared" si="363"/>
        <v>X</v>
      </c>
      <c r="AV472" s="22" t="str">
        <f t="shared" si="364"/>
        <v>X</v>
      </c>
      <c r="AW472" s="22" t="str">
        <f t="shared" si="365"/>
        <v>X</v>
      </c>
      <c r="AX472" s="22" t="str">
        <f t="shared" si="366"/>
        <v>X</v>
      </c>
      <c r="AY472" s="22" t="str">
        <f t="shared" si="367"/>
        <v>X</v>
      </c>
      <c r="AZ472" s="22" t="str">
        <f t="shared" si="368"/>
        <v>O</v>
      </c>
      <c r="BA472" s="22" t="str">
        <f t="shared" si="369"/>
        <v>O</v>
      </c>
      <c r="BB472" s="22">
        <f t="shared" si="370"/>
        <v>3</v>
      </c>
      <c r="BC472" s="22" t="str">
        <f t="shared" si="341"/>
        <v>1G</v>
      </c>
      <c r="BD472" s="22" t="str">
        <f t="shared" si="342"/>
        <v>1G</v>
      </c>
      <c r="BE472" s="22" t="str">
        <f t="shared" si="343"/>
        <v>1G</v>
      </c>
      <c r="BF472" s="22" t="str">
        <f t="shared" si="344"/>
        <v>2G</v>
      </c>
      <c r="BG472" s="22" t="str">
        <f t="shared" si="345"/>
        <v>3G</v>
      </c>
      <c r="BH472" s="22" t="str">
        <f t="shared" si="346"/>
        <v>3G</v>
      </c>
      <c r="BI472" s="22">
        <f t="shared" si="371"/>
        <v>3</v>
      </c>
      <c r="BJ472" s="22">
        <f t="shared" si="372"/>
        <v>1</v>
      </c>
      <c r="BK472" s="22">
        <f t="shared" si="373"/>
        <v>2</v>
      </c>
      <c r="BL472" s="22" t="str">
        <f t="shared" si="374"/>
        <v>312</v>
      </c>
      <c r="BS472"/>
      <c r="CL472" s="23">
        <v>189</v>
      </c>
      <c r="CM472" s="23">
        <v>180</v>
      </c>
      <c r="CO472"/>
    </row>
    <row r="473" spans="2:93" ht="17" hidden="1">
      <c r="B473" s="15">
        <v>469</v>
      </c>
      <c r="C473" s="23" t="s">
        <v>488</v>
      </c>
      <c r="N473" s="23">
        <v>4</v>
      </c>
      <c r="O473" s="23">
        <v>21</v>
      </c>
      <c r="P473" s="23">
        <v>22</v>
      </c>
      <c r="Q473" s="23">
        <v>34</v>
      </c>
      <c r="R473" s="23">
        <v>37</v>
      </c>
      <c r="S473" s="23">
        <v>38</v>
      </c>
      <c r="T473" s="23">
        <v>33</v>
      </c>
      <c r="U473" s="23">
        <f t="shared" si="347"/>
        <v>156</v>
      </c>
      <c r="W473" s="22" t="str">
        <f t="shared" si="332"/>
        <v>짝수</v>
      </c>
      <c r="X473" s="22" t="str">
        <f t="shared" si="333"/>
        <v>홀수</v>
      </c>
      <c r="Y473" s="22" t="str">
        <f t="shared" si="334"/>
        <v>짝수</v>
      </c>
      <c r="Z473" s="22" t="str">
        <f t="shared" si="335"/>
        <v>짝수</v>
      </c>
      <c r="AA473" s="22" t="str">
        <f t="shared" si="336"/>
        <v>홀수</v>
      </c>
      <c r="AB473" s="22" t="str">
        <f t="shared" si="337"/>
        <v>짝수</v>
      </c>
      <c r="AC473" s="52" t="str">
        <f t="shared" si="338"/>
        <v>2 : 4</v>
      </c>
      <c r="AD473" s="22">
        <f t="shared" si="339"/>
        <v>2</v>
      </c>
      <c r="AE473" s="22">
        <f t="shared" si="340"/>
        <v>4</v>
      </c>
      <c r="AF473" s="22" t="str">
        <f t="shared" si="348"/>
        <v>저수</v>
      </c>
      <c r="AG473" s="22" t="str">
        <f t="shared" si="349"/>
        <v>저수</v>
      </c>
      <c r="AH473" s="22" t="str">
        <f t="shared" si="350"/>
        <v>저수</v>
      </c>
      <c r="AI473" s="22" t="str">
        <f t="shared" si="351"/>
        <v>고수</v>
      </c>
      <c r="AJ473" s="22" t="str">
        <f t="shared" si="352"/>
        <v>고수</v>
      </c>
      <c r="AK473" s="22" t="str">
        <f t="shared" si="353"/>
        <v>고수</v>
      </c>
      <c r="AL473" s="52" t="str">
        <f t="shared" si="354"/>
        <v>3 : 3</v>
      </c>
      <c r="AM473" s="22">
        <f t="shared" si="355"/>
        <v>3</v>
      </c>
      <c r="AN473" s="22">
        <f t="shared" si="356"/>
        <v>3</v>
      </c>
      <c r="AO473" s="22">
        <f t="shared" si="357"/>
        <v>26</v>
      </c>
      <c r="AP473" s="22" t="str">
        <f t="shared" si="358"/>
        <v>X</v>
      </c>
      <c r="AQ473" s="22" t="str">
        <f t="shared" si="359"/>
        <v>X</v>
      </c>
      <c r="AR473" s="22" t="str">
        <f t="shared" si="360"/>
        <v>X</v>
      </c>
      <c r="AS473" s="22" t="str">
        <f t="shared" si="361"/>
        <v>X</v>
      </c>
      <c r="AT473" s="22" t="str">
        <f t="shared" si="362"/>
        <v>X</v>
      </c>
      <c r="AU473" s="22" t="str">
        <f t="shared" si="363"/>
        <v>X</v>
      </c>
      <c r="AV473" s="22" t="str">
        <f t="shared" si="364"/>
        <v>X</v>
      </c>
      <c r="AW473" s="22" t="str">
        <f t="shared" si="365"/>
        <v>X</v>
      </c>
      <c r="AX473" s="22" t="str">
        <f t="shared" si="366"/>
        <v>X</v>
      </c>
      <c r="AY473" s="22" t="str">
        <f t="shared" si="367"/>
        <v>X</v>
      </c>
      <c r="AZ473" s="22" t="str">
        <f t="shared" si="368"/>
        <v>O</v>
      </c>
      <c r="BA473" s="22" t="str">
        <f t="shared" si="369"/>
        <v>X</v>
      </c>
      <c r="BB473" s="22">
        <f t="shared" si="370"/>
        <v>1</v>
      </c>
      <c r="BC473" s="22" t="str">
        <f t="shared" si="341"/>
        <v>1G</v>
      </c>
      <c r="BD473" s="22" t="str">
        <f t="shared" si="342"/>
        <v>2G</v>
      </c>
      <c r="BE473" s="22" t="str">
        <f t="shared" si="343"/>
        <v>2G</v>
      </c>
      <c r="BF473" s="22" t="str">
        <f t="shared" si="344"/>
        <v>3G</v>
      </c>
      <c r="BG473" s="22" t="str">
        <f t="shared" si="345"/>
        <v>3G</v>
      </c>
      <c r="BH473" s="22" t="str">
        <f t="shared" si="346"/>
        <v>3G</v>
      </c>
      <c r="BI473" s="22">
        <f t="shared" si="371"/>
        <v>1</v>
      </c>
      <c r="BJ473" s="22">
        <f t="shared" si="372"/>
        <v>2</v>
      </c>
      <c r="BK473" s="22">
        <f t="shared" si="373"/>
        <v>3</v>
      </c>
      <c r="BL473" s="22" t="str">
        <f t="shared" si="374"/>
        <v>123</v>
      </c>
      <c r="BS473"/>
      <c r="CL473" s="23">
        <v>189</v>
      </c>
      <c r="CM473" s="23">
        <v>180</v>
      </c>
      <c r="CO473"/>
    </row>
    <row r="474" spans="2:93" ht="17" hidden="1">
      <c r="B474" s="15">
        <v>470</v>
      </c>
      <c r="C474" s="23" t="s">
        <v>489</v>
      </c>
      <c r="N474" s="23">
        <v>10</v>
      </c>
      <c r="O474" s="23">
        <v>16</v>
      </c>
      <c r="P474" s="23">
        <v>20</v>
      </c>
      <c r="Q474" s="23">
        <v>39</v>
      </c>
      <c r="R474" s="23">
        <v>41</v>
      </c>
      <c r="S474" s="23">
        <v>42</v>
      </c>
      <c r="T474" s="23">
        <v>27</v>
      </c>
      <c r="U474" s="23">
        <f t="shared" si="347"/>
        <v>168</v>
      </c>
      <c r="W474" s="22" t="str">
        <f t="shared" si="332"/>
        <v>짝수</v>
      </c>
      <c r="X474" s="22" t="str">
        <f t="shared" si="333"/>
        <v>짝수</v>
      </c>
      <c r="Y474" s="22" t="str">
        <f t="shared" si="334"/>
        <v>짝수</v>
      </c>
      <c r="Z474" s="22" t="str">
        <f t="shared" si="335"/>
        <v>홀수</v>
      </c>
      <c r="AA474" s="22" t="str">
        <f t="shared" si="336"/>
        <v>홀수</v>
      </c>
      <c r="AB474" s="22" t="str">
        <f t="shared" si="337"/>
        <v>짝수</v>
      </c>
      <c r="AC474" s="52" t="str">
        <f t="shared" si="338"/>
        <v>2 : 4</v>
      </c>
      <c r="AD474" s="22">
        <f t="shared" si="339"/>
        <v>2</v>
      </c>
      <c r="AE474" s="22">
        <f t="shared" si="340"/>
        <v>4</v>
      </c>
      <c r="AF474" s="22" t="str">
        <f t="shared" si="348"/>
        <v>저수</v>
      </c>
      <c r="AG474" s="22" t="str">
        <f t="shared" si="349"/>
        <v>저수</v>
      </c>
      <c r="AH474" s="22" t="str">
        <f t="shared" si="350"/>
        <v>저수</v>
      </c>
      <c r="AI474" s="22" t="str">
        <f t="shared" si="351"/>
        <v>고수</v>
      </c>
      <c r="AJ474" s="22" t="str">
        <f t="shared" si="352"/>
        <v>고수</v>
      </c>
      <c r="AK474" s="22" t="str">
        <f t="shared" si="353"/>
        <v>고수</v>
      </c>
      <c r="AL474" s="52" t="str">
        <f t="shared" si="354"/>
        <v>3 : 3</v>
      </c>
      <c r="AM474" s="22">
        <f t="shared" si="355"/>
        <v>3</v>
      </c>
      <c r="AN474" s="22">
        <f t="shared" si="356"/>
        <v>3</v>
      </c>
      <c r="AO474" s="22">
        <f t="shared" si="357"/>
        <v>18</v>
      </c>
      <c r="AP474" s="22" t="str">
        <f t="shared" si="358"/>
        <v>X</v>
      </c>
      <c r="AQ474" s="22" t="str">
        <f t="shared" si="359"/>
        <v>X</v>
      </c>
      <c r="AR474" s="22" t="str">
        <f t="shared" si="360"/>
        <v>X</v>
      </c>
      <c r="AS474" s="22" t="str">
        <f t="shared" si="361"/>
        <v>X</v>
      </c>
      <c r="AT474" s="22" t="str">
        <f t="shared" si="362"/>
        <v>X</v>
      </c>
      <c r="AU474" s="22" t="str">
        <f t="shared" si="363"/>
        <v>X</v>
      </c>
      <c r="AV474" s="22" t="str">
        <f t="shared" si="364"/>
        <v>X</v>
      </c>
      <c r="AW474" s="22" t="str">
        <f t="shared" si="365"/>
        <v>X</v>
      </c>
      <c r="AX474" s="22" t="str">
        <f t="shared" si="366"/>
        <v>X</v>
      </c>
      <c r="AY474" s="22" t="str">
        <f t="shared" si="367"/>
        <v>X</v>
      </c>
      <c r="AZ474" s="22" t="str">
        <f t="shared" si="368"/>
        <v>O</v>
      </c>
      <c r="BA474" s="22" t="str">
        <f t="shared" si="369"/>
        <v>X</v>
      </c>
      <c r="BB474" s="22">
        <f t="shared" si="370"/>
        <v>1</v>
      </c>
      <c r="BC474" s="22" t="str">
        <f t="shared" si="341"/>
        <v>1G</v>
      </c>
      <c r="BD474" s="22" t="str">
        <f t="shared" si="342"/>
        <v>2G</v>
      </c>
      <c r="BE474" s="22" t="str">
        <f t="shared" si="343"/>
        <v>2G</v>
      </c>
      <c r="BF474" s="22" t="str">
        <f t="shared" si="344"/>
        <v>3G</v>
      </c>
      <c r="BG474" s="22" t="str">
        <f t="shared" si="345"/>
        <v>3G</v>
      </c>
      <c r="BH474" s="22" t="str">
        <f t="shared" si="346"/>
        <v>3G</v>
      </c>
      <c r="BI474" s="22">
        <f t="shared" si="371"/>
        <v>1</v>
      </c>
      <c r="BJ474" s="22">
        <f t="shared" si="372"/>
        <v>2</v>
      </c>
      <c r="BK474" s="22">
        <f t="shared" si="373"/>
        <v>3</v>
      </c>
      <c r="BL474" s="22" t="str">
        <f t="shared" si="374"/>
        <v>123</v>
      </c>
      <c r="BS474"/>
      <c r="CL474" s="23">
        <v>189</v>
      </c>
      <c r="CM474" s="23">
        <v>180</v>
      </c>
      <c r="CO474"/>
    </row>
    <row r="475" spans="2:93" ht="17" hidden="1">
      <c r="B475" s="15">
        <v>471</v>
      </c>
      <c r="C475" s="23" t="s">
        <v>490</v>
      </c>
      <c r="N475" s="23">
        <v>6</v>
      </c>
      <c r="O475" s="23">
        <v>13</v>
      </c>
      <c r="P475" s="23">
        <v>29</v>
      </c>
      <c r="Q475" s="23">
        <v>37</v>
      </c>
      <c r="R475" s="23">
        <v>39</v>
      </c>
      <c r="S475" s="23">
        <v>41</v>
      </c>
      <c r="T475" s="23">
        <v>43</v>
      </c>
      <c r="U475" s="23">
        <f t="shared" si="347"/>
        <v>165</v>
      </c>
      <c r="W475" s="22" t="str">
        <f t="shared" si="332"/>
        <v>짝수</v>
      </c>
      <c r="X475" s="22" t="str">
        <f t="shared" si="333"/>
        <v>홀수</v>
      </c>
      <c r="Y475" s="22" t="str">
        <f t="shared" si="334"/>
        <v>홀수</v>
      </c>
      <c r="Z475" s="22" t="str">
        <f t="shared" si="335"/>
        <v>홀수</v>
      </c>
      <c r="AA475" s="22" t="str">
        <f t="shared" si="336"/>
        <v>홀수</v>
      </c>
      <c r="AB475" s="22" t="str">
        <f t="shared" si="337"/>
        <v>홀수</v>
      </c>
      <c r="AC475" s="52" t="str">
        <f t="shared" si="338"/>
        <v>5 : 1</v>
      </c>
      <c r="AD475" s="22">
        <f t="shared" si="339"/>
        <v>5</v>
      </c>
      <c r="AE475" s="22">
        <f t="shared" si="340"/>
        <v>1</v>
      </c>
      <c r="AF475" s="22" t="str">
        <f t="shared" si="348"/>
        <v>저수</v>
      </c>
      <c r="AG475" s="22" t="str">
        <f t="shared" si="349"/>
        <v>저수</v>
      </c>
      <c r="AH475" s="22" t="str">
        <f t="shared" si="350"/>
        <v>고수</v>
      </c>
      <c r="AI475" s="22" t="str">
        <f t="shared" si="351"/>
        <v>고수</v>
      </c>
      <c r="AJ475" s="22" t="str">
        <f t="shared" si="352"/>
        <v>고수</v>
      </c>
      <c r="AK475" s="22" t="str">
        <f t="shared" si="353"/>
        <v>고수</v>
      </c>
      <c r="AL475" s="52" t="str">
        <f t="shared" si="354"/>
        <v>2 : 4</v>
      </c>
      <c r="AM475" s="22">
        <f t="shared" si="355"/>
        <v>2</v>
      </c>
      <c r="AN475" s="22">
        <f t="shared" si="356"/>
        <v>4</v>
      </c>
      <c r="AO475" s="22">
        <f t="shared" si="357"/>
        <v>35</v>
      </c>
      <c r="AP475" s="22" t="str">
        <f t="shared" si="358"/>
        <v>X</v>
      </c>
      <c r="AQ475" s="22" t="str">
        <f t="shared" si="359"/>
        <v>O</v>
      </c>
      <c r="AR475" s="22" t="str">
        <f t="shared" si="360"/>
        <v>X</v>
      </c>
      <c r="AS475" s="22" t="str">
        <f t="shared" si="361"/>
        <v>X</v>
      </c>
      <c r="AT475" s="22" t="str">
        <f t="shared" si="362"/>
        <v>X</v>
      </c>
      <c r="AU475" s="22" t="str">
        <f t="shared" si="363"/>
        <v>X</v>
      </c>
      <c r="AV475" s="22" t="str">
        <f t="shared" si="364"/>
        <v>X</v>
      </c>
      <c r="AW475" s="22" t="str">
        <f t="shared" si="365"/>
        <v>X</v>
      </c>
      <c r="AX475" s="22" t="str">
        <f t="shared" si="366"/>
        <v>O</v>
      </c>
      <c r="AY475" s="22" t="str">
        <f t="shared" si="367"/>
        <v>O</v>
      </c>
      <c r="AZ475" s="22" t="str">
        <f t="shared" si="368"/>
        <v>X</v>
      </c>
      <c r="BA475" s="22" t="str">
        <f t="shared" si="369"/>
        <v>O</v>
      </c>
      <c r="BB475" s="22">
        <f t="shared" si="370"/>
        <v>4</v>
      </c>
      <c r="BC475" s="22" t="str">
        <f t="shared" si="341"/>
        <v>1G</v>
      </c>
      <c r="BD475" s="22" t="str">
        <f t="shared" si="342"/>
        <v>1G</v>
      </c>
      <c r="BE475" s="22" t="str">
        <f t="shared" si="343"/>
        <v>2G</v>
      </c>
      <c r="BF475" s="22" t="str">
        <f t="shared" si="344"/>
        <v>3G</v>
      </c>
      <c r="BG475" s="22" t="str">
        <f t="shared" si="345"/>
        <v>3G</v>
      </c>
      <c r="BH475" s="22" t="str">
        <f t="shared" si="346"/>
        <v>3G</v>
      </c>
      <c r="BI475" s="22">
        <f t="shared" si="371"/>
        <v>2</v>
      </c>
      <c r="BJ475" s="22">
        <f t="shared" si="372"/>
        <v>1</v>
      </c>
      <c r="BK475" s="22">
        <f t="shared" si="373"/>
        <v>3</v>
      </c>
      <c r="BL475" s="22" t="str">
        <f t="shared" si="374"/>
        <v>213</v>
      </c>
      <c r="BS475"/>
      <c r="CL475" s="23">
        <v>190</v>
      </c>
      <c r="CM475" s="23">
        <v>190</v>
      </c>
      <c r="CO475"/>
    </row>
    <row r="476" spans="2:93" ht="17" hidden="1">
      <c r="B476" s="15">
        <v>472</v>
      </c>
      <c r="C476" s="23" t="s">
        <v>491</v>
      </c>
      <c r="N476" s="23">
        <v>16</v>
      </c>
      <c r="O476" s="23">
        <v>25</v>
      </c>
      <c r="P476" s="23">
        <v>26</v>
      </c>
      <c r="Q476" s="23">
        <v>31</v>
      </c>
      <c r="R476" s="23">
        <v>36</v>
      </c>
      <c r="S476" s="23">
        <v>43</v>
      </c>
      <c r="T476" s="23">
        <v>44</v>
      </c>
      <c r="U476" s="23">
        <f t="shared" si="347"/>
        <v>177</v>
      </c>
      <c r="W476" s="22" t="str">
        <f t="shared" si="332"/>
        <v>짝수</v>
      </c>
      <c r="X476" s="22" t="str">
        <f t="shared" si="333"/>
        <v>홀수</v>
      </c>
      <c r="Y476" s="22" t="str">
        <f t="shared" si="334"/>
        <v>짝수</v>
      </c>
      <c r="Z476" s="22" t="str">
        <f t="shared" si="335"/>
        <v>홀수</v>
      </c>
      <c r="AA476" s="22" t="str">
        <f t="shared" si="336"/>
        <v>짝수</v>
      </c>
      <c r="AB476" s="22" t="str">
        <f t="shared" si="337"/>
        <v>홀수</v>
      </c>
      <c r="AC476" s="52" t="str">
        <f t="shared" si="338"/>
        <v>3 : 3</v>
      </c>
      <c r="AD476" s="22">
        <f t="shared" si="339"/>
        <v>3</v>
      </c>
      <c r="AE476" s="22">
        <f t="shared" si="340"/>
        <v>3</v>
      </c>
      <c r="AF476" s="22" t="str">
        <f t="shared" si="348"/>
        <v>저수</v>
      </c>
      <c r="AG476" s="22" t="str">
        <f t="shared" si="349"/>
        <v>고수</v>
      </c>
      <c r="AH476" s="22" t="str">
        <f t="shared" si="350"/>
        <v>고수</v>
      </c>
      <c r="AI476" s="22" t="str">
        <f t="shared" si="351"/>
        <v>고수</v>
      </c>
      <c r="AJ476" s="22" t="str">
        <f t="shared" si="352"/>
        <v>고수</v>
      </c>
      <c r="AK476" s="22" t="str">
        <f t="shared" si="353"/>
        <v>고수</v>
      </c>
      <c r="AL476" s="52" t="str">
        <f t="shared" si="354"/>
        <v>1 : 5</v>
      </c>
      <c r="AM476" s="22">
        <f t="shared" si="355"/>
        <v>1</v>
      </c>
      <c r="AN476" s="22">
        <f t="shared" si="356"/>
        <v>5</v>
      </c>
      <c r="AO476" s="22">
        <f t="shared" si="357"/>
        <v>27</v>
      </c>
      <c r="AP476" s="22" t="str">
        <f t="shared" si="358"/>
        <v>X</v>
      </c>
      <c r="AQ476" s="22" t="str">
        <f t="shared" si="359"/>
        <v>X</v>
      </c>
      <c r="AR476" s="22" t="str">
        <f t="shared" si="360"/>
        <v>X</v>
      </c>
      <c r="AS476" s="22" t="str">
        <f t="shared" si="361"/>
        <v>X</v>
      </c>
      <c r="AT476" s="22" t="str">
        <f t="shared" si="362"/>
        <v>X</v>
      </c>
      <c r="AU476" s="22" t="str">
        <f t="shared" si="363"/>
        <v>X</v>
      </c>
      <c r="AV476" s="22" t="str">
        <f t="shared" si="364"/>
        <v>X</v>
      </c>
      <c r="AW476" s="22" t="str">
        <f t="shared" si="365"/>
        <v>X</v>
      </c>
      <c r="AX476" s="22" t="str">
        <f t="shared" si="366"/>
        <v>X</v>
      </c>
      <c r="AY476" s="22" t="str">
        <f t="shared" si="367"/>
        <v>O</v>
      </c>
      <c r="AZ476" s="22" t="str">
        <f t="shared" si="368"/>
        <v>X</v>
      </c>
      <c r="BA476" s="22" t="str">
        <f t="shared" si="369"/>
        <v>O</v>
      </c>
      <c r="BB476" s="22">
        <f t="shared" si="370"/>
        <v>2</v>
      </c>
      <c r="BC476" s="22" t="str">
        <f t="shared" si="341"/>
        <v>2G</v>
      </c>
      <c r="BD476" s="22" t="str">
        <f t="shared" si="342"/>
        <v>2G</v>
      </c>
      <c r="BE476" s="22" t="str">
        <f t="shared" si="343"/>
        <v>2G</v>
      </c>
      <c r="BF476" s="22" t="str">
        <f t="shared" si="344"/>
        <v>3G</v>
      </c>
      <c r="BG476" s="22" t="str">
        <f t="shared" si="345"/>
        <v>3G</v>
      </c>
      <c r="BH476" s="22" t="str">
        <f t="shared" si="346"/>
        <v>3G</v>
      </c>
      <c r="BI476" s="22">
        <f t="shared" si="371"/>
        <v>0</v>
      </c>
      <c r="BJ476" s="22">
        <f t="shared" si="372"/>
        <v>3</v>
      </c>
      <c r="BK476" s="22">
        <f t="shared" si="373"/>
        <v>3</v>
      </c>
      <c r="BL476" s="22" t="str">
        <f t="shared" si="374"/>
        <v>033</v>
      </c>
      <c r="BS476"/>
      <c r="CL476" s="23">
        <v>190</v>
      </c>
      <c r="CM476" s="23">
        <v>190</v>
      </c>
      <c r="CO476"/>
    </row>
    <row r="477" spans="2:93" ht="17" hidden="1">
      <c r="B477" s="15">
        <v>473</v>
      </c>
      <c r="C477" s="23" t="s">
        <v>492</v>
      </c>
      <c r="N477" s="23">
        <v>8</v>
      </c>
      <c r="O477" s="23">
        <v>13</v>
      </c>
      <c r="P477" s="23">
        <v>20</v>
      </c>
      <c r="Q477" s="23">
        <v>22</v>
      </c>
      <c r="R477" s="23">
        <v>23</v>
      </c>
      <c r="S477" s="23">
        <v>36</v>
      </c>
      <c r="T477" s="23">
        <v>34</v>
      </c>
      <c r="U477" s="23">
        <f t="shared" si="347"/>
        <v>122</v>
      </c>
      <c r="W477" s="22" t="str">
        <f t="shared" si="332"/>
        <v>짝수</v>
      </c>
      <c r="X477" s="22" t="str">
        <f t="shared" si="333"/>
        <v>홀수</v>
      </c>
      <c r="Y477" s="22" t="str">
        <f t="shared" si="334"/>
        <v>짝수</v>
      </c>
      <c r="Z477" s="22" t="str">
        <f t="shared" si="335"/>
        <v>짝수</v>
      </c>
      <c r="AA477" s="22" t="str">
        <f t="shared" si="336"/>
        <v>홀수</v>
      </c>
      <c r="AB477" s="22" t="str">
        <f t="shared" si="337"/>
        <v>짝수</v>
      </c>
      <c r="AC477" s="52" t="str">
        <f t="shared" si="338"/>
        <v>2 : 4</v>
      </c>
      <c r="AD477" s="22">
        <f t="shared" si="339"/>
        <v>2</v>
      </c>
      <c r="AE477" s="22">
        <f t="shared" si="340"/>
        <v>4</v>
      </c>
      <c r="AF477" s="22" t="str">
        <f t="shared" si="348"/>
        <v>저수</v>
      </c>
      <c r="AG477" s="22" t="str">
        <f t="shared" si="349"/>
        <v>저수</v>
      </c>
      <c r="AH477" s="22" t="str">
        <f t="shared" si="350"/>
        <v>저수</v>
      </c>
      <c r="AI477" s="22" t="str">
        <f t="shared" si="351"/>
        <v>저수</v>
      </c>
      <c r="AJ477" s="22" t="str">
        <f t="shared" si="352"/>
        <v>고수</v>
      </c>
      <c r="AK477" s="22" t="str">
        <f t="shared" si="353"/>
        <v>고수</v>
      </c>
      <c r="AL477" s="52" t="str">
        <f t="shared" si="354"/>
        <v>4 : 2</v>
      </c>
      <c r="AM477" s="22">
        <f t="shared" si="355"/>
        <v>4</v>
      </c>
      <c r="AN477" s="22">
        <f t="shared" si="356"/>
        <v>2</v>
      </c>
      <c r="AO477" s="22">
        <f t="shared" si="357"/>
        <v>22</v>
      </c>
      <c r="AP477" s="22" t="str">
        <f t="shared" si="358"/>
        <v>X</v>
      </c>
      <c r="AQ477" s="22" t="str">
        <f t="shared" si="359"/>
        <v>O</v>
      </c>
      <c r="AR477" s="22" t="str">
        <f t="shared" si="360"/>
        <v>X</v>
      </c>
      <c r="AS477" s="22" t="str">
        <f t="shared" si="361"/>
        <v>X</v>
      </c>
      <c r="AT477" s="22" t="str">
        <f t="shared" si="362"/>
        <v>X</v>
      </c>
      <c r="AU477" s="22" t="str">
        <f t="shared" si="363"/>
        <v>X</v>
      </c>
      <c r="AV477" s="22" t="str">
        <f t="shared" si="364"/>
        <v>X</v>
      </c>
      <c r="AW477" s="22" t="str">
        <f t="shared" si="365"/>
        <v>X</v>
      </c>
      <c r="AX477" s="22" t="str">
        <f t="shared" si="366"/>
        <v>X</v>
      </c>
      <c r="AY477" s="22" t="str">
        <f t="shared" si="367"/>
        <v>X</v>
      </c>
      <c r="AZ477" s="22" t="str">
        <f t="shared" si="368"/>
        <v>O</v>
      </c>
      <c r="BA477" s="22" t="str">
        <f t="shared" si="369"/>
        <v>X</v>
      </c>
      <c r="BB477" s="22">
        <f t="shared" si="370"/>
        <v>2</v>
      </c>
      <c r="BC477" s="22" t="str">
        <f t="shared" si="341"/>
        <v>1G</v>
      </c>
      <c r="BD477" s="22" t="str">
        <f t="shared" si="342"/>
        <v>1G</v>
      </c>
      <c r="BE477" s="22" t="str">
        <f t="shared" si="343"/>
        <v>2G</v>
      </c>
      <c r="BF477" s="22" t="str">
        <f t="shared" si="344"/>
        <v>2G</v>
      </c>
      <c r="BG477" s="22" t="str">
        <f t="shared" si="345"/>
        <v>2G</v>
      </c>
      <c r="BH477" s="22" t="str">
        <f t="shared" si="346"/>
        <v>3G</v>
      </c>
      <c r="BI477" s="22">
        <f t="shared" si="371"/>
        <v>2</v>
      </c>
      <c r="BJ477" s="22">
        <f t="shared" si="372"/>
        <v>3</v>
      </c>
      <c r="BK477" s="22">
        <f t="shared" si="373"/>
        <v>1</v>
      </c>
      <c r="BL477" s="22" t="str">
        <f t="shared" si="374"/>
        <v>231</v>
      </c>
      <c r="BS477"/>
      <c r="CL477" s="23">
        <v>192</v>
      </c>
      <c r="CM477" s="23">
        <v>190</v>
      </c>
      <c r="CO477"/>
    </row>
    <row r="478" spans="2:93" ht="17" hidden="1">
      <c r="B478" s="15">
        <v>474</v>
      </c>
      <c r="C478" s="23" t="s">
        <v>493</v>
      </c>
      <c r="N478" s="23">
        <v>4</v>
      </c>
      <c r="O478" s="23">
        <v>13</v>
      </c>
      <c r="P478" s="23">
        <v>18</v>
      </c>
      <c r="Q478" s="23">
        <v>31</v>
      </c>
      <c r="R478" s="23">
        <v>33</v>
      </c>
      <c r="S478" s="23">
        <v>45</v>
      </c>
      <c r="T478" s="23">
        <v>43</v>
      </c>
      <c r="U478" s="23">
        <f t="shared" si="347"/>
        <v>144</v>
      </c>
      <c r="W478" s="22" t="str">
        <f t="shared" si="332"/>
        <v>짝수</v>
      </c>
      <c r="X478" s="22" t="str">
        <f t="shared" si="333"/>
        <v>홀수</v>
      </c>
      <c r="Y478" s="22" t="str">
        <f t="shared" si="334"/>
        <v>짝수</v>
      </c>
      <c r="Z478" s="22" t="str">
        <f t="shared" si="335"/>
        <v>홀수</v>
      </c>
      <c r="AA478" s="22" t="str">
        <f t="shared" si="336"/>
        <v>홀수</v>
      </c>
      <c r="AB478" s="22" t="str">
        <f t="shared" si="337"/>
        <v>홀수</v>
      </c>
      <c r="AC478" s="52" t="str">
        <f t="shared" si="338"/>
        <v>4 : 2</v>
      </c>
      <c r="AD478" s="22">
        <f t="shared" si="339"/>
        <v>4</v>
      </c>
      <c r="AE478" s="22">
        <f t="shared" si="340"/>
        <v>2</v>
      </c>
      <c r="AF478" s="22" t="str">
        <f t="shared" si="348"/>
        <v>저수</v>
      </c>
      <c r="AG478" s="22" t="str">
        <f t="shared" si="349"/>
        <v>저수</v>
      </c>
      <c r="AH478" s="22" t="str">
        <f t="shared" si="350"/>
        <v>저수</v>
      </c>
      <c r="AI478" s="22" t="str">
        <f t="shared" si="351"/>
        <v>고수</v>
      </c>
      <c r="AJ478" s="22" t="str">
        <f t="shared" si="352"/>
        <v>고수</v>
      </c>
      <c r="AK478" s="22" t="str">
        <f t="shared" si="353"/>
        <v>고수</v>
      </c>
      <c r="AL478" s="52" t="str">
        <f t="shared" si="354"/>
        <v>3 : 3</v>
      </c>
      <c r="AM478" s="22">
        <f t="shared" si="355"/>
        <v>3</v>
      </c>
      <c r="AN478" s="22">
        <f t="shared" si="356"/>
        <v>3</v>
      </c>
      <c r="AO478" s="22">
        <f t="shared" si="357"/>
        <v>24</v>
      </c>
      <c r="AP478" s="22" t="str">
        <f t="shared" si="358"/>
        <v>X</v>
      </c>
      <c r="AQ478" s="22" t="str">
        <f t="shared" si="359"/>
        <v>O</v>
      </c>
      <c r="AR478" s="22" t="str">
        <f t="shared" si="360"/>
        <v>X</v>
      </c>
      <c r="AS478" s="22" t="str">
        <f t="shared" si="361"/>
        <v>X</v>
      </c>
      <c r="AT478" s="22" t="str">
        <f t="shared" si="362"/>
        <v>X</v>
      </c>
      <c r="AU478" s="22" t="str">
        <f t="shared" si="363"/>
        <v>X</v>
      </c>
      <c r="AV478" s="22" t="str">
        <f t="shared" si="364"/>
        <v>X</v>
      </c>
      <c r="AW478" s="22" t="str">
        <f t="shared" si="365"/>
        <v>X</v>
      </c>
      <c r="AX478" s="22" t="str">
        <f t="shared" si="366"/>
        <v>X</v>
      </c>
      <c r="AY478" s="22" t="str">
        <f t="shared" si="367"/>
        <v>O</v>
      </c>
      <c r="AZ478" s="22" t="str">
        <f t="shared" si="368"/>
        <v>X</v>
      </c>
      <c r="BA478" s="22" t="str">
        <f t="shared" si="369"/>
        <v>X</v>
      </c>
      <c r="BB478" s="22">
        <f t="shared" si="370"/>
        <v>2</v>
      </c>
      <c r="BC478" s="22" t="str">
        <f t="shared" si="341"/>
        <v>1G</v>
      </c>
      <c r="BD478" s="22" t="str">
        <f t="shared" si="342"/>
        <v>1G</v>
      </c>
      <c r="BE478" s="22" t="str">
        <f t="shared" si="343"/>
        <v>2G</v>
      </c>
      <c r="BF478" s="22" t="str">
        <f t="shared" si="344"/>
        <v>3G</v>
      </c>
      <c r="BG478" s="22" t="str">
        <f t="shared" si="345"/>
        <v>3G</v>
      </c>
      <c r="BH478" s="22" t="str">
        <f t="shared" si="346"/>
        <v>3G</v>
      </c>
      <c r="BI478" s="22">
        <f t="shared" si="371"/>
        <v>2</v>
      </c>
      <c r="BJ478" s="22">
        <f t="shared" si="372"/>
        <v>1</v>
      </c>
      <c r="BK478" s="22">
        <f t="shared" si="373"/>
        <v>3</v>
      </c>
      <c r="BL478" s="22" t="str">
        <f t="shared" si="374"/>
        <v>213</v>
      </c>
      <c r="BS478"/>
      <c r="CL478" s="23">
        <v>192</v>
      </c>
      <c r="CM478" s="23">
        <v>190</v>
      </c>
      <c r="CO478"/>
    </row>
    <row r="479" spans="2:93" ht="17" hidden="1">
      <c r="B479" s="15">
        <v>475</v>
      </c>
      <c r="C479" s="23" t="s">
        <v>494</v>
      </c>
      <c r="N479" s="23">
        <v>1</v>
      </c>
      <c r="O479" s="23">
        <v>9</v>
      </c>
      <c r="P479" s="23">
        <v>14</v>
      </c>
      <c r="Q479" s="23">
        <v>16</v>
      </c>
      <c r="R479" s="23">
        <v>21</v>
      </c>
      <c r="S479" s="23">
        <v>29</v>
      </c>
      <c r="T479" s="23">
        <v>3</v>
      </c>
      <c r="U479" s="23">
        <f t="shared" si="347"/>
        <v>90</v>
      </c>
      <c r="W479" s="22" t="str">
        <f t="shared" si="332"/>
        <v>홀수</v>
      </c>
      <c r="X479" s="22" t="str">
        <f t="shared" si="333"/>
        <v>홀수</v>
      </c>
      <c r="Y479" s="22" t="str">
        <f t="shared" si="334"/>
        <v>짝수</v>
      </c>
      <c r="Z479" s="22" t="str">
        <f t="shared" si="335"/>
        <v>짝수</v>
      </c>
      <c r="AA479" s="22" t="str">
        <f t="shared" si="336"/>
        <v>홀수</v>
      </c>
      <c r="AB479" s="22" t="str">
        <f t="shared" si="337"/>
        <v>홀수</v>
      </c>
      <c r="AC479" s="52" t="str">
        <f t="shared" si="338"/>
        <v>4 : 2</v>
      </c>
      <c r="AD479" s="22">
        <f t="shared" si="339"/>
        <v>4</v>
      </c>
      <c r="AE479" s="22">
        <f t="shared" si="340"/>
        <v>2</v>
      </c>
      <c r="AF479" s="22" t="str">
        <f t="shared" si="348"/>
        <v>저수</v>
      </c>
      <c r="AG479" s="22" t="str">
        <f t="shared" si="349"/>
        <v>저수</v>
      </c>
      <c r="AH479" s="22" t="str">
        <f t="shared" si="350"/>
        <v>저수</v>
      </c>
      <c r="AI479" s="22" t="str">
        <f t="shared" si="351"/>
        <v>저수</v>
      </c>
      <c r="AJ479" s="22" t="str">
        <f t="shared" si="352"/>
        <v>저수</v>
      </c>
      <c r="AK479" s="22" t="str">
        <f t="shared" si="353"/>
        <v>고수</v>
      </c>
      <c r="AL479" s="52" t="str">
        <f t="shared" si="354"/>
        <v>5 : 1</v>
      </c>
      <c r="AM479" s="22">
        <f t="shared" si="355"/>
        <v>5</v>
      </c>
      <c r="AN479" s="22">
        <f t="shared" si="356"/>
        <v>1</v>
      </c>
      <c r="AO479" s="22">
        <f t="shared" si="357"/>
        <v>30</v>
      </c>
      <c r="AP479" s="22" t="str">
        <f t="shared" si="358"/>
        <v>X</v>
      </c>
      <c r="AQ479" s="22" t="str">
        <f t="shared" si="359"/>
        <v>X</v>
      </c>
      <c r="AR479" s="22" t="str">
        <f t="shared" si="360"/>
        <v>X</v>
      </c>
      <c r="AS479" s="22" t="str">
        <f t="shared" si="361"/>
        <v>X</v>
      </c>
      <c r="AT479" s="22" t="str">
        <f t="shared" si="362"/>
        <v>X</v>
      </c>
      <c r="AU479" s="22" t="str">
        <f t="shared" si="363"/>
        <v>X</v>
      </c>
      <c r="AV479" s="22" t="str">
        <f t="shared" si="364"/>
        <v>X</v>
      </c>
      <c r="AW479" s="22" t="str">
        <f t="shared" si="365"/>
        <v>X</v>
      </c>
      <c r="AX479" s="22" t="str">
        <f t="shared" si="366"/>
        <v>X</v>
      </c>
      <c r="AY479" s="22" t="str">
        <f t="shared" si="367"/>
        <v>X</v>
      </c>
      <c r="AZ479" s="22" t="str">
        <f t="shared" si="368"/>
        <v>X</v>
      </c>
      <c r="BA479" s="22" t="str">
        <f t="shared" si="369"/>
        <v>O</v>
      </c>
      <c r="BB479" s="22">
        <f t="shared" si="370"/>
        <v>1</v>
      </c>
      <c r="BC479" s="22" t="str">
        <f t="shared" si="341"/>
        <v>1G</v>
      </c>
      <c r="BD479" s="22" t="str">
        <f t="shared" si="342"/>
        <v>1G</v>
      </c>
      <c r="BE479" s="22" t="str">
        <f t="shared" si="343"/>
        <v>1G</v>
      </c>
      <c r="BF479" s="22" t="str">
        <f t="shared" si="344"/>
        <v>2G</v>
      </c>
      <c r="BG479" s="22" t="str">
        <f t="shared" si="345"/>
        <v>2G</v>
      </c>
      <c r="BH479" s="22" t="str">
        <f t="shared" si="346"/>
        <v>2G</v>
      </c>
      <c r="BI479" s="22">
        <f t="shared" si="371"/>
        <v>3</v>
      </c>
      <c r="BJ479" s="22">
        <f t="shared" si="372"/>
        <v>3</v>
      </c>
      <c r="BK479" s="22">
        <f t="shared" si="373"/>
        <v>0</v>
      </c>
      <c r="BL479" s="22" t="str">
        <f t="shared" si="374"/>
        <v>330</v>
      </c>
      <c r="BS479"/>
      <c r="CL479" s="23">
        <v>193</v>
      </c>
      <c r="CM479" s="23">
        <v>190</v>
      </c>
      <c r="CO479"/>
    </row>
    <row r="480" spans="2:93" ht="17" hidden="1">
      <c r="B480" s="15">
        <v>476</v>
      </c>
      <c r="C480" s="23" t="s">
        <v>495</v>
      </c>
      <c r="N480" s="23">
        <v>9</v>
      </c>
      <c r="O480" s="23">
        <v>12</v>
      </c>
      <c r="P480" s="23">
        <v>13</v>
      </c>
      <c r="Q480" s="23">
        <v>15</v>
      </c>
      <c r="R480" s="23">
        <v>37</v>
      </c>
      <c r="S480" s="23">
        <v>38</v>
      </c>
      <c r="T480" s="23">
        <v>27</v>
      </c>
      <c r="U480" s="23">
        <f t="shared" si="347"/>
        <v>124</v>
      </c>
      <c r="W480" s="22" t="str">
        <f t="shared" si="332"/>
        <v>홀수</v>
      </c>
      <c r="X480" s="22" t="str">
        <f t="shared" si="333"/>
        <v>짝수</v>
      </c>
      <c r="Y480" s="22" t="str">
        <f t="shared" si="334"/>
        <v>홀수</v>
      </c>
      <c r="Z480" s="22" t="str">
        <f t="shared" si="335"/>
        <v>홀수</v>
      </c>
      <c r="AA480" s="22" t="str">
        <f t="shared" si="336"/>
        <v>홀수</v>
      </c>
      <c r="AB480" s="22" t="str">
        <f t="shared" si="337"/>
        <v>짝수</v>
      </c>
      <c r="AC480" s="52" t="str">
        <f t="shared" si="338"/>
        <v>4 : 2</v>
      </c>
      <c r="AD480" s="22">
        <f t="shared" si="339"/>
        <v>4</v>
      </c>
      <c r="AE480" s="22">
        <f t="shared" si="340"/>
        <v>2</v>
      </c>
      <c r="AF480" s="22" t="str">
        <f t="shared" si="348"/>
        <v>저수</v>
      </c>
      <c r="AG480" s="22" t="str">
        <f t="shared" si="349"/>
        <v>저수</v>
      </c>
      <c r="AH480" s="22" t="str">
        <f t="shared" si="350"/>
        <v>저수</v>
      </c>
      <c r="AI480" s="22" t="str">
        <f t="shared" si="351"/>
        <v>저수</v>
      </c>
      <c r="AJ480" s="22" t="str">
        <f t="shared" si="352"/>
        <v>고수</v>
      </c>
      <c r="AK480" s="22" t="str">
        <f t="shared" si="353"/>
        <v>고수</v>
      </c>
      <c r="AL480" s="52" t="str">
        <f t="shared" si="354"/>
        <v>4 : 2</v>
      </c>
      <c r="AM480" s="22">
        <f t="shared" si="355"/>
        <v>4</v>
      </c>
      <c r="AN480" s="22">
        <f t="shared" si="356"/>
        <v>2</v>
      </c>
      <c r="AO480" s="22">
        <f t="shared" si="357"/>
        <v>34</v>
      </c>
      <c r="AP480" s="22" t="str">
        <f t="shared" si="358"/>
        <v>X</v>
      </c>
      <c r="AQ480" s="22" t="str">
        <f t="shared" si="359"/>
        <v>X</v>
      </c>
      <c r="AR480" s="22" t="str">
        <f t="shared" si="360"/>
        <v>O</v>
      </c>
      <c r="AS480" s="22" t="str">
        <f t="shared" si="361"/>
        <v>X</v>
      </c>
      <c r="AT480" s="22" t="str">
        <f t="shared" si="362"/>
        <v>X</v>
      </c>
      <c r="AU480" s="22" t="str">
        <f t="shared" si="363"/>
        <v>X</v>
      </c>
      <c r="AV480" s="22" t="str">
        <f t="shared" si="364"/>
        <v>X</v>
      </c>
      <c r="AW480" s="22" t="str">
        <f t="shared" si="365"/>
        <v>X</v>
      </c>
      <c r="AX480" s="22" t="str">
        <f t="shared" si="366"/>
        <v>X</v>
      </c>
      <c r="AY480" s="22" t="str">
        <f t="shared" si="367"/>
        <v>X</v>
      </c>
      <c r="AZ480" s="22" t="str">
        <f t="shared" si="368"/>
        <v>O</v>
      </c>
      <c r="BA480" s="22" t="str">
        <f t="shared" si="369"/>
        <v>X</v>
      </c>
      <c r="BB480" s="22">
        <f t="shared" si="370"/>
        <v>2</v>
      </c>
      <c r="BC480" s="22" t="str">
        <f t="shared" si="341"/>
        <v>1G</v>
      </c>
      <c r="BD480" s="22" t="str">
        <f t="shared" si="342"/>
        <v>1G</v>
      </c>
      <c r="BE480" s="22" t="str">
        <f t="shared" si="343"/>
        <v>1G</v>
      </c>
      <c r="BF480" s="22" t="str">
        <f t="shared" si="344"/>
        <v>1G</v>
      </c>
      <c r="BG480" s="22" t="str">
        <f t="shared" si="345"/>
        <v>3G</v>
      </c>
      <c r="BH480" s="22" t="str">
        <f t="shared" si="346"/>
        <v>3G</v>
      </c>
      <c r="BI480" s="22">
        <f t="shared" si="371"/>
        <v>4</v>
      </c>
      <c r="BJ480" s="22">
        <f t="shared" si="372"/>
        <v>0</v>
      </c>
      <c r="BK480" s="22">
        <f t="shared" si="373"/>
        <v>2</v>
      </c>
      <c r="BL480" s="22" t="str">
        <f t="shared" si="374"/>
        <v>402</v>
      </c>
      <c r="BS480"/>
      <c r="CL480" s="23">
        <v>194</v>
      </c>
      <c r="CM480" s="23">
        <v>190</v>
      </c>
      <c r="CO480"/>
    </row>
    <row r="481" spans="2:93" ht="17" hidden="1">
      <c r="B481" s="15">
        <v>477</v>
      </c>
      <c r="C481" s="23" t="s">
        <v>496</v>
      </c>
      <c r="N481" s="23">
        <v>14</v>
      </c>
      <c r="O481" s="23">
        <v>25</v>
      </c>
      <c r="P481" s="23">
        <v>29</v>
      </c>
      <c r="Q481" s="23">
        <v>32</v>
      </c>
      <c r="R481" s="23">
        <v>33</v>
      </c>
      <c r="S481" s="23">
        <v>45</v>
      </c>
      <c r="T481" s="23">
        <v>37</v>
      </c>
      <c r="U481" s="23">
        <f t="shared" si="347"/>
        <v>178</v>
      </c>
      <c r="W481" s="22" t="str">
        <f t="shared" si="332"/>
        <v>짝수</v>
      </c>
      <c r="X481" s="22" t="str">
        <f t="shared" si="333"/>
        <v>홀수</v>
      </c>
      <c r="Y481" s="22" t="str">
        <f t="shared" si="334"/>
        <v>홀수</v>
      </c>
      <c r="Z481" s="22" t="str">
        <f t="shared" si="335"/>
        <v>짝수</v>
      </c>
      <c r="AA481" s="22" t="str">
        <f t="shared" si="336"/>
        <v>홀수</v>
      </c>
      <c r="AB481" s="22" t="str">
        <f t="shared" si="337"/>
        <v>홀수</v>
      </c>
      <c r="AC481" s="52" t="str">
        <f t="shared" si="338"/>
        <v>4 : 2</v>
      </c>
      <c r="AD481" s="22">
        <f t="shared" si="339"/>
        <v>4</v>
      </c>
      <c r="AE481" s="22">
        <f t="shared" si="340"/>
        <v>2</v>
      </c>
      <c r="AF481" s="22" t="str">
        <f t="shared" si="348"/>
        <v>저수</v>
      </c>
      <c r="AG481" s="22" t="str">
        <f t="shared" si="349"/>
        <v>고수</v>
      </c>
      <c r="AH481" s="22" t="str">
        <f t="shared" si="350"/>
        <v>고수</v>
      </c>
      <c r="AI481" s="22" t="str">
        <f t="shared" si="351"/>
        <v>고수</v>
      </c>
      <c r="AJ481" s="22" t="str">
        <f t="shared" si="352"/>
        <v>고수</v>
      </c>
      <c r="AK481" s="22" t="str">
        <f t="shared" si="353"/>
        <v>고수</v>
      </c>
      <c r="AL481" s="52" t="str">
        <f t="shared" si="354"/>
        <v>1 : 5</v>
      </c>
      <c r="AM481" s="22">
        <f t="shared" si="355"/>
        <v>1</v>
      </c>
      <c r="AN481" s="22">
        <f t="shared" si="356"/>
        <v>5</v>
      </c>
      <c r="AO481" s="22">
        <f t="shared" si="357"/>
        <v>28</v>
      </c>
      <c r="AP481" s="22" t="str">
        <f t="shared" si="358"/>
        <v>X</v>
      </c>
      <c r="AQ481" s="22" t="str">
        <f t="shared" si="359"/>
        <v>X</v>
      </c>
      <c r="AR481" s="22" t="str">
        <f t="shared" si="360"/>
        <v>X</v>
      </c>
      <c r="AS481" s="22" t="str">
        <f t="shared" si="361"/>
        <v>X</v>
      </c>
      <c r="AT481" s="22" t="str">
        <f t="shared" si="362"/>
        <v>X</v>
      </c>
      <c r="AU481" s="22" t="str">
        <f t="shared" si="363"/>
        <v>X</v>
      </c>
      <c r="AV481" s="22" t="str">
        <f t="shared" si="364"/>
        <v>X</v>
      </c>
      <c r="AW481" s="22" t="str">
        <f t="shared" si="365"/>
        <v>X</v>
      </c>
      <c r="AX481" s="22" t="str">
        <f t="shared" si="366"/>
        <v>O</v>
      </c>
      <c r="AY481" s="22" t="str">
        <f t="shared" si="367"/>
        <v>X</v>
      </c>
      <c r="AZ481" s="22" t="str">
        <f t="shared" si="368"/>
        <v>X</v>
      </c>
      <c r="BA481" s="22" t="str">
        <f t="shared" si="369"/>
        <v>X</v>
      </c>
      <c r="BB481" s="22">
        <f t="shared" si="370"/>
        <v>1</v>
      </c>
      <c r="BC481" s="22" t="str">
        <f t="shared" si="341"/>
        <v>1G</v>
      </c>
      <c r="BD481" s="22" t="str">
        <f t="shared" si="342"/>
        <v>2G</v>
      </c>
      <c r="BE481" s="22" t="str">
        <f t="shared" si="343"/>
        <v>2G</v>
      </c>
      <c r="BF481" s="22" t="str">
        <f t="shared" si="344"/>
        <v>3G</v>
      </c>
      <c r="BG481" s="22" t="str">
        <f t="shared" si="345"/>
        <v>3G</v>
      </c>
      <c r="BH481" s="22" t="str">
        <f t="shared" si="346"/>
        <v>3G</v>
      </c>
      <c r="BI481" s="22">
        <f t="shared" si="371"/>
        <v>1</v>
      </c>
      <c r="BJ481" s="22">
        <f t="shared" si="372"/>
        <v>2</v>
      </c>
      <c r="BK481" s="22">
        <f t="shared" si="373"/>
        <v>3</v>
      </c>
      <c r="BL481" s="22" t="str">
        <f t="shared" si="374"/>
        <v>123</v>
      </c>
      <c r="BS481"/>
      <c r="CL481" s="23">
        <v>194</v>
      </c>
      <c r="CM481" s="23">
        <v>190</v>
      </c>
      <c r="CO481"/>
    </row>
    <row r="482" spans="2:93" ht="17" hidden="1">
      <c r="B482" s="15">
        <v>478</v>
      </c>
      <c r="C482" s="23" t="s">
        <v>512</v>
      </c>
      <c r="N482" s="23">
        <v>18</v>
      </c>
      <c r="O482" s="23">
        <v>29</v>
      </c>
      <c r="P482" s="23">
        <v>30</v>
      </c>
      <c r="Q482" s="23">
        <v>37</v>
      </c>
      <c r="R482" s="23">
        <v>39</v>
      </c>
      <c r="S482" s="23">
        <v>43</v>
      </c>
      <c r="T482" s="23">
        <v>8</v>
      </c>
      <c r="U482" s="23">
        <f t="shared" si="347"/>
        <v>196</v>
      </c>
      <c r="W482" s="22" t="str">
        <f t="shared" si="332"/>
        <v>짝수</v>
      </c>
      <c r="X482" s="22" t="str">
        <f t="shared" si="333"/>
        <v>홀수</v>
      </c>
      <c r="Y482" s="22" t="str">
        <f t="shared" si="334"/>
        <v>짝수</v>
      </c>
      <c r="Z482" s="22" t="str">
        <f t="shared" si="335"/>
        <v>홀수</v>
      </c>
      <c r="AA482" s="22" t="str">
        <f t="shared" si="336"/>
        <v>홀수</v>
      </c>
      <c r="AB482" s="22" t="str">
        <f t="shared" si="337"/>
        <v>홀수</v>
      </c>
      <c r="AC482" s="52" t="str">
        <f t="shared" si="338"/>
        <v>4 : 2</v>
      </c>
      <c r="AD482" s="22">
        <f t="shared" si="339"/>
        <v>4</v>
      </c>
      <c r="AE482" s="22">
        <f t="shared" si="340"/>
        <v>2</v>
      </c>
      <c r="AF482" s="22" t="str">
        <f t="shared" si="348"/>
        <v>저수</v>
      </c>
      <c r="AG482" s="22" t="str">
        <f t="shared" si="349"/>
        <v>고수</v>
      </c>
      <c r="AH482" s="22" t="str">
        <f t="shared" si="350"/>
        <v>고수</v>
      </c>
      <c r="AI482" s="22" t="str">
        <f t="shared" si="351"/>
        <v>고수</v>
      </c>
      <c r="AJ482" s="22" t="str">
        <f t="shared" si="352"/>
        <v>고수</v>
      </c>
      <c r="AK482" s="22" t="str">
        <f t="shared" si="353"/>
        <v>고수</v>
      </c>
      <c r="AL482" s="52" t="str">
        <f t="shared" si="354"/>
        <v>1 : 5</v>
      </c>
      <c r="AM482" s="22">
        <f t="shared" si="355"/>
        <v>1</v>
      </c>
      <c r="AN482" s="22">
        <f t="shared" si="356"/>
        <v>5</v>
      </c>
      <c r="AO482" s="22">
        <f t="shared" si="357"/>
        <v>36</v>
      </c>
      <c r="AP482" s="22" t="str">
        <f t="shared" si="358"/>
        <v>X</v>
      </c>
      <c r="AQ482" s="22" t="str">
        <f t="shared" si="359"/>
        <v>X</v>
      </c>
      <c r="AR482" s="22" t="str">
        <f t="shared" si="360"/>
        <v>X</v>
      </c>
      <c r="AS482" s="22" t="str">
        <f t="shared" si="361"/>
        <v>X</v>
      </c>
      <c r="AT482" s="22" t="str">
        <f t="shared" si="362"/>
        <v>X</v>
      </c>
      <c r="AU482" s="22" t="str">
        <f t="shared" si="363"/>
        <v>X</v>
      </c>
      <c r="AV482" s="22" t="str">
        <f t="shared" si="364"/>
        <v>X</v>
      </c>
      <c r="AW482" s="22" t="str">
        <f t="shared" si="365"/>
        <v>O</v>
      </c>
      <c r="AX482" s="22" t="str">
        <f t="shared" si="366"/>
        <v>X</v>
      </c>
      <c r="AY482" s="22" t="str">
        <f t="shared" si="367"/>
        <v>O</v>
      </c>
      <c r="AZ482" s="22" t="str">
        <f t="shared" si="368"/>
        <v>X</v>
      </c>
      <c r="BA482" s="22" t="str">
        <f t="shared" si="369"/>
        <v>O</v>
      </c>
      <c r="BB482" s="22">
        <f t="shared" si="370"/>
        <v>3</v>
      </c>
      <c r="BC482" s="22" t="str">
        <f t="shared" si="341"/>
        <v>2G</v>
      </c>
      <c r="BD482" s="22" t="str">
        <f t="shared" si="342"/>
        <v>2G</v>
      </c>
      <c r="BE482" s="22" t="str">
        <f t="shared" si="343"/>
        <v>2G</v>
      </c>
      <c r="BF482" s="22" t="str">
        <f t="shared" si="344"/>
        <v>3G</v>
      </c>
      <c r="BG482" s="22" t="str">
        <f t="shared" si="345"/>
        <v>3G</v>
      </c>
      <c r="BH482" s="22" t="str">
        <f t="shared" si="346"/>
        <v>3G</v>
      </c>
      <c r="BI482" s="22">
        <f t="shared" si="371"/>
        <v>0</v>
      </c>
      <c r="BJ482" s="22">
        <f t="shared" si="372"/>
        <v>3</v>
      </c>
      <c r="BK482" s="22">
        <f t="shared" si="373"/>
        <v>3</v>
      </c>
      <c r="BL482" s="22" t="str">
        <f t="shared" si="374"/>
        <v>033</v>
      </c>
      <c r="BS482"/>
      <c r="CL482" s="23">
        <v>195</v>
      </c>
      <c r="CM482" s="23">
        <v>190</v>
      </c>
      <c r="CO482"/>
    </row>
    <row r="483" spans="2:93" ht="17" hidden="1">
      <c r="B483" s="15">
        <v>479</v>
      </c>
      <c r="C483" s="23" t="s">
        <v>513</v>
      </c>
      <c r="N483" s="23">
        <v>8</v>
      </c>
      <c r="O483" s="23">
        <v>23</v>
      </c>
      <c r="P483" s="23">
        <v>25</v>
      </c>
      <c r="Q483" s="23">
        <v>27</v>
      </c>
      <c r="R483" s="23">
        <v>35</v>
      </c>
      <c r="S483" s="23">
        <v>44</v>
      </c>
      <c r="T483" s="23">
        <v>24</v>
      </c>
      <c r="U483" s="23">
        <f t="shared" si="347"/>
        <v>162</v>
      </c>
      <c r="W483" s="22" t="str">
        <f t="shared" si="332"/>
        <v>짝수</v>
      </c>
      <c r="X483" s="22" t="str">
        <f t="shared" si="333"/>
        <v>홀수</v>
      </c>
      <c r="Y483" s="22" t="str">
        <f t="shared" si="334"/>
        <v>홀수</v>
      </c>
      <c r="Z483" s="22" t="str">
        <f t="shared" si="335"/>
        <v>홀수</v>
      </c>
      <c r="AA483" s="22" t="str">
        <f t="shared" si="336"/>
        <v>홀수</v>
      </c>
      <c r="AB483" s="22" t="str">
        <f t="shared" si="337"/>
        <v>짝수</v>
      </c>
      <c r="AC483" s="52" t="str">
        <f t="shared" si="338"/>
        <v>4 : 2</v>
      </c>
      <c r="AD483" s="22">
        <f t="shared" si="339"/>
        <v>4</v>
      </c>
      <c r="AE483" s="22">
        <f t="shared" si="340"/>
        <v>2</v>
      </c>
      <c r="AF483" s="22" t="str">
        <f t="shared" si="348"/>
        <v>저수</v>
      </c>
      <c r="AG483" s="22" t="str">
        <f t="shared" si="349"/>
        <v>고수</v>
      </c>
      <c r="AH483" s="22" t="str">
        <f t="shared" si="350"/>
        <v>고수</v>
      </c>
      <c r="AI483" s="22" t="str">
        <f t="shared" si="351"/>
        <v>고수</v>
      </c>
      <c r="AJ483" s="22" t="str">
        <f t="shared" si="352"/>
        <v>고수</v>
      </c>
      <c r="AK483" s="22" t="str">
        <f t="shared" si="353"/>
        <v>고수</v>
      </c>
      <c r="AL483" s="52" t="str">
        <f t="shared" si="354"/>
        <v>1 : 5</v>
      </c>
      <c r="AM483" s="22">
        <f t="shared" si="355"/>
        <v>1</v>
      </c>
      <c r="AN483" s="22">
        <f t="shared" si="356"/>
        <v>5</v>
      </c>
      <c r="AO483" s="22">
        <f t="shared" si="357"/>
        <v>32</v>
      </c>
      <c r="AP483" s="22" t="str">
        <f t="shared" si="358"/>
        <v>X</v>
      </c>
      <c r="AQ483" s="22" t="str">
        <f t="shared" si="359"/>
        <v>X</v>
      </c>
      <c r="AR483" s="22" t="str">
        <f t="shared" si="360"/>
        <v>X</v>
      </c>
      <c r="AS483" s="22" t="str">
        <f t="shared" si="361"/>
        <v>X</v>
      </c>
      <c r="AT483" s="22" t="str">
        <f t="shared" si="362"/>
        <v>X</v>
      </c>
      <c r="AU483" s="22" t="str">
        <f t="shared" si="363"/>
        <v>X</v>
      </c>
      <c r="AV483" s="22" t="str">
        <f t="shared" si="364"/>
        <v>X</v>
      </c>
      <c r="AW483" s="22" t="str">
        <f t="shared" si="365"/>
        <v>O</v>
      </c>
      <c r="AX483" s="22" t="str">
        <f t="shared" si="366"/>
        <v>X</v>
      </c>
      <c r="AY483" s="22" t="str">
        <f t="shared" si="367"/>
        <v>X</v>
      </c>
      <c r="AZ483" s="22" t="str">
        <f t="shared" si="368"/>
        <v>X</v>
      </c>
      <c r="BA483" s="22" t="str">
        <f t="shared" si="369"/>
        <v>X</v>
      </c>
      <c r="BB483" s="22">
        <f t="shared" si="370"/>
        <v>1</v>
      </c>
      <c r="BC483" s="22" t="str">
        <f t="shared" si="341"/>
        <v>1G</v>
      </c>
      <c r="BD483" s="22" t="str">
        <f t="shared" si="342"/>
        <v>2G</v>
      </c>
      <c r="BE483" s="22" t="str">
        <f t="shared" si="343"/>
        <v>2G</v>
      </c>
      <c r="BF483" s="22" t="str">
        <f t="shared" si="344"/>
        <v>2G</v>
      </c>
      <c r="BG483" s="22" t="str">
        <f t="shared" si="345"/>
        <v>3G</v>
      </c>
      <c r="BH483" s="22" t="str">
        <f t="shared" si="346"/>
        <v>3G</v>
      </c>
      <c r="BI483" s="22">
        <f t="shared" si="371"/>
        <v>1</v>
      </c>
      <c r="BJ483" s="22">
        <f t="shared" si="372"/>
        <v>3</v>
      </c>
      <c r="BK483" s="22">
        <f t="shared" si="373"/>
        <v>2</v>
      </c>
      <c r="BL483" s="22" t="str">
        <f t="shared" si="374"/>
        <v>132</v>
      </c>
      <c r="BS483"/>
      <c r="CL483" s="23">
        <v>196</v>
      </c>
      <c r="CM483" s="23">
        <v>190</v>
      </c>
      <c r="CO483"/>
    </row>
    <row r="484" spans="2:93" ht="17" hidden="1">
      <c r="B484" s="15">
        <v>480</v>
      </c>
      <c r="C484" s="23" t="s">
        <v>514</v>
      </c>
      <c r="N484" s="23">
        <v>3</v>
      </c>
      <c r="O484" s="23">
        <v>5</v>
      </c>
      <c r="P484" s="23">
        <v>10</v>
      </c>
      <c r="Q484" s="23">
        <v>17</v>
      </c>
      <c r="R484" s="23">
        <v>30</v>
      </c>
      <c r="S484" s="23">
        <v>31</v>
      </c>
      <c r="T484" s="23">
        <v>16</v>
      </c>
      <c r="U484" s="23">
        <f t="shared" si="347"/>
        <v>96</v>
      </c>
      <c r="W484" s="22" t="str">
        <f t="shared" si="332"/>
        <v>홀수</v>
      </c>
      <c r="X484" s="22" t="str">
        <f t="shared" si="333"/>
        <v>홀수</v>
      </c>
      <c r="Y484" s="22" t="str">
        <f t="shared" si="334"/>
        <v>짝수</v>
      </c>
      <c r="Z484" s="22" t="str">
        <f t="shared" si="335"/>
        <v>홀수</v>
      </c>
      <c r="AA484" s="22" t="str">
        <f t="shared" si="336"/>
        <v>짝수</v>
      </c>
      <c r="AB484" s="22" t="str">
        <f t="shared" si="337"/>
        <v>홀수</v>
      </c>
      <c r="AC484" s="52" t="str">
        <f t="shared" si="338"/>
        <v>4 : 2</v>
      </c>
      <c r="AD484" s="22">
        <f t="shared" si="339"/>
        <v>4</v>
      </c>
      <c r="AE484" s="22">
        <f t="shared" si="340"/>
        <v>2</v>
      </c>
      <c r="AF484" s="22" t="str">
        <f t="shared" si="348"/>
        <v>저수</v>
      </c>
      <c r="AG484" s="22" t="str">
        <f t="shared" si="349"/>
        <v>저수</v>
      </c>
      <c r="AH484" s="22" t="str">
        <f t="shared" si="350"/>
        <v>저수</v>
      </c>
      <c r="AI484" s="22" t="str">
        <f t="shared" si="351"/>
        <v>저수</v>
      </c>
      <c r="AJ484" s="22" t="str">
        <f t="shared" si="352"/>
        <v>고수</v>
      </c>
      <c r="AK484" s="22" t="str">
        <f t="shared" si="353"/>
        <v>고수</v>
      </c>
      <c r="AL484" s="52" t="str">
        <f t="shared" si="354"/>
        <v>4 : 2</v>
      </c>
      <c r="AM484" s="22">
        <f t="shared" si="355"/>
        <v>4</v>
      </c>
      <c r="AN484" s="22">
        <f t="shared" si="356"/>
        <v>2</v>
      </c>
      <c r="AO484" s="22">
        <f t="shared" si="357"/>
        <v>16</v>
      </c>
      <c r="AP484" s="22" t="str">
        <f t="shared" si="358"/>
        <v>O</v>
      </c>
      <c r="AQ484" s="22" t="str">
        <f t="shared" si="359"/>
        <v>O</v>
      </c>
      <c r="AR484" s="22" t="str">
        <f t="shared" si="360"/>
        <v>X</v>
      </c>
      <c r="AS484" s="22" t="str">
        <f t="shared" si="361"/>
        <v>O</v>
      </c>
      <c r="AT484" s="22" t="str">
        <f t="shared" si="362"/>
        <v>X</v>
      </c>
      <c r="AU484" s="22" t="str">
        <f t="shared" si="363"/>
        <v>X</v>
      </c>
      <c r="AV484" s="22" t="str">
        <f t="shared" si="364"/>
        <v>X</v>
      </c>
      <c r="AW484" s="22" t="str">
        <f t="shared" si="365"/>
        <v>X</v>
      </c>
      <c r="AX484" s="22" t="str">
        <f t="shared" si="366"/>
        <v>X</v>
      </c>
      <c r="AY484" s="22" t="str">
        <f t="shared" si="367"/>
        <v>X</v>
      </c>
      <c r="AZ484" s="22" t="str">
        <f t="shared" si="368"/>
        <v>X</v>
      </c>
      <c r="BA484" s="22" t="str">
        <f t="shared" si="369"/>
        <v>O</v>
      </c>
      <c r="BB484" s="22">
        <f t="shared" si="370"/>
        <v>4</v>
      </c>
      <c r="BC484" s="22" t="str">
        <f t="shared" si="341"/>
        <v>1G</v>
      </c>
      <c r="BD484" s="22" t="str">
        <f t="shared" si="342"/>
        <v>1G</v>
      </c>
      <c r="BE484" s="22" t="str">
        <f t="shared" si="343"/>
        <v>1G</v>
      </c>
      <c r="BF484" s="22" t="str">
        <f t="shared" si="344"/>
        <v>2G</v>
      </c>
      <c r="BG484" s="22" t="str">
        <f t="shared" si="345"/>
        <v>2G</v>
      </c>
      <c r="BH484" s="22" t="str">
        <f t="shared" si="346"/>
        <v>3G</v>
      </c>
      <c r="BI484" s="22">
        <f t="shared" si="371"/>
        <v>3</v>
      </c>
      <c r="BJ484" s="22">
        <f t="shared" si="372"/>
        <v>2</v>
      </c>
      <c r="BK484" s="22">
        <f t="shared" si="373"/>
        <v>1</v>
      </c>
      <c r="BL484" s="22" t="str">
        <f t="shared" si="374"/>
        <v>321</v>
      </c>
      <c r="BS484"/>
      <c r="CL484" s="23">
        <v>196</v>
      </c>
      <c r="CM484" s="23">
        <v>190</v>
      </c>
      <c r="CO484"/>
    </row>
    <row r="485" spans="2:93" ht="17" hidden="1">
      <c r="B485" s="15">
        <v>481</v>
      </c>
      <c r="C485" s="23" t="s">
        <v>515</v>
      </c>
      <c r="N485" s="23">
        <v>3</v>
      </c>
      <c r="O485" s="23">
        <v>4</v>
      </c>
      <c r="P485" s="23">
        <v>23</v>
      </c>
      <c r="Q485" s="23">
        <v>29</v>
      </c>
      <c r="R485" s="23">
        <v>40</v>
      </c>
      <c r="S485" s="23">
        <v>41</v>
      </c>
      <c r="T485" s="23">
        <v>20</v>
      </c>
      <c r="U485" s="23">
        <f t="shared" si="347"/>
        <v>140</v>
      </c>
      <c r="W485" s="22" t="str">
        <f t="shared" si="332"/>
        <v>홀수</v>
      </c>
      <c r="X485" s="22" t="str">
        <f t="shared" si="333"/>
        <v>짝수</v>
      </c>
      <c r="Y485" s="22" t="str">
        <f t="shared" si="334"/>
        <v>홀수</v>
      </c>
      <c r="Z485" s="22" t="str">
        <f t="shared" si="335"/>
        <v>홀수</v>
      </c>
      <c r="AA485" s="22" t="str">
        <f t="shared" si="336"/>
        <v>짝수</v>
      </c>
      <c r="AB485" s="22" t="str">
        <f t="shared" si="337"/>
        <v>홀수</v>
      </c>
      <c r="AC485" s="52" t="str">
        <f t="shared" si="338"/>
        <v>4 : 2</v>
      </c>
      <c r="AD485" s="22">
        <f t="shared" si="339"/>
        <v>4</v>
      </c>
      <c r="AE485" s="22">
        <f t="shared" si="340"/>
        <v>2</v>
      </c>
      <c r="AF485" s="22" t="str">
        <f t="shared" si="348"/>
        <v>저수</v>
      </c>
      <c r="AG485" s="22" t="str">
        <f t="shared" si="349"/>
        <v>저수</v>
      </c>
      <c r="AH485" s="22" t="str">
        <f t="shared" si="350"/>
        <v>고수</v>
      </c>
      <c r="AI485" s="22" t="str">
        <f t="shared" si="351"/>
        <v>고수</v>
      </c>
      <c r="AJ485" s="22" t="str">
        <f t="shared" si="352"/>
        <v>고수</v>
      </c>
      <c r="AK485" s="22" t="str">
        <f t="shared" si="353"/>
        <v>고수</v>
      </c>
      <c r="AL485" s="52" t="str">
        <f t="shared" si="354"/>
        <v>2 : 4</v>
      </c>
      <c r="AM485" s="22">
        <f t="shared" si="355"/>
        <v>2</v>
      </c>
      <c r="AN485" s="22">
        <f t="shared" si="356"/>
        <v>4</v>
      </c>
      <c r="AO485" s="22">
        <f t="shared" si="357"/>
        <v>20</v>
      </c>
      <c r="AP485" s="22" t="str">
        <f t="shared" si="358"/>
        <v>O</v>
      </c>
      <c r="AQ485" s="22" t="str">
        <f t="shared" si="359"/>
        <v>X</v>
      </c>
      <c r="AR485" s="22" t="str">
        <f t="shared" si="360"/>
        <v>X</v>
      </c>
      <c r="AS485" s="22" t="str">
        <f t="shared" si="361"/>
        <v>X</v>
      </c>
      <c r="AT485" s="22" t="str">
        <f t="shared" si="362"/>
        <v>X</v>
      </c>
      <c r="AU485" s="22" t="str">
        <f t="shared" si="363"/>
        <v>X</v>
      </c>
      <c r="AV485" s="22" t="str">
        <f t="shared" si="364"/>
        <v>X</v>
      </c>
      <c r="AW485" s="22" t="str">
        <f t="shared" si="365"/>
        <v>X</v>
      </c>
      <c r="AX485" s="22" t="str">
        <f t="shared" si="366"/>
        <v>O</v>
      </c>
      <c r="AY485" s="22" t="str">
        <f t="shared" si="367"/>
        <v>O</v>
      </c>
      <c r="AZ485" s="22" t="str">
        <f t="shared" si="368"/>
        <v>X</v>
      </c>
      <c r="BA485" s="22" t="str">
        <f t="shared" si="369"/>
        <v>O</v>
      </c>
      <c r="BB485" s="22">
        <f t="shared" si="370"/>
        <v>4</v>
      </c>
      <c r="BC485" s="22" t="str">
        <f t="shared" si="341"/>
        <v>1G</v>
      </c>
      <c r="BD485" s="22" t="str">
        <f t="shared" si="342"/>
        <v>1G</v>
      </c>
      <c r="BE485" s="22" t="str">
        <f t="shared" si="343"/>
        <v>2G</v>
      </c>
      <c r="BF485" s="22" t="str">
        <f t="shared" si="344"/>
        <v>2G</v>
      </c>
      <c r="BG485" s="22" t="str">
        <f t="shared" si="345"/>
        <v>3G</v>
      </c>
      <c r="BH485" s="22" t="str">
        <f t="shared" si="346"/>
        <v>3G</v>
      </c>
      <c r="BI485" s="22">
        <f t="shared" si="371"/>
        <v>2</v>
      </c>
      <c r="BJ485" s="22">
        <f t="shared" si="372"/>
        <v>2</v>
      </c>
      <c r="BK485" s="22">
        <f t="shared" si="373"/>
        <v>2</v>
      </c>
      <c r="BL485" s="22" t="str">
        <f t="shared" si="374"/>
        <v>222</v>
      </c>
      <c r="BS485"/>
      <c r="CL485" s="23">
        <v>196</v>
      </c>
      <c r="CM485" s="23">
        <v>190</v>
      </c>
      <c r="CO485"/>
    </row>
    <row r="486" spans="2:93" ht="17" hidden="1">
      <c r="B486" s="15">
        <v>482</v>
      </c>
      <c r="C486" s="23" t="s">
        <v>516</v>
      </c>
      <c r="N486" s="23">
        <v>1</v>
      </c>
      <c r="O486" s="23">
        <v>10</v>
      </c>
      <c r="P486" s="23">
        <v>16</v>
      </c>
      <c r="Q486" s="23">
        <v>24</v>
      </c>
      <c r="R486" s="23">
        <v>25</v>
      </c>
      <c r="S486" s="23">
        <v>35</v>
      </c>
      <c r="T486" s="23">
        <v>43</v>
      </c>
      <c r="U486" s="23">
        <f t="shared" si="347"/>
        <v>111</v>
      </c>
      <c r="W486" s="22" t="str">
        <f t="shared" si="332"/>
        <v>홀수</v>
      </c>
      <c r="X486" s="22" t="str">
        <f t="shared" si="333"/>
        <v>짝수</v>
      </c>
      <c r="Y486" s="22" t="str">
        <f t="shared" si="334"/>
        <v>짝수</v>
      </c>
      <c r="Z486" s="22" t="str">
        <f t="shared" si="335"/>
        <v>짝수</v>
      </c>
      <c r="AA486" s="22" t="str">
        <f t="shared" si="336"/>
        <v>홀수</v>
      </c>
      <c r="AB486" s="22" t="str">
        <f t="shared" si="337"/>
        <v>홀수</v>
      </c>
      <c r="AC486" s="52" t="str">
        <f t="shared" si="338"/>
        <v>3 : 3</v>
      </c>
      <c r="AD486" s="22">
        <f t="shared" si="339"/>
        <v>3</v>
      </c>
      <c r="AE486" s="22">
        <f t="shared" si="340"/>
        <v>3</v>
      </c>
      <c r="AF486" s="22" t="str">
        <f t="shared" si="348"/>
        <v>저수</v>
      </c>
      <c r="AG486" s="22" t="str">
        <f t="shared" si="349"/>
        <v>저수</v>
      </c>
      <c r="AH486" s="22" t="str">
        <f t="shared" si="350"/>
        <v>저수</v>
      </c>
      <c r="AI486" s="22" t="str">
        <f t="shared" si="351"/>
        <v>고수</v>
      </c>
      <c r="AJ486" s="22" t="str">
        <f t="shared" si="352"/>
        <v>고수</v>
      </c>
      <c r="AK486" s="22" t="str">
        <f t="shared" si="353"/>
        <v>고수</v>
      </c>
      <c r="AL486" s="52" t="str">
        <f t="shared" si="354"/>
        <v>3 : 3</v>
      </c>
      <c r="AM486" s="22">
        <f t="shared" si="355"/>
        <v>3</v>
      </c>
      <c r="AN486" s="22">
        <f t="shared" si="356"/>
        <v>3</v>
      </c>
      <c r="AO486" s="22">
        <f t="shared" si="357"/>
        <v>21</v>
      </c>
      <c r="AP486" s="22" t="str">
        <f t="shared" si="358"/>
        <v>X</v>
      </c>
      <c r="AQ486" s="22" t="str">
        <f t="shared" si="359"/>
        <v>X</v>
      </c>
      <c r="AR486" s="22" t="str">
        <f t="shared" si="360"/>
        <v>X</v>
      </c>
      <c r="AS486" s="22" t="str">
        <f t="shared" si="361"/>
        <v>X</v>
      </c>
      <c r="AT486" s="22" t="str">
        <f t="shared" si="362"/>
        <v>X</v>
      </c>
      <c r="AU486" s="22" t="str">
        <f t="shared" si="363"/>
        <v>X</v>
      </c>
      <c r="AV486" s="22" t="str">
        <f t="shared" si="364"/>
        <v>X</v>
      </c>
      <c r="AW486" s="22" t="str">
        <f t="shared" si="365"/>
        <v>X</v>
      </c>
      <c r="AX486" s="22" t="str">
        <f t="shared" si="366"/>
        <v>X</v>
      </c>
      <c r="AY486" s="22" t="str">
        <f t="shared" si="367"/>
        <v>X</v>
      </c>
      <c r="AZ486" s="22" t="str">
        <f t="shared" si="368"/>
        <v>X</v>
      </c>
      <c r="BA486" s="22" t="str">
        <f t="shared" si="369"/>
        <v>X</v>
      </c>
      <c r="BB486" s="22">
        <f t="shared" si="370"/>
        <v>0</v>
      </c>
      <c r="BC486" s="22" t="str">
        <f t="shared" si="341"/>
        <v>1G</v>
      </c>
      <c r="BD486" s="22" t="str">
        <f t="shared" si="342"/>
        <v>1G</v>
      </c>
      <c r="BE486" s="22" t="str">
        <f t="shared" si="343"/>
        <v>2G</v>
      </c>
      <c r="BF486" s="22" t="str">
        <f t="shared" si="344"/>
        <v>2G</v>
      </c>
      <c r="BG486" s="22" t="str">
        <f t="shared" si="345"/>
        <v>2G</v>
      </c>
      <c r="BH486" s="22" t="str">
        <f t="shared" si="346"/>
        <v>3G</v>
      </c>
      <c r="BI486" s="22">
        <f t="shared" si="371"/>
        <v>2</v>
      </c>
      <c r="BJ486" s="22">
        <f t="shared" si="372"/>
        <v>3</v>
      </c>
      <c r="BK486" s="22">
        <f t="shared" si="373"/>
        <v>1</v>
      </c>
      <c r="BL486" s="22" t="str">
        <f t="shared" si="374"/>
        <v>231</v>
      </c>
      <c r="BS486"/>
      <c r="CL486" s="23">
        <v>196</v>
      </c>
      <c r="CM486" s="23">
        <v>190</v>
      </c>
      <c r="CO486"/>
    </row>
    <row r="487" spans="2:93" ht="17" hidden="1">
      <c r="B487" s="15">
        <v>483</v>
      </c>
      <c r="C487" s="23" t="s">
        <v>517</v>
      </c>
      <c r="N487" s="23">
        <v>12</v>
      </c>
      <c r="O487" s="23">
        <v>15</v>
      </c>
      <c r="P487" s="23">
        <v>19</v>
      </c>
      <c r="Q487" s="23">
        <v>22</v>
      </c>
      <c r="R487" s="23">
        <v>28</v>
      </c>
      <c r="S487" s="23">
        <v>34</v>
      </c>
      <c r="T487" s="23">
        <v>5</v>
      </c>
      <c r="U487" s="23">
        <f t="shared" si="347"/>
        <v>130</v>
      </c>
      <c r="W487" s="22" t="str">
        <f t="shared" si="332"/>
        <v>짝수</v>
      </c>
      <c r="X487" s="22" t="str">
        <f t="shared" si="333"/>
        <v>홀수</v>
      </c>
      <c r="Y487" s="22" t="str">
        <f t="shared" si="334"/>
        <v>홀수</v>
      </c>
      <c r="Z487" s="22" t="str">
        <f t="shared" si="335"/>
        <v>짝수</v>
      </c>
      <c r="AA487" s="22" t="str">
        <f t="shared" si="336"/>
        <v>짝수</v>
      </c>
      <c r="AB487" s="22" t="str">
        <f t="shared" si="337"/>
        <v>짝수</v>
      </c>
      <c r="AC487" s="52" t="str">
        <f t="shared" si="338"/>
        <v>2 : 4</v>
      </c>
      <c r="AD487" s="22">
        <f t="shared" si="339"/>
        <v>2</v>
      </c>
      <c r="AE487" s="22">
        <f t="shared" si="340"/>
        <v>4</v>
      </c>
      <c r="AF487" s="22" t="str">
        <f t="shared" si="348"/>
        <v>저수</v>
      </c>
      <c r="AG487" s="22" t="str">
        <f t="shared" si="349"/>
        <v>저수</v>
      </c>
      <c r="AH487" s="22" t="str">
        <f t="shared" si="350"/>
        <v>저수</v>
      </c>
      <c r="AI487" s="22" t="str">
        <f t="shared" si="351"/>
        <v>저수</v>
      </c>
      <c r="AJ487" s="22" t="str">
        <f t="shared" si="352"/>
        <v>고수</v>
      </c>
      <c r="AK487" s="22" t="str">
        <f t="shared" si="353"/>
        <v>고수</v>
      </c>
      <c r="AL487" s="52" t="str">
        <f t="shared" si="354"/>
        <v>4 : 2</v>
      </c>
      <c r="AM487" s="22">
        <f t="shared" si="355"/>
        <v>4</v>
      </c>
      <c r="AN487" s="22">
        <f t="shared" si="356"/>
        <v>2</v>
      </c>
      <c r="AO487" s="22">
        <f t="shared" si="357"/>
        <v>30</v>
      </c>
      <c r="AP487" s="22" t="str">
        <f t="shared" si="358"/>
        <v>X</v>
      </c>
      <c r="AQ487" s="22" t="str">
        <f t="shared" si="359"/>
        <v>X</v>
      </c>
      <c r="AR487" s="22" t="str">
        <f t="shared" si="360"/>
        <v>O</v>
      </c>
      <c r="AS487" s="22" t="str">
        <f t="shared" si="361"/>
        <v>X</v>
      </c>
      <c r="AT487" s="22" t="str">
        <f t="shared" si="362"/>
        <v>X</v>
      </c>
      <c r="AU487" s="22" t="str">
        <f t="shared" si="363"/>
        <v>X</v>
      </c>
      <c r="AV487" s="22" t="str">
        <f t="shared" si="364"/>
        <v>X</v>
      </c>
      <c r="AW487" s="22" t="str">
        <f t="shared" si="365"/>
        <v>X</v>
      </c>
      <c r="AX487" s="22" t="str">
        <f t="shared" si="366"/>
        <v>X</v>
      </c>
      <c r="AY487" s="22" t="str">
        <f t="shared" si="367"/>
        <v>X</v>
      </c>
      <c r="AZ487" s="22" t="str">
        <f t="shared" si="368"/>
        <v>X</v>
      </c>
      <c r="BA487" s="22" t="str">
        <f t="shared" si="369"/>
        <v>X</v>
      </c>
      <c r="BB487" s="22">
        <f t="shared" si="370"/>
        <v>1</v>
      </c>
      <c r="BC487" s="22" t="str">
        <f t="shared" si="341"/>
        <v>1G</v>
      </c>
      <c r="BD487" s="22" t="str">
        <f t="shared" si="342"/>
        <v>1G</v>
      </c>
      <c r="BE487" s="22" t="str">
        <f t="shared" si="343"/>
        <v>2G</v>
      </c>
      <c r="BF487" s="22" t="str">
        <f t="shared" si="344"/>
        <v>2G</v>
      </c>
      <c r="BG487" s="22" t="str">
        <f t="shared" si="345"/>
        <v>2G</v>
      </c>
      <c r="BH487" s="22" t="str">
        <f t="shared" si="346"/>
        <v>3G</v>
      </c>
      <c r="BI487" s="22">
        <f t="shared" si="371"/>
        <v>2</v>
      </c>
      <c r="BJ487" s="22">
        <f t="shared" si="372"/>
        <v>3</v>
      </c>
      <c r="BK487" s="22">
        <f t="shared" si="373"/>
        <v>1</v>
      </c>
      <c r="BL487" s="22" t="str">
        <f t="shared" si="374"/>
        <v>231</v>
      </c>
      <c r="BS487"/>
      <c r="CL487" s="23">
        <v>197</v>
      </c>
      <c r="CM487" s="23">
        <v>190</v>
      </c>
      <c r="CO487"/>
    </row>
    <row r="488" spans="2:93" ht="17" hidden="1">
      <c r="B488" s="15">
        <v>484</v>
      </c>
      <c r="C488" s="23" t="s">
        <v>518</v>
      </c>
      <c r="N488" s="23">
        <v>1</v>
      </c>
      <c r="O488" s="23">
        <v>3</v>
      </c>
      <c r="P488" s="23">
        <v>27</v>
      </c>
      <c r="Q488" s="23">
        <v>28</v>
      </c>
      <c r="R488" s="23">
        <v>32</v>
      </c>
      <c r="S488" s="23">
        <v>45</v>
      </c>
      <c r="T488" s="23">
        <v>11</v>
      </c>
      <c r="U488" s="23">
        <f t="shared" si="347"/>
        <v>136</v>
      </c>
      <c r="W488" s="22" t="str">
        <f t="shared" si="332"/>
        <v>홀수</v>
      </c>
      <c r="X488" s="22" t="str">
        <f t="shared" si="333"/>
        <v>홀수</v>
      </c>
      <c r="Y488" s="22" t="str">
        <f t="shared" si="334"/>
        <v>홀수</v>
      </c>
      <c r="Z488" s="22" t="str">
        <f t="shared" si="335"/>
        <v>짝수</v>
      </c>
      <c r="AA488" s="22" t="str">
        <f t="shared" si="336"/>
        <v>짝수</v>
      </c>
      <c r="AB488" s="22" t="str">
        <f t="shared" si="337"/>
        <v>홀수</v>
      </c>
      <c r="AC488" s="52" t="str">
        <f t="shared" si="338"/>
        <v>4 : 2</v>
      </c>
      <c r="AD488" s="22">
        <f t="shared" si="339"/>
        <v>4</v>
      </c>
      <c r="AE488" s="22">
        <f t="shared" si="340"/>
        <v>2</v>
      </c>
      <c r="AF488" s="22" t="str">
        <f t="shared" si="348"/>
        <v>저수</v>
      </c>
      <c r="AG488" s="22" t="str">
        <f t="shared" si="349"/>
        <v>저수</v>
      </c>
      <c r="AH488" s="22" t="str">
        <f t="shared" si="350"/>
        <v>고수</v>
      </c>
      <c r="AI488" s="22" t="str">
        <f t="shared" si="351"/>
        <v>고수</v>
      </c>
      <c r="AJ488" s="22" t="str">
        <f t="shared" si="352"/>
        <v>고수</v>
      </c>
      <c r="AK488" s="22" t="str">
        <f t="shared" si="353"/>
        <v>고수</v>
      </c>
      <c r="AL488" s="52" t="str">
        <f t="shared" si="354"/>
        <v>2 : 4</v>
      </c>
      <c r="AM488" s="22">
        <f t="shared" si="355"/>
        <v>2</v>
      </c>
      <c r="AN488" s="22">
        <f t="shared" si="356"/>
        <v>4</v>
      </c>
      <c r="AO488" s="22">
        <f t="shared" si="357"/>
        <v>26</v>
      </c>
      <c r="AP488" s="22" t="str">
        <f t="shared" si="358"/>
        <v>X</v>
      </c>
      <c r="AQ488" s="22" t="str">
        <f t="shared" si="359"/>
        <v>O</v>
      </c>
      <c r="AR488" s="22" t="str">
        <f t="shared" si="360"/>
        <v>X</v>
      </c>
      <c r="AS488" s="22" t="str">
        <f t="shared" si="361"/>
        <v>X</v>
      </c>
      <c r="AT488" s="22" t="str">
        <f t="shared" si="362"/>
        <v>X</v>
      </c>
      <c r="AU488" s="22" t="str">
        <f t="shared" si="363"/>
        <v>X</v>
      </c>
      <c r="AV488" s="22" t="str">
        <f t="shared" si="364"/>
        <v>X</v>
      </c>
      <c r="AW488" s="22" t="str">
        <f t="shared" si="365"/>
        <v>X</v>
      </c>
      <c r="AX488" s="22" t="str">
        <f t="shared" si="366"/>
        <v>X</v>
      </c>
      <c r="AY488" s="22" t="str">
        <f t="shared" si="367"/>
        <v>X</v>
      </c>
      <c r="AZ488" s="22" t="str">
        <f t="shared" si="368"/>
        <v>X</v>
      </c>
      <c r="BA488" s="22" t="str">
        <f t="shared" si="369"/>
        <v>X</v>
      </c>
      <c r="BB488" s="22">
        <f t="shared" si="370"/>
        <v>1</v>
      </c>
      <c r="BC488" s="22" t="str">
        <f t="shared" si="341"/>
        <v>1G</v>
      </c>
      <c r="BD488" s="22" t="str">
        <f t="shared" si="342"/>
        <v>1G</v>
      </c>
      <c r="BE488" s="22" t="str">
        <f t="shared" si="343"/>
        <v>2G</v>
      </c>
      <c r="BF488" s="22" t="str">
        <f t="shared" si="344"/>
        <v>2G</v>
      </c>
      <c r="BG488" s="22" t="str">
        <f t="shared" si="345"/>
        <v>3G</v>
      </c>
      <c r="BH488" s="22" t="str">
        <f t="shared" si="346"/>
        <v>3G</v>
      </c>
      <c r="BI488" s="22">
        <f t="shared" si="371"/>
        <v>2</v>
      </c>
      <c r="BJ488" s="22">
        <f t="shared" si="372"/>
        <v>2</v>
      </c>
      <c r="BK488" s="22">
        <f t="shared" si="373"/>
        <v>2</v>
      </c>
      <c r="BL488" s="22" t="str">
        <f t="shared" si="374"/>
        <v>222</v>
      </c>
      <c r="BS488"/>
      <c r="CL488" s="23">
        <v>197</v>
      </c>
      <c r="CM488" s="23">
        <v>190</v>
      </c>
      <c r="CO488"/>
    </row>
    <row r="489" spans="2:93" ht="17" hidden="1">
      <c r="B489" s="15">
        <v>485</v>
      </c>
      <c r="C489" s="23" t="s">
        <v>541</v>
      </c>
      <c r="N489" s="23">
        <v>17</v>
      </c>
      <c r="O489" s="23">
        <v>22</v>
      </c>
      <c r="P489" s="23">
        <v>26</v>
      </c>
      <c r="Q489" s="23">
        <v>27</v>
      </c>
      <c r="R489" s="23">
        <v>36</v>
      </c>
      <c r="S489" s="23">
        <v>39</v>
      </c>
      <c r="T489" s="23">
        <v>20</v>
      </c>
      <c r="U489" s="23">
        <f t="shared" ref="U489:U505" si="375">SUM(N489:T489)</f>
        <v>187</v>
      </c>
      <c r="W489" s="22" t="str">
        <f t="shared" si="332"/>
        <v>홀수</v>
      </c>
      <c r="X489" s="22" t="str">
        <f t="shared" si="333"/>
        <v>짝수</v>
      </c>
      <c r="Y489" s="22" t="str">
        <f t="shared" si="334"/>
        <v>짝수</v>
      </c>
      <c r="Z489" s="22" t="str">
        <f t="shared" si="335"/>
        <v>홀수</v>
      </c>
      <c r="AA489" s="23" t="str">
        <f t="shared" si="336"/>
        <v>짝수</v>
      </c>
      <c r="AB489" s="23" t="str">
        <f t="shared" si="337"/>
        <v>홀수</v>
      </c>
      <c r="AC489" s="52" t="str">
        <f t="shared" si="338"/>
        <v>3 : 3</v>
      </c>
      <c r="AD489" s="22">
        <f t="shared" si="339"/>
        <v>3</v>
      </c>
      <c r="AE489" s="22">
        <f t="shared" si="340"/>
        <v>3</v>
      </c>
      <c r="AF489" s="22" t="str">
        <f t="shared" si="348"/>
        <v>저수</v>
      </c>
      <c r="AG489" s="22" t="str">
        <f t="shared" si="349"/>
        <v>저수</v>
      </c>
      <c r="AH489" s="22" t="str">
        <f t="shared" si="350"/>
        <v>고수</v>
      </c>
      <c r="AI489" s="22" t="str">
        <f t="shared" si="351"/>
        <v>고수</v>
      </c>
      <c r="AJ489" s="22" t="str">
        <f t="shared" si="352"/>
        <v>고수</v>
      </c>
      <c r="AK489" s="22" t="str">
        <f t="shared" si="353"/>
        <v>고수</v>
      </c>
      <c r="AL489" s="52" t="str">
        <f t="shared" si="354"/>
        <v>2 : 4</v>
      </c>
      <c r="AM489" s="22">
        <f t="shared" si="355"/>
        <v>2</v>
      </c>
      <c r="AN489" s="22">
        <f t="shared" si="356"/>
        <v>4</v>
      </c>
      <c r="AO489" s="22">
        <f t="shared" si="357"/>
        <v>37</v>
      </c>
      <c r="AP489" s="22" t="str">
        <f t="shared" si="358"/>
        <v>O</v>
      </c>
      <c r="AQ489" s="22" t="str">
        <f t="shared" si="359"/>
        <v>X</v>
      </c>
      <c r="AR489" s="22" t="str">
        <f t="shared" si="360"/>
        <v>X</v>
      </c>
      <c r="AS489" s="22" t="str">
        <f t="shared" si="361"/>
        <v>X</v>
      </c>
      <c r="AT489" s="22" t="str">
        <f t="shared" si="362"/>
        <v>X</v>
      </c>
      <c r="AU489" s="22" t="str">
        <f t="shared" si="363"/>
        <v>X</v>
      </c>
      <c r="AV489" s="22" t="str">
        <f t="shared" si="364"/>
        <v>X</v>
      </c>
      <c r="AW489" s="22" t="str">
        <f t="shared" si="365"/>
        <v>X</v>
      </c>
      <c r="AX489" s="22" t="str">
        <f t="shared" si="366"/>
        <v>X</v>
      </c>
      <c r="AY489" s="22" t="str">
        <f t="shared" si="367"/>
        <v>X</v>
      </c>
      <c r="AZ489" s="22" t="str">
        <f t="shared" si="368"/>
        <v>X</v>
      </c>
      <c r="BA489" s="22" t="str">
        <f t="shared" si="369"/>
        <v>X</v>
      </c>
      <c r="BB489" s="22">
        <f t="shared" si="370"/>
        <v>1</v>
      </c>
      <c r="BC489" s="22" t="str">
        <f t="shared" si="341"/>
        <v>2G</v>
      </c>
      <c r="BD489" s="22" t="str">
        <f t="shared" si="342"/>
        <v>2G</v>
      </c>
      <c r="BE489" s="22" t="str">
        <f t="shared" si="343"/>
        <v>2G</v>
      </c>
      <c r="BF489" s="22" t="str">
        <f t="shared" si="344"/>
        <v>2G</v>
      </c>
      <c r="BG489" s="22" t="str">
        <f t="shared" si="345"/>
        <v>3G</v>
      </c>
      <c r="BH489" s="22" t="str">
        <f t="shared" si="346"/>
        <v>3G</v>
      </c>
      <c r="BI489" s="22">
        <f t="shared" si="371"/>
        <v>0</v>
      </c>
      <c r="BJ489" s="22">
        <f t="shared" si="372"/>
        <v>4</v>
      </c>
      <c r="BK489" s="22">
        <f t="shared" si="373"/>
        <v>2</v>
      </c>
      <c r="BL489" s="22" t="str">
        <f t="shared" si="374"/>
        <v>042</v>
      </c>
      <c r="BS489"/>
      <c r="CL489" s="23">
        <v>199</v>
      </c>
      <c r="CM489" s="23">
        <v>190</v>
      </c>
      <c r="CO489"/>
    </row>
    <row r="490" spans="2:93" ht="17" hidden="1">
      <c r="B490" s="15">
        <v>486</v>
      </c>
      <c r="C490" s="23" t="s">
        <v>581</v>
      </c>
      <c r="N490" s="23">
        <v>1</v>
      </c>
      <c r="O490" s="23">
        <v>2</v>
      </c>
      <c r="P490" s="23">
        <v>23</v>
      </c>
      <c r="Q490" s="23">
        <v>25</v>
      </c>
      <c r="R490" s="23">
        <v>38</v>
      </c>
      <c r="S490" s="23">
        <v>40</v>
      </c>
      <c r="T490" s="23">
        <v>43</v>
      </c>
      <c r="U490" s="23">
        <f t="shared" si="375"/>
        <v>172</v>
      </c>
      <c r="W490" s="22" t="str">
        <f t="shared" si="332"/>
        <v>홀수</v>
      </c>
      <c r="X490" s="22" t="str">
        <f t="shared" si="333"/>
        <v>짝수</v>
      </c>
      <c r="Y490" s="22" t="str">
        <f t="shared" si="334"/>
        <v>홀수</v>
      </c>
      <c r="Z490" s="22" t="str">
        <f t="shared" si="335"/>
        <v>홀수</v>
      </c>
      <c r="AA490" s="23" t="str">
        <f t="shared" si="336"/>
        <v>짝수</v>
      </c>
      <c r="AB490" s="23" t="str">
        <f t="shared" si="337"/>
        <v>짝수</v>
      </c>
      <c r="AC490" s="52" t="str">
        <f t="shared" si="338"/>
        <v>3 : 3</v>
      </c>
      <c r="AD490" s="22">
        <f t="shared" si="339"/>
        <v>3</v>
      </c>
      <c r="AE490" s="22">
        <f t="shared" si="340"/>
        <v>3</v>
      </c>
      <c r="AF490" s="22" t="str">
        <f t="shared" si="348"/>
        <v>저수</v>
      </c>
      <c r="AG490" s="22" t="str">
        <f t="shared" si="349"/>
        <v>저수</v>
      </c>
      <c r="AH490" s="22" t="str">
        <f t="shared" si="350"/>
        <v>고수</v>
      </c>
      <c r="AI490" s="22" t="str">
        <f t="shared" si="351"/>
        <v>고수</v>
      </c>
      <c r="AJ490" s="22" t="str">
        <f t="shared" si="352"/>
        <v>고수</v>
      </c>
      <c r="AK490" s="22" t="str">
        <f t="shared" si="353"/>
        <v>고수</v>
      </c>
      <c r="AL490" s="52" t="str">
        <f t="shared" si="354"/>
        <v>2 : 4</v>
      </c>
      <c r="AM490" s="22">
        <f t="shared" si="355"/>
        <v>2</v>
      </c>
      <c r="AN490" s="22">
        <f t="shared" si="356"/>
        <v>4</v>
      </c>
      <c r="AO490" s="22">
        <f t="shared" si="357"/>
        <v>19</v>
      </c>
      <c r="AP490" s="22" t="str">
        <f t="shared" si="358"/>
        <v>X</v>
      </c>
      <c r="AQ490" s="22" t="str">
        <f t="shared" si="359"/>
        <v>O</v>
      </c>
      <c r="AR490" s="22" t="str">
        <f t="shared" si="360"/>
        <v>X</v>
      </c>
      <c r="AS490" s="22" t="str">
        <f t="shared" si="361"/>
        <v>X</v>
      </c>
      <c r="AT490" s="22" t="str">
        <f t="shared" si="362"/>
        <v>X</v>
      </c>
      <c r="AU490" s="22" t="str">
        <f t="shared" si="363"/>
        <v>X</v>
      </c>
      <c r="AV490" s="22" t="str">
        <f t="shared" si="364"/>
        <v>X</v>
      </c>
      <c r="AW490" s="22" t="str">
        <f t="shared" si="365"/>
        <v>X</v>
      </c>
      <c r="AX490" s="22" t="str">
        <f t="shared" si="366"/>
        <v>O</v>
      </c>
      <c r="AY490" s="22" t="str">
        <f t="shared" si="367"/>
        <v>X</v>
      </c>
      <c r="AZ490" s="22" t="str">
        <f t="shared" si="368"/>
        <v>X</v>
      </c>
      <c r="BA490" s="22" t="str">
        <f t="shared" si="369"/>
        <v>X</v>
      </c>
      <c r="BB490" s="22">
        <f t="shared" si="370"/>
        <v>2</v>
      </c>
      <c r="BC490" s="22" t="str">
        <f t="shared" si="341"/>
        <v>1G</v>
      </c>
      <c r="BD490" s="22" t="str">
        <f t="shared" si="342"/>
        <v>1G</v>
      </c>
      <c r="BE490" s="22" t="str">
        <f t="shared" si="343"/>
        <v>2G</v>
      </c>
      <c r="BF490" s="22" t="str">
        <f t="shared" si="344"/>
        <v>2G</v>
      </c>
      <c r="BG490" s="22" t="str">
        <f t="shared" si="345"/>
        <v>3G</v>
      </c>
      <c r="BH490" s="22" t="str">
        <f t="shared" si="346"/>
        <v>3G</v>
      </c>
      <c r="BI490" s="22">
        <f t="shared" si="371"/>
        <v>2</v>
      </c>
      <c r="BJ490" s="22">
        <f t="shared" si="372"/>
        <v>2</v>
      </c>
      <c r="BK490" s="22">
        <f t="shared" si="373"/>
        <v>2</v>
      </c>
      <c r="BL490" s="22" t="str">
        <f t="shared" si="374"/>
        <v>222</v>
      </c>
      <c r="BS490"/>
      <c r="CL490" s="23">
        <v>201</v>
      </c>
      <c r="CM490" s="23">
        <v>200</v>
      </c>
      <c r="CO490"/>
    </row>
    <row r="491" spans="2:93" ht="17" hidden="1">
      <c r="B491" s="15">
        <v>487</v>
      </c>
      <c r="C491" s="23" t="s">
        <v>582</v>
      </c>
      <c r="N491" s="23">
        <v>4</v>
      </c>
      <c r="O491" s="23">
        <v>8</v>
      </c>
      <c r="P491" s="23">
        <v>25</v>
      </c>
      <c r="Q491" s="23">
        <v>37</v>
      </c>
      <c r="R491" s="23">
        <v>41</v>
      </c>
      <c r="S491" s="23">
        <v>21</v>
      </c>
      <c r="T491" s="23">
        <v>44</v>
      </c>
      <c r="U491" s="23">
        <f t="shared" si="375"/>
        <v>180</v>
      </c>
      <c r="W491" s="22" t="str">
        <f t="shared" si="332"/>
        <v>짝수</v>
      </c>
      <c r="X491" s="22" t="str">
        <f t="shared" si="333"/>
        <v>짝수</v>
      </c>
      <c r="Y491" s="22" t="str">
        <f t="shared" si="334"/>
        <v>홀수</v>
      </c>
      <c r="Z491" s="22" t="str">
        <f t="shared" si="335"/>
        <v>홀수</v>
      </c>
      <c r="AA491" s="23" t="str">
        <f t="shared" si="336"/>
        <v>홀수</v>
      </c>
      <c r="AB491" s="23" t="str">
        <f t="shared" si="337"/>
        <v>홀수</v>
      </c>
      <c r="AC491" s="52" t="str">
        <f t="shared" si="338"/>
        <v>4 : 2</v>
      </c>
      <c r="AD491" s="22">
        <f t="shared" si="339"/>
        <v>4</v>
      </c>
      <c r="AE491" s="22">
        <f t="shared" si="340"/>
        <v>2</v>
      </c>
      <c r="AF491" s="22" t="str">
        <f t="shared" si="348"/>
        <v>저수</v>
      </c>
      <c r="AG491" s="22" t="str">
        <f t="shared" si="349"/>
        <v>저수</v>
      </c>
      <c r="AH491" s="22" t="str">
        <f t="shared" si="350"/>
        <v>고수</v>
      </c>
      <c r="AI491" s="22" t="str">
        <f t="shared" si="351"/>
        <v>고수</v>
      </c>
      <c r="AJ491" s="22" t="str">
        <f t="shared" si="352"/>
        <v>고수</v>
      </c>
      <c r="AK491" s="22" t="str">
        <f t="shared" si="353"/>
        <v>저수</v>
      </c>
      <c r="AL491" s="52" t="str">
        <f t="shared" si="354"/>
        <v>3 : 3</v>
      </c>
      <c r="AM491" s="22">
        <f t="shared" si="355"/>
        <v>3</v>
      </c>
      <c r="AN491" s="22">
        <f t="shared" si="356"/>
        <v>3</v>
      </c>
      <c r="AO491" s="22">
        <f t="shared" si="357"/>
        <v>26</v>
      </c>
      <c r="AP491" s="22" t="str">
        <f t="shared" si="358"/>
        <v>X</v>
      </c>
      <c r="AQ491" s="22" t="str">
        <f t="shared" si="359"/>
        <v>X</v>
      </c>
      <c r="AR491" s="22" t="str">
        <f t="shared" si="360"/>
        <v>X</v>
      </c>
      <c r="AS491" s="22" t="str">
        <f t="shared" si="361"/>
        <v>X</v>
      </c>
      <c r="AT491" s="22" t="str">
        <f t="shared" si="362"/>
        <v>X</v>
      </c>
      <c r="AU491" s="22" t="str">
        <f t="shared" si="363"/>
        <v>X</v>
      </c>
      <c r="AV491" s="22" t="str">
        <f t="shared" si="364"/>
        <v>X</v>
      </c>
      <c r="AW491" s="22" t="str">
        <f t="shared" si="365"/>
        <v>X</v>
      </c>
      <c r="AX491" s="22" t="str">
        <f t="shared" si="366"/>
        <v>X</v>
      </c>
      <c r="AY491" s="22" t="str">
        <f t="shared" si="367"/>
        <v>O</v>
      </c>
      <c r="AZ491" s="22" t="str">
        <f t="shared" si="368"/>
        <v>O</v>
      </c>
      <c r="BA491" s="22" t="str">
        <f t="shared" si="369"/>
        <v>X</v>
      </c>
      <c r="BB491" s="22">
        <f t="shared" si="370"/>
        <v>2</v>
      </c>
      <c r="BC491" s="22" t="str">
        <f t="shared" si="341"/>
        <v>1G</v>
      </c>
      <c r="BD491" s="22" t="str">
        <f t="shared" si="342"/>
        <v>1G</v>
      </c>
      <c r="BE491" s="22" t="str">
        <f t="shared" si="343"/>
        <v>2G</v>
      </c>
      <c r="BF491" s="22" t="str">
        <f t="shared" si="344"/>
        <v>3G</v>
      </c>
      <c r="BG491" s="22" t="str">
        <f t="shared" si="345"/>
        <v>3G</v>
      </c>
      <c r="BH491" s="22" t="str">
        <f t="shared" si="346"/>
        <v>2G</v>
      </c>
      <c r="BI491" s="22">
        <f t="shared" si="371"/>
        <v>2</v>
      </c>
      <c r="BJ491" s="22">
        <f t="shared" si="372"/>
        <v>2</v>
      </c>
      <c r="BK491" s="22">
        <f t="shared" si="373"/>
        <v>2</v>
      </c>
      <c r="BL491" s="22" t="str">
        <f t="shared" si="374"/>
        <v>222</v>
      </c>
      <c r="BS491"/>
      <c r="CL491" s="23">
        <v>201</v>
      </c>
      <c r="CM491" s="23">
        <v>200</v>
      </c>
      <c r="CO491"/>
    </row>
    <row r="492" spans="2:93" ht="17" hidden="1">
      <c r="B492" s="15">
        <v>488</v>
      </c>
      <c r="C492" s="23" t="s">
        <v>583</v>
      </c>
      <c r="N492" s="23">
        <v>2</v>
      </c>
      <c r="O492" s="23">
        <v>8</v>
      </c>
      <c r="P492" s="23">
        <v>17</v>
      </c>
      <c r="Q492" s="23">
        <v>30</v>
      </c>
      <c r="R492" s="23">
        <v>31</v>
      </c>
      <c r="S492" s="23">
        <v>38</v>
      </c>
      <c r="T492" s="23">
        <v>25</v>
      </c>
      <c r="U492" s="23">
        <f t="shared" si="375"/>
        <v>151</v>
      </c>
      <c r="W492" s="22" t="str">
        <f t="shared" si="332"/>
        <v>짝수</v>
      </c>
      <c r="X492" s="22" t="str">
        <f t="shared" si="333"/>
        <v>짝수</v>
      </c>
      <c r="Y492" s="22" t="str">
        <f t="shared" si="334"/>
        <v>홀수</v>
      </c>
      <c r="Z492" s="22" t="str">
        <f t="shared" si="335"/>
        <v>짝수</v>
      </c>
      <c r="AA492" s="23" t="str">
        <f t="shared" si="336"/>
        <v>홀수</v>
      </c>
      <c r="AB492" s="23" t="str">
        <f t="shared" si="337"/>
        <v>짝수</v>
      </c>
      <c r="AC492" s="52" t="str">
        <f t="shared" si="338"/>
        <v>2 : 4</v>
      </c>
      <c r="AD492" s="22">
        <f t="shared" si="339"/>
        <v>2</v>
      </c>
      <c r="AE492" s="22">
        <f t="shared" si="340"/>
        <v>4</v>
      </c>
      <c r="AF492" s="22" t="str">
        <f t="shared" si="348"/>
        <v>저수</v>
      </c>
      <c r="AG492" s="22" t="str">
        <f t="shared" si="349"/>
        <v>저수</v>
      </c>
      <c r="AH492" s="22" t="str">
        <f t="shared" si="350"/>
        <v>저수</v>
      </c>
      <c r="AI492" s="22" t="str">
        <f t="shared" si="351"/>
        <v>고수</v>
      </c>
      <c r="AJ492" s="22" t="str">
        <f t="shared" si="352"/>
        <v>고수</v>
      </c>
      <c r="AK492" s="22" t="str">
        <f t="shared" si="353"/>
        <v>고수</v>
      </c>
      <c r="AL492" s="52" t="str">
        <f t="shared" si="354"/>
        <v>3 : 3</v>
      </c>
      <c r="AM492" s="22">
        <f t="shared" si="355"/>
        <v>3</v>
      </c>
      <c r="AN492" s="22">
        <f t="shared" si="356"/>
        <v>3</v>
      </c>
      <c r="AO492" s="22">
        <f t="shared" si="357"/>
        <v>26</v>
      </c>
      <c r="AP492" s="22" t="str">
        <f t="shared" si="358"/>
        <v>O</v>
      </c>
      <c r="AQ492" s="22" t="str">
        <f t="shared" si="359"/>
        <v>X</v>
      </c>
      <c r="AR492" s="22" t="str">
        <f t="shared" si="360"/>
        <v>O</v>
      </c>
      <c r="AS492" s="22" t="str">
        <f t="shared" si="361"/>
        <v>X</v>
      </c>
      <c r="AT492" s="22" t="str">
        <f t="shared" si="362"/>
        <v>X</v>
      </c>
      <c r="AU492" s="22" t="str">
        <f t="shared" si="363"/>
        <v>X</v>
      </c>
      <c r="AV492" s="22" t="str">
        <f t="shared" si="364"/>
        <v>X</v>
      </c>
      <c r="AW492" s="22" t="str">
        <f t="shared" si="365"/>
        <v>X</v>
      </c>
      <c r="AX492" s="22" t="str">
        <f t="shared" si="366"/>
        <v>X</v>
      </c>
      <c r="AY492" s="22" t="str">
        <f t="shared" si="367"/>
        <v>X</v>
      </c>
      <c r="AZ492" s="22" t="str">
        <f t="shared" si="368"/>
        <v>O</v>
      </c>
      <c r="BA492" s="22" t="str">
        <f t="shared" si="369"/>
        <v>X</v>
      </c>
      <c r="BB492" s="22">
        <f t="shared" si="370"/>
        <v>3</v>
      </c>
      <c r="BC492" s="22" t="str">
        <f t="shared" si="341"/>
        <v>1G</v>
      </c>
      <c r="BD492" s="22" t="str">
        <f t="shared" si="342"/>
        <v>1G</v>
      </c>
      <c r="BE492" s="22" t="str">
        <f t="shared" si="343"/>
        <v>2G</v>
      </c>
      <c r="BF492" s="22" t="str">
        <f t="shared" si="344"/>
        <v>2G</v>
      </c>
      <c r="BG492" s="22" t="str">
        <f t="shared" si="345"/>
        <v>3G</v>
      </c>
      <c r="BH492" s="22" t="str">
        <f t="shared" si="346"/>
        <v>3G</v>
      </c>
      <c r="BI492" s="22">
        <f t="shared" si="371"/>
        <v>2</v>
      </c>
      <c r="BJ492" s="22">
        <f t="shared" si="372"/>
        <v>2</v>
      </c>
      <c r="BK492" s="22">
        <f t="shared" si="373"/>
        <v>2</v>
      </c>
      <c r="BL492" s="22" t="str">
        <f t="shared" si="374"/>
        <v>222</v>
      </c>
      <c r="BS492"/>
      <c r="CL492" s="23">
        <v>202</v>
      </c>
      <c r="CM492" s="23">
        <v>200</v>
      </c>
      <c r="CO492"/>
    </row>
    <row r="493" spans="2:93" ht="17" hidden="1">
      <c r="B493" s="15">
        <v>489</v>
      </c>
      <c r="C493" s="23" t="s">
        <v>585</v>
      </c>
      <c r="N493" s="23">
        <v>2</v>
      </c>
      <c r="O493" s="23">
        <v>4</v>
      </c>
      <c r="P493" s="23">
        <v>8</v>
      </c>
      <c r="Q493" s="23">
        <v>15</v>
      </c>
      <c r="R493" s="23">
        <v>20</v>
      </c>
      <c r="S493" s="23">
        <v>27</v>
      </c>
      <c r="T493" s="23">
        <v>11</v>
      </c>
      <c r="U493" s="23">
        <f t="shared" si="375"/>
        <v>87</v>
      </c>
      <c r="W493" s="22" t="str">
        <f t="shared" si="332"/>
        <v>짝수</v>
      </c>
      <c r="X493" s="22" t="str">
        <f t="shared" si="333"/>
        <v>짝수</v>
      </c>
      <c r="Y493" s="22" t="str">
        <f t="shared" si="334"/>
        <v>짝수</v>
      </c>
      <c r="Z493" s="22" t="str">
        <f t="shared" si="335"/>
        <v>홀수</v>
      </c>
      <c r="AA493" s="23" t="str">
        <f t="shared" si="336"/>
        <v>짝수</v>
      </c>
      <c r="AB493" s="23" t="str">
        <f t="shared" si="337"/>
        <v>홀수</v>
      </c>
      <c r="AC493" s="22" t="str">
        <f t="shared" si="338"/>
        <v>2 : 4</v>
      </c>
      <c r="AD493" s="22">
        <f t="shared" si="339"/>
        <v>2</v>
      </c>
      <c r="AE493" s="22">
        <f t="shared" si="340"/>
        <v>4</v>
      </c>
      <c r="AF493" s="22" t="str">
        <f t="shared" si="348"/>
        <v>저수</v>
      </c>
      <c r="AG493" s="22" t="str">
        <f t="shared" si="349"/>
        <v>저수</v>
      </c>
      <c r="AH493" s="22" t="str">
        <f t="shared" si="350"/>
        <v>저수</v>
      </c>
      <c r="AI493" s="22" t="str">
        <f t="shared" si="351"/>
        <v>저수</v>
      </c>
      <c r="AJ493" s="22" t="str">
        <f t="shared" si="352"/>
        <v>저수</v>
      </c>
      <c r="AK493" s="22" t="str">
        <f t="shared" si="353"/>
        <v>고수</v>
      </c>
      <c r="AL493" s="52" t="str">
        <f t="shared" si="354"/>
        <v>5 : 1</v>
      </c>
      <c r="AM493" s="22">
        <f t="shared" si="355"/>
        <v>5</v>
      </c>
      <c r="AN493" s="22">
        <f t="shared" si="356"/>
        <v>1</v>
      </c>
      <c r="AO493" s="22">
        <f t="shared" si="357"/>
        <v>26</v>
      </c>
      <c r="AP493" s="22" t="str">
        <f t="shared" si="358"/>
        <v>O</v>
      </c>
      <c r="AQ493" s="22" t="str">
        <f t="shared" si="359"/>
        <v>X</v>
      </c>
      <c r="AR493" s="22" t="str">
        <f t="shared" si="360"/>
        <v>X</v>
      </c>
      <c r="AS493" s="22" t="str">
        <f t="shared" si="361"/>
        <v>X</v>
      </c>
      <c r="AT493" s="22" t="str">
        <f t="shared" si="362"/>
        <v>X</v>
      </c>
      <c r="AU493" s="22" t="str">
        <f t="shared" si="363"/>
        <v>X</v>
      </c>
      <c r="AV493" s="22" t="str">
        <f t="shared" si="364"/>
        <v>X</v>
      </c>
      <c r="AW493" s="22" t="str">
        <f t="shared" si="365"/>
        <v>X</v>
      </c>
      <c r="AX493" s="22" t="str">
        <f t="shared" si="366"/>
        <v>X</v>
      </c>
      <c r="AY493" s="22" t="str">
        <f t="shared" si="367"/>
        <v>X</v>
      </c>
      <c r="AZ493" s="22" t="str">
        <f t="shared" si="368"/>
        <v>X</v>
      </c>
      <c r="BA493" s="22" t="str">
        <f t="shared" si="369"/>
        <v>X</v>
      </c>
      <c r="BB493" s="22">
        <f t="shared" si="370"/>
        <v>1</v>
      </c>
      <c r="BC493" s="22" t="str">
        <f t="shared" si="341"/>
        <v>1G</v>
      </c>
      <c r="BD493" s="22" t="str">
        <f t="shared" si="342"/>
        <v>1G</v>
      </c>
      <c r="BE493" s="22" t="str">
        <f t="shared" si="343"/>
        <v>1G</v>
      </c>
      <c r="BF493" s="22" t="str">
        <f t="shared" si="344"/>
        <v>1G</v>
      </c>
      <c r="BG493" s="22" t="str">
        <f t="shared" si="345"/>
        <v>2G</v>
      </c>
      <c r="BH493" s="22" t="str">
        <f t="shared" si="346"/>
        <v>2G</v>
      </c>
      <c r="BI493" s="22">
        <f t="shared" si="371"/>
        <v>4</v>
      </c>
      <c r="BJ493" s="22">
        <f t="shared" si="372"/>
        <v>2</v>
      </c>
      <c r="BK493" s="22">
        <f t="shared" si="373"/>
        <v>0</v>
      </c>
      <c r="BL493" s="22" t="str">
        <f t="shared" si="374"/>
        <v>420</v>
      </c>
      <c r="BS493"/>
      <c r="CL493" s="23">
        <v>203</v>
      </c>
      <c r="CM493" s="23">
        <v>200</v>
      </c>
      <c r="CO493"/>
    </row>
    <row r="494" spans="2:93" ht="17" hidden="1">
      <c r="B494" s="15">
        <v>490</v>
      </c>
      <c r="C494" s="23" t="s">
        <v>664</v>
      </c>
      <c r="N494" s="23">
        <v>2</v>
      </c>
      <c r="O494" s="23">
        <v>7</v>
      </c>
      <c r="P494" s="23">
        <v>26</v>
      </c>
      <c r="Q494" s="23">
        <v>29</v>
      </c>
      <c r="R494" s="23">
        <v>40</v>
      </c>
      <c r="S494" s="23">
        <v>43</v>
      </c>
      <c r="T494" s="23">
        <v>42</v>
      </c>
      <c r="U494" s="23">
        <f t="shared" si="375"/>
        <v>189</v>
      </c>
      <c r="W494" s="22" t="str">
        <f t="shared" si="332"/>
        <v>짝수</v>
      </c>
      <c r="X494" s="22" t="str">
        <f t="shared" si="333"/>
        <v>홀수</v>
      </c>
      <c r="Y494" s="22" t="str">
        <f t="shared" si="334"/>
        <v>짝수</v>
      </c>
      <c r="Z494" s="22" t="str">
        <f t="shared" si="335"/>
        <v>홀수</v>
      </c>
      <c r="AA494" s="23" t="str">
        <f t="shared" si="336"/>
        <v>짝수</v>
      </c>
      <c r="AB494" s="23" t="str">
        <f t="shared" si="337"/>
        <v>홀수</v>
      </c>
      <c r="AC494" s="22" t="str">
        <f t="shared" si="338"/>
        <v>3 : 3</v>
      </c>
      <c r="AD494" s="22">
        <f t="shared" si="339"/>
        <v>3</v>
      </c>
      <c r="AE494" s="22">
        <f t="shared" si="340"/>
        <v>3</v>
      </c>
      <c r="AF494" s="22" t="str">
        <f t="shared" si="348"/>
        <v>저수</v>
      </c>
      <c r="AG494" s="22" t="str">
        <f t="shared" si="349"/>
        <v>저수</v>
      </c>
      <c r="AH494" s="22" t="str">
        <f t="shared" si="350"/>
        <v>고수</v>
      </c>
      <c r="AI494" s="22" t="str">
        <f t="shared" si="351"/>
        <v>고수</v>
      </c>
      <c r="AJ494" s="22" t="str">
        <f t="shared" si="352"/>
        <v>고수</v>
      </c>
      <c r="AK494" s="22" t="str">
        <f t="shared" si="353"/>
        <v>고수</v>
      </c>
      <c r="AL494" s="22" t="str">
        <f t="shared" si="354"/>
        <v>2 : 4</v>
      </c>
      <c r="AM494" s="22">
        <f t="shared" si="355"/>
        <v>2</v>
      </c>
      <c r="AN494" s="22">
        <f t="shared" si="356"/>
        <v>4</v>
      </c>
      <c r="AO494" s="22">
        <f t="shared" si="357"/>
        <v>27</v>
      </c>
      <c r="AP494" s="22" t="str">
        <f t="shared" si="358"/>
        <v>O</v>
      </c>
      <c r="AQ494" s="22" t="str">
        <f t="shared" si="359"/>
        <v>O</v>
      </c>
      <c r="AR494" s="22" t="str">
        <f t="shared" si="360"/>
        <v>X</v>
      </c>
      <c r="AS494" s="22" t="str">
        <f t="shared" si="361"/>
        <v>X</v>
      </c>
      <c r="AT494" s="22" t="str">
        <f t="shared" si="362"/>
        <v>X</v>
      </c>
      <c r="AU494" s="22" t="str">
        <f t="shared" si="363"/>
        <v>X</v>
      </c>
      <c r="AV494" s="22" t="str">
        <f t="shared" si="364"/>
        <v>X</v>
      </c>
      <c r="AW494" s="22" t="str">
        <f t="shared" si="365"/>
        <v>X</v>
      </c>
      <c r="AX494" s="22" t="str">
        <f t="shared" si="366"/>
        <v>X</v>
      </c>
      <c r="AY494" s="22" t="str">
        <f t="shared" si="367"/>
        <v>O</v>
      </c>
      <c r="AZ494" s="22" t="str">
        <f t="shared" si="368"/>
        <v>X</v>
      </c>
      <c r="BA494" s="22" t="str">
        <f t="shared" si="369"/>
        <v>O</v>
      </c>
      <c r="BB494" s="22">
        <f t="shared" si="370"/>
        <v>4</v>
      </c>
      <c r="BC494" s="22" t="str">
        <f t="shared" si="341"/>
        <v>1G</v>
      </c>
      <c r="BD494" s="22" t="str">
        <f t="shared" si="342"/>
        <v>1G</v>
      </c>
      <c r="BE494" s="22" t="str">
        <f t="shared" si="343"/>
        <v>2G</v>
      </c>
      <c r="BF494" s="22" t="str">
        <f t="shared" si="344"/>
        <v>2G</v>
      </c>
      <c r="BG494" s="22" t="str">
        <f t="shared" si="345"/>
        <v>3G</v>
      </c>
      <c r="BH494" s="22" t="str">
        <f t="shared" si="346"/>
        <v>3G</v>
      </c>
      <c r="BI494" s="22">
        <f t="shared" si="371"/>
        <v>2</v>
      </c>
      <c r="BJ494" s="22">
        <f t="shared" si="372"/>
        <v>2</v>
      </c>
      <c r="BK494" s="22">
        <f t="shared" si="373"/>
        <v>2</v>
      </c>
      <c r="BL494" s="22" t="str">
        <f t="shared" si="374"/>
        <v>222</v>
      </c>
      <c r="BS494"/>
      <c r="CL494" s="23">
        <v>208</v>
      </c>
      <c r="CM494" s="23">
        <v>200</v>
      </c>
      <c r="CO494"/>
    </row>
    <row r="495" spans="2:93" ht="17" hidden="1">
      <c r="B495" s="15">
        <v>491</v>
      </c>
      <c r="C495" s="23" t="s">
        <v>672</v>
      </c>
      <c r="N495" s="23">
        <v>8</v>
      </c>
      <c r="O495" s="23">
        <v>17</v>
      </c>
      <c r="P495" s="23">
        <v>35</v>
      </c>
      <c r="Q495" s="23">
        <v>36</v>
      </c>
      <c r="R495" s="23">
        <v>39</v>
      </c>
      <c r="S495" s="23">
        <v>42</v>
      </c>
      <c r="T495" s="23">
        <v>4</v>
      </c>
      <c r="U495" s="23">
        <f t="shared" si="375"/>
        <v>181</v>
      </c>
      <c r="W495" s="22" t="str">
        <f t="shared" si="332"/>
        <v>짝수</v>
      </c>
      <c r="X495" s="22" t="str">
        <f t="shared" si="333"/>
        <v>홀수</v>
      </c>
      <c r="Y495" s="22" t="str">
        <f t="shared" si="334"/>
        <v>홀수</v>
      </c>
      <c r="Z495" s="22" t="str">
        <f t="shared" si="335"/>
        <v>짝수</v>
      </c>
      <c r="AA495" s="23" t="str">
        <f t="shared" si="336"/>
        <v>홀수</v>
      </c>
      <c r="AB495" s="23" t="str">
        <f t="shared" si="337"/>
        <v>짝수</v>
      </c>
      <c r="AC495" s="22" t="str">
        <f t="shared" si="338"/>
        <v>3 : 3</v>
      </c>
      <c r="AD495" s="22">
        <f t="shared" si="339"/>
        <v>3</v>
      </c>
      <c r="AE495" s="22">
        <f t="shared" si="340"/>
        <v>3</v>
      </c>
      <c r="AF495" s="22" t="str">
        <f t="shared" si="348"/>
        <v>저수</v>
      </c>
      <c r="AG495" s="22" t="str">
        <f t="shared" si="349"/>
        <v>저수</v>
      </c>
      <c r="AH495" s="22" t="str">
        <f t="shared" si="350"/>
        <v>고수</v>
      </c>
      <c r="AI495" s="22" t="str">
        <f t="shared" si="351"/>
        <v>고수</v>
      </c>
      <c r="AJ495" s="22" t="str">
        <f t="shared" si="352"/>
        <v>고수</v>
      </c>
      <c r="AK495" s="22" t="str">
        <f t="shared" si="353"/>
        <v>고수</v>
      </c>
      <c r="AL495" s="22" t="str">
        <f t="shared" si="354"/>
        <v>2 : 4</v>
      </c>
      <c r="AM495" s="22">
        <f t="shared" si="355"/>
        <v>2</v>
      </c>
      <c r="AN495" s="22">
        <f t="shared" si="356"/>
        <v>4</v>
      </c>
      <c r="AO495" s="22">
        <f t="shared" si="357"/>
        <v>37</v>
      </c>
      <c r="AP495" s="22" t="str">
        <f t="shared" si="358"/>
        <v>X</v>
      </c>
      <c r="AQ495" s="22" t="str">
        <f t="shared" si="359"/>
        <v>O</v>
      </c>
      <c r="AR495" s="22" t="str">
        <f t="shared" si="360"/>
        <v>X</v>
      </c>
      <c r="AS495" s="22" t="str">
        <f t="shared" si="361"/>
        <v>X</v>
      </c>
      <c r="AT495" s="22" t="str">
        <f t="shared" si="362"/>
        <v>X</v>
      </c>
      <c r="AU495" s="22" t="str">
        <f t="shared" si="363"/>
        <v>X</v>
      </c>
      <c r="AV495" s="22" t="str">
        <f t="shared" si="364"/>
        <v>X</v>
      </c>
      <c r="AW495" s="22" t="str">
        <f t="shared" si="365"/>
        <v>X</v>
      </c>
      <c r="AX495" s="22" t="str">
        <f t="shared" si="366"/>
        <v>X</v>
      </c>
      <c r="AY495" s="22" t="str">
        <f t="shared" si="367"/>
        <v>X</v>
      </c>
      <c r="AZ495" s="22" t="str">
        <f t="shared" si="368"/>
        <v>X</v>
      </c>
      <c r="BA495" s="22" t="str">
        <f t="shared" si="369"/>
        <v>X</v>
      </c>
      <c r="BB495" s="22">
        <f t="shared" si="370"/>
        <v>1</v>
      </c>
      <c r="BC495" s="22" t="str">
        <f t="shared" si="341"/>
        <v>1G</v>
      </c>
      <c r="BD495" s="22" t="str">
        <f t="shared" si="342"/>
        <v>2G</v>
      </c>
      <c r="BE495" s="22" t="str">
        <f t="shared" si="343"/>
        <v>3G</v>
      </c>
      <c r="BF495" s="22" t="str">
        <f t="shared" si="344"/>
        <v>3G</v>
      </c>
      <c r="BG495" s="22" t="str">
        <f t="shared" si="345"/>
        <v>3G</v>
      </c>
      <c r="BH495" s="22" t="str">
        <f t="shared" si="346"/>
        <v>3G</v>
      </c>
      <c r="BI495" s="22">
        <f t="shared" si="371"/>
        <v>1</v>
      </c>
      <c r="BJ495" s="22">
        <f t="shared" si="372"/>
        <v>1</v>
      </c>
      <c r="BK495" s="22">
        <f t="shared" si="373"/>
        <v>4</v>
      </c>
      <c r="BL495" s="22" t="str">
        <f t="shared" si="374"/>
        <v>114</v>
      </c>
      <c r="BS495"/>
      <c r="CL495" s="23">
        <v>209</v>
      </c>
      <c r="CM495" s="23">
        <v>200</v>
      </c>
      <c r="CO495"/>
    </row>
    <row r="496" spans="2:93" ht="17" hidden="1">
      <c r="B496" s="15">
        <v>492</v>
      </c>
      <c r="C496" s="23" t="s">
        <v>676</v>
      </c>
      <c r="N496" s="23">
        <v>22</v>
      </c>
      <c r="O496" s="23">
        <v>27</v>
      </c>
      <c r="P496" s="23">
        <v>31</v>
      </c>
      <c r="Q496" s="23">
        <v>35</v>
      </c>
      <c r="R496" s="23">
        <v>37</v>
      </c>
      <c r="S496" s="23">
        <v>40</v>
      </c>
      <c r="T496" s="23">
        <v>42</v>
      </c>
      <c r="U496" s="23">
        <f t="shared" si="375"/>
        <v>234</v>
      </c>
      <c r="W496" s="22" t="str">
        <f t="shared" si="332"/>
        <v>짝수</v>
      </c>
      <c r="X496" s="22" t="str">
        <f t="shared" si="333"/>
        <v>홀수</v>
      </c>
      <c r="Y496" s="22" t="str">
        <f t="shared" si="334"/>
        <v>홀수</v>
      </c>
      <c r="Z496" s="22" t="str">
        <f t="shared" si="335"/>
        <v>홀수</v>
      </c>
      <c r="AA496" s="23" t="str">
        <f t="shared" si="336"/>
        <v>홀수</v>
      </c>
      <c r="AB496" s="23" t="str">
        <f t="shared" si="337"/>
        <v>짝수</v>
      </c>
      <c r="AC496" s="22" t="str">
        <f t="shared" si="338"/>
        <v>4 : 2</v>
      </c>
      <c r="AD496" s="22">
        <f t="shared" si="339"/>
        <v>4</v>
      </c>
      <c r="AE496" s="22">
        <f t="shared" si="340"/>
        <v>2</v>
      </c>
      <c r="AF496" s="22" t="str">
        <f t="shared" si="348"/>
        <v>저수</v>
      </c>
      <c r="AG496" s="22" t="str">
        <f t="shared" si="349"/>
        <v>고수</v>
      </c>
      <c r="AH496" s="22" t="str">
        <f t="shared" si="350"/>
        <v>고수</v>
      </c>
      <c r="AI496" s="22" t="str">
        <f t="shared" si="351"/>
        <v>고수</v>
      </c>
      <c r="AJ496" s="22" t="str">
        <f t="shared" si="352"/>
        <v>고수</v>
      </c>
      <c r="AK496" s="22" t="str">
        <f t="shared" si="353"/>
        <v>고수</v>
      </c>
      <c r="AL496" s="22" t="str">
        <f t="shared" si="354"/>
        <v>1 : 5</v>
      </c>
      <c r="AM496" s="22">
        <f t="shared" si="355"/>
        <v>1</v>
      </c>
      <c r="AN496" s="22">
        <f t="shared" si="356"/>
        <v>5</v>
      </c>
      <c r="AO496" s="22">
        <f t="shared" si="357"/>
        <v>22</v>
      </c>
      <c r="AP496" s="22" t="str">
        <f t="shared" si="358"/>
        <v>X</v>
      </c>
      <c r="AQ496" s="22" t="str">
        <f t="shared" si="359"/>
        <v>X</v>
      </c>
      <c r="AR496" s="22" t="str">
        <f t="shared" si="360"/>
        <v>X</v>
      </c>
      <c r="AS496" s="22" t="str">
        <f t="shared" si="361"/>
        <v>X</v>
      </c>
      <c r="AT496" s="22" t="str">
        <f t="shared" si="362"/>
        <v>X</v>
      </c>
      <c r="AU496" s="22" t="str">
        <f t="shared" si="363"/>
        <v>X</v>
      </c>
      <c r="AV496" s="22" t="str">
        <f t="shared" si="364"/>
        <v>X</v>
      </c>
      <c r="AW496" s="22" t="str">
        <f t="shared" si="365"/>
        <v>X</v>
      </c>
      <c r="AX496" s="22" t="str">
        <f t="shared" si="366"/>
        <v>O</v>
      </c>
      <c r="AY496" s="22" t="str">
        <f t="shared" si="367"/>
        <v>X</v>
      </c>
      <c r="AZ496" s="22" t="str">
        <f t="shared" si="368"/>
        <v>O</v>
      </c>
      <c r="BA496" s="22" t="str">
        <f t="shared" si="369"/>
        <v>X</v>
      </c>
      <c r="BB496" s="22">
        <f t="shared" si="370"/>
        <v>2</v>
      </c>
      <c r="BC496" s="22" t="str">
        <f t="shared" si="341"/>
        <v>2G</v>
      </c>
      <c r="BD496" s="22" t="str">
        <f t="shared" si="342"/>
        <v>2G</v>
      </c>
      <c r="BE496" s="22" t="str">
        <f t="shared" si="343"/>
        <v>3G</v>
      </c>
      <c r="BF496" s="22" t="str">
        <f t="shared" si="344"/>
        <v>3G</v>
      </c>
      <c r="BG496" s="22" t="str">
        <f t="shared" si="345"/>
        <v>3G</v>
      </c>
      <c r="BH496" s="22" t="str">
        <f t="shared" si="346"/>
        <v>3G</v>
      </c>
      <c r="BI496" s="22">
        <f t="shared" si="371"/>
        <v>0</v>
      </c>
      <c r="BJ496" s="22">
        <f t="shared" si="372"/>
        <v>2</v>
      </c>
      <c r="BK496" s="22">
        <f t="shared" si="373"/>
        <v>4</v>
      </c>
      <c r="BL496" s="22" t="str">
        <f t="shared" si="374"/>
        <v>024</v>
      </c>
      <c r="BS496"/>
      <c r="CL496" s="23">
        <v>211</v>
      </c>
      <c r="CM496" s="23">
        <v>210</v>
      </c>
      <c r="CO496"/>
    </row>
    <row r="497" spans="1:93" ht="17" hidden="1">
      <c r="B497" s="15">
        <v>493</v>
      </c>
      <c r="C497" s="23" t="s">
        <v>702</v>
      </c>
      <c r="N497" s="23">
        <v>20</v>
      </c>
      <c r="O497" s="23">
        <v>22</v>
      </c>
      <c r="P497" s="23">
        <v>26</v>
      </c>
      <c r="Q497" s="23">
        <v>33</v>
      </c>
      <c r="R497" s="23">
        <v>36</v>
      </c>
      <c r="S497" s="23">
        <v>37</v>
      </c>
      <c r="T497" s="23">
        <v>25</v>
      </c>
      <c r="U497" s="23">
        <f t="shared" si="375"/>
        <v>199</v>
      </c>
      <c r="W497" s="22" t="str">
        <f t="shared" si="332"/>
        <v>짝수</v>
      </c>
      <c r="X497" s="22" t="str">
        <f t="shared" si="333"/>
        <v>짝수</v>
      </c>
      <c r="Y497" s="22" t="str">
        <f t="shared" si="334"/>
        <v>짝수</v>
      </c>
      <c r="Z497" s="22" t="str">
        <f t="shared" si="335"/>
        <v>홀수</v>
      </c>
      <c r="AA497" s="23" t="str">
        <f t="shared" si="336"/>
        <v>짝수</v>
      </c>
      <c r="AB497" s="23" t="str">
        <f t="shared" si="337"/>
        <v>홀수</v>
      </c>
      <c r="AC497" s="22" t="str">
        <f t="shared" si="338"/>
        <v>2 : 4</v>
      </c>
      <c r="AD497" s="22">
        <f t="shared" si="339"/>
        <v>2</v>
      </c>
      <c r="AE497" s="22">
        <f t="shared" si="340"/>
        <v>4</v>
      </c>
      <c r="AF497" s="22" t="str">
        <f t="shared" si="348"/>
        <v>저수</v>
      </c>
      <c r="AG497" s="22" t="str">
        <f t="shared" si="349"/>
        <v>저수</v>
      </c>
      <c r="AH497" s="22" t="str">
        <f t="shared" si="350"/>
        <v>고수</v>
      </c>
      <c r="AI497" s="22" t="str">
        <f t="shared" si="351"/>
        <v>고수</v>
      </c>
      <c r="AJ497" s="22" t="str">
        <f t="shared" si="352"/>
        <v>고수</v>
      </c>
      <c r="AK497" s="22" t="str">
        <f t="shared" si="353"/>
        <v>고수</v>
      </c>
      <c r="AL497" s="22" t="str">
        <f t="shared" si="354"/>
        <v>2 : 4</v>
      </c>
      <c r="AM497" s="22">
        <f t="shared" si="355"/>
        <v>2</v>
      </c>
      <c r="AN497" s="22">
        <f t="shared" si="356"/>
        <v>4</v>
      </c>
      <c r="AO497" s="22">
        <f t="shared" si="357"/>
        <v>24</v>
      </c>
      <c r="AP497" s="22" t="str">
        <f t="shared" si="358"/>
        <v>X</v>
      </c>
      <c r="AQ497" s="22" t="str">
        <f t="shared" si="359"/>
        <v>X</v>
      </c>
      <c r="AR497" s="22" t="str">
        <f t="shared" si="360"/>
        <v>X</v>
      </c>
      <c r="AS497" s="22" t="str">
        <f t="shared" si="361"/>
        <v>X</v>
      </c>
      <c r="AT497" s="22" t="str">
        <f t="shared" si="362"/>
        <v>X</v>
      </c>
      <c r="AU497" s="22" t="str">
        <f t="shared" si="363"/>
        <v>X</v>
      </c>
      <c r="AV497" s="22" t="str">
        <f t="shared" si="364"/>
        <v>X</v>
      </c>
      <c r="AW497" s="22" t="str">
        <f t="shared" si="365"/>
        <v>X</v>
      </c>
      <c r="AX497" s="22" t="str">
        <f t="shared" si="366"/>
        <v>X</v>
      </c>
      <c r="AY497" s="22" t="str">
        <f t="shared" si="367"/>
        <v>X</v>
      </c>
      <c r="AZ497" s="22" t="str">
        <f t="shared" si="368"/>
        <v>X</v>
      </c>
      <c r="BA497" s="22" t="str">
        <f t="shared" si="369"/>
        <v>O</v>
      </c>
      <c r="BB497" s="22">
        <f t="shared" si="370"/>
        <v>1</v>
      </c>
      <c r="BC497" s="22" t="str">
        <f t="shared" si="341"/>
        <v>2G</v>
      </c>
      <c r="BD497" s="22" t="str">
        <f t="shared" si="342"/>
        <v>2G</v>
      </c>
      <c r="BE497" s="22" t="str">
        <f t="shared" si="343"/>
        <v>2G</v>
      </c>
      <c r="BF497" s="22" t="str">
        <f t="shared" si="344"/>
        <v>3G</v>
      </c>
      <c r="BG497" s="22" t="str">
        <f t="shared" si="345"/>
        <v>3G</v>
      </c>
      <c r="BH497" s="22" t="str">
        <f t="shared" si="346"/>
        <v>3G</v>
      </c>
      <c r="BI497" s="22">
        <f t="shared" si="371"/>
        <v>0</v>
      </c>
      <c r="BJ497" s="22">
        <f t="shared" si="372"/>
        <v>3</v>
      </c>
      <c r="BK497" s="22">
        <f t="shared" si="373"/>
        <v>3</v>
      </c>
      <c r="BL497" s="22" t="str">
        <f t="shared" si="374"/>
        <v>033</v>
      </c>
      <c r="BS497"/>
      <c r="CL497" s="23">
        <v>219</v>
      </c>
      <c r="CM497" s="23">
        <v>210</v>
      </c>
      <c r="CO497"/>
    </row>
    <row r="498" spans="1:93" ht="17" hidden="1">
      <c r="B498" s="15">
        <v>494</v>
      </c>
      <c r="C498" s="23" t="s">
        <v>703</v>
      </c>
      <c r="N498" s="23">
        <v>5</v>
      </c>
      <c r="O498" s="23">
        <v>7</v>
      </c>
      <c r="P498" s="23">
        <v>8</v>
      </c>
      <c r="Q498" s="23">
        <v>15</v>
      </c>
      <c r="R498" s="23">
        <v>30</v>
      </c>
      <c r="S498" s="23">
        <v>43</v>
      </c>
      <c r="T498" s="23">
        <v>22</v>
      </c>
      <c r="U498" s="23">
        <f t="shared" si="375"/>
        <v>130</v>
      </c>
      <c r="W498" s="22" t="str">
        <f t="shared" si="332"/>
        <v>홀수</v>
      </c>
      <c r="X498" s="22" t="str">
        <f t="shared" si="333"/>
        <v>홀수</v>
      </c>
      <c r="Y498" s="22" t="str">
        <f t="shared" si="334"/>
        <v>짝수</v>
      </c>
      <c r="Z498" s="22" t="str">
        <f t="shared" si="335"/>
        <v>홀수</v>
      </c>
      <c r="AA498" s="23" t="str">
        <f t="shared" si="336"/>
        <v>짝수</v>
      </c>
      <c r="AB498" s="23" t="str">
        <f t="shared" si="337"/>
        <v>홀수</v>
      </c>
      <c r="AC498" s="22" t="str">
        <f t="shared" si="338"/>
        <v>4 : 2</v>
      </c>
      <c r="AD498" s="22">
        <f t="shared" si="339"/>
        <v>4</v>
      </c>
      <c r="AE498" s="22">
        <f t="shared" si="340"/>
        <v>2</v>
      </c>
      <c r="AF498" s="22" t="str">
        <f t="shared" si="348"/>
        <v>저수</v>
      </c>
      <c r="AG498" s="22" t="str">
        <f t="shared" si="349"/>
        <v>저수</v>
      </c>
      <c r="AH498" s="22" t="str">
        <f t="shared" si="350"/>
        <v>저수</v>
      </c>
      <c r="AI498" s="22" t="str">
        <f t="shared" si="351"/>
        <v>저수</v>
      </c>
      <c r="AJ498" s="22" t="str">
        <f t="shared" si="352"/>
        <v>고수</v>
      </c>
      <c r="AK498" s="22" t="str">
        <f t="shared" si="353"/>
        <v>고수</v>
      </c>
      <c r="AL498" s="22" t="str">
        <f t="shared" si="354"/>
        <v>4 : 2</v>
      </c>
      <c r="AM498" s="22">
        <f t="shared" si="355"/>
        <v>4</v>
      </c>
      <c r="AN498" s="22">
        <f t="shared" si="356"/>
        <v>2</v>
      </c>
      <c r="AO498" s="22">
        <f t="shared" si="357"/>
        <v>28</v>
      </c>
      <c r="AP498" s="22" t="str">
        <f t="shared" si="358"/>
        <v>O</v>
      </c>
      <c r="AQ498" s="22" t="str">
        <f t="shared" si="359"/>
        <v>O</v>
      </c>
      <c r="AR498" s="22" t="str">
        <f t="shared" si="360"/>
        <v>X</v>
      </c>
      <c r="AS498" s="22" t="str">
        <f t="shared" si="361"/>
        <v>X</v>
      </c>
      <c r="AT498" s="22" t="str">
        <f t="shared" si="362"/>
        <v>X</v>
      </c>
      <c r="AU498" s="22" t="str">
        <f t="shared" si="363"/>
        <v>X</v>
      </c>
      <c r="AV498" s="22" t="str">
        <f t="shared" si="364"/>
        <v>X</v>
      </c>
      <c r="AW498" s="22" t="str">
        <f t="shared" si="365"/>
        <v>X</v>
      </c>
      <c r="AX498" s="22" t="str">
        <f t="shared" si="366"/>
        <v>X</v>
      </c>
      <c r="AY498" s="22" t="str">
        <f t="shared" si="367"/>
        <v>X</v>
      </c>
      <c r="AZ498" s="22" t="str">
        <f t="shared" si="368"/>
        <v>X</v>
      </c>
      <c r="BA498" s="22" t="str">
        <f t="shared" si="369"/>
        <v>O</v>
      </c>
      <c r="BB498" s="22">
        <f t="shared" si="370"/>
        <v>3</v>
      </c>
      <c r="BC498" s="22" t="str">
        <f t="shared" si="341"/>
        <v>1G</v>
      </c>
      <c r="BD498" s="22" t="str">
        <f t="shared" si="342"/>
        <v>1G</v>
      </c>
      <c r="BE498" s="22" t="str">
        <f t="shared" si="343"/>
        <v>1G</v>
      </c>
      <c r="BF498" s="22" t="str">
        <f t="shared" si="344"/>
        <v>1G</v>
      </c>
      <c r="BG498" s="22" t="str">
        <f t="shared" si="345"/>
        <v>2G</v>
      </c>
      <c r="BH498" s="22" t="str">
        <f t="shared" si="346"/>
        <v>3G</v>
      </c>
      <c r="BI498" s="22">
        <f t="shared" si="371"/>
        <v>4</v>
      </c>
      <c r="BJ498" s="22">
        <f t="shared" si="372"/>
        <v>1</v>
      </c>
      <c r="BK498" s="22">
        <f t="shared" si="373"/>
        <v>1</v>
      </c>
      <c r="BL498" s="22" t="str">
        <f t="shared" si="374"/>
        <v>411</v>
      </c>
      <c r="BS498"/>
      <c r="CL498" s="23">
        <v>234</v>
      </c>
      <c r="CM498" s="23">
        <v>230</v>
      </c>
      <c r="CO498"/>
    </row>
    <row r="499" spans="1:93" ht="17" hidden="1">
      <c r="B499" s="15">
        <v>495</v>
      </c>
      <c r="C499" s="23" t="s">
        <v>705</v>
      </c>
      <c r="N499" s="23">
        <v>4</v>
      </c>
      <c r="O499" s="23">
        <v>13</v>
      </c>
      <c r="P499" s="23">
        <v>22</v>
      </c>
      <c r="Q499" s="23">
        <v>27</v>
      </c>
      <c r="R499" s="23">
        <v>34</v>
      </c>
      <c r="S499" s="23">
        <v>44</v>
      </c>
      <c r="T499" s="23">
        <v>6</v>
      </c>
      <c r="U499" s="23">
        <f t="shared" si="375"/>
        <v>150</v>
      </c>
      <c r="W499" s="22" t="str">
        <f t="shared" si="332"/>
        <v>짝수</v>
      </c>
      <c r="X499" s="22" t="str">
        <f t="shared" si="333"/>
        <v>홀수</v>
      </c>
      <c r="Y499" s="22" t="str">
        <f t="shared" si="334"/>
        <v>짝수</v>
      </c>
      <c r="Z499" s="22" t="str">
        <f t="shared" si="335"/>
        <v>홀수</v>
      </c>
      <c r="AA499" s="23" t="str">
        <f t="shared" si="336"/>
        <v>짝수</v>
      </c>
      <c r="AB499" s="23" t="str">
        <f t="shared" si="337"/>
        <v>짝수</v>
      </c>
      <c r="AC499" s="22" t="str">
        <f t="shared" si="338"/>
        <v>2 : 4</v>
      </c>
      <c r="AD499" s="22">
        <f t="shared" si="339"/>
        <v>2</v>
      </c>
      <c r="AE499" s="22">
        <f t="shared" si="340"/>
        <v>4</v>
      </c>
      <c r="AF499" s="22" t="str">
        <f t="shared" si="348"/>
        <v>저수</v>
      </c>
      <c r="AG499" s="22" t="str">
        <f t="shared" si="349"/>
        <v>저수</v>
      </c>
      <c r="AH499" s="22" t="str">
        <f t="shared" si="350"/>
        <v>저수</v>
      </c>
      <c r="AI499" s="22" t="str">
        <f t="shared" si="351"/>
        <v>고수</v>
      </c>
      <c r="AJ499" s="22" t="str">
        <f t="shared" si="352"/>
        <v>고수</v>
      </c>
      <c r="AK499" s="22" t="str">
        <f t="shared" si="353"/>
        <v>고수</v>
      </c>
      <c r="AL499" s="22" t="str">
        <f t="shared" si="354"/>
        <v>3 : 3</v>
      </c>
      <c r="AM499" s="22">
        <f t="shared" si="355"/>
        <v>3</v>
      </c>
      <c r="AN499" s="22">
        <f t="shared" si="356"/>
        <v>3</v>
      </c>
      <c r="AO499" s="22">
        <f t="shared" si="357"/>
        <v>24</v>
      </c>
      <c r="AP499" s="22" t="str">
        <f t="shared" si="358"/>
        <v>X</v>
      </c>
      <c r="AQ499" s="22" t="str">
        <f t="shared" si="359"/>
        <v>O</v>
      </c>
      <c r="AR499" s="22" t="str">
        <f t="shared" si="360"/>
        <v>X</v>
      </c>
      <c r="AS499" s="22" t="str">
        <f t="shared" si="361"/>
        <v>X</v>
      </c>
      <c r="AT499" s="22" t="str">
        <f t="shared" si="362"/>
        <v>X</v>
      </c>
      <c r="AU499" s="22" t="str">
        <f t="shared" si="363"/>
        <v>X</v>
      </c>
      <c r="AV499" s="22" t="str">
        <f t="shared" si="364"/>
        <v>X</v>
      </c>
      <c r="AW499" s="22" t="str">
        <f t="shared" si="365"/>
        <v>X</v>
      </c>
      <c r="AX499" s="22" t="str">
        <f t="shared" si="366"/>
        <v>X</v>
      </c>
      <c r="AY499" s="22" t="str">
        <f t="shared" si="367"/>
        <v>X</v>
      </c>
      <c r="AZ499" s="22" t="str">
        <f t="shared" si="368"/>
        <v>X</v>
      </c>
      <c r="BA499" s="22" t="str">
        <f t="shared" si="369"/>
        <v>X</v>
      </c>
      <c r="BB499" s="22">
        <f t="shared" si="370"/>
        <v>1</v>
      </c>
      <c r="BC499" s="22" t="str">
        <f t="shared" si="341"/>
        <v>1G</v>
      </c>
      <c r="BD499" s="22" t="str">
        <f t="shared" si="342"/>
        <v>1G</v>
      </c>
      <c r="BE499" s="22" t="str">
        <f t="shared" si="343"/>
        <v>2G</v>
      </c>
      <c r="BF499" s="22" t="str">
        <f t="shared" si="344"/>
        <v>2G</v>
      </c>
      <c r="BG499" s="22" t="str">
        <f t="shared" si="345"/>
        <v>3G</v>
      </c>
      <c r="BH499" s="22" t="str">
        <f t="shared" si="346"/>
        <v>3G</v>
      </c>
      <c r="BI499" s="22">
        <f t="shared" si="371"/>
        <v>2</v>
      </c>
      <c r="BJ499" s="22">
        <f t="shared" si="372"/>
        <v>2</v>
      </c>
      <c r="BK499" s="22">
        <f t="shared" si="373"/>
        <v>2</v>
      </c>
      <c r="BL499" s="22" t="str">
        <f t="shared" si="374"/>
        <v>222</v>
      </c>
      <c r="BS499"/>
      <c r="CL499" s="23">
        <v>238</v>
      </c>
      <c r="CM499" s="23">
        <v>230</v>
      </c>
      <c r="CO499"/>
    </row>
    <row r="500" spans="1:93" ht="17" hidden="1">
      <c r="B500" s="16">
        <v>496</v>
      </c>
      <c r="C500" s="23" t="s">
        <v>772</v>
      </c>
      <c r="N500" s="23">
        <v>4</v>
      </c>
      <c r="O500" s="23">
        <v>13</v>
      </c>
      <c r="P500" s="23">
        <v>20</v>
      </c>
      <c r="Q500" s="23">
        <v>29</v>
      </c>
      <c r="R500" s="23">
        <v>36</v>
      </c>
      <c r="S500" s="23">
        <v>41</v>
      </c>
      <c r="T500" s="23">
        <v>39</v>
      </c>
      <c r="U500" s="23">
        <f t="shared" si="375"/>
        <v>182</v>
      </c>
      <c r="W500" s="22" t="str">
        <f t="shared" si="332"/>
        <v>짝수</v>
      </c>
      <c r="X500" s="22" t="str">
        <f t="shared" si="333"/>
        <v>홀수</v>
      </c>
      <c r="Y500" s="22" t="str">
        <f t="shared" si="334"/>
        <v>짝수</v>
      </c>
      <c r="Z500" s="22" t="str">
        <f t="shared" si="335"/>
        <v>홀수</v>
      </c>
      <c r="AA500" s="23" t="str">
        <f t="shared" si="336"/>
        <v>짝수</v>
      </c>
      <c r="AB500" s="23" t="str">
        <f t="shared" si="337"/>
        <v>홀수</v>
      </c>
      <c r="AC500" s="22" t="str">
        <f t="shared" si="338"/>
        <v>3 : 3</v>
      </c>
      <c r="AD500" s="22">
        <f t="shared" si="339"/>
        <v>3</v>
      </c>
      <c r="AE500" s="22">
        <f t="shared" si="340"/>
        <v>3</v>
      </c>
      <c r="AF500" s="22" t="str">
        <f t="shared" si="348"/>
        <v>저수</v>
      </c>
      <c r="AG500" s="22" t="str">
        <f t="shared" si="349"/>
        <v>저수</v>
      </c>
      <c r="AH500" s="22" t="str">
        <f t="shared" si="350"/>
        <v>저수</v>
      </c>
      <c r="AI500" s="22" t="str">
        <f t="shared" si="351"/>
        <v>고수</v>
      </c>
      <c r="AJ500" s="22" t="str">
        <f t="shared" si="352"/>
        <v>고수</v>
      </c>
      <c r="AK500" s="22" t="str">
        <f t="shared" si="353"/>
        <v>고수</v>
      </c>
      <c r="AL500" s="22" t="str">
        <f t="shared" si="354"/>
        <v>3 : 3</v>
      </c>
      <c r="AM500" s="22">
        <f t="shared" si="355"/>
        <v>3</v>
      </c>
      <c r="AN500" s="22">
        <f t="shared" si="356"/>
        <v>3</v>
      </c>
      <c r="AO500" s="22">
        <f t="shared" si="357"/>
        <v>23</v>
      </c>
      <c r="AP500" s="22" t="str">
        <f t="shared" si="358"/>
        <v>X</v>
      </c>
      <c r="AQ500" s="22" t="str">
        <f t="shared" si="359"/>
        <v>O</v>
      </c>
      <c r="AR500" s="22" t="str">
        <f t="shared" si="360"/>
        <v>X</v>
      </c>
      <c r="AS500" s="22" t="str">
        <f t="shared" si="361"/>
        <v>X</v>
      </c>
      <c r="AT500" s="22" t="str">
        <f t="shared" si="362"/>
        <v>X</v>
      </c>
      <c r="AU500" s="22" t="str">
        <f t="shared" si="363"/>
        <v>X</v>
      </c>
      <c r="AV500" s="22" t="str">
        <f t="shared" si="364"/>
        <v>X</v>
      </c>
      <c r="AW500" s="22" t="str">
        <f t="shared" si="365"/>
        <v>X</v>
      </c>
      <c r="AX500" s="22" t="str">
        <f t="shared" si="366"/>
        <v>X</v>
      </c>
      <c r="AY500" s="22" t="str">
        <f t="shared" si="367"/>
        <v>O</v>
      </c>
      <c r="AZ500" s="22" t="str">
        <f t="shared" si="368"/>
        <v>X</v>
      </c>
      <c r="BA500" s="22" t="str">
        <f t="shared" si="369"/>
        <v>O</v>
      </c>
      <c r="BB500" s="22">
        <f t="shared" si="370"/>
        <v>3</v>
      </c>
      <c r="BC500" s="22" t="str">
        <f t="shared" si="341"/>
        <v>1G</v>
      </c>
      <c r="BD500" s="22" t="str">
        <f t="shared" si="342"/>
        <v>1G</v>
      </c>
      <c r="BE500" s="22" t="str">
        <f t="shared" si="343"/>
        <v>2G</v>
      </c>
      <c r="BF500" s="22" t="str">
        <f t="shared" si="344"/>
        <v>2G</v>
      </c>
      <c r="BG500" s="22" t="str">
        <f t="shared" si="345"/>
        <v>3G</v>
      </c>
      <c r="BH500" s="22" t="str">
        <f t="shared" si="346"/>
        <v>3G</v>
      </c>
      <c r="BI500" s="22">
        <f t="shared" si="371"/>
        <v>2</v>
      </c>
      <c r="BJ500" s="22">
        <f t="shared" si="372"/>
        <v>2</v>
      </c>
      <c r="BK500" s="22">
        <f t="shared" si="373"/>
        <v>2</v>
      </c>
      <c r="BL500" s="22" t="str">
        <f t="shared" si="374"/>
        <v>222</v>
      </c>
      <c r="BS500"/>
    </row>
    <row r="501" spans="1:93" ht="17" hidden="1">
      <c r="B501" s="16">
        <v>497</v>
      </c>
      <c r="C501" s="23" t="s">
        <v>773</v>
      </c>
      <c r="N501" s="23">
        <v>19</v>
      </c>
      <c r="O501" s="23">
        <v>20</v>
      </c>
      <c r="P501" s="23">
        <v>23</v>
      </c>
      <c r="Q501" s="23">
        <v>24</v>
      </c>
      <c r="R501" s="23">
        <v>43</v>
      </c>
      <c r="S501" s="23">
        <v>44</v>
      </c>
      <c r="T501" s="23">
        <v>13</v>
      </c>
      <c r="U501" s="23">
        <f t="shared" si="375"/>
        <v>186</v>
      </c>
      <c r="W501" s="22" t="str">
        <f t="shared" si="332"/>
        <v>홀수</v>
      </c>
      <c r="X501" s="22" t="str">
        <f t="shared" si="333"/>
        <v>짝수</v>
      </c>
      <c r="Y501" s="22" t="str">
        <f t="shared" si="334"/>
        <v>홀수</v>
      </c>
      <c r="Z501" s="22" t="str">
        <f t="shared" si="335"/>
        <v>짝수</v>
      </c>
      <c r="AA501" s="23" t="str">
        <f t="shared" si="336"/>
        <v>홀수</v>
      </c>
      <c r="AB501" s="23" t="str">
        <f t="shared" si="337"/>
        <v>짝수</v>
      </c>
      <c r="AC501" s="22" t="str">
        <f t="shared" si="338"/>
        <v>3 : 3</v>
      </c>
      <c r="AD501" s="22">
        <f t="shared" si="339"/>
        <v>3</v>
      </c>
      <c r="AE501" s="22">
        <f t="shared" si="340"/>
        <v>3</v>
      </c>
      <c r="AF501" s="22" t="str">
        <f t="shared" si="348"/>
        <v>저수</v>
      </c>
      <c r="AG501" s="22" t="str">
        <f t="shared" si="349"/>
        <v>저수</v>
      </c>
      <c r="AH501" s="22" t="str">
        <f t="shared" si="350"/>
        <v>고수</v>
      </c>
      <c r="AI501" s="22" t="str">
        <f t="shared" si="351"/>
        <v>고수</v>
      </c>
      <c r="AJ501" s="22" t="str">
        <f t="shared" si="352"/>
        <v>고수</v>
      </c>
      <c r="AK501" s="22" t="str">
        <f t="shared" si="353"/>
        <v>고수</v>
      </c>
      <c r="AL501" s="22" t="str">
        <f t="shared" si="354"/>
        <v>2 : 4</v>
      </c>
      <c r="AM501" s="22">
        <f t="shared" si="355"/>
        <v>2</v>
      </c>
      <c r="AN501" s="22">
        <f t="shared" si="356"/>
        <v>4</v>
      </c>
      <c r="AO501" s="22">
        <f t="shared" si="357"/>
        <v>23</v>
      </c>
      <c r="AP501" s="22" t="str">
        <f t="shared" si="358"/>
        <v>O</v>
      </c>
      <c r="AQ501" s="22" t="str">
        <f t="shared" si="359"/>
        <v>X</v>
      </c>
      <c r="AR501" s="22" t="str">
        <f t="shared" si="360"/>
        <v>X</v>
      </c>
      <c r="AS501" s="22" t="str">
        <f t="shared" si="361"/>
        <v>X</v>
      </c>
      <c r="AT501" s="22" t="str">
        <f t="shared" si="362"/>
        <v>X</v>
      </c>
      <c r="AU501" s="22" t="str">
        <f t="shared" si="363"/>
        <v>X</v>
      </c>
      <c r="AV501" s="22" t="str">
        <f t="shared" si="364"/>
        <v>X</v>
      </c>
      <c r="AW501" s="22" t="str">
        <f t="shared" si="365"/>
        <v>X</v>
      </c>
      <c r="AX501" s="22" t="str">
        <f t="shared" si="366"/>
        <v>O</v>
      </c>
      <c r="AY501" s="22" t="str">
        <f t="shared" si="367"/>
        <v>X</v>
      </c>
      <c r="AZ501" s="22" t="str">
        <f t="shared" si="368"/>
        <v>O</v>
      </c>
      <c r="BA501" s="22" t="str">
        <f t="shared" si="369"/>
        <v>X</v>
      </c>
      <c r="BB501" s="22">
        <f t="shared" si="370"/>
        <v>3</v>
      </c>
      <c r="BC501" s="22" t="str">
        <f t="shared" si="341"/>
        <v>2G</v>
      </c>
      <c r="BD501" s="22" t="str">
        <f t="shared" si="342"/>
        <v>2G</v>
      </c>
      <c r="BE501" s="22" t="str">
        <f t="shared" si="343"/>
        <v>2G</v>
      </c>
      <c r="BF501" s="22" t="str">
        <f t="shared" si="344"/>
        <v>2G</v>
      </c>
      <c r="BG501" s="22" t="str">
        <f t="shared" si="345"/>
        <v>3G</v>
      </c>
      <c r="BH501" s="22" t="str">
        <f t="shared" si="346"/>
        <v>3G</v>
      </c>
      <c r="BI501" s="22">
        <f t="shared" si="371"/>
        <v>0</v>
      </c>
      <c r="BJ501" s="22">
        <f t="shared" si="372"/>
        <v>4</v>
      </c>
      <c r="BK501" s="22">
        <f t="shared" si="373"/>
        <v>2</v>
      </c>
      <c r="BL501" s="22" t="str">
        <f t="shared" si="374"/>
        <v>042</v>
      </c>
      <c r="BS501"/>
    </row>
    <row r="502" spans="1:93" ht="17" hidden="1">
      <c r="B502" s="16">
        <v>498</v>
      </c>
      <c r="C502" s="23" t="s">
        <v>774</v>
      </c>
      <c r="N502" s="23">
        <v>13</v>
      </c>
      <c r="O502" s="23">
        <v>14</v>
      </c>
      <c r="P502" s="23">
        <v>24</v>
      </c>
      <c r="Q502" s="23">
        <v>32</v>
      </c>
      <c r="R502" s="23">
        <v>39</v>
      </c>
      <c r="S502" s="23">
        <v>41</v>
      </c>
      <c r="T502" s="23">
        <v>3</v>
      </c>
      <c r="U502" s="23">
        <f t="shared" si="375"/>
        <v>166</v>
      </c>
      <c r="W502" s="22" t="str">
        <f t="shared" si="332"/>
        <v>홀수</v>
      </c>
      <c r="X502" s="22" t="str">
        <f t="shared" si="333"/>
        <v>짝수</v>
      </c>
      <c r="Y502" s="22" t="str">
        <f t="shared" si="334"/>
        <v>짝수</v>
      </c>
      <c r="Z502" s="22" t="str">
        <f t="shared" si="335"/>
        <v>짝수</v>
      </c>
      <c r="AA502" s="23" t="str">
        <f t="shared" si="336"/>
        <v>홀수</v>
      </c>
      <c r="AB502" s="23" t="str">
        <f t="shared" si="337"/>
        <v>홀수</v>
      </c>
      <c r="AC502" s="22" t="str">
        <f t="shared" si="338"/>
        <v>3 : 3</v>
      </c>
      <c r="AD502" s="22">
        <f t="shared" si="339"/>
        <v>3</v>
      </c>
      <c r="AE502" s="22">
        <f t="shared" si="340"/>
        <v>3</v>
      </c>
      <c r="AF502" s="22" t="str">
        <f t="shared" si="348"/>
        <v>저수</v>
      </c>
      <c r="AG502" s="22" t="str">
        <f t="shared" si="349"/>
        <v>저수</v>
      </c>
      <c r="AH502" s="22" t="str">
        <f t="shared" si="350"/>
        <v>고수</v>
      </c>
      <c r="AI502" s="22" t="str">
        <f t="shared" si="351"/>
        <v>고수</v>
      </c>
      <c r="AJ502" s="22" t="str">
        <f t="shared" si="352"/>
        <v>고수</v>
      </c>
      <c r="AK502" s="22" t="str">
        <f t="shared" si="353"/>
        <v>고수</v>
      </c>
      <c r="AL502" s="22" t="str">
        <f t="shared" si="354"/>
        <v>2 : 4</v>
      </c>
      <c r="AM502" s="22">
        <f t="shared" si="355"/>
        <v>2</v>
      </c>
      <c r="AN502" s="22">
        <f t="shared" si="356"/>
        <v>4</v>
      </c>
      <c r="AO502" s="22">
        <f t="shared" si="357"/>
        <v>23</v>
      </c>
      <c r="AP502" s="22" t="str">
        <f t="shared" si="358"/>
        <v>O</v>
      </c>
      <c r="AQ502" s="22" t="str">
        <f t="shared" si="359"/>
        <v>X</v>
      </c>
      <c r="AR502" s="22" t="str">
        <f t="shared" si="360"/>
        <v>X</v>
      </c>
      <c r="AS502" s="22" t="str">
        <f t="shared" si="361"/>
        <v>X</v>
      </c>
      <c r="AT502" s="22" t="str">
        <f t="shared" si="362"/>
        <v>X</v>
      </c>
      <c r="AU502" s="22" t="str">
        <f t="shared" si="363"/>
        <v>X</v>
      </c>
      <c r="AV502" s="22" t="str">
        <f t="shared" si="364"/>
        <v>X</v>
      </c>
      <c r="AW502" s="22" t="str">
        <f t="shared" si="365"/>
        <v>X</v>
      </c>
      <c r="AX502" s="22" t="str">
        <f t="shared" si="366"/>
        <v>X</v>
      </c>
      <c r="AY502" s="22" t="str">
        <f t="shared" si="367"/>
        <v>X</v>
      </c>
      <c r="AZ502" s="22" t="str">
        <f t="shared" si="368"/>
        <v>X</v>
      </c>
      <c r="BA502" s="22" t="str">
        <f t="shared" si="369"/>
        <v>O</v>
      </c>
      <c r="BB502" s="22">
        <f t="shared" si="370"/>
        <v>2</v>
      </c>
      <c r="BC502" s="22" t="str">
        <f t="shared" si="341"/>
        <v>1G</v>
      </c>
      <c r="BD502" s="22" t="str">
        <f t="shared" si="342"/>
        <v>1G</v>
      </c>
      <c r="BE502" s="22" t="str">
        <f t="shared" si="343"/>
        <v>2G</v>
      </c>
      <c r="BF502" s="22" t="str">
        <f t="shared" si="344"/>
        <v>3G</v>
      </c>
      <c r="BG502" s="22" t="str">
        <f t="shared" si="345"/>
        <v>3G</v>
      </c>
      <c r="BH502" s="22" t="str">
        <f t="shared" si="346"/>
        <v>3G</v>
      </c>
      <c r="BI502" s="22">
        <f t="shared" si="371"/>
        <v>2</v>
      </c>
      <c r="BJ502" s="22">
        <f t="shared" si="372"/>
        <v>1</v>
      </c>
      <c r="BK502" s="22">
        <f t="shared" si="373"/>
        <v>3</v>
      </c>
      <c r="BL502" s="22" t="str">
        <f t="shared" si="374"/>
        <v>213</v>
      </c>
      <c r="BS502"/>
    </row>
    <row r="503" spans="1:93" ht="17" hidden="1">
      <c r="B503" s="16">
        <v>499</v>
      </c>
      <c r="C503" s="23" t="s">
        <v>775</v>
      </c>
      <c r="N503" s="23">
        <v>5</v>
      </c>
      <c r="O503" s="23">
        <v>20</v>
      </c>
      <c r="P503" s="23">
        <v>23</v>
      </c>
      <c r="Q503" s="23">
        <v>37</v>
      </c>
      <c r="R503" s="23">
        <v>35</v>
      </c>
      <c r="S503" s="23">
        <v>40</v>
      </c>
      <c r="T503" s="23">
        <v>43</v>
      </c>
      <c r="U503" s="23">
        <f t="shared" si="375"/>
        <v>203</v>
      </c>
      <c r="W503" s="22" t="str">
        <f t="shared" si="332"/>
        <v>홀수</v>
      </c>
      <c r="X503" s="22" t="str">
        <f t="shared" si="333"/>
        <v>짝수</v>
      </c>
      <c r="Y503" s="22" t="str">
        <f t="shared" si="334"/>
        <v>홀수</v>
      </c>
      <c r="Z503" s="22" t="str">
        <f t="shared" si="335"/>
        <v>홀수</v>
      </c>
      <c r="AA503" s="23" t="str">
        <f t="shared" si="336"/>
        <v>홀수</v>
      </c>
      <c r="AB503" s="23" t="str">
        <f t="shared" si="337"/>
        <v>짝수</v>
      </c>
      <c r="AC503" s="22" t="str">
        <f t="shared" si="338"/>
        <v>4 : 2</v>
      </c>
      <c r="AD503" s="22">
        <f t="shared" si="339"/>
        <v>4</v>
      </c>
      <c r="AE503" s="22">
        <f t="shared" si="340"/>
        <v>2</v>
      </c>
      <c r="AF503" s="22" t="str">
        <f t="shared" si="348"/>
        <v>저수</v>
      </c>
      <c r="AG503" s="22" t="str">
        <f t="shared" si="349"/>
        <v>저수</v>
      </c>
      <c r="AH503" s="22" t="str">
        <f t="shared" si="350"/>
        <v>고수</v>
      </c>
      <c r="AI503" s="22" t="str">
        <f t="shared" si="351"/>
        <v>고수</v>
      </c>
      <c r="AJ503" s="22" t="str">
        <f t="shared" si="352"/>
        <v>고수</v>
      </c>
      <c r="AK503" s="22" t="str">
        <f t="shared" si="353"/>
        <v>고수</v>
      </c>
      <c r="AL503" s="22" t="str">
        <f t="shared" si="354"/>
        <v>2 : 4</v>
      </c>
      <c r="AM503" s="22">
        <f t="shared" si="355"/>
        <v>2</v>
      </c>
      <c r="AN503" s="22">
        <f t="shared" si="356"/>
        <v>4</v>
      </c>
      <c r="AO503" s="22">
        <f t="shared" si="357"/>
        <v>20</v>
      </c>
      <c r="AP503" s="22" t="str">
        <f t="shared" si="358"/>
        <v>O</v>
      </c>
      <c r="AQ503" s="22" t="str">
        <f t="shared" si="359"/>
        <v>X</v>
      </c>
      <c r="AR503" s="22" t="str">
        <f t="shared" si="360"/>
        <v>X</v>
      </c>
      <c r="AS503" s="22" t="str">
        <f t="shared" si="361"/>
        <v>X</v>
      </c>
      <c r="AT503" s="22" t="str">
        <f t="shared" si="362"/>
        <v>X</v>
      </c>
      <c r="AU503" s="22" t="str">
        <f t="shared" si="363"/>
        <v>X</v>
      </c>
      <c r="AV503" s="22" t="str">
        <f t="shared" si="364"/>
        <v>X</v>
      </c>
      <c r="AW503" s="22" t="str">
        <f t="shared" si="365"/>
        <v>X</v>
      </c>
      <c r="AX503" s="22" t="str">
        <f t="shared" si="366"/>
        <v>O</v>
      </c>
      <c r="AY503" s="22" t="str">
        <f t="shared" si="367"/>
        <v>O</v>
      </c>
      <c r="AZ503" s="22" t="str">
        <f t="shared" si="368"/>
        <v>X</v>
      </c>
      <c r="BA503" s="22" t="str">
        <f t="shared" si="369"/>
        <v>X</v>
      </c>
      <c r="BB503" s="22">
        <f t="shared" si="370"/>
        <v>3</v>
      </c>
      <c r="BC503" s="22" t="str">
        <f t="shared" si="341"/>
        <v>1G</v>
      </c>
      <c r="BD503" s="22" t="str">
        <f t="shared" si="342"/>
        <v>2G</v>
      </c>
      <c r="BE503" s="22" t="str">
        <f t="shared" si="343"/>
        <v>2G</v>
      </c>
      <c r="BF503" s="22" t="str">
        <f t="shared" si="344"/>
        <v>3G</v>
      </c>
      <c r="BG503" s="22" t="str">
        <f t="shared" si="345"/>
        <v>3G</v>
      </c>
      <c r="BH503" s="22" t="str">
        <f t="shared" si="346"/>
        <v>3G</v>
      </c>
      <c r="BI503" s="22">
        <f t="shared" si="371"/>
        <v>1</v>
      </c>
      <c r="BJ503" s="22">
        <f t="shared" si="372"/>
        <v>2</v>
      </c>
      <c r="BK503" s="22">
        <f t="shared" si="373"/>
        <v>3</v>
      </c>
      <c r="BL503" s="22" t="str">
        <f t="shared" si="374"/>
        <v>123</v>
      </c>
      <c r="BS503"/>
    </row>
    <row r="504" spans="1:93" ht="17" hidden="1">
      <c r="B504" s="16">
        <v>500</v>
      </c>
      <c r="C504" s="23" t="s">
        <v>776</v>
      </c>
      <c r="N504" s="23">
        <v>3</v>
      </c>
      <c r="O504" s="23">
        <v>4</v>
      </c>
      <c r="P504" s="23">
        <v>12</v>
      </c>
      <c r="Q504" s="23">
        <v>20</v>
      </c>
      <c r="R504" s="23">
        <v>24</v>
      </c>
      <c r="S504" s="23">
        <v>34</v>
      </c>
      <c r="T504" s="23">
        <v>41</v>
      </c>
      <c r="U504" s="23">
        <f t="shared" si="375"/>
        <v>138</v>
      </c>
      <c r="W504" s="22" t="str">
        <f t="shared" si="332"/>
        <v>홀수</v>
      </c>
      <c r="X504" s="22" t="str">
        <f t="shared" si="333"/>
        <v>짝수</v>
      </c>
      <c r="Y504" s="22" t="str">
        <f t="shared" si="334"/>
        <v>짝수</v>
      </c>
      <c r="Z504" s="22" t="str">
        <f t="shared" si="335"/>
        <v>짝수</v>
      </c>
      <c r="AA504" s="23" t="str">
        <f t="shared" si="336"/>
        <v>짝수</v>
      </c>
      <c r="AB504" s="23" t="str">
        <f t="shared" si="337"/>
        <v>짝수</v>
      </c>
      <c r="AC504" s="22" t="str">
        <f t="shared" si="338"/>
        <v>1 : 5</v>
      </c>
      <c r="AD504" s="22">
        <f t="shared" si="339"/>
        <v>1</v>
      </c>
      <c r="AE504" s="22">
        <f t="shared" si="340"/>
        <v>5</v>
      </c>
      <c r="AF504" s="22" t="str">
        <f t="shared" si="348"/>
        <v>저수</v>
      </c>
      <c r="AG504" s="22" t="str">
        <f t="shared" si="349"/>
        <v>저수</v>
      </c>
      <c r="AH504" s="22" t="str">
        <f t="shared" si="350"/>
        <v>저수</v>
      </c>
      <c r="AI504" s="22" t="str">
        <f t="shared" si="351"/>
        <v>저수</v>
      </c>
      <c r="AJ504" s="22" t="str">
        <f t="shared" si="352"/>
        <v>고수</v>
      </c>
      <c r="AK504" s="22" t="str">
        <f t="shared" si="353"/>
        <v>고수</v>
      </c>
      <c r="AL504" s="22" t="str">
        <f t="shared" si="354"/>
        <v>4 : 2</v>
      </c>
      <c r="AM504" s="22">
        <f t="shared" si="355"/>
        <v>4</v>
      </c>
      <c r="AN504" s="22">
        <f t="shared" si="356"/>
        <v>2</v>
      </c>
      <c r="AO504" s="22">
        <f t="shared" si="357"/>
        <v>17</v>
      </c>
      <c r="AP504" s="22" t="str">
        <f t="shared" si="358"/>
        <v>O</v>
      </c>
      <c r="AQ504" s="22" t="str">
        <f t="shared" si="359"/>
        <v>X</v>
      </c>
      <c r="AR504" s="22" t="str">
        <f t="shared" si="360"/>
        <v>X</v>
      </c>
      <c r="AS504" s="22" t="str">
        <f t="shared" si="361"/>
        <v>X</v>
      </c>
      <c r="AT504" s="22" t="str">
        <f t="shared" si="362"/>
        <v>X</v>
      </c>
      <c r="AU504" s="22" t="str">
        <f t="shared" si="363"/>
        <v>X</v>
      </c>
      <c r="AV504" s="22" t="str">
        <f t="shared" si="364"/>
        <v>X</v>
      </c>
      <c r="AW504" s="22" t="str">
        <f t="shared" si="365"/>
        <v>X</v>
      </c>
      <c r="AX504" s="22" t="str">
        <f t="shared" si="366"/>
        <v>X</v>
      </c>
      <c r="AY504" s="22" t="str">
        <f t="shared" si="367"/>
        <v>X</v>
      </c>
      <c r="AZ504" s="22" t="str">
        <f t="shared" si="368"/>
        <v>X</v>
      </c>
      <c r="BA504" s="22" t="str">
        <f t="shared" si="369"/>
        <v>X</v>
      </c>
      <c r="BB504" s="22">
        <f t="shared" si="370"/>
        <v>1</v>
      </c>
      <c r="BC504" s="22" t="str">
        <f t="shared" si="341"/>
        <v>1G</v>
      </c>
      <c r="BD504" s="22" t="str">
        <f t="shared" si="342"/>
        <v>1G</v>
      </c>
      <c r="BE504" s="22" t="str">
        <f t="shared" si="343"/>
        <v>1G</v>
      </c>
      <c r="BF504" s="22" t="str">
        <f t="shared" si="344"/>
        <v>2G</v>
      </c>
      <c r="BG504" s="22" t="str">
        <f t="shared" si="345"/>
        <v>2G</v>
      </c>
      <c r="BH504" s="22" t="str">
        <f t="shared" si="346"/>
        <v>3G</v>
      </c>
      <c r="BI504" s="22">
        <f t="shared" si="371"/>
        <v>3</v>
      </c>
      <c r="BJ504" s="22">
        <f t="shared" si="372"/>
        <v>2</v>
      </c>
      <c r="BK504" s="22">
        <f t="shared" si="373"/>
        <v>1</v>
      </c>
      <c r="BL504" s="22" t="str">
        <f t="shared" si="374"/>
        <v>321</v>
      </c>
      <c r="BS504"/>
    </row>
    <row r="505" spans="1:93" ht="17" hidden="1">
      <c r="B505" s="16">
        <v>501</v>
      </c>
      <c r="C505" s="23" t="s">
        <v>777</v>
      </c>
      <c r="N505" s="23">
        <v>1</v>
      </c>
      <c r="O505" s="23">
        <v>4</v>
      </c>
      <c r="P505" s="23">
        <v>10</v>
      </c>
      <c r="Q505" s="23">
        <v>17</v>
      </c>
      <c r="R505" s="23">
        <v>31</v>
      </c>
      <c r="S505" s="23">
        <v>42</v>
      </c>
      <c r="T505" s="23">
        <v>2</v>
      </c>
      <c r="U505" s="23">
        <f t="shared" si="375"/>
        <v>107</v>
      </c>
      <c r="W505" s="22" t="str">
        <f t="shared" si="332"/>
        <v>홀수</v>
      </c>
      <c r="X505" s="22" t="str">
        <f t="shared" si="333"/>
        <v>짝수</v>
      </c>
      <c r="Y505" s="22" t="str">
        <f t="shared" si="334"/>
        <v>짝수</v>
      </c>
      <c r="Z505" s="22" t="str">
        <f t="shared" si="335"/>
        <v>홀수</v>
      </c>
      <c r="AA505" s="23" t="str">
        <f t="shared" si="336"/>
        <v>홀수</v>
      </c>
      <c r="AB505" s="23" t="str">
        <f t="shared" si="337"/>
        <v>짝수</v>
      </c>
      <c r="AC505" s="22" t="str">
        <f t="shared" si="338"/>
        <v>3 : 3</v>
      </c>
      <c r="AD505" s="22">
        <f t="shared" si="339"/>
        <v>3</v>
      </c>
      <c r="AE505" s="22">
        <f t="shared" si="340"/>
        <v>3</v>
      </c>
      <c r="AF505" s="22" t="str">
        <f t="shared" si="348"/>
        <v>저수</v>
      </c>
      <c r="AG505" s="22" t="str">
        <f t="shared" si="349"/>
        <v>저수</v>
      </c>
      <c r="AH505" s="22" t="str">
        <f t="shared" si="350"/>
        <v>저수</v>
      </c>
      <c r="AI505" s="22" t="str">
        <f t="shared" si="351"/>
        <v>저수</v>
      </c>
      <c r="AJ505" s="22" t="str">
        <f t="shared" si="352"/>
        <v>고수</v>
      </c>
      <c r="AK505" s="22" t="str">
        <f t="shared" si="353"/>
        <v>고수</v>
      </c>
      <c r="AL505" s="22" t="str">
        <f t="shared" si="354"/>
        <v>4 : 2</v>
      </c>
      <c r="AM505" s="22">
        <f t="shared" si="355"/>
        <v>4</v>
      </c>
      <c r="AN505" s="22">
        <f t="shared" si="356"/>
        <v>2</v>
      </c>
      <c r="AO505" s="22">
        <f t="shared" si="357"/>
        <v>15</v>
      </c>
      <c r="AP505" s="22" t="str">
        <f t="shared" si="358"/>
        <v>X</v>
      </c>
      <c r="AQ505" s="22" t="str">
        <f t="shared" si="359"/>
        <v>X</v>
      </c>
      <c r="AR505" s="22" t="str">
        <f t="shared" si="360"/>
        <v>X</v>
      </c>
      <c r="AS505" s="22" t="str">
        <f t="shared" si="361"/>
        <v>O</v>
      </c>
      <c r="AT505" s="22" t="str">
        <f t="shared" si="362"/>
        <v>X</v>
      </c>
      <c r="AU505" s="22" t="str">
        <f t="shared" si="363"/>
        <v>X</v>
      </c>
      <c r="AV505" s="22" t="str">
        <f t="shared" si="364"/>
        <v>X</v>
      </c>
      <c r="AW505" s="22" t="str">
        <f t="shared" si="365"/>
        <v>X</v>
      </c>
      <c r="AX505" s="22" t="str">
        <f t="shared" si="366"/>
        <v>X</v>
      </c>
      <c r="AY505" s="22" t="str">
        <f t="shared" si="367"/>
        <v>X</v>
      </c>
      <c r="AZ505" s="22" t="str">
        <f t="shared" si="368"/>
        <v>O</v>
      </c>
      <c r="BA505" s="22" t="str">
        <f t="shared" si="369"/>
        <v>X</v>
      </c>
      <c r="BB505" s="22">
        <f t="shared" si="370"/>
        <v>2</v>
      </c>
      <c r="BC505" s="22" t="str">
        <f t="shared" si="341"/>
        <v>1G</v>
      </c>
      <c r="BD505" s="22" t="str">
        <f t="shared" si="342"/>
        <v>1G</v>
      </c>
      <c r="BE505" s="22" t="str">
        <f t="shared" si="343"/>
        <v>1G</v>
      </c>
      <c r="BF505" s="22" t="str">
        <f t="shared" si="344"/>
        <v>2G</v>
      </c>
      <c r="BG505" s="22" t="str">
        <f t="shared" si="345"/>
        <v>3G</v>
      </c>
      <c r="BH505" s="22" t="str">
        <f t="shared" si="346"/>
        <v>3G</v>
      </c>
      <c r="BI505" s="22">
        <f t="shared" si="371"/>
        <v>3</v>
      </c>
      <c r="BJ505" s="22">
        <f t="shared" si="372"/>
        <v>1</v>
      </c>
      <c r="BK505" s="22">
        <f t="shared" si="373"/>
        <v>2</v>
      </c>
      <c r="BL505" s="22" t="str">
        <f t="shared" si="374"/>
        <v>312</v>
      </c>
      <c r="BS505"/>
    </row>
    <row r="506" spans="1:93" ht="17" hidden="1">
      <c r="A506" s="16">
        <v>2</v>
      </c>
      <c r="B506" s="16">
        <v>502</v>
      </c>
      <c r="C506" s="23" t="s">
        <v>779</v>
      </c>
      <c r="N506" s="112">
        <v>6</v>
      </c>
      <c r="O506" s="112">
        <v>22</v>
      </c>
      <c r="P506" s="112">
        <v>28</v>
      </c>
      <c r="Q506" s="112">
        <v>32</v>
      </c>
      <c r="R506" s="112">
        <v>34</v>
      </c>
      <c r="S506" s="112">
        <v>40</v>
      </c>
      <c r="T506" s="112">
        <v>26</v>
      </c>
      <c r="U506" s="113">
        <f t="shared" ref="U506:U577" si="376">SUM(N506:T506)-T506</f>
        <v>162</v>
      </c>
      <c r="W506" s="22" t="str">
        <f t="shared" si="332"/>
        <v>짝수</v>
      </c>
      <c r="X506" s="22" t="str">
        <f t="shared" si="333"/>
        <v>짝수</v>
      </c>
      <c r="Y506" s="22" t="str">
        <f t="shared" si="334"/>
        <v>짝수</v>
      </c>
      <c r="Z506" s="22" t="str">
        <f t="shared" si="335"/>
        <v>짝수</v>
      </c>
      <c r="AA506" s="23" t="str">
        <f t="shared" si="336"/>
        <v>짝수</v>
      </c>
      <c r="AB506" s="23" t="str">
        <f t="shared" si="337"/>
        <v>짝수</v>
      </c>
      <c r="AC506" s="22" t="str">
        <f t="shared" si="338"/>
        <v>0 : 6</v>
      </c>
      <c r="AD506" s="22">
        <f t="shared" si="339"/>
        <v>0</v>
      </c>
      <c r="AE506" s="22">
        <f t="shared" si="340"/>
        <v>6</v>
      </c>
      <c r="AF506" s="22" t="str">
        <f t="shared" si="348"/>
        <v>저수</v>
      </c>
      <c r="AG506" s="22" t="str">
        <f t="shared" si="349"/>
        <v>저수</v>
      </c>
      <c r="AH506" s="22" t="str">
        <f t="shared" si="350"/>
        <v>고수</v>
      </c>
      <c r="AI506" s="22" t="str">
        <f t="shared" si="351"/>
        <v>고수</v>
      </c>
      <c r="AJ506" s="22" t="str">
        <f t="shared" si="352"/>
        <v>고수</v>
      </c>
      <c r="AK506" s="22" t="str">
        <f t="shared" si="353"/>
        <v>고수</v>
      </c>
      <c r="AL506" s="22" t="str">
        <f t="shared" si="354"/>
        <v>2 : 4</v>
      </c>
      <c r="AM506" s="22">
        <f t="shared" si="355"/>
        <v>2</v>
      </c>
      <c r="AN506" s="22">
        <f t="shared" si="356"/>
        <v>4</v>
      </c>
      <c r="AO506" s="22">
        <f t="shared" si="357"/>
        <v>22</v>
      </c>
      <c r="AP506" s="22" t="str">
        <f t="shared" si="358"/>
        <v>X</v>
      </c>
      <c r="AQ506" s="22" t="str">
        <f t="shared" si="359"/>
        <v>X</v>
      </c>
      <c r="AR506" s="22" t="str">
        <f t="shared" si="360"/>
        <v>X</v>
      </c>
      <c r="AS506" s="22" t="str">
        <f t="shared" si="361"/>
        <v>X</v>
      </c>
      <c r="AT506" s="22" t="str">
        <f t="shared" si="362"/>
        <v>X</v>
      </c>
      <c r="AU506" s="22" t="str">
        <f t="shared" si="363"/>
        <v>X</v>
      </c>
      <c r="AV506" s="22" t="str">
        <f t="shared" si="364"/>
        <v>X</v>
      </c>
      <c r="AW506" s="22" t="str">
        <f t="shared" si="365"/>
        <v>X</v>
      </c>
      <c r="AX506" s="22" t="str">
        <f t="shared" si="366"/>
        <v>X</v>
      </c>
      <c r="AY506" s="22" t="str">
        <f t="shared" si="367"/>
        <v>X</v>
      </c>
      <c r="AZ506" s="22" t="str">
        <f t="shared" si="368"/>
        <v>X</v>
      </c>
      <c r="BA506" s="22" t="str">
        <f t="shared" si="369"/>
        <v>X</v>
      </c>
      <c r="BB506" s="22">
        <f t="shared" si="370"/>
        <v>0</v>
      </c>
      <c r="BC506" s="22" t="str">
        <f t="shared" si="341"/>
        <v>1G</v>
      </c>
      <c r="BD506" s="22" t="str">
        <f t="shared" si="342"/>
        <v>2G</v>
      </c>
      <c r="BE506" s="22" t="str">
        <f t="shared" si="343"/>
        <v>2G</v>
      </c>
      <c r="BF506" s="22" t="str">
        <f t="shared" si="344"/>
        <v>3G</v>
      </c>
      <c r="BG506" s="22" t="str">
        <f t="shared" si="345"/>
        <v>3G</v>
      </c>
      <c r="BH506" s="22" t="str">
        <f t="shared" si="346"/>
        <v>3G</v>
      </c>
      <c r="BI506" s="22">
        <f t="shared" si="371"/>
        <v>1</v>
      </c>
      <c r="BJ506" s="22">
        <f t="shared" si="372"/>
        <v>2</v>
      </c>
      <c r="BK506" s="22">
        <f t="shared" si="373"/>
        <v>3</v>
      </c>
      <c r="BL506" s="22" t="str">
        <f t="shared" si="374"/>
        <v>123</v>
      </c>
      <c r="BS506"/>
    </row>
    <row r="507" spans="1:93" ht="17" hidden="1">
      <c r="A507" s="16">
        <v>2</v>
      </c>
      <c r="B507" s="16">
        <v>503</v>
      </c>
      <c r="C507" s="23" t="s">
        <v>780</v>
      </c>
      <c r="N507" s="112">
        <v>1</v>
      </c>
      <c r="O507" s="112">
        <v>5</v>
      </c>
      <c r="P507" s="112">
        <v>27</v>
      </c>
      <c r="Q507" s="112">
        <v>30</v>
      </c>
      <c r="R507" s="112">
        <v>34</v>
      </c>
      <c r="S507" s="112">
        <v>36</v>
      </c>
      <c r="T507" s="112">
        <v>40</v>
      </c>
      <c r="U507" s="113">
        <f t="shared" si="376"/>
        <v>133</v>
      </c>
      <c r="W507" s="22" t="str">
        <f t="shared" ref="W507:W528" si="377">IF(RIGHT(N507,1)="1","홀수",IF(RIGHT(N507,1)="3","홀수",IF(RIGHT(N507,1)="5","홀수",IF(RIGHT(N507,1)="7","홀수",IF(RIGHT(N507,1)="9","홀수","짝수")))))</f>
        <v>홀수</v>
      </c>
      <c r="X507" s="22" t="str">
        <f t="shared" ref="X507:X528" si="378">IF(RIGHT(O507,1)="1","홀수",IF(RIGHT(O507,1)="3","홀수",IF(RIGHT(O507,1)="5","홀수",IF(RIGHT(O507,1)="7","홀수",IF(RIGHT(O507,1)="9","홀수","짝수")))))</f>
        <v>홀수</v>
      </c>
      <c r="Y507" s="22" t="str">
        <f t="shared" ref="Y507:Y528" si="379">IF(RIGHT(P507,1)="1","홀수",IF(RIGHT(P507,1)="3","홀수",IF(RIGHT(P507,1)="5","홀수",IF(RIGHT(P507,1)="7","홀수",IF(RIGHT(P507,1)="9","홀수","짝수")))))</f>
        <v>홀수</v>
      </c>
      <c r="Z507" s="22" t="str">
        <f t="shared" ref="Z507:Z528" si="380">IF(RIGHT(Q507,1)="1","홀수",IF(RIGHT(Q507,1)="3","홀수",IF(RIGHT(Q507,1)="5","홀수",IF(RIGHT(Q507,1)="7","홀수",IF(RIGHT(Q507,1)="9","홀수","짝수")))))</f>
        <v>짝수</v>
      </c>
      <c r="AA507" s="23" t="str">
        <f t="shared" ref="AA507:AA528" si="381">IF(RIGHT(R507,1)="1","홀수",IF(RIGHT(R507,1)="3","홀수",IF(RIGHT(R507,1)="5","홀수",IF(RIGHT(R507,1)="7","홀수",IF(RIGHT(R507,1)="9","홀수","짝수")))))</f>
        <v>짝수</v>
      </c>
      <c r="AB507" s="23" t="str">
        <f t="shared" ref="AB507:AB528" si="382">IF(RIGHT(S507,1)="1","홀수",IF(RIGHT(S507,1)="3","홀수",IF(RIGHT(S507,1)="5","홀수",IF(RIGHT(S507,1)="7","홀수",IF(RIGHT(S507,1)="9","홀수","짝수")))))</f>
        <v>짝수</v>
      </c>
      <c r="AC507" s="22" t="str">
        <f t="shared" ref="AC507:AC528" si="383">AD507&amp;" : "&amp;AE507</f>
        <v>3 : 3</v>
      </c>
      <c r="AD507" s="22">
        <f t="shared" ref="AD507:AD528" si="384">COUNTIF(W507:AB507,"홀수")</f>
        <v>3</v>
      </c>
      <c r="AE507" s="22">
        <f t="shared" ref="AE507:AE528" si="385">COUNTIF(W507:AB507,"짝수")</f>
        <v>3</v>
      </c>
      <c r="AF507" s="22" t="str">
        <f t="shared" ref="AF507:AF528" si="386">IF(N507&lt;23,"저수","고수")</f>
        <v>저수</v>
      </c>
      <c r="AG507" s="22" t="str">
        <f t="shared" ref="AG507:AG528" si="387">IF(O507&lt;23,"저수","고수")</f>
        <v>저수</v>
      </c>
      <c r="AH507" s="22" t="str">
        <f t="shared" ref="AH507:AH528" si="388">IF(P507&lt;23,"저수","고수")</f>
        <v>고수</v>
      </c>
      <c r="AI507" s="22" t="str">
        <f t="shared" ref="AI507:AI528" si="389">IF(Q507&lt;23,"저수","고수")</f>
        <v>고수</v>
      </c>
      <c r="AJ507" s="22" t="str">
        <f t="shared" ref="AJ507:AJ528" si="390">IF(R507&lt;23,"저수","고수")</f>
        <v>고수</v>
      </c>
      <c r="AK507" s="22" t="str">
        <f t="shared" ref="AK507:AK528" si="391">IF(S507&lt;23,"저수","고수")</f>
        <v>고수</v>
      </c>
      <c r="AL507" s="22" t="str">
        <f t="shared" ref="AL507:AL528" si="392">AM507&amp;" : "&amp;AN507</f>
        <v>2 : 4</v>
      </c>
      <c r="AM507" s="22">
        <f t="shared" ref="AM507:AM528" si="393">COUNTIF(AF507:AK507,"저수")</f>
        <v>2</v>
      </c>
      <c r="AN507" s="22">
        <f t="shared" ref="AN507:AN528" si="394">COUNTIF(AF507:AK507,"고수")</f>
        <v>4</v>
      </c>
      <c r="AO507" s="22">
        <f t="shared" ref="AO507:AO528" si="395">RIGHT(N507,1)+RIGHT(O507,1)+RIGHT(P507,1)+RIGHT(Q507,1)+RIGHT(R507,1)+RIGHT(S507,1)</f>
        <v>23</v>
      </c>
      <c r="AP507" s="22" t="str">
        <f t="shared" ref="AP507:AP528" si="396">IF(N507=2,"O",IF(N507=3,"O",IF(N507=5,"O",IF(N507=7,"O",IF(N507=11,"O",IF(N507=13,"O",IF(N507=17,"O",IF(N507=19,"O","X"))))))))</f>
        <v>X</v>
      </c>
      <c r="AQ507" s="22" t="str">
        <f t="shared" ref="AQ507:AQ528" si="397">IF(O507=2,"O",IF(O507=3,"O",IF(O507=5,"O",IF(O507=7,"O",IF(O507=11,"O",IF(O507=13,"O",IF(O507=17,"O",IF(O507=19,"O","X"))))))))</f>
        <v>O</v>
      </c>
      <c r="AR507" s="22" t="str">
        <f t="shared" ref="AR507:AR528" si="398">IF(P507=2,"O",IF(P507=3,"O",IF(P507=5,"O",IF(P507=7,"O",IF(P507=11,"O",IF(P507=13,"O",IF(P507=17,"O",IF(P507=19,"O","X"))))))))</f>
        <v>X</v>
      </c>
      <c r="AS507" s="22" t="str">
        <f t="shared" ref="AS507:AS528" si="399">IF(Q507=2,"O",IF(Q507=3,"O",IF(Q507=5,"O",IF(Q507=7,"O",IF(Q507=11,"O",IF(Q507=13,"O",IF(Q507=17,"O",IF(Q507=19,"O","X"))))))))</f>
        <v>X</v>
      </c>
      <c r="AT507" s="22" t="str">
        <f t="shared" ref="AT507:AT528" si="400">IF(R507=2,"O",IF(R507=3,"O",IF(R507=5,"O",IF(R507=7,"O",IF(R507=11,"O",IF(R507=13,"O",IF(R507=17,"O",IF(R507=19,"O","X"))))))))</f>
        <v>X</v>
      </c>
      <c r="AU507" s="22" t="str">
        <f t="shared" ref="AU507:AU528" si="401">IF(S507=2,"O",IF(S507=3,"O",IF(S507=5,"O",IF(S507=7,"O",IF(S507=11,"O",IF(S507=13,"O",IF(S507=17,"O",IF(S507=19,"O","X"))))))))</f>
        <v>X</v>
      </c>
      <c r="AV507" s="22" t="str">
        <f t="shared" ref="AV507:AV528" si="402">IF(N507=23,"O",IF(N507=29,"O",IF(N507=31,"O",IF(N507=37,"O",IF(N507=41,"O",IF(N507=43,"O","X"))))))</f>
        <v>X</v>
      </c>
      <c r="AW507" s="22" t="str">
        <f t="shared" ref="AW507:AW528" si="403">IF(O507=23,"O",IF(O507=29,"O",IF(O507=31,"O",IF(O507=37,"O",IF(O507=41,"O",IF(O507=43,"O","X"))))))</f>
        <v>X</v>
      </c>
      <c r="AX507" s="22" t="str">
        <f t="shared" ref="AX507:AX528" si="404">IF(P507=23,"O",IF(P507=29,"O",IF(P507=31,"O",IF(P507=37,"O",IF(P507=41,"O",IF(P507=43,"O","X"))))))</f>
        <v>X</v>
      </c>
      <c r="AY507" s="22" t="str">
        <f t="shared" ref="AY507:AY528" si="405">IF(Q507=23,"O",IF(Q507=29,"O",IF(Q507=31,"O",IF(Q507=37,"O",IF(Q507=41,"O",IF(Q507=43,"O","X"))))))</f>
        <v>X</v>
      </c>
      <c r="AZ507" s="22" t="str">
        <f t="shared" ref="AZ507:AZ528" si="406">IF(R507=23,"O",IF(R507=29,"O",IF(R507=31,"O",IF(R507=37,"O",IF(R507=41,"O",IF(R507=43,"O","X"))))))</f>
        <v>X</v>
      </c>
      <c r="BA507" s="22" t="str">
        <f t="shared" ref="BA507:BA528" si="407">IF(S507=23,"O",IF(S507=29,"O",IF(S507=31,"O",IF(S507=37,"O",IF(S507=41,"O",IF(S507=43,"O","X"))))))</f>
        <v>X</v>
      </c>
      <c r="BB507" s="22">
        <f t="shared" ref="BB507:BB528" si="408">COUNTIF(AP507:BA507,"O")</f>
        <v>1</v>
      </c>
      <c r="BC507" s="22" t="str">
        <f t="shared" ref="BC507:BC528" si="409">VLOOKUP(N507,삼그룹,6,FALSE)</f>
        <v>1G</v>
      </c>
      <c r="BD507" s="22" t="str">
        <f t="shared" ref="BD507:BD528" si="410">VLOOKUP(O507,삼그룹,6,FALSE)</f>
        <v>1G</v>
      </c>
      <c r="BE507" s="22" t="str">
        <f t="shared" ref="BE507:BE528" si="411">VLOOKUP(P507,삼그룹,6,FALSE)</f>
        <v>2G</v>
      </c>
      <c r="BF507" s="22" t="str">
        <f t="shared" ref="BF507:BF528" si="412">VLOOKUP(Q507,삼그룹,6,FALSE)</f>
        <v>2G</v>
      </c>
      <c r="BG507" s="22" t="str">
        <f t="shared" ref="BG507:BG528" si="413">VLOOKUP(R507,삼그룹,6,FALSE)</f>
        <v>3G</v>
      </c>
      <c r="BH507" s="22" t="str">
        <f t="shared" ref="BH507:BH528" si="414">VLOOKUP(S507,삼그룹,6,FALSE)</f>
        <v>3G</v>
      </c>
      <c r="BI507" s="22">
        <f t="shared" si="371"/>
        <v>2</v>
      </c>
      <c r="BJ507" s="22">
        <f t="shared" si="372"/>
        <v>2</v>
      </c>
      <c r="BK507" s="22">
        <f t="shared" si="373"/>
        <v>2</v>
      </c>
      <c r="BL507" s="22" t="str">
        <f t="shared" ref="BL507:BL528" si="415">BI507&amp;BJ507&amp;BK507</f>
        <v>222</v>
      </c>
      <c r="BS507"/>
    </row>
    <row r="508" spans="1:93" ht="17" hidden="1">
      <c r="A508" s="16">
        <v>2</v>
      </c>
      <c r="B508" s="16">
        <v>504</v>
      </c>
      <c r="C508" s="23" t="s">
        <v>781</v>
      </c>
      <c r="N508" s="112">
        <v>6</v>
      </c>
      <c r="O508" s="112">
        <v>14</v>
      </c>
      <c r="P508" s="112">
        <v>22</v>
      </c>
      <c r="Q508" s="112">
        <v>26</v>
      </c>
      <c r="R508" s="112">
        <v>43</v>
      </c>
      <c r="S508" s="112">
        <v>44</v>
      </c>
      <c r="T508" s="112">
        <v>31</v>
      </c>
      <c r="U508" s="113">
        <f t="shared" si="376"/>
        <v>155</v>
      </c>
      <c r="W508" s="22" t="str">
        <f t="shared" si="377"/>
        <v>짝수</v>
      </c>
      <c r="X508" s="22" t="str">
        <f t="shared" si="378"/>
        <v>짝수</v>
      </c>
      <c r="Y508" s="22" t="str">
        <f t="shared" si="379"/>
        <v>짝수</v>
      </c>
      <c r="Z508" s="22" t="str">
        <f t="shared" si="380"/>
        <v>짝수</v>
      </c>
      <c r="AA508" s="23" t="str">
        <f t="shared" si="381"/>
        <v>홀수</v>
      </c>
      <c r="AB508" s="23" t="str">
        <f t="shared" si="382"/>
        <v>짝수</v>
      </c>
      <c r="AC508" s="22" t="str">
        <f t="shared" si="383"/>
        <v>1 : 5</v>
      </c>
      <c r="AD508" s="22">
        <f t="shared" si="384"/>
        <v>1</v>
      </c>
      <c r="AE508" s="22">
        <f t="shared" si="385"/>
        <v>5</v>
      </c>
      <c r="AF508" s="22" t="str">
        <f t="shared" si="386"/>
        <v>저수</v>
      </c>
      <c r="AG508" s="22" t="str">
        <f t="shared" si="387"/>
        <v>저수</v>
      </c>
      <c r="AH508" s="22" t="str">
        <f t="shared" si="388"/>
        <v>저수</v>
      </c>
      <c r="AI508" s="22" t="str">
        <f t="shared" si="389"/>
        <v>고수</v>
      </c>
      <c r="AJ508" s="22" t="str">
        <f t="shared" si="390"/>
        <v>고수</v>
      </c>
      <c r="AK508" s="22" t="str">
        <f t="shared" si="391"/>
        <v>고수</v>
      </c>
      <c r="AL508" s="22" t="str">
        <f t="shared" si="392"/>
        <v>3 : 3</v>
      </c>
      <c r="AM508" s="22">
        <f t="shared" si="393"/>
        <v>3</v>
      </c>
      <c r="AN508" s="22">
        <f t="shared" si="394"/>
        <v>3</v>
      </c>
      <c r="AO508" s="22">
        <f t="shared" si="395"/>
        <v>25</v>
      </c>
      <c r="AP508" s="22" t="str">
        <f t="shared" si="396"/>
        <v>X</v>
      </c>
      <c r="AQ508" s="22" t="str">
        <f t="shared" si="397"/>
        <v>X</v>
      </c>
      <c r="AR508" s="22" t="str">
        <f t="shared" si="398"/>
        <v>X</v>
      </c>
      <c r="AS508" s="22" t="str">
        <f t="shared" si="399"/>
        <v>X</v>
      </c>
      <c r="AT508" s="22" t="str">
        <f t="shared" si="400"/>
        <v>X</v>
      </c>
      <c r="AU508" s="22" t="str">
        <f t="shared" si="401"/>
        <v>X</v>
      </c>
      <c r="AV508" s="22" t="str">
        <f t="shared" si="402"/>
        <v>X</v>
      </c>
      <c r="AW508" s="22" t="str">
        <f t="shared" si="403"/>
        <v>X</v>
      </c>
      <c r="AX508" s="22" t="str">
        <f t="shared" si="404"/>
        <v>X</v>
      </c>
      <c r="AY508" s="22" t="str">
        <f t="shared" si="405"/>
        <v>X</v>
      </c>
      <c r="AZ508" s="22" t="str">
        <f t="shared" si="406"/>
        <v>O</v>
      </c>
      <c r="BA508" s="22" t="str">
        <f t="shared" si="407"/>
        <v>X</v>
      </c>
      <c r="BB508" s="22">
        <f t="shared" si="408"/>
        <v>1</v>
      </c>
      <c r="BC508" s="22" t="str">
        <f t="shared" si="409"/>
        <v>1G</v>
      </c>
      <c r="BD508" s="22" t="str">
        <f t="shared" si="410"/>
        <v>1G</v>
      </c>
      <c r="BE508" s="22" t="str">
        <f t="shared" si="411"/>
        <v>2G</v>
      </c>
      <c r="BF508" s="22" t="str">
        <f t="shared" si="412"/>
        <v>2G</v>
      </c>
      <c r="BG508" s="22" t="str">
        <f t="shared" si="413"/>
        <v>3G</v>
      </c>
      <c r="BH508" s="22" t="str">
        <f t="shared" si="414"/>
        <v>3G</v>
      </c>
      <c r="BI508" s="22">
        <f t="shared" si="371"/>
        <v>2</v>
      </c>
      <c r="BJ508" s="22">
        <f t="shared" si="372"/>
        <v>2</v>
      </c>
      <c r="BK508" s="22">
        <f t="shared" si="373"/>
        <v>2</v>
      </c>
      <c r="BL508" s="22" t="str">
        <f t="shared" si="415"/>
        <v>222</v>
      </c>
      <c r="BS508"/>
    </row>
    <row r="509" spans="1:93" ht="17" hidden="1">
      <c r="A509" s="16">
        <v>3</v>
      </c>
      <c r="B509" s="16">
        <v>505</v>
      </c>
      <c r="C509" s="23" t="s">
        <v>782</v>
      </c>
      <c r="N509" s="114">
        <v>7</v>
      </c>
      <c r="O509" s="114">
        <v>20</v>
      </c>
      <c r="P509" s="114">
        <v>22</v>
      </c>
      <c r="Q509" s="114">
        <v>25</v>
      </c>
      <c r="R509" s="114">
        <v>38</v>
      </c>
      <c r="S509" s="114">
        <v>40</v>
      </c>
      <c r="T509" s="114">
        <v>44</v>
      </c>
      <c r="U509" s="113">
        <f t="shared" si="376"/>
        <v>152</v>
      </c>
      <c r="W509" s="22" t="str">
        <f t="shared" si="377"/>
        <v>홀수</v>
      </c>
      <c r="X509" s="22" t="str">
        <f t="shared" si="378"/>
        <v>짝수</v>
      </c>
      <c r="Y509" s="22" t="str">
        <f t="shared" si="379"/>
        <v>짝수</v>
      </c>
      <c r="Z509" s="22" t="str">
        <f t="shared" si="380"/>
        <v>홀수</v>
      </c>
      <c r="AA509" s="23" t="str">
        <f t="shared" si="381"/>
        <v>짝수</v>
      </c>
      <c r="AB509" s="23" t="str">
        <f t="shared" si="382"/>
        <v>짝수</v>
      </c>
      <c r="AC509" s="22" t="str">
        <f t="shared" si="383"/>
        <v>2 : 4</v>
      </c>
      <c r="AD509" s="22">
        <f t="shared" si="384"/>
        <v>2</v>
      </c>
      <c r="AE509" s="22">
        <f t="shared" si="385"/>
        <v>4</v>
      </c>
      <c r="AF509" s="22" t="str">
        <f t="shared" si="386"/>
        <v>저수</v>
      </c>
      <c r="AG509" s="22" t="str">
        <f t="shared" si="387"/>
        <v>저수</v>
      </c>
      <c r="AH509" s="22" t="str">
        <f t="shared" si="388"/>
        <v>저수</v>
      </c>
      <c r="AI509" s="22" t="str">
        <f t="shared" si="389"/>
        <v>고수</v>
      </c>
      <c r="AJ509" s="22" t="str">
        <f t="shared" si="390"/>
        <v>고수</v>
      </c>
      <c r="AK509" s="22" t="str">
        <f t="shared" si="391"/>
        <v>고수</v>
      </c>
      <c r="AL509" s="22" t="str">
        <f t="shared" si="392"/>
        <v>3 : 3</v>
      </c>
      <c r="AM509" s="22">
        <f t="shared" si="393"/>
        <v>3</v>
      </c>
      <c r="AN509" s="22">
        <f t="shared" si="394"/>
        <v>3</v>
      </c>
      <c r="AO509" s="22">
        <f t="shared" si="395"/>
        <v>22</v>
      </c>
      <c r="AP509" s="22" t="str">
        <f t="shared" si="396"/>
        <v>O</v>
      </c>
      <c r="AQ509" s="22" t="str">
        <f t="shared" si="397"/>
        <v>X</v>
      </c>
      <c r="AR509" s="22" t="str">
        <f t="shared" si="398"/>
        <v>X</v>
      </c>
      <c r="AS509" s="22" t="str">
        <f t="shared" si="399"/>
        <v>X</v>
      </c>
      <c r="AT509" s="22" t="str">
        <f t="shared" si="400"/>
        <v>X</v>
      </c>
      <c r="AU509" s="22" t="str">
        <f t="shared" si="401"/>
        <v>X</v>
      </c>
      <c r="AV509" s="22" t="str">
        <f t="shared" si="402"/>
        <v>X</v>
      </c>
      <c r="AW509" s="22" t="str">
        <f t="shared" si="403"/>
        <v>X</v>
      </c>
      <c r="AX509" s="22" t="str">
        <f t="shared" si="404"/>
        <v>X</v>
      </c>
      <c r="AY509" s="22" t="str">
        <f t="shared" si="405"/>
        <v>X</v>
      </c>
      <c r="AZ509" s="22" t="str">
        <f t="shared" si="406"/>
        <v>X</v>
      </c>
      <c r="BA509" s="22" t="str">
        <f t="shared" si="407"/>
        <v>X</v>
      </c>
      <c r="BB509" s="22">
        <f t="shared" si="408"/>
        <v>1</v>
      </c>
      <c r="BC509" s="22" t="str">
        <f t="shared" si="409"/>
        <v>1G</v>
      </c>
      <c r="BD509" s="22" t="str">
        <f t="shared" si="410"/>
        <v>2G</v>
      </c>
      <c r="BE509" s="22" t="str">
        <f t="shared" si="411"/>
        <v>2G</v>
      </c>
      <c r="BF509" s="22" t="str">
        <f t="shared" si="412"/>
        <v>2G</v>
      </c>
      <c r="BG509" s="22" t="str">
        <f t="shared" si="413"/>
        <v>3G</v>
      </c>
      <c r="BH509" s="22" t="str">
        <f t="shared" si="414"/>
        <v>3G</v>
      </c>
      <c r="BI509" s="22">
        <f t="shared" si="371"/>
        <v>1</v>
      </c>
      <c r="BJ509" s="22">
        <f t="shared" si="372"/>
        <v>3</v>
      </c>
      <c r="BK509" s="22">
        <f t="shared" si="373"/>
        <v>2</v>
      </c>
      <c r="BL509" s="22" t="str">
        <f t="shared" si="415"/>
        <v>132</v>
      </c>
      <c r="BS509"/>
    </row>
    <row r="510" spans="1:93" ht="17" hidden="1">
      <c r="A510" s="16">
        <v>3</v>
      </c>
      <c r="B510" s="16">
        <v>506</v>
      </c>
      <c r="C510" s="23" t="s">
        <v>783</v>
      </c>
      <c r="N510" s="112">
        <v>6</v>
      </c>
      <c r="O510" s="112">
        <v>9</v>
      </c>
      <c r="P510" s="112">
        <v>11</v>
      </c>
      <c r="Q510" s="112">
        <v>22</v>
      </c>
      <c r="R510" s="112">
        <v>24</v>
      </c>
      <c r="S510" s="112">
        <v>30</v>
      </c>
      <c r="T510" s="112">
        <v>31</v>
      </c>
      <c r="U510" s="113">
        <f t="shared" si="376"/>
        <v>102</v>
      </c>
      <c r="W510" s="22" t="str">
        <f t="shared" si="377"/>
        <v>짝수</v>
      </c>
      <c r="X510" s="22" t="str">
        <f t="shared" si="378"/>
        <v>홀수</v>
      </c>
      <c r="Y510" s="22" t="str">
        <f t="shared" si="379"/>
        <v>홀수</v>
      </c>
      <c r="Z510" s="22" t="str">
        <f t="shared" si="380"/>
        <v>짝수</v>
      </c>
      <c r="AA510" s="23" t="str">
        <f t="shared" si="381"/>
        <v>짝수</v>
      </c>
      <c r="AB510" s="23" t="str">
        <f t="shared" si="382"/>
        <v>짝수</v>
      </c>
      <c r="AC510" s="22" t="str">
        <f t="shared" si="383"/>
        <v>2 : 4</v>
      </c>
      <c r="AD510" s="22">
        <f t="shared" si="384"/>
        <v>2</v>
      </c>
      <c r="AE510" s="22">
        <f t="shared" si="385"/>
        <v>4</v>
      </c>
      <c r="AF510" s="22" t="str">
        <f t="shared" si="386"/>
        <v>저수</v>
      </c>
      <c r="AG510" s="22" t="str">
        <f t="shared" si="387"/>
        <v>저수</v>
      </c>
      <c r="AH510" s="22" t="str">
        <f t="shared" si="388"/>
        <v>저수</v>
      </c>
      <c r="AI510" s="22" t="str">
        <f t="shared" si="389"/>
        <v>저수</v>
      </c>
      <c r="AJ510" s="22" t="str">
        <f t="shared" si="390"/>
        <v>고수</v>
      </c>
      <c r="AK510" s="22" t="str">
        <f t="shared" si="391"/>
        <v>고수</v>
      </c>
      <c r="AL510" s="22" t="str">
        <f t="shared" si="392"/>
        <v>4 : 2</v>
      </c>
      <c r="AM510" s="22">
        <f t="shared" si="393"/>
        <v>4</v>
      </c>
      <c r="AN510" s="22">
        <f t="shared" si="394"/>
        <v>2</v>
      </c>
      <c r="AO510" s="22">
        <f t="shared" si="395"/>
        <v>22</v>
      </c>
      <c r="AP510" s="22" t="str">
        <f t="shared" si="396"/>
        <v>X</v>
      </c>
      <c r="AQ510" s="22" t="str">
        <f t="shared" si="397"/>
        <v>X</v>
      </c>
      <c r="AR510" s="22" t="str">
        <f t="shared" si="398"/>
        <v>O</v>
      </c>
      <c r="AS510" s="22" t="str">
        <f t="shared" si="399"/>
        <v>X</v>
      </c>
      <c r="AT510" s="22" t="str">
        <f t="shared" si="400"/>
        <v>X</v>
      </c>
      <c r="AU510" s="22" t="str">
        <f t="shared" si="401"/>
        <v>X</v>
      </c>
      <c r="AV510" s="22" t="str">
        <f t="shared" si="402"/>
        <v>X</v>
      </c>
      <c r="AW510" s="22" t="str">
        <f t="shared" si="403"/>
        <v>X</v>
      </c>
      <c r="AX510" s="22" t="str">
        <f t="shared" si="404"/>
        <v>X</v>
      </c>
      <c r="AY510" s="22" t="str">
        <f t="shared" si="405"/>
        <v>X</v>
      </c>
      <c r="AZ510" s="22" t="str">
        <f t="shared" si="406"/>
        <v>X</v>
      </c>
      <c r="BA510" s="22" t="str">
        <f t="shared" si="407"/>
        <v>X</v>
      </c>
      <c r="BB510" s="22">
        <f t="shared" si="408"/>
        <v>1</v>
      </c>
      <c r="BC510" s="22" t="str">
        <f t="shared" si="409"/>
        <v>1G</v>
      </c>
      <c r="BD510" s="22" t="str">
        <f t="shared" si="410"/>
        <v>1G</v>
      </c>
      <c r="BE510" s="22" t="str">
        <f t="shared" si="411"/>
        <v>1G</v>
      </c>
      <c r="BF510" s="22" t="str">
        <f t="shared" si="412"/>
        <v>2G</v>
      </c>
      <c r="BG510" s="22" t="str">
        <f t="shared" si="413"/>
        <v>2G</v>
      </c>
      <c r="BH510" s="22" t="str">
        <f t="shared" si="414"/>
        <v>2G</v>
      </c>
      <c r="BI510" s="22">
        <f t="shared" si="371"/>
        <v>3</v>
      </c>
      <c r="BJ510" s="22">
        <f t="shared" si="372"/>
        <v>3</v>
      </c>
      <c r="BK510" s="22">
        <f t="shared" si="373"/>
        <v>0</v>
      </c>
      <c r="BL510" s="22" t="str">
        <f t="shared" si="415"/>
        <v>330</v>
      </c>
      <c r="BS510"/>
    </row>
    <row r="511" spans="1:93" ht="17" hidden="1">
      <c r="A511" s="16">
        <v>3</v>
      </c>
      <c r="B511" s="16">
        <v>507</v>
      </c>
      <c r="C511" s="23" t="s">
        <v>784</v>
      </c>
      <c r="N511" s="112">
        <v>12</v>
      </c>
      <c r="O511" s="112">
        <v>13</v>
      </c>
      <c r="P511" s="112">
        <v>32</v>
      </c>
      <c r="Q511" s="112">
        <v>33</v>
      </c>
      <c r="R511" s="112">
        <v>40</v>
      </c>
      <c r="S511" s="112">
        <v>41</v>
      </c>
      <c r="T511" s="112">
        <v>4</v>
      </c>
      <c r="U511" s="113">
        <f t="shared" si="376"/>
        <v>171</v>
      </c>
      <c r="W511" s="22" t="str">
        <f t="shared" si="377"/>
        <v>짝수</v>
      </c>
      <c r="X511" s="22" t="str">
        <f t="shared" si="378"/>
        <v>홀수</v>
      </c>
      <c r="Y511" s="22" t="str">
        <f t="shared" si="379"/>
        <v>짝수</v>
      </c>
      <c r="Z511" s="22" t="str">
        <f t="shared" si="380"/>
        <v>홀수</v>
      </c>
      <c r="AA511" s="23" t="str">
        <f t="shared" si="381"/>
        <v>짝수</v>
      </c>
      <c r="AB511" s="23" t="str">
        <f t="shared" si="382"/>
        <v>홀수</v>
      </c>
      <c r="AC511" s="22" t="str">
        <f t="shared" si="383"/>
        <v>3 : 3</v>
      </c>
      <c r="AD511" s="22">
        <f t="shared" si="384"/>
        <v>3</v>
      </c>
      <c r="AE511" s="22">
        <f t="shared" si="385"/>
        <v>3</v>
      </c>
      <c r="AF511" s="22" t="str">
        <f t="shared" si="386"/>
        <v>저수</v>
      </c>
      <c r="AG511" s="22" t="str">
        <f t="shared" si="387"/>
        <v>저수</v>
      </c>
      <c r="AH511" s="22" t="str">
        <f t="shared" si="388"/>
        <v>고수</v>
      </c>
      <c r="AI511" s="22" t="str">
        <f t="shared" si="389"/>
        <v>고수</v>
      </c>
      <c r="AJ511" s="22" t="str">
        <f t="shared" si="390"/>
        <v>고수</v>
      </c>
      <c r="AK511" s="22" t="str">
        <f t="shared" si="391"/>
        <v>고수</v>
      </c>
      <c r="AL511" s="22" t="str">
        <f t="shared" si="392"/>
        <v>2 : 4</v>
      </c>
      <c r="AM511" s="22">
        <f t="shared" si="393"/>
        <v>2</v>
      </c>
      <c r="AN511" s="22">
        <f t="shared" si="394"/>
        <v>4</v>
      </c>
      <c r="AO511" s="22">
        <f t="shared" si="395"/>
        <v>11</v>
      </c>
      <c r="AP511" s="22" t="str">
        <f t="shared" si="396"/>
        <v>X</v>
      </c>
      <c r="AQ511" s="22" t="str">
        <f t="shared" si="397"/>
        <v>O</v>
      </c>
      <c r="AR511" s="22" t="str">
        <f t="shared" si="398"/>
        <v>X</v>
      </c>
      <c r="AS511" s="22" t="str">
        <f t="shared" si="399"/>
        <v>X</v>
      </c>
      <c r="AT511" s="22" t="str">
        <f t="shared" si="400"/>
        <v>X</v>
      </c>
      <c r="AU511" s="22" t="str">
        <f t="shared" si="401"/>
        <v>X</v>
      </c>
      <c r="AV511" s="22" t="str">
        <f t="shared" si="402"/>
        <v>X</v>
      </c>
      <c r="AW511" s="22" t="str">
        <f t="shared" si="403"/>
        <v>X</v>
      </c>
      <c r="AX511" s="22" t="str">
        <f t="shared" si="404"/>
        <v>X</v>
      </c>
      <c r="AY511" s="22" t="str">
        <f t="shared" si="405"/>
        <v>X</v>
      </c>
      <c r="AZ511" s="22" t="str">
        <f t="shared" si="406"/>
        <v>X</v>
      </c>
      <c r="BA511" s="22" t="str">
        <f t="shared" si="407"/>
        <v>O</v>
      </c>
      <c r="BB511" s="22">
        <f t="shared" si="408"/>
        <v>2</v>
      </c>
      <c r="BC511" s="22" t="str">
        <f t="shared" si="409"/>
        <v>1G</v>
      </c>
      <c r="BD511" s="22" t="str">
        <f t="shared" si="410"/>
        <v>1G</v>
      </c>
      <c r="BE511" s="22" t="str">
        <f t="shared" si="411"/>
        <v>3G</v>
      </c>
      <c r="BF511" s="22" t="str">
        <f t="shared" si="412"/>
        <v>3G</v>
      </c>
      <c r="BG511" s="22" t="str">
        <f t="shared" si="413"/>
        <v>3G</v>
      </c>
      <c r="BH511" s="22" t="str">
        <f t="shared" si="414"/>
        <v>3G</v>
      </c>
      <c r="BI511" s="22">
        <f t="shared" si="371"/>
        <v>2</v>
      </c>
      <c r="BJ511" s="22">
        <f t="shared" si="372"/>
        <v>0</v>
      </c>
      <c r="BK511" s="22">
        <f t="shared" si="373"/>
        <v>4</v>
      </c>
      <c r="BL511" s="22" t="str">
        <f t="shared" si="415"/>
        <v>204</v>
      </c>
      <c r="BS511"/>
    </row>
    <row r="512" spans="1:93" ht="17" hidden="1">
      <c r="A512" s="16">
        <v>3</v>
      </c>
      <c r="B512" s="16">
        <v>508</v>
      </c>
      <c r="C512" s="23" t="s">
        <v>785</v>
      </c>
      <c r="N512" s="112">
        <v>5</v>
      </c>
      <c r="O512" s="112">
        <v>27</v>
      </c>
      <c r="P512" s="112">
        <v>31</v>
      </c>
      <c r="Q512" s="112">
        <v>34</v>
      </c>
      <c r="R512" s="114">
        <v>35</v>
      </c>
      <c r="S512" s="114">
        <v>43</v>
      </c>
      <c r="T512" s="114">
        <v>37</v>
      </c>
      <c r="U512" s="113">
        <f t="shared" si="376"/>
        <v>175</v>
      </c>
      <c r="W512" s="22" t="str">
        <f t="shared" si="377"/>
        <v>홀수</v>
      </c>
      <c r="X512" s="22" t="str">
        <f t="shared" si="378"/>
        <v>홀수</v>
      </c>
      <c r="Y512" s="22" t="str">
        <f t="shared" si="379"/>
        <v>홀수</v>
      </c>
      <c r="Z512" s="22" t="str">
        <f t="shared" si="380"/>
        <v>짝수</v>
      </c>
      <c r="AA512" s="23" t="str">
        <f t="shared" si="381"/>
        <v>홀수</v>
      </c>
      <c r="AB512" s="23" t="str">
        <f t="shared" si="382"/>
        <v>홀수</v>
      </c>
      <c r="AC512" s="22" t="str">
        <f t="shared" si="383"/>
        <v>5 : 1</v>
      </c>
      <c r="AD512" s="22">
        <f t="shared" si="384"/>
        <v>5</v>
      </c>
      <c r="AE512" s="22">
        <f t="shared" si="385"/>
        <v>1</v>
      </c>
      <c r="AF512" s="22" t="str">
        <f t="shared" si="386"/>
        <v>저수</v>
      </c>
      <c r="AG512" s="22" t="str">
        <f t="shared" si="387"/>
        <v>고수</v>
      </c>
      <c r="AH512" s="22" t="str">
        <f t="shared" si="388"/>
        <v>고수</v>
      </c>
      <c r="AI512" s="22" t="str">
        <f t="shared" si="389"/>
        <v>고수</v>
      </c>
      <c r="AJ512" s="22" t="str">
        <f t="shared" si="390"/>
        <v>고수</v>
      </c>
      <c r="AK512" s="22" t="str">
        <f t="shared" si="391"/>
        <v>고수</v>
      </c>
      <c r="AL512" s="22" t="str">
        <f t="shared" si="392"/>
        <v>1 : 5</v>
      </c>
      <c r="AM512" s="22">
        <f t="shared" si="393"/>
        <v>1</v>
      </c>
      <c r="AN512" s="22">
        <f t="shared" si="394"/>
        <v>5</v>
      </c>
      <c r="AO512" s="22">
        <f t="shared" si="395"/>
        <v>25</v>
      </c>
      <c r="AP512" s="22" t="str">
        <f t="shared" si="396"/>
        <v>O</v>
      </c>
      <c r="AQ512" s="22" t="str">
        <f t="shared" si="397"/>
        <v>X</v>
      </c>
      <c r="AR512" s="22" t="str">
        <f t="shared" si="398"/>
        <v>X</v>
      </c>
      <c r="AS512" s="22" t="str">
        <f t="shared" si="399"/>
        <v>X</v>
      </c>
      <c r="AT512" s="22" t="str">
        <f t="shared" si="400"/>
        <v>X</v>
      </c>
      <c r="AU512" s="22" t="str">
        <f t="shared" si="401"/>
        <v>X</v>
      </c>
      <c r="AV512" s="22" t="str">
        <f t="shared" si="402"/>
        <v>X</v>
      </c>
      <c r="AW512" s="22" t="str">
        <f t="shared" si="403"/>
        <v>X</v>
      </c>
      <c r="AX512" s="22" t="str">
        <f t="shared" si="404"/>
        <v>O</v>
      </c>
      <c r="AY512" s="22" t="str">
        <f t="shared" si="405"/>
        <v>X</v>
      </c>
      <c r="AZ512" s="22" t="str">
        <f t="shared" si="406"/>
        <v>X</v>
      </c>
      <c r="BA512" s="22" t="str">
        <f t="shared" si="407"/>
        <v>O</v>
      </c>
      <c r="BB512" s="22">
        <f t="shared" si="408"/>
        <v>3</v>
      </c>
      <c r="BC512" s="22" t="str">
        <f t="shared" si="409"/>
        <v>1G</v>
      </c>
      <c r="BD512" s="22" t="str">
        <f t="shared" si="410"/>
        <v>2G</v>
      </c>
      <c r="BE512" s="22" t="str">
        <f t="shared" si="411"/>
        <v>3G</v>
      </c>
      <c r="BF512" s="22" t="str">
        <f t="shared" si="412"/>
        <v>3G</v>
      </c>
      <c r="BG512" s="22" t="str">
        <f t="shared" si="413"/>
        <v>3G</v>
      </c>
      <c r="BH512" s="22" t="str">
        <f t="shared" si="414"/>
        <v>3G</v>
      </c>
      <c r="BI512" s="22">
        <f t="shared" si="371"/>
        <v>1</v>
      </c>
      <c r="BJ512" s="22">
        <f t="shared" si="372"/>
        <v>1</v>
      </c>
      <c r="BK512" s="22">
        <f t="shared" si="373"/>
        <v>4</v>
      </c>
      <c r="BL512" s="22" t="str">
        <f t="shared" si="415"/>
        <v>114</v>
      </c>
      <c r="BO512"/>
      <c r="BP512"/>
      <c r="BQ512"/>
      <c r="BR512"/>
      <c r="BS512"/>
      <c r="BT512"/>
      <c r="BU512"/>
      <c r="BV512"/>
    </row>
    <row r="513" spans="1:74" ht="17" hidden="1">
      <c r="A513" s="16">
        <v>2</v>
      </c>
      <c r="B513" s="16">
        <v>509</v>
      </c>
      <c r="C513" s="23" t="s">
        <v>786</v>
      </c>
      <c r="N513" s="155">
        <v>12</v>
      </c>
      <c r="O513" s="155">
        <v>25</v>
      </c>
      <c r="P513" s="155">
        <v>29</v>
      </c>
      <c r="Q513" s="155">
        <v>35</v>
      </c>
      <c r="R513" s="115">
        <v>42</v>
      </c>
      <c r="S513" s="115">
        <v>43</v>
      </c>
      <c r="T513" s="115">
        <v>24</v>
      </c>
      <c r="U513" s="113">
        <f t="shared" si="376"/>
        <v>186</v>
      </c>
      <c r="W513" s="22" t="str">
        <f t="shared" si="377"/>
        <v>짝수</v>
      </c>
      <c r="X513" s="22" t="str">
        <f t="shared" si="378"/>
        <v>홀수</v>
      </c>
      <c r="Y513" s="22" t="str">
        <f t="shared" si="379"/>
        <v>홀수</v>
      </c>
      <c r="Z513" s="22" t="str">
        <f t="shared" si="380"/>
        <v>홀수</v>
      </c>
      <c r="AA513" s="23" t="str">
        <f t="shared" si="381"/>
        <v>짝수</v>
      </c>
      <c r="AB513" s="23" t="str">
        <f t="shared" si="382"/>
        <v>홀수</v>
      </c>
      <c r="AC513" s="22" t="str">
        <f t="shared" si="383"/>
        <v>4 : 2</v>
      </c>
      <c r="AD513" s="22">
        <f t="shared" si="384"/>
        <v>4</v>
      </c>
      <c r="AE513" s="22">
        <f t="shared" si="385"/>
        <v>2</v>
      </c>
      <c r="AF513" s="22" t="str">
        <f t="shared" si="386"/>
        <v>저수</v>
      </c>
      <c r="AG513" s="22" t="str">
        <f t="shared" si="387"/>
        <v>고수</v>
      </c>
      <c r="AH513" s="22" t="str">
        <f t="shared" si="388"/>
        <v>고수</v>
      </c>
      <c r="AI513" s="22" t="str">
        <f t="shared" si="389"/>
        <v>고수</v>
      </c>
      <c r="AJ513" s="22" t="str">
        <f t="shared" si="390"/>
        <v>고수</v>
      </c>
      <c r="AK513" s="22" t="str">
        <f t="shared" si="391"/>
        <v>고수</v>
      </c>
      <c r="AL513" s="22" t="str">
        <f t="shared" si="392"/>
        <v>1 : 5</v>
      </c>
      <c r="AM513" s="22">
        <f t="shared" si="393"/>
        <v>1</v>
      </c>
      <c r="AN513" s="22">
        <f t="shared" si="394"/>
        <v>5</v>
      </c>
      <c r="AO513" s="22">
        <f t="shared" si="395"/>
        <v>26</v>
      </c>
      <c r="AP513" s="22" t="str">
        <f t="shared" si="396"/>
        <v>X</v>
      </c>
      <c r="AQ513" s="22" t="str">
        <f t="shared" si="397"/>
        <v>X</v>
      </c>
      <c r="AR513" s="22" t="str">
        <f t="shared" si="398"/>
        <v>X</v>
      </c>
      <c r="AS513" s="22" t="str">
        <f t="shared" si="399"/>
        <v>X</v>
      </c>
      <c r="AT513" s="22" t="str">
        <f t="shared" si="400"/>
        <v>X</v>
      </c>
      <c r="AU513" s="22" t="str">
        <f t="shared" si="401"/>
        <v>X</v>
      </c>
      <c r="AV513" s="22" t="str">
        <f t="shared" si="402"/>
        <v>X</v>
      </c>
      <c r="AW513" s="22" t="str">
        <f t="shared" si="403"/>
        <v>X</v>
      </c>
      <c r="AX513" s="22" t="str">
        <f t="shared" si="404"/>
        <v>O</v>
      </c>
      <c r="AY513" s="22" t="str">
        <f t="shared" si="405"/>
        <v>X</v>
      </c>
      <c r="AZ513" s="22" t="str">
        <f t="shared" si="406"/>
        <v>X</v>
      </c>
      <c r="BA513" s="22" t="str">
        <f t="shared" si="407"/>
        <v>O</v>
      </c>
      <c r="BB513" s="22">
        <f t="shared" si="408"/>
        <v>2</v>
      </c>
      <c r="BC513" s="22" t="str">
        <f t="shared" si="409"/>
        <v>1G</v>
      </c>
      <c r="BD513" s="22" t="str">
        <f t="shared" si="410"/>
        <v>2G</v>
      </c>
      <c r="BE513" s="22" t="str">
        <f t="shared" si="411"/>
        <v>2G</v>
      </c>
      <c r="BF513" s="22" t="str">
        <f t="shared" si="412"/>
        <v>3G</v>
      </c>
      <c r="BG513" s="22" t="str">
        <f t="shared" si="413"/>
        <v>3G</v>
      </c>
      <c r="BH513" s="22" t="str">
        <f t="shared" si="414"/>
        <v>3G</v>
      </c>
      <c r="BI513" s="22">
        <f t="shared" si="371"/>
        <v>1</v>
      </c>
      <c r="BJ513" s="22">
        <f t="shared" si="372"/>
        <v>2</v>
      </c>
      <c r="BK513" s="22">
        <f t="shared" si="373"/>
        <v>3</v>
      </c>
      <c r="BL513" s="22" t="str">
        <f t="shared" si="415"/>
        <v>123</v>
      </c>
      <c r="BO513"/>
      <c r="BP513"/>
      <c r="BQ513"/>
      <c r="BR513"/>
      <c r="BS513"/>
      <c r="BT513"/>
      <c r="BU513"/>
      <c r="BV513"/>
    </row>
    <row r="514" spans="1:74" ht="17" hidden="1">
      <c r="A514" s="16">
        <v>2</v>
      </c>
      <c r="B514" s="16">
        <v>510</v>
      </c>
      <c r="C514" s="23" t="s">
        <v>787</v>
      </c>
      <c r="N514" s="113">
        <v>12</v>
      </c>
      <c r="O514" s="113">
        <v>29</v>
      </c>
      <c r="P514" s="113">
        <v>32</v>
      </c>
      <c r="Q514" s="113">
        <v>33</v>
      </c>
      <c r="R514" s="116">
        <v>39</v>
      </c>
      <c r="S514" s="116">
        <v>40</v>
      </c>
      <c r="T514" s="116">
        <v>42</v>
      </c>
      <c r="U514" s="113">
        <f t="shared" si="376"/>
        <v>185</v>
      </c>
      <c r="W514" s="22" t="str">
        <f t="shared" si="377"/>
        <v>짝수</v>
      </c>
      <c r="X514" s="22" t="str">
        <f t="shared" si="378"/>
        <v>홀수</v>
      </c>
      <c r="Y514" s="22" t="str">
        <f t="shared" si="379"/>
        <v>짝수</v>
      </c>
      <c r="Z514" s="22" t="str">
        <f t="shared" si="380"/>
        <v>홀수</v>
      </c>
      <c r="AA514" s="23" t="str">
        <f t="shared" si="381"/>
        <v>홀수</v>
      </c>
      <c r="AB514" s="23" t="str">
        <f t="shared" si="382"/>
        <v>짝수</v>
      </c>
      <c r="AC514" s="22" t="str">
        <f t="shared" si="383"/>
        <v>3 : 3</v>
      </c>
      <c r="AD514" s="22">
        <f t="shared" si="384"/>
        <v>3</v>
      </c>
      <c r="AE514" s="22">
        <f t="shared" si="385"/>
        <v>3</v>
      </c>
      <c r="AF514" s="22" t="str">
        <f t="shared" si="386"/>
        <v>저수</v>
      </c>
      <c r="AG514" s="22" t="str">
        <f t="shared" si="387"/>
        <v>고수</v>
      </c>
      <c r="AH514" s="22" t="str">
        <f t="shared" si="388"/>
        <v>고수</v>
      </c>
      <c r="AI514" s="22" t="str">
        <f t="shared" si="389"/>
        <v>고수</v>
      </c>
      <c r="AJ514" s="22" t="str">
        <f t="shared" si="390"/>
        <v>고수</v>
      </c>
      <c r="AK514" s="22" t="str">
        <f t="shared" si="391"/>
        <v>고수</v>
      </c>
      <c r="AL514" s="22" t="str">
        <f t="shared" si="392"/>
        <v>1 : 5</v>
      </c>
      <c r="AM514" s="22">
        <f t="shared" si="393"/>
        <v>1</v>
      </c>
      <c r="AN514" s="22">
        <f t="shared" si="394"/>
        <v>5</v>
      </c>
      <c r="AO514" s="22">
        <f t="shared" si="395"/>
        <v>25</v>
      </c>
      <c r="AP514" s="22" t="str">
        <f t="shared" si="396"/>
        <v>X</v>
      </c>
      <c r="AQ514" s="22" t="str">
        <f t="shared" si="397"/>
        <v>X</v>
      </c>
      <c r="AR514" s="22" t="str">
        <f t="shared" si="398"/>
        <v>X</v>
      </c>
      <c r="AS514" s="22" t="str">
        <f t="shared" si="399"/>
        <v>X</v>
      </c>
      <c r="AT514" s="22" t="str">
        <f t="shared" si="400"/>
        <v>X</v>
      </c>
      <c r="AU514" s="22" t="str">
        <f t="shared" si="401"/>
        <v>X</v>
      </c>
      <c r="AV514" s="22" t="str">
        <f t="shared" si="402"/>
        <v>X</v>
      </c>
      <c r="AW514" s="22" t="str">
        <f t="shared" si="403"/>
        <v>O</v>
      </c>
      <c r="AX514" s="22" t="str">
        <f t="shared" si="404"/>
        <v>X</v>
      </c>
      <c r="AY514" s="22" t="str">
        <f t="shared" si="405"/>
        <v>X</v>
      </c>
      <c r="AZ514" s="22" t="str">
        <f t="shared" si="406"/>
        <v>X</v>
      </c>
      <c r="BA514" s="22" t="str">
        <f t="shared" si="407"/>
        <v>X</v>
      </c>
      <c r="BB514" s="22">
        <f t="shared" si="408"/>
        <v>1</v>
      </c>
      <c r="BC514" s="22" t="str">
        <f t="shared" si="409"/>
        <v>1G</v>
      </c>
      <c r="BD514" s="22" t="str">
        <f t="shared" si="410"/>
        <v>2G</v>
      </c>
      <c r="BE514" s="22" t="str">
        <f t="shared" si="411"/>
        <v>3G</v>
      </c>
      <c r="BF514" s="22" t="str">
        <f t="shared" si="412"/>
        <v>3G</v>
      </c>
      <c r="BG514" s="22" t="str">
        <f t="shared" si="413"/>
        <v>3G</v>
      </c>
      <c r="BH514" s="22" t="str">
        <f t="shared" si="414"/>
        <v>3G</v>
      </c>
      <c r="BI514" s="22">
        <f t="shared" si="371"/>
        <v>1</v>
      </c>
      <c r="BJ514" s="22">
        <f t="shared" si="372"/>
        <v>1</v>
      </c>
      <c r="BK514" s="22">
        <f t="shared" si="373"/>
        <v>4</v>
      </c>
      <c r="BL514" s="22" t="str">
        <f t="shared" si="415"/>
        <v>114</v>
      </c>
      <c r="BO514"/>
      <c r="BP514"/>
      <c r="BQ514"/>
      <c r="BR514"/>
      <c r="BS514"/>
      <c r="BT514"/>
      <c r="BU514"/>
      <c r="BV514"/>
    </row>
    <row r="515" spans="1:74" ht="17" hidden="1">
      <c r="A515" s="16">
        <v>2</v>
      </c>
      <c r="B515" s="16">
        <v>511</v>
      </c>
      <c r="C515" s="23" t="s">
        <v>788</v>
      </c>
      <c r="N515" s="156">
        <v>3</v>
      </c>
      <c r="O515" s="156">
        <v>7</v>
      </c>
      <c r="P515" s="156">
        <v>14</v>
      </c>
      <c r="Q515" s="156">
        <v>23</v>
      </c>
      <c r="R515" s="117">
        <v>26</v>
      </c>
      <c r="S515" s="117">
        <v>42</v>
      </c>
      <c r="T515" s="117">
        <v>24</v>
      </c>
      <c r="U515" s="113">
        <f t="shared" si="376"/>
        <v>115</v>
      </c>
      <c r="W515" s="22" t="str">
        <f t="shared" si="377"/>
        <v>홀수</v>
      </c>
      <c r="X515" s="22" t="str">
        <f t="shared" si="378"/>
        <v>홀수</v>
      </c>
      <c r="Y515" s="22" t="str">
        <f t="shared" si="379"/>
        <v>짝수</v>
      </c>
      <c r="Z515" s="22" t="str">
        <f t="shared" si="380"/>
        <v>홀수</v>
      </c>
      <c r="AA515" s="23" t="str">
        <f t="shared" si="381"/>
        <v>짝수</v>
      </c>
      <c r="AB515" s="23" t="str">
        <f t="shared" si="382"/>
        <v>짝수</v>
      </c>
      <c r="AC515" s="22" t="str">
        <f t="shared" si="383"/>
        <v>3 : 3</v>
      </c>
      <c r="AD515" s="22">
        <f t="shared" si="384"/>
        <v>3</v>
      </c>
      <c r="AE515" s="22">
        <f t="shared" si="385"/>
        <v>3</v>
      </c>
      <c r="AF515" s="22" t="str">
        <f t="shared" si="386"/>
        <v>저수</v>
      </c>
      <c r="AG515" s="22" t="str">
        <f t="shared" si="387"/>
        <v>저수</v>
      </c>
      <c r="AH515" s="22" t="str">
        <f t="shared" si="388"/>
        <v>저수</v>
      </c>
      <c r="AI515" s="22" t="str">
        <f t="shared" si="389"/>
        <v>고수</v>
      </c>
      <c r="AJ515" s="22" t="str">
        <f t="shared" si="390"/>
        <v>고수</v>
      </c>
      <c r="AK515" s="22" t="str">
        <f t="shared" si="391"/>
        <v>고수</v>
      </c>
      <c r="AL515" s="22" t="str">
        <f t="shared" si="392"/>
        <v>3 : 3</v>
      </c>
      <c r="AM515" s="22">
        <f t="shared" si="393"/>
        <v>3</v>
      </c>
      <c r="AN515" s="22">
        <f t="shared" si="394"/>
        <v>3</v>
      </c>
      <c r="AO515" s="22">
        <f t="shared" si="395"/>
        <v>25</v>
      </c>
      <c r="AP515" s="22" t="str">
        <f t="shared" si="396"/>
        <v>O</v>
      </c>
      <c r="AQ515" s="22" t="str">
        <f t="shared" si="397"/>
        <v>O</v>
      </c>
      <c r="AR515" s="22" t="str">
        <f t="shared" si="398"/>
        <v>X</v>
      </c>
      <c r="AS515" s="22" t="str">
        <f t="shared" si="399"/>
        <v>X</v>
      </c>
      <c r="AT515" s="22" t="str">
        <f t="shared" si="400"/>
        <v>X</v>
      </c>
      <c r="AU515" s="22" t="str">
        <f t="shared" si="401"/>
        <v>X</v>
      </c>
      <c r="AV515" s="22" t="str">
        <f t="shared" si="402"/>
        <v>X</v>
      </c>
      <c r="AW515" s="22" t="str">
        <f t="shared" si="403"/>
        <v>X</v>
      </c>
      <c r="AX515" s="22" t="str">
        <f t="shared" si="404"/>
        <v>X</v>
      </c>
      <c r="AY515" s="22" t="str">
        <f t="shared" si="405"/>
        <v>O</v>
      </c>
      <c r="AZ515" s="22" t="str">
        <f t="shared" si="406"/>
        <v>X</v>
      </c>
      <c r="BA515" s="22" t="str">
        <f t="shared" si="407"/>
        <v>X</v>
      </c>
      <c r="BB515" s="22">
        <f t="shared" si="408"/>
        <v>3</v>
      </c>
      <c r="BC515" s="22" t="str">
        <f t="shared" si="409"/>
        <v>1G</v>
      </c>
      <c r="BD515" s="22" t="str">
        <f t="shared" si="410"/>
        <v>1G</v>
      </c>
      <c r="BE515" s="22" t="str">
        <f t="shared" si="411"/>
        <v>1G</v>
      </c>
      <c r="BF515" s="22" t="str">
        <f t="shared" si="412"/>
        <v>2G</v>
      </c>
      <c r="BG515" s="22" t="str">
        <f t="shared" si="413"/>
        <v>2G</v>
      </c>
      <c r="BH515" s="22" t="str">
        <f t="shared" si="414"/>
        <v>3G</v>
      </c>
      <c r="BI515" s="22">
        <f t="shared" si="371"/>
        <v>3</v>
      </c>
      <c r="BJ515" s="22">
        <f t="shared" si="372"/>
        <v>2</v>
      </c>
      <c r="BK515" s="22">
        <f t="shared" si="373"/>
        <v>1</v>
      </c>
      <c r="BL515" s="22" t="str">
        <f t="shared" si="415"/>
        <v>321</v>
      </c>
      <c r="BO515"/>
      <c r="BP515"/>
      <c r="BQ515"/>
      <c r="BR515"/>
      <c r="BS515"/>
      <c r="BT515"/>
      <c r="BU515"/>
      <c r="BV515"/>
    </row>
    <row r="516" spans="1:74" ht="17" hidden="1">
      <c r="A516" s="16">
        <v>2</v>
      </c>
      <c r="B516" s="16">
        <v>512</v>
      </c>
      <c r="C516" s="23" t="s">
        <v>789</v>
      </c>
      <c r="N516" s="156">
        <v>4</v>
      </c>
      <c r="O516" s="156">
        <v>5</v>
      </c>
      <c r="P516" s="156">
        <v>9</v>
      </c>
      <c r="Q516" s="156">
        <v>12</v>
      </c>
      <c r="R516" s="117">
        <v>26</v>
      </c>
      <c r="S516" s="117">
        <v>27</v>
      </c>
      <c r="T516" s="117">
        <v>1</v>
      </c>
      <c r="U516" s="113">
        <f t="shared" si="376"/>
        <v>83</v>
      </c>
      <c r="W516" s="22" t="str">
        <f t="shared" si="377"/>
        <v>짝수</v>
      </c>
      <c r="X516" s="22" t="str">
        <f t="shared" si="378"/>
        <v>홀수</v>
      </c>
      <c r="Y516" s="22" t="str">
        <f t="shared" si="379"/>
        <v>홀수</v>
      </c>
      <c r="Z516" s="22" t="str">
        <f t="shared" si="380"/>
        <v>짝수</v>
      </c>
      <c r="AA516" s="23" t="str">
        <f t="shared" si="381"/>
        <v>짝수</v>
      </c>
      <c r="AB516" s="23" t="str">
        <f t="shared" si="382"/>
        <v>홀수</v>
      </c>
      <c r="AC516" s="22" t="str">
        <f t="shared" si="383"/>
        <v>3 : 3</v>
      </c>
      <c r="AD516" s="22">
        <f t="shared" si="384"/>
        <v>3</v>
      </c>
      <c r="AE516" s="22">
        <f t="shared" si="385"/>
        <v>3</v>
      </c>
      <c r="AF516" s="22" t="str">
        <f t="shared" si="386"/>
        <v>저수</v>
      </c>
      <c r="AG516" s="22" t="str">
        <f t="shared" si="387"/>
        <v>저수</v>
      </c>
      <c r="AH516" s="22" t="str">
        <f t="shared" si="388"/>
        <v>저수</v>
      </c>
      <c r="AI516" s="22" t="str">
        <f t="shared" si="389"/>
        <v>저수</v>
      </c>
      <c r="AJ516" s="22" t="str">
        <f t="shared" si="390"/>
        <v>고수</v>
      </c>
      <c r="AK516" s="22" t="str">
        <f t="shared" si="391"/>
        <v>고수</v>
      </c>
      <c r="AL516" s="22" t="str">
        <f t="shared" si="392"/>
        <v>4 : 2</v>
      </c>
      <c r="AM516" s="22">
        <f t="shared" si="393"/>
        <v>4</v>
      </c>
      <c r="AN516" s="22">
        <f t="shared" si="394"/>
        <v>2</v>
      </c>
      <c r="AO516" s="22">
        <f t="shared" si="395"/>
        <v>33</v>
      </c>
      <c r="AP516" s="22" t="str">
        <f t="shared" si="396"/>
        <v>X</v>
      </c>
      <c r="AQ516" s="22" t="str">
        <f t="shared" si="397"/>
        <v>O</v>
      </c>
      <c r="AR516" s="22" t="str">
        <f t="shared" si="398"/>
        <v>X</v>
      </c>
      <c r="AS516" s="22" t="str">
        <f t="shared" si="399"/>
        <v>X</v>
      </c>
      <c r="AT516" s="22" t="str">
        <f t="shared" si="400"/>
        <v>X</v>
      </c>
      <c r="AU516" s="22" t="str">
        <f t="shared" si="401"/>
        <v>X</v>
      </c>
      <c r="AV516" s="22" t="str">
        <f t="shared" si="402"/>
        <v>X</v>
      </c>
      <c r="AW516" s="22" t="str">
        <f t="shared" si="403"/>
        <v>X</v>
      </c>
      <c r="AX516" s="22" t="str">
        <f t="shared" si="404"/>
        <v>X</v>
      </c>
      <c r="AY516" s="22" t="str">
        <f t="shared" si="405"/>
        <v>X</v>
      </c>
      <c r="AZ516" s="22" t="str">
        <f t="shared" si="406"/>
        <v>X</v>
      </c>
      <c r="BA516" s="22" t="str">
        <f t="shared" si="407"/>
        <v>X</v>
      </c>
      <c r="BB516" s="22">
        <f t="shared" si="408"/>
        <v>1</v>
      </c>
      <c r="BC516" s="22" t="str">
        <f t="shared" si="409"/>
        <v>1G</v>
      </c>
      <c r="BD516" s="22" t="str">
        <f t="shared" si="410"/>
        <v>1G</v>
      </c>
      <c r="BE516" s="22" t="str">
        <f t="shared" si="411"/>
        <v>1G</v>
      </c>
      <c r="BF516" s="22" t="str">
        <f t="shared" si="412"/>
        <v>1G</v>
      </c>
      <c r="BG516" s="22" t="str">
        <f t="shared" si="413"/>
        <v>2G</v>
      </c>
      <c r="BH516" s="22" t="str">
        <f t="shared" si="414"/>
        <v>2G</v>
      </c>
      <c r="BI516" s="22">
        <f t="shared" si="371"/>
        <v>4</v>
      </c>
      <c r="BJ516" s="22">
        <f t="shared" si="372"/>
        <v>2</v>
      </c>
      <c r="BK516" s="22">
        <f t="shared" si="373"/>
        <v>0</v>
      </c>
      <c r="BL516" s="22" t="str">
        <f t="shared" si="415"/>
        <v>420</v>
      </c>
      <c r="BO516"/>
      <c r="BP516"/>
      <c r="BQ516"/>
      <c r="BR516"/>
      <c r="BS516"/>
      <c r="BT516"/>
      <c r="BU516"/>
      <c r="BV516"/>
    </row>
    <row r="517" spans="1:74" ht="17" hidden="1">
      <c r="A517" s="16">
        <v>2</v>
      </c>
      <c r="B517" s="16">
        <v>513</v>
      </c>
      <c r="C517" s="23" t="s">
        <v>790</v>
      </c>
      <c r="N517" s="156">
        <v>5</v>
      </c>
      <c r="O517" s="156">
        <v>8</v>
      </c>
      <c r="P517" s="156">
        <v>21</v>
      </c>
      <c r="Q517" s="156">
        <v>23</v>
      </c>
      <c r="R517" s="117">
        <v>27</v>
      </c>
      <c r="S517" s="117">
        <v>33</v>
      </c>
      <c r="T517" s="117">
        <v>12</v>
      </c>
      <c r="U517" s="113">
        <f t="shared" si="376"/>
        <v>117</v>
      </c>
      <c r="W517" s="22" t="str">
        <f t="shared" si="377"/>
        <v>홀수</v>
      </c>
      <c r="X517" s="22" t="str">
        <f t="shared" si="378"/>
        <v>짝수</v>
      </c>
      <c r="Y517" s="22" t="str">
        <f t="shared" si="379"/>
        <v>홀수</v>
      </c>
      <c r="Z517" s="22" t="str">
        <f t="shared" si="380"/>
        <v>홀수</v>
      </c>
      <c r="AA517" s="23" t="str">
        <f t="shared" si="381"/>
        <v>홀수</v>
      </c>
      <c r="AB517" s="23" t="str">
        <f t="shared" si="382"/>
        <v>홀수</v>
      </c>
      <c r="AC517" s="22" t="str">
        <f t="shared" si="383"/>
        <v>5 : 1</v>
      </c>
      <c r="AD517" s="22">
        <f t="shared" si="384"/>
        <v>5</v>
      </c>
      <c r="AE517" s="22">
        <f t="shared" si="385"/>
        <v>1</v>
      </c>
      <c r="AF517" s="22" t="str">
        <f t="shared" si="386"/>
        <v>저수</v>
      </c>
      <c r="AG517" s="22" t="str">
        <f t="shared" si="387"/>
        <v>저수</v>
      </c>
      <c r="AH517" s="22" t="str">
        <f t="shared" si="388"/>
        <v>저수</v>
      </c>
      <c r="AI517" s="22" t="str">
        <f t="shared" si="389"/>
        <v>고수</v>
      </c>
      <c r="AJ517" s="22" t="str">
        <f t="shared" si="390"/>
        <v>고수</v>
      </c>
      <c r="AK517" s="22" t="str">
        <f t="shared" si="391"/>
        <v>고수</v>
      </c>
      <c r="AL517" s="22" t="str">
        <f t="shared" si="392"/>
        <v>3 : 3</v>
      </c>
      <c r="AM517" s="22">
        <f t="shared" si="393"/>
        <v>3</v>
      </c>
      <c r="AN517" s="22">
        <f t="shared" si="394"/>
        <v>3</v>
      </c>
      <c r="AO517" s="22">
        <f t="shared" si="395"/>
        <v>27</v>
      </c>
      <c r="AP517" s="22" t="str">
        <f t="shared" si="396"/>
        <v>O</v>
      </c>
      <c r="AQ517" s="22" t="str">
        <f t="shared" si="397"/>
        <v>X</v>
      </c>
      <c r="AR517" s="22" t="str">
        <f t="shared" si="398"/>
        <v>X</v>
      </c>
      <c r="AS517" s="22" t="str">
        <f t="shared" si="399"/>
        <v>X</v>
      </c>
      <c r="AT517" s="22" t="str">
        <f t="shared" si="400"/>
        <v>X</v>
      </c>
      <c r="AU517" s="22" t="str">
        <f t="shared" si="401"/>
        <v>X</v>
      </c>
      <c r="AV517" s="22" t="str">
        <f t="shared" si="402"/>
        <v>X</v>
      </c>
      <c r="AW517" s="22" t="str">
        <f t="shared" si="403"/>
        <v>X</v>
      </c>
      <c r="AX517" s="22" t="str">
        <f t="shared" si="404"/>
        <v>X</v>
      </c>
      <c r="AY517" s="22" t="str">
        <f t="shared" si="405"/>
        <v>O</v>
      </c>
      <c r="AZ517" s="22" t="str">
        <f t="shared" si="406"/>
        <v>X</v>
      </c>
      <c r="BA517" s="22" t="str">
        <f t="shared" si="407"/>
        <v>X</v>
      </c>
      <c r="BB517" s="22">
        <f t="shared" si="408"/>
        <v>2</v>
      </c>
      <c r="BC517" s="22" t="str">
        <f t="shared" si="409"/>
        <v>1G</v>
      </c>
      <c r="BD517" s="22" t="str">
        <f t="shared" si="410"/>
        <v>1G</v>
      </c>
      <c r="BE517" s="22" t="str">
        <f t="shared" si="411"/>
        <v>2G</v>
      </c>
      <c r="BF517" s="22" t="str">
        <f t="shared" si="412"/>
        <v>2G</v>
      </c>
      <c r="BG517" s="22" t="str">
        <f t="shared" si="413"/>
        <v>2G</v>
      </c>
      <c r="BH517" s="22" t="str">
        <f t="shared" si="414"/>
        <v>3G</v>
      </c>
      <c r="BI517" s="22">
        <f t="shared" si="371"/>
        <v>2</v>
      </c>
      <c r="BJ517" s="22">
        <f t="shared" si="372"/>
        <v>3</v>
      </c>
      <c r="BK517" s="22">
        <f t="shared" si="373"/>
        <v>1</v>
      </c>
      <c r="BL517" s="22" t="str">
        <f t="shared" si="415"/>
        <v>231</v>
      </c>
      <c r="BO517"/>
      <c r="BP517"/>
      <c r="BQ517"/>
      <c r="BR517"/>
      <c r="BS517"/>
      <c r="BT517"/>
      <c r="BU517"/>
      <c r="BV517"/>
    </row>
    <row r="518" spans="1:74" ht="17" hidden="1">
      <c r="A518" s="16">
        <v>3</v>
      </c>
      <c r="B518" s="16">
        <v>514</v>
      </c>
      <c r="C518" s="23" t="s">
        <v>791</v>
      </c>
      <c r="N518" s="156">
        <v>1</v>
      </c>
      <c r="O518" s="156">
        <v>15</v>
      </c>
      <c r="P518" s="156">
        <v>20</v>
      </c>
      <c r="Q518" s="156">
        <v>26</v>
      </c>
      <c r="R518" s="117">
        <v>35</v>
      </c>
      <c r="S518" s="117">
        <v>42</v>
      </c>
      <c r="T518" s="117">
        <v>9</v>
      </c>
      <c r="U518" s="113">
        <f t="shared" si="376"/>
        <v>139</v>
      </c>
      <c r="W518" s="22" t="str">
        <f t="shared" si="377"/>
        <v>홀수</v>
      </c>
      <c r="X518" s="22" t="str">
        <f t="shared" si="378"/>
        <v>홀수</v>
      </c>
      <c r="Y518" s="22" t="str">
        <f t="shared" si="379"/>
        <v>짝수</v>
      </c>
      <c r="Z518" s="22" t="str">
        <f t="shared" si="380"/>
        <v>짝수</v>
      </c>
      <c r="AA518" s="23" t="str">
        <f t="shared" si="381"/>
        <v>홀수</v>
      </c>
      <c r="AB518" s="23" t="str">
        <f t="shared" si="382"/>
        <v>짝수</v>
      </c>
      <c r="AC518" s="22" t="str">
        <f t="shared" si="383"/>
        <v>3 : 3</v>
      </c>
      <c r="AD518" s="22">
        <f t="shared" si="384"/>
        <v>3</v>
      </c>
      <c r="AE518" s="22">
        <f t="shared" si="385"/>
        <v>3</v>
      </c>
      <c r="AF518" s="22" t="str">
        <f t="shared" si="386"/>
        <v>저수</v>
      </c>
      <c r="AG518" s="22" t="str">
        <f t="shared" si="387"/>
        <v>저수</v>
      </c>
      <c r="AH518" s="22" t="str">
        <f t="shared" si="388"/>
        <v>저수</v>
      </c>
      <c r="AI518" s="22" t="str">
        <f t="shared" si="389"/>
        <v>고수</v>
      </c>
      <c r="AJ518" s="22" t="str">
        <f t="shared" si="390"/>
        <v>고수</v>
      </c>
      <c r="AK518" s="22" t="str">
        <f t="shared" si="391"/>
        <v>고수</v>
      </c>
      <c r="AL518" s="22" t="str">
        <f t="shared" si="392"/>
        <v>3 : 3</v>
      </c>
      <c r="AM518" s="22">
        <f t="shared" si="393"/>
        <v>3</v>
      </c>
      <c r="AN518" s="22">
        <f t="shared" si="394"/>
        <v>3</v>
      </c>
      <c r="AO518" s="22">
        <f t="shared" si="395"/>
        <v>19</v>
      </c>
      <c r="AP518" s="22" t="str">
        <f t="shared" si="396"/>
        <v>X</v>
      </c>
      <c r="AQ518" s="22" t="str">
        <f t="shared" si="397"/>
        <v>X</v>
      </c>
      <c r="AR518" s="22" t="str">
        <f t="shared" si="398"/>
        <v>X</v>
      </c>
      <c r="AS518" s="22" t="str">
        <f t="shared" si="399"/>
        <v>X</v>
      </c>
      <c r="AT518" s="22" t="str">
        <f t="shared" si="400"/>
        <v>X</v>
      </c>
      <c r="AU518" s="22" t="str">
        <f t="shared" si="401"/>
        <v>X</v>
      </c>
      <c r="AV518" s="22" t="str">
        <f t="shared" si="402"/>
        <v>X</v>
      </c>
      <c r="AW518" s="22" t="str">
        <f t="shared" si="403"/>
        <v>X</v>
      </c>
      <c r="AX518" s="22" t="str">
        <f t="shared" si="404"/>
        <v>X</v>
      </c>
      <c r="AY518" s="22" t="str">
        <f t="shared" si="405"/>
        <v>X</v>
      </c>
      <c r="AZ518" s="22" t="str">
        <f t="shared" si="406"/>
        <v>X</v>
      </c>
      <c r="BA518" s="22" t="str">
        <f t="shared" si="407"/>
        <v>X</v>
      </c>
      <c r="BB518" s="22">
        <f t="shared" si="408"/>
        <v>0</v>
      </c>
      <c r="BC518" s="22" t="str">
        <f t="shared" si="409"/>
        <v>1G</v>
      </c>
      <c r="BD518" s="22" t="str">
        <f t="shared" si="410"/>
        <v>1G</v>
      </c>
      <c r="BE518" s="22" t="str">
        <f t="shared" si="411"/>
        <v>2G</v>
      </c>
      <c r="BF518" s="22" t="str">
        <f t="shared" si="412"/>
        <v>2G</v>
      </c>
      <c r="BG518" s="22" t="str">
        <f t="shared" si="413"/>
        <v>3G</v>
      </c>
      <c r="BH518" s="22" t="str">
        <f t="shared" si="414"/>
        <v>3G</v>
      </c>
      <c r="BI518" s="22">
        <f t="shared" ref="BI518:BI581" si="416">COUNTIF($BC518:$BH518,"1G")</f>
        <v>2</v>
      </c>
      <c r="BJ518" s="22">
        <f t="shared" ref="BJ518:BJ581" si="417">COUNTIF($BC518:$BH518,"2G")</f>
        <v>2</v>
      </c>
      <c r="BK518" s="22">
        <f t="shared" ref="BK518:BK581" si="418">COUNTIF($BC518:$BH518,"3G")</f>
        <v>2</v>
      </c>
      <c r="BL518" s="22" t="str">
        <f t="shared" si="415"/>
        <v>222</v>
      </c>
      <c r="BO518"/>
      <c r="BP518"/>
      <c r="BQ518"/>
      <c r="BR518"/>
      <c r="BS518"/>
      <c r="BT518"/>
      <c r="BU518"/>
      <c r="BV518"/>
    </row>
    <row r="519" spans="1:74" ht="17" hidden="1">
      <c r="A519" s="16">
        <v>3</v>
      </c>
      <c r="B519" s="16">
        <v>515</v>
      </c>
      <c r="C519" s="23" t="s">
        <v>792</v>
      </c>
      <c r="N519" s="113">
        <v>2</v>
      </c>
      <c r="O519" s="113">
        <v>11</v>
      </c>
      <c r="P519" s="113">
        <v>12</v>
      </c>
      <c r="Q519" s="113">
        <v>15</v>
      </c>
      <c r="R519" s="113">
        <v>23</v>
      </c>
      <c r="S519" s="113">
        <v>37</v>
      </c>
      <c r="T519" s="113">
        <v>8</v>
      </c>
      <c r="U519" s="113">
        <f t="shared" si="376"/>
        <v>100</v>
      </c>
      <c r="W519" s="22" t="str">
        <f t="shared" si="377"/>
        <v>짝수</v>
      </c>
      <c r="X519" s="22" t="str">
        <f t="shared" si="378"/>
        <v>홀수</v>
      </c>
      <c r="Y519" s="22" t="str">
        <f t="shared" si="379"/>
        <v>짝수</v>
      </c>
      <c r="Z519" s="22" t="str">
        <f t="shared" si="380"/>
        <v>홀수</v>
      </c>
      <c r="AA519" s="23" t="str">
        <f t="shared" si="381"/>
        <v>홀수</v>
      </c>
      <c r="AB519" s="23" t="str">
        <f t="shared" si="382"/>
        <v>홀수</v>
      </c>
      <c r="AC519" s="22" t="str">
        <f t="shared" si="383"/>
        <v>4 : 2</v>
      </c>
      <c r="AD519" s="22">
        <f t="shared" si="384"/>
        <v>4</v>
      </c>
      <c r="AE519" s="22">
        <f t="shared" si="385"/>
        <v>2</v>
      </c>
      <c r="AF519" s="22" t="str">
        <f t="shared" si="386"/>
        <v>저수</v>
      </c>
      <c r="AG519" s="22" t="str">
        <f t="shared" si="387"/>
        <v>저수</v>
      </c>
      <c r="AH519" s="22" t="str">
        <f t="shared" si="388"/>
        <v>저수</v>
      </c>
      <c r="AI519" s="22" t="str">
        <f t="shared" si="389"/>
        <v>저수</v>
      </c>
      <c r="AJ519" s="22" t="str">
        <f t="shared" si="390"/>
        <v>고수</v>
      </c>
      <c r="AK519" s="22" t="str">
        <f t="shared" si="391"/>
        <v>고수</v>
      </c>
      <c r="AL519" s="22" t="str">
        <f t="shared" si="392"/>
        <v>4 : 2</v>
      </c>
      <c r="AM519" s="22">
        <f t="shared" si="393"/>
        <v>4</v>
      </c>
      <c r="AN519" s="22">
        <f t="shared" si="394"/>
        <v>2</v>
      </c>
      <c r="AO519" s="22">
        <f t="shared" si="395"/>
        <v>20</v>
      </c>
      <c r="AP519" s="22" t="str">
        <f t="shared" si="396"/>
        <v>O</v>
      </c>
      <c r="AQ519" s="22" t="str">
        <f t="shared" si="397"/>
        <v>O</v>
      </c>
      <c r="AR519" s="22" t="str">
        <f t="shared" si="398"/>
        <v>X</v>
      </c>
      <c r="AS519" s="22" t="str">
        <f t="shared" si="399"/>
        <v>X</v>
      </c>
      <c r="AT519" s="22" t="str">
        <f t="shared" si="400"/>
        <v>X</v>
      </c>
      <c r="AU519" s="22" t="str">
        <f t="shared" si="401"/>
        <v>X</v>
      </c>
      <c r="AV519" s="22" t="str">
        <f t="shared" si="402"/>
        <v>X</v>
      </c>
      <c r="AW519" s="22" t="str">
        <f t="shared" si="403"/>
        <v>X</v>
      </c>
      <c r="AX519" s="22" t="str">
        <f t="shared" si="404"/>
        <v>X</v>
      </c>
      <c r="AY519" s="22" t="str">
        <f t="shared" si="405"/>
        <v>X</v>
      </c>
      <c r="AZ519" s="22" t="str">
        <f t="shared" si="406"/>
        <v>O</v>
      </c>
      <c r="BA519" s="22" t="str">
        <f t="shared" si="407"/>
        <v>O</v>
      </c>
      <c r="BB519" s="22">
        <f t="shared" si="408"/>
        <v>4</v>
      </c>
      <c r="BC519" s="22" t="str">
        <f t="shared" si="409"/>
        <v>1G</v>
      </c>
      <c r="BD519" s="22" t="str">
        <f t="shared" si="410"/>
        <v>1G</v>
      </c>
      <c r="BE519" s="22" t="str">
        <f t="shared" si="411"/>
        <v>1G</v>
      </c>
      <c r="BF519" s="22" t="str">
        <f t="shared" si="412"/>
        <v>1G</v>
      </c>
      <c r="BG519" s="22" t="str">
        <f t="shared" si="413"/>
        <v>2G</v>
      </c>
      <c r="BH519" s="22" t="str">
        <f t="shared" si="414"/>
        <v>3G</v>
      </c>
      <c r="BI519" s="22">
        <f t="shared" si="416"/>
        <v>4</v>
      </c>
      <c r="BJ519" s="22">
        <f t="shared" si="417"/>
        <v>1</v>
      </c>
      <c r="BK519" s="22">
        <f t="shared" si="418"/>
        <v>1</v>
      </c>
      <c r="BL519" s="22" t="str">
        <f t="shared" si="415"/>
        <v>411</v>
      </c>
      <c r="BS519"/>
    </row>
    <row r="520" spans="1:74" ht="17" hidden="1">
      <c r="A520" s="16">
        <v>3</v>
      </c>
      <c r="B520" s="16">
        <v>516</v>
      </c>
      <c r="C520" s="23" t="s">
        <v>793</v>
      </c>
      <c r="N520" s="113">
        <v>2</v>
      </c>
      <c r="O520" s="113">
        <v>8</v>
      </c>
      <c r="P520" s="113">
        <v>23</v>
      </c>
      <c r="Q520" s="113">
        <v>41</v>
      </c>
      <c r="R520" s="113">
        <v>43</v>
      </c>
      <c r="S520" s="113">
        <v>44</v>
      </c>
      <c r="T520" s="113">
        <v>30</v>
      </c>
      <c r="U520" s="113">
        <f t="shared" si="376"/>
        <v>161</v>
      </c>
      <c r="W520" s="22" t="str">
        <f t="shared" si="377"/>
        <v>짝수</v>
      </c>
      <c r="X520" s="22" t="str">
        <f t="shared" si="378"/>
        <v>짝수</v>
      </c>
      <c r="Y520" s="22" t="str">
        <f t="shared" si="379"/>
        <v>홀수</v>
      </c>
      <c r="Z520" s="22" t="str">
        <f t="shared" si="380"/>
        <v>홀수</v>
      </c>
      <c r="AA520" s="23" t="str">
        <f t="shared" si="381"/>
        <v>홀수</v>
      </c>
      <c r="AB520" s="23" t="str">
        <f t="shared" si="382"/>
        <v>짝수</v>
      </c>
      <c r="AC520" s="22" t="str">
        <f t="shared" si="383"/>
        <v>3 : 3</v>
      </c>
      <c r="AD520" s="22">
        <f t="shared" si="384"/>
        <v>3</v>
      </c>
      <c r="AE520" s="22">
        <f t="shared" si="385"/>
        <v>3</v>
      </c>
      <c r="AF520" s="22" t="str">
        <f t="shared" si="386"/>
        <v>저수</v>
      </c>
      <c r="AG520" s="22" t="str">
        <f t="shared" si="387"/>
        <v>저수</v>
      </c>
      <c r="AH520" s="22" t="str">
        <f t="shared" si="388"/>
        <v>고수</v>
      </c>
      <c r="AI520" s="22" t="str">
        <f t="shared" si="389"/>
        <v>고수</v>
      </c>
      <c r="AJ520" s="22" t="str">
        <f t="shared" si="390"/>
        <v>고수</v>
      </c>
      <c r="AK520" s="22" t="str">
        <f t="shared" si="391"/>
        <v>고수</v>
      </c>
      <c r="AL520" s="22" t="str">
        <f t="shared" si="392"/>
        <v>2 : 4</v>
      </c>
      <c r="AM520" s="22">
        <f t="shared" si="393"/>
        <v>2</v>
      </c>
      <c r="AN520" s="22">
        <f t="shared" si="394"/>
        <v>4</v>
      </c>
      <c r="AO520" s="22">
        <f t="shared" si="395"/>
        <v>21</v>
      </c>
      <c r="AP520" s="22" t="str">
        <f t="shared" si="396"/>
        <v>O</v>
      </c>
      <c r="AQ520" s="22" t="str">
        <f t="shared" si="397"/>
        <v>X</v>
      </c>
      <c r="AR520" s="22" t="str">
        <f t="shared" si="398"/>
        <v>X</v>
      </c>
      <c r="AS520" s="22" t="str">
        <f t="shared" si="399"/>
        <v>X</v>
      </c>
      <c r="AT520" s="22" t="str">
        <f t="shared" si="400"/>
        <v>X</v>
      </c>
      <c r="AU520" s="22" t="str">
        <f t="shared" si="401"/>
        <v>X</v>
      </c>
      <c r="AV520" s="22" t="str">
        <f t="shared" si="402"/>
        <v>X</v>
      </c>
      <c r="AW520" s="22" t="str">
        <f t="shared" si="403"/>
        <v>X</v>
      </c>
      <c r="AX520" s="22" t="str">
        <f t="shared" si="404"/>
        <v>O</v>
      </c>
      <c r="AY520" s="22" t="str">
        <f t="shared" si="405"/>
        <v>O</v>
      </c>
      <c r="AZ520" s="22" t="str">
        <f t="shared" si="406"/>
        <v>O</v>
      </c>
      <c r="BA520" s="22" t="str">
        <f t="shared" si="407"/>
        <v>X</v>
      </c>
      <c r="BB520" s="22">
        <f t="shared" si="408"/>
        <v>4</v>
      </c>
      <c r="BC520" s="22" t="str">
        <f t="shared" si="409"/>
        <v>1G</v>
      </c>
      <c r="BD520" s="22" t="str">
        <f t="shared" si="410"/>
        <v>1G</v>
      </c>
      <c r="BE520" s="22" t="str">
        <f t="shared" si="411"/>
        <v>2G</v>
      </c>
      <c r="BF520" s="22" t="str">
        <f t="shared" si="412"/>
        <v>3G</v>
      </c>
      <c r="BG520" s="22" t="str">
        <f t="shared" si="413"/>
        <v>3G</v>
      </c>
      <c r="BH520" s="22" t="str">
        <f t="shared" si="414"/>
        <v>3G</v>
      </c>
      <c r="BI520" s="22">
        <f t="shared" si="416"/>
        <v>2</v>
      </c>
      <c r="BJ520" s="22">
        <f t="shared" si="417"/>
        <v>1</v>
      </c>
      <c r="BK520" s="22">
        <f t="shared" si="418"/>
        <v>3</v>
      </c>
      <c r="BL520" s="22" t="str">
        <f t="shared" si="415"/>
        <v>213</v>
      </c>
      <c r="BS520"/>
    </row>
    <row r="521" spans="1:74" ht="17" hidden="1">
      <c r="A521" s="16">
        <v>3</v>
      </c>
      <c r="B521" s="16">
        <v>517</v>
      </c>
      <c r="C521" s="23" t="s">
        <v>794</v>
      </c>
      <c r="N521" s="113">
        <v>1</v>
      </c>
      <c r="O521" s="113">
        <v>9</v>
      </c>
      <c r="P521" s="113">
        <v>12</v>
      </c>
      <c r="Q521" s="113">
        <v>28</v>
      </c>
      <c r="R521" s="113">
        <v>36</v>
      </c>
      <c r="S521" s="113">
        <v>41</v>
      </c>
      <c r="T521" s="113">
        <v>10</v>
      </c>
      <c r="U521" s="113">
        <f t="shared" si="376"/>
        <v>127</v>
      </c>
      <c r="W521" s="22" t="str">
        <f t="shared" si="377"/>
        <v>홀수</v>
      </c>
      <c r="X521" s="22" t="str">
        <f t="shared" si="378"/>
        <v>홀수</v>
      </c>
      <c r="Y521" s="22" t="str">
        <f t="shared" si="379"/>
        <v>짝수</v>
      </c>
      <c r="Z521" s="22" t="str">
        <f t="shared" si="380"/>
        <v>짝수</v>
      </c>
      <c r="AA521" s="23" t="str">
        <f t="shared" si="381"/>
        <v>짝수</v>
      </c>
      <c r="AB521" s="23" t="str">
        <f t="shared" si="382"/>
        <v>홀수</v>
      </c>
      <c r="AC521" s="22" t="str">
        <f t="shared" si="383"/>
        <v>3 : 3</v>
      </c>
      <c r="AD521" s="22">
        <f t="shared" si="384"/>
        <v>3</v>
      </c>
      <c r="AE521" s="22">
        <f t="shared" si="385"/>
        <v>3</v>
      </c>
      <c r="AF521" s="22" t="str">
        <f t="shared" si="386"/>
        <v>저수</v>
      </c>
      <c r="AG521" s="22" t="str">
        <f t="shared" si="387"/>
        <v>저수</v>
      </c>
      <c r="AH521" s="22" t="str">
        <f t="shared" si="388"/>
        <v>저수</v>
      </c>
      <c r="AI521" s="22" t="str">
        <f t="shared" si="389"/>
        <v>고수</v>
      </c>
      <c r="AJ521" s="22" t="str">
        <f t="shared" si="390"/>
        <v>고수</v>
      </c>
      <c r="AK521" s="22" t="str">
        <f t="shared" si="391"/>
        <v>고수</v>
      </c>
      <c r="AL521" s="22" t="str">
        <f t="shared" si="392"/>
        <v>3 : 3</v>
      </c>
      <c r="AM521" s="22">
        <f t="shared" si="393"/>
        <v>3</v>
      </c>
      <c r="AN521" s="22">
        <f t="shared" si="394"/>
        <v>3</v>
      </c>
      <c r="AO521" s="22">
        <f t="shared" si="395"/>
        <v>27</v>
      </c>
      <c r="AP521" s="22" t="str">
        <f t="shared" si="396"/>
        <v>X</v>
      </c>
      <c r="AQ521" s="22" t="str">
        <f t="shared" si="397"/>
        <v>X</v>
      </c>
      <c r="AR521" s="22" t="str">
        <f t="shared" si="398"/>
        <v>X</v>
      </c>
      <c r="AS521" s="22" t="str">
        <f t="shared" si="399"/>
        <v>X</v>
      </c>
      <c r="AT521" s="22" t="str">
        <f t="shared" si="400"/>
        <v>X</v>
      </c>
      <c r="AU521" s="22" t="str">
        <f t="shared" si="401"/>
        <v>X</v>
      </c>
      <c r="AV521" s="22" t="str">
        <f t="shared" si="402"/>
        <v>X</v>
      </c>
      <c r="AW521" s="22" t="str">
        <f t="shared" si="403"/>
        <v>X</v>
      </c>
      <c r="AX521" s="22" t="str">
        <f t="shared" si="404"/>
        <v>X</v>
      </c>
      <c r="AY521" s="22" t="str">
        <f t="shared" si="405"/>
        <v>X</v>
      </c>
      <c r="AZ521" s="22" t="str">
        <f t="shared" si="406"/>
        <v>X</v>
      </c>
      <c r="BA521" s="22" t="str">
        <f t="shared" si="407"/>
        <v>O</v>
      </c>
      <c r="BB521" s="22">
        <f t="shared" si="408"/>
        <v>1</v>
      </c>
      <c r="BC521" s="22" t="str">
        <f t="shared" si="409"/>
        <v>1G</v>
      </c>
      <c r="BD521" s="22" t="str">
        <f t="shared" si="410"/>
        <v>1G</v>
      </c>
      <c r="BE521" s="22" t="str">
        <f t="shared" si="411"/>
        <v>1G</v>
      </c>
      <c r="BF521" s="22" t="str">
        <f t="shared" si="412"/>
        <v>2G</v>
      </c>
      <c r="BG521" s="22" t="str">
        <f t="shared" si="413"/>
        <v>3G</v>
      </c>
      <c r="BH521" s="22" t="str">
        <f t="shared" si="414"/>
        <v>3G</v>
      </c>
      <c r="BI521" s="22">
        <f t="shared" si="416"/>
        <v>3</v>
      </c>
      <c r="BJ521" s="22">
        <f t="shared" si="417"/>
        <v>1</v>
      </c>
      <c r="BK521" s="22">
        <f t="shared" si="418"/>
        <v>2</v>
      </c>
      <c r="BL521" s="22" t="str">
        <f t="shared" si="415"/>
        <v>312</v>
      </c>
      <c r="BS521"/>
    </row>
    <row r="522" spans="1:74" ht="17" hidden="1">
      <c r="A522" s="16">
        <v>1</v>
      </c>
      <c r="B522" s="16">
        <v>518</v>
      </c>
      <c r="C522" s="23" t="s">
        <v>795</v>
      </c>
      <c r="N522" s="113">
        <v>14</v>
      </c>
      <c r="O522" s="113">
        <v>23</v>
      </c>
      <c r="P522" s="113">
        <v>30</v>
      </c>
      <c r="Q522" s="113">
        <v>32</v>
      </c>
      <c r="R522" s="113">
        <v>34</v>
      </c>
      <c r="S522" s="113">
        <v>38</v>
      </c>
      <c r="T522" s="113">
        <v>6</v>
      </c>
      <c r="U522" s="112">
        <f t="shared" si="376"/>
        <v>171</v>
      </c>
      <c r="W522" s="22" t="str">
        <f t="shared" si="377"/>
        <v>짝수</v>
      </c>
      <c r="X522" s="22" t="str">
        <f t="shared" si="378"/>
        <v>홀수</v>
      </c>
      <c r="Y522" s="22" t="str">
        <f t="shared" si="379"/>
        <v>짝수</v>
      </c>
      <c r="Z522" s="22" t="str">
        <f t="shared" si="380"/>
        <v>짝수</v>
      </c>
      <c r="AA522" s="23" t="str">
        <f t="shared" si="381"/>
        <v>짝수</v>
      </c>
      <c r="AB522" s="23" t="str">
        <f t="shared" si="382"/>
        <v>짝수</v>
      </c>
      <c r="AC522" s="22" t="str">
        <f t="shared" si="383"/>
        <v>1 : 5</v>
      </c>
      <c r="AD522" s="22">
        <f t="shared" si="384"/>
        <v>1</v>
      </c>
      <c r="AE522" s="22">
        <f t="shared" si="385"/>
        <v>5</v>
      </c>
      <c r="AF522" s="22" t="str">
        <f t="shared" si="386"/>
        <v>저수</v>
      </c>
      <c r="AG522" s="22" t="str">
        <f t="shared" si="387"/>
        <v>고수</v>
      </c>
      <c r="AH522" s="22" t="str">
        <f t="shared" si="388"/>
        <v>고수</v>
      </c>
      <c r="AI522" s="22" t="str">
        <f t="shared" si="389"/>
        <v>고수</v>
      </c>
      <c r="AJ522" s="22" t="str">
        <f t="shared" si="390"/>
        <v>고수</v>
      </c>
      <c r="AK522" s="22" t="str">
        <f t="shared" si="391"/>
        <v>고수</v>
      </c>
      <c r="AL522" s="22" t="str">
        <f t="shared" si="392"/>
        <v>1 : 5</v>
      </c>
      <c r="AM522" s="22">
        <f t="shared" si="393"/>
        <v>1</v>
      </c>
      <c r="AN522" s="22">
        <f t="shared" si="394"/>
        <v>5</v>
      </c>
      <c r="AO522" s="22">
        <f t="shared" si="395"/>
        <v>21</v>
      </c>
      <c r="AP522" s="22" t="str">
        <f t="shared" si="396"/>
        <v>X</v>
      </c>
      <c r="AQ522" s="22" t="str">
        <f t="shared" si="397"/>
        <v>X</v>
      </c>
      <c r="AR522" s="22" t="str">
        <f t="shared" si="398"/>
        <v>X</v>
      </c>
      <c r="AS522" s="22" t="str">
        <f t="shared" si="399"/>
        <v>X</v>
      </c>
      <c r="AT522" s="22" t="str">
        <f t="shared" si="400"/>
        <v>X</v>
      </c>
      <c r="AU522" s="22" t="str">
        <f t="shared" si="401"/>
        <v>X</v>
      </c>
      <c r="AV522" s="22" t="str">
        <f t="shared" si="402"/>
        <v>X</v>
      </c>
      <c r="AW522" s="22" t="str">
        <f t="shared" si="403"/>
        <v>O</v>
      </c>
      <c r="AX522" s="22" t="str">
        <f t="shared" si="404"/>
        <v>X</v>
      </c>
      <c r="AY522" s="22" t="str">
        <f t="shared" si="405"/>
        <v>X</v>
      </c>
      <c r="AZ522" s="22" t="str">
        <f t="shared" si="406"/>
        <v>X</v>
      </c>
      <c r="BA522" s="22" t="str">
        <f t="shared" si="407"/>
        <v>X</v>
      </c>
      <c r="BB522" s="22">
        <f t="shared" si="408"/>
        <v>1</v>
      </c>
      <c r="BC522" s="22" t="str">
        <f t="shared" si="409"/>
        <v>1G</v>
      </c>
      <c r="BD522" s="22" t="str">
        <f t="shared" si="410"/>
        <v>2G</v>
      </c>
      <c r="BE522" s="22" t="str">
        <f t="shared" si="411"/>
        <v>2G</v>
      </c>
      <c r="BF522" s="22" t="str">
        <f t="shared" si="412"/>
        <v>3G</v>
      </c>
      <c r="BG522" s="22" t="str">
        <f t="shared" si="413"/>
        <v>3G</v>
      </c>
      <c r="BH522" s="22" t="str">
        <f t="shared" si="414"/>
        <v>3G</v>
      </c>
      <c r="BI522" s="22">
        <f t="shared" si="416"/>
        <v>1</v>
      </c>
      <c r="BJ522" s="22">
        <f t="shared" si="417"/>
        <v>2</v>
      </c>
      <c r="BK522" s="22">
        <f t="shared" si="418"/>
        <v>3</v>
      </c>
      <c r="BL522" s="22" t="str">
        <f t="shared" si="415"/>
        <v>123</v>
      </c>
      <c r="BS522"/>
    </row>
    <row r="523" spans="1:74" ht="17" hidden="1">
      <c r="A523" s="16">
        <v>1</v>
      </c>
      <c r="B523" s="16">
        <v>519</v>
      </c>
      <c r="C523" s="23" t="s">
        <v>796</v>
      </c>
      <c r="N523" s="113">
        <v>6</v>
      </c>
      <c r="O523" s="113">
        <v>8</v>
      </c>
      <c r="P523" s="113">
        <v>13</v>
      </c>
      <c r="Q523" s="113">
        <v>16</v>
      </c>
      <c r="R523" s="113">
        <v>30</v>
      </c>
      <c r="S523" s="113">
        <v>43</v>
      </c>
      <c r="T523" s="113">
        <v>3</v>
      </c>
      <c r="U523" s="112">
        <f t="shared" si="376"/>
        <v>116</v>
      </c>
      <c r="W523" s="22" t="str">
        <f t="shared" si="377"/>
        <v>짝수</v>
      </c>
      <c r="X523" s="22" t="str">
        <f t="shared" si="378"/>
        <v>짝수</v>
      </c>
      <c r="Y523" s="22" t="str">
        <f t="shared" si="379"/>
        <v>홀수</v>
      </c>
      <c r="Z523" s="22" t="str">
        <f t="shared" si="380"/>
        <v>짝수</v>
      </c>
      <c r="AA523" s="23" t="str">
        <f t="shared" si="381"/>
        <v>짝수</v>
      </c>
      <c r="AB523" s="23" t="str">
        <f t="shared" si="382"/>
        <v>홀수</v>
      </c>
      <c r="AC523" s="22" t="str">
        <f t="shared" si="383"/>
        <v>2 : 4</v>
      </c>
      <c r="AD523" s="22">
        <f t="shared" si="384"/>
        <v>2</v>
      </c>
      <c r="AE523" s="22">
        <f t="shared" si="385"/>
        <v>4</v>
      </c>
      <c r="AF523" s="22" t="str">
        <f t="shared" si="386"/>
        <v>저수</v>
      </c>
      <c r="AG523" s="22" t="str">
        <f t="shared" si="387"/>
        <v>저수</v>
      </c>
      <c r="AH523" s="22" t="str">
        <f t="shared" si="388"/>
        <v>저수</v>
      </c>
      <c r="AI523" s="22" t="str">
        <f t="shared" si="389"/>
        <v>저수</v>
      </c>
      <c r="AJ523" s="22" t="str">
        <f t="shared" si="390"/>
        <v>고수</v>
      </c>
      <c r="AK523" s="22" t="str">
        <f t="shared" si="391"/>
        <v>고수</v>
      </c>
      <c r="AL523" s="22" t="str">
        <f t="shared" si="392"/>
        <v>4 : 2</v>
      </c>
      <c r="AM523" s="22">
        <f t="shared" si="393"/>
        <v>4</v>
      </c>
      <c r="AN523" s="22">
        <f t="shared" si="394"/>
        <v>2</v>
      </c>
      <c r="AO523" s="22">
        <f t="shared" si="395"/>
        <v>26</v>
      </c>
      <c r="AP523" s="22" t="str">
        <f t="shared" si="396"/>
        <v>X</v>
      </c>
      <c r="AQ523" s="22" t="str">
        <f t="shared" si="397"/>
        <v>X</v>
      </c>
      <c r="AR523" s="22" t="str">
        <f t="shared" si="398"/>
        <v>O</v>
      </c>
      <c r="AS523" s="22" t="str">
        <f t="shared" si="399"/>
        <v>X</v>
      </c>
      <c r="AT523" s="22" t="str">
        <f t="shared" si="400"/>
        <v>X</v>
      </c>
      <c r="AU523" s="22" t="str">
        <f t="shared" si="401"/>
        <v>X</v>
      </c>
      <c r="AV523" s="22" t="str">
        <f t="shared" si="402"/>
        <v>X</v>
      </c>
      <c r="AW523" s="22" t="str">
        <f t="shared" si="403"/>
        <v>X</v>
      </c>
      <c r="AX523" s="22" t="str">
        <f t="shared" si="404"/>
        <v>X</v>
      </c>
      <c r="AY523" s="22" t="str">
        <f t="shared" si="405"/>
        <v>X</v>
      </c>
      <c r="AZ523" s="22" t="str">
        <f t="shared" si="406"/>
        <v>X</v>
      </c>
      <c r="BA523" s="22" t="str">
        <f t="shared" si="407"/>
        <v>O</v>
      </c>
      <c r="BB523" s="22">
        <f t="shared" si="408"/>
        <v>2</v>
      </c>
      <c r="BC523" s="22" t="str">
        <f t="shared" si="409"/>
        <v>1G</v>
      </c>
      <c r="BD523" s="22" t="str">
        <f t="shared" si="410"/>
        <v>1G</v>
      </c>
      <c r="BE523" s="22" t="str">
        <f t="shared" si="411"/>
        <v>1G</v>
      </c>
      <c r="BF523" s="22" t="str">
        <f t="shared" si="412"/>
        <v>2G</v>
      </c>
      <c r="BG523" s="22" t="str">
        <f t="shared" si="413"/>
        <v>2G</v>
      </c>
      <c r="BH523" s="22" t="str">
        <f t="shared" si="414"/>
        <v>3G</v>
      </c>
      <c r="BI523" s="22">
        <f t="shared" si="416"/>
        <v>3</v>
      </c>
      <c r="BJ523" s="22">
        <f t="shared" si="417"/>
        <v>2</v>
      </c>
      <c r="BK523" s="22">
        <f t="shared" si="418"/>
        <v>1</v>
      </c>
      <c r="BL523" s="22" t="str">
        <f t="shared" si="415"/>
        <v>321</v>
      </c>
      <c r="BS523"/>
    </row>
    <row r="524" spans="1:74" ht="17" hidden="1">
      <c r="A524" s="16">
        <v>1</v>
      </c>
      <c r="B524" s="16">
        <v>520</v>
      </c>
      <c r="C524" s="23" t="s">
        <v>797</v>
      </c>
      <c r="N524" s="113">
        <v>4</v>
      </c>
      <c r="O524" s="113">
        <v>22</v>
      </c>
      <c r="P524" s="113">
        <v>27</v>
      </c>
      <c r="Q524" s="113">
        <v>28</v>
      </c>
      <c r="R524" s="113">
        <v>38</v>
      </c>
      <c r="S524" s="113">
        <v>40</v>
      </c>
      <c r="T524" s="113">
        <v>1</v>
      </c>
      <c r="U524" s="112">
        <f t="shared" si="376"/>
        <v>159</v>
      </c>
      <c r="W524" s="22" t="str">
        <f t="shared" si="377"/>
        <v>짝수</v>
      </c>
      <c r="X524" s="22" t="str">
        <f t="shared" si="378"/>
        <v>짝수</v>
      </c>
      <c r="Y524" s="22" t="str">
        <f t="shared" si="379"/>
        <v>홀수</v>
      </c>
      <c r="Z524" s="22" t="str">
        <f t="shared" si="380"/>
        <v>짝수</v>
      </c>
      <c r="AA524" s="23" t="str">
        <f t="shared" si="381"/>
        <v>짝수</v>
      </c>
      <c r="AB524" s="23" t="str">
        <f t="shared" si="382"/>
        <v>짝수</v>
      </c>
      <c r="AC524" s="22" t="str">
        <f t="shared" si="383"/>
        <v>1 : 5</v>
      </c>
      <c r="AD524" s="22">
        <f t="shared" si="384"/>
        <v>1</v>
      </c>
      <c r="AE524" s="22">
        <f t="shared" si="385"/>
        <v>5</v>
      </c>
      <c r="AF524" s="22" t="str">
        <f t="shared" si="386"/>
        <v>저수</v>
      </c>
      <c r="AG524" s="22" t="str">
        <f t="shared" si="387"/>
        <v>저수</v>
      </c>
      <c r="AH524" s="22" t="str">
        <f t="shared" si="388"/>
        <v>고수</v>
      </c>
      <c r="AI524" s="22" t="str">
        <f t="shared" si="389"/>
        <v>고수</v>
      </c>
      <c r="AJ524" s="22" t="str">
        <f t="shared" si="390"/>
        <v>고수</v>
      </c>
      <c r="AK524" s="22" t="str">
        <f t="shared" si="391"/>
        <v>고수</v>
      </c>
      <c r="AL524" s="22" t="str">
        <f t="shared" si="392"/>
        <v>2 : 4</v>
      </c>
      <c r="AM524" s="22">
        <f t="shared" si="393"/>
        <v>2</v>
      </c>
      <c r="AN524" s="22">
        <f t="shared" si="394"/>
        <v>4</v>
      </c>
      <c r="AO524" s="22">
        <f t="shared" si="395"/>
        <v>29</v>
      </c>
      <c r="AP524" s="22" t="str">
        <f t="shared" si="396"/>
        <v>X</v>
      </c>
      <c r="AQ524" s="22" t="str">
        <f t="shared" si="397"/>
        <v>X</v>
      </c>
      <c r="AR524" s="22" t="str">
        <f t="shared" si="398"/>
        <v>X</v>
      </c>
      <c r="AS524" s="22" t="str">
        <f t="shared" si="399"/>
        <v>X</v>
      </c>
      <c r="AT524" s="22" t="str">
        <f t="shared" si="400"/>
        <v>X</v>
      </c>
      <c r="AU524" s="22" t="str">
        <f t="shared" si="401"/>
        <v>X</v>
      </c>
      <c r="AV524" s="22" t="str">
        <f t="shared" si="402"/>
        <v>X</v>
      </c>
      <c r="AW524" s="22" t="str">
        <f t="shared" si="403"/>
        <v>X</v>
      </c>
      <c r="AX524" s="22" t="str">
        <f t="shared" si="404"/>
        <v>X</v>
      </c>
      <c r="AY524" s="22" t="str">
        <f t="shared" si="405"/>
        <v>X</v>
      </c>
      <c r="AZ524" s="22" t="str">
        <f t="shared" si="406"/>
        <v>X</v>
      </c>
      <c r="BA524" s="22" t="str">
        <f t="shared" si="407"/>
        <v>X</v>
      </c>
      <c r="BB524" s="22">
        <f t="shared" si="408"/>
        <v>0</v>
      </c>
      <c r="BC524" s="22" t="str">
        <f t="shared" si="409"/>
        <v>1G</v>
      </c>
      <c r="BD524" s="22" t="str">
        <f t="shared" si="410"/>
        <v>2G</v>
      </c>
      <c r="BE524" s="22" t="str">
        <f t="shared" si="411"/>
        <v>2G</v>
      </c>
      <c r="BF524" s="22" t="str">
        <f t="shared" si="412"/>
        <v>2G</v>
      </c>
      <c r="BG524" s="22" t="str">
        <f t="shared" si="413"/>
        <v>3G</v>
      </c>
      <c r="BH524" s="22" t="str">
        <f t="shared" si="414"/>
        <v>3G</v>
      </c>
      <c r="BI524" s="22">
        <f t="shared" si="416"/>
        <v>1</v>
      </c>
      <c r="BJ524" s="22">
        <f t="shared" si="417"/>
        <v>3</v>
      </c>
      <c r="BK524" s="22">
        <f t="shared" si="418"/>
        <v>2</v>
      </c>
      <c r="BL524" s="22" t="str">
        <f t="shared" si="415"/>
        <v>132</v>
      </c>
      <c r="BS524"/>
    </row>
    <row r="525" spans="1:74" ht="17.5" hidden="1">
      <c r="A525" s="16">
        <v>1</v>
      </c>
      <c r="B525" s="16">
        <v>521</v>
      </c>
      <c r="C525" s="23" t="s">
        <v>798</v>
      </c>
      <c r="N525">
        <v>3</v>
      </c>
      <c r="O525">
        <v>7</v>
      </c>
      <c r="P525">
        <v>18</v>
      </c>
      <c r="Q525">
        <v>29</v>
      </c>
      <c r="R525">
        <v>32</v>
      </c>
      <c r="S525">
        <v>36</v>
      </c>
      <c r="T525" s="118">
        <v>19</v>
      </c>
      <c r="U525" s="112">
        <f t="shared" si="376"/>
        <v>125</v>
      </c>
      <c r="W525" s="22" t="str">
        <f t="shared" si="377"/>
        <v>홀수</v>
      </c>
      <c r="X525" s="22" t="str">
        <f t="shared" si="378"/>
        <v>홀수</v>
      </c>
      <c r="Y525" s="22" t="str">
        <f t="shared" si="379"/>
        <v>짝수</v>
      </c>
      <c r="Z525" s="22" t="str">
        <f t="shared" si="380"/>
        <v>홀수</v>
      </c>
      <c r="AA525" s="23" t="str">
        <f t="shared" si="381"/>
        <v>짝수</v>
      </c>
      <c r="AB525" s="23" t="str">
        <f t="shared" si="382"/>
        <v>짝수</v>
      </c>
      <c r="AC525" s="22" t="str">
        <f t="shared" si="383"/>
        <v>3 : 3</v>
      </c>
      <c r="AD525" s="22">
        <f t="shared" si="384"/>
        <v>3</v>
      </c>
      <c r="AE525" s="22">
        <f t="shared" si="385"/>
        <v>3</v>
      </c>
      <c r="AF525" s="22" t="str">
        <f t="shared" si="386"/>
        <v>저수</v>
      </c>
      <c r="AG525" s="22" t="str">
        <f t="shared" si="387"/>
        <v>저수</v>
      </c>
      <c r="AH525" s="22" t="str">
        <f t="shared" si="388"/>
        <v>저수</v>
      </c>
      <c r="AI525" s="22" t="str">
        <f t="shared" si="389"/>
        <v>고수</v>
      </c>
      <c r="AJ525" s="22" t="str">
        <f t="shared" si="390"/>
        <v>고수</v>
      </c>
      <c r="AK525" s="22" t="str">
        <f t="shared" si="391"/>
        <v>고수</v>
      </c>
      <c r="AL525" s="22" t="str">
        <f t="shared" si="392"/>
        <v>3 : 3</v>
      </c>
      <c r="AM525" s="22">
        <f t="shared" si="393"/>
        <v>3</v>
      </c>
      <c r="AN525" s="22">
        <f t="shared" si="394"/>
        <v>3</v>
      </c>
      <c r="AO525" s="22">
        <f t="shared" si="395"/>
        <v>35</v>
      </c>
      <c r="AP525" s="22" t="str">
        <f t="shared" si="396"/>
        <v>O</v>
      </c>
      <c r="AQ525" s="22" t="str">
        <f t="shared" si="397"/>
        <v>O</v>
      </c>
      <c r="AR525" s="22" t="str">
        <f t="shared" si="398"/>
        <v>X</v>
      </c>
      <c r="AS525" s="22" t="str">
        <f t="shared" si="399"/>
        <v>X</v>
      </c>
      <c r="AT525" s="22" t="str">
        <f t="shared" si="400"/>
        <v>X</v>
      </c>
      <c r="AU525" s="22" t="str">
        <f t="shared" si="401"/>
        <v>X</v>
      </c>
      <c r="AV525" s="22" t="str">
        <f t="shared" si="402"/>
        <v>X</v>
      </c>
      <c r="AW525" s="22" t="str">
        <f t="shared" si="403"/>
        <v>X</v>
      </c>
      <c r="AX525" s="22" t="str">
        <f t="shared" si="404"/>
        <v>X</v>
      </c>
      <c r="AY525" s="22" t="str">
        <f t="shared" si="405"/>
        <v>O</v>
      </c>
      <c r="AZ525" s="22" t="str">
        <f t="shared" si="406"/>
        <v>X</v>
      </c>
      <c r="BA525" s="22" t="str">
        <f t="shared" si="407"/>
        <v>X</v>
      </c>
      <c r="BB525" s="22">
        <f t="shared" si="408"/>
        <v>3</v>
      </c>
      <c r="BC525" s="22" t="str">
        <f t="shared" si="409"/>
        <v>1G</v>
      </c>
      <c r="BD525" s="22" t="str">
        <f t="shared" si="410"/>
        <v>1G</v>
      </c>
      <c r="BE525" s="22" t="str">
        <f t="shared" si="411"/>
        <v>2G</v>
      </c>
      <c r="BF525" s="22" t="str">
        <f t="shared" si="412"/>
        <v>2G</v>
      </c>
      <c r="BG525" s="22" t="str">
        <f t="shared" si="413"/>
        <v>3G</v>
      </c>
      <c r="BH525" s="22" t="str">
        <f t="shared" si="414"/>
        <v>3G</v>
      </c>
      <c r="BI525" s="22">
        <f t="shared" si="416"/>
        <v>2</v>
      </c>
      <c r="BJ525" s="22">
        <f t="shared" si="417"/>
        <v>2</v>
      </c>
      <c r="BK525" s="22">
        <f t="shared" si="418"/>
        <v>2</v>
      </c>
      <c r="BL525" s="22" t="str">
        <f t="shared" si="415"/>
        <v>222</v>
      </c>
      <c r="BS525"/>
    </row>
    <row r="526" spans="1:74" ht="17" hidden="1">
      <c r="A526" s="16">
        <v>2</v>
      </c>
      <c r="B526" s="16">
        <v>522</v>
      </c>
      <c r="C526" s="23" t="s">
        <v>799</v>
      </c>
      <c r="N526">
        <v>4</v>
      </c>
      <c r="O526">
        <v>5</v>
      </c>
      <c r="P526" s="119">
        <v>13</v>
      </c>
      <c r="Q526">
        <v>14</v>
      </c>
      <c r="R526">
        <v>37</v>
      </c>
      <c r="S526">
        <v>41</v>
      </c>
      <c r="T526" s="113">
        <v>11</v>
      </c>
      <c r="U526" s="113">
        <f t="shared" si="376"/>
        <v>114</v>
      </c>
      <c r="W526" s="22" t="str">
        <f t="shared" si="377"/>
        <v>짝수</v>
      </c>
      <c r="X526" s="22" t="str">
        <f t="shared" si="378"/>
        <v>홀수</v>
      </c>
      <c r="Y526" s="22" t="str">
        <f t="shared" si="379"/>
        <v>홀수</v>
      </c>
      <c r="Z526" s="22" t="str">
        <f t="shared" si="380"/>
        <v>짝수</v>
      </c>
      <c r="AA526" s="23" t="str">
        <f t="shared" si="381"/>
        <v>홀수</v>
      </c>
      <c r="AB526" s="23" t="str">
        <f t="shared" si="382"/>
        <v>홀수</v>
      </c>
      <c r="AC526" s="22" t="str">
        <f t="shared" si="383"/>
        <v>4 : 2</v>
      </c>
      <c r="AD526" s="22">
        <f t="shared" si="384"/>
        <v>4</v>
      </c>
      <c r="AE526" s="22">
        <f t="shared" si="385"/>
        <v>2</v>
      </c>
      <c r="AF526" s="22" t="str">
        <f t="shared" si="386"/>
        <v>저수</v>
      </c>
      <c r="AG526" s="22" t="str">
        <f t="shared" si="387"/>
        <v>저수</v>
      </c>
      <c r="AH526" s="22" t="str">
        <f t="shared" si="388"/>
        <v>저수</v>
      </c>
      <c r="AI526" s="22" t="str">
        <f t="shared" si="389"/>
        <v>저수</v>
      </c>
      <c r="AJ526" s="22" t="str">
        <f t="shared" si="390"/>
        <v>고수</v>
      </c>
      <c r="AK526" s="22" t="str">
        <f t="shared" si="391"/>
        <v>고수</v>
      </c>
      <c r="AL526" s="22" t="str">
        <f t="shared" si="392"/>
        <v>4 : 2</v>
      </c>
      <c r="AM526" s="22">
        <f t="shared" si="393"/>
        <v>4</v>
      </c>
      <c r="AN526" s="22">
        <f t="shared" si="394"/>
        <v>2</v>
      </c>
      <c r="AO526" s="22">
        <f t="shared" si="395"/>
        <v>24</v>
      </c>
      <c r="AP526" s="22" t="str">
        <f t="shared" si="396"/>
        <v>X</v>
      </c>
      <c r="AQ526" s="22" t="str">
        <f t="shared" si="397"/>
        <v>O</v>
      </c>
      <c r="AR526" s="22" t="str">
        <f t="shared" si="398"/>
        <v>O</v>
      </c>
      <c r="AS526" s="22" t="str">
        <f t="shared" si="399"/>
        <v>X</v>
      </c>
      <c r="AT526" s="22" t="str">
        <f t="shared" si="400"/>
        <v>X</v>
      </c>
      <c r="AU526" s="22" t="str">
        <f t="shared" si="401"/>
        <v>X</v>
      </c>
      <c r="AV526" s="22" t="str">
        <f t="shared" si="402"/>
        <v>X</v>
      </c>
      <c r="AW526" s="22" t="str">
        <f t="shared" si="403"/>
        <v>X</v>
      </c>
      <c r="AX526" s="22" t="str">
        <f t="shared" si="404"/>
        <v>X</v>
      </c>
      <c r="AY526" s="22" t="str">
        <f t="shared" si="405"/>
        <v>X</v>
      </c>
      <c r="AZ526" s="22" t="str">
        <f t="shared" si="406"/>
        <v>O</v>
      </c>
      <c r="BA526" s="22" t="str">
        <f t="shared" si="407"/>
        <v>O</v>
      </c>
      <c r="BB526" s="22">
        <f t="shared" si="408"/>
        <v>4</v>
      </c>
      <c r="BC526" s="22" t="str">
        <f t="shared" si="409"/>
        <v>1G</v>
      </c>
      <c r="BD526" s="22" t="str">
        <f t="shared" si="410"/>
        <v>1G</v>
      </c>
      <c r="BE526" s="22" t="str">
        <f t="shared" si="411"/>
        <v>1G</v>
      </c>
      <c r="BF526" s="22" t="str">
        <f t="shared" si="412"/>
        <v>1G</v>
      </c>
      <c r="BG526" s="22" t="str">
        <f t="shared" si="413"/>
        <v>3G</v>
      </c>
      <c r="BH526" s="22" t="str">
        <f t="shared" si="414"/>
        <v>3G</v>
      </c>
      <c r="BI526" s="22">
        <f t="shared" si="416"/>
        <v>4</v>
      </c>
      <c r="BJ526" s="22">
        <f t="shared" si="417"/>
        <v>0</v>
      </c>
      <c r="BK526" s="22">
        <f t="shared" si="418"/>
        <v>2</v>
      </c>
      <c r="BL526" s="22" t="str">
        <f t="shared" si="415"/>
        <v>402</v>
      </c>
      <c r="BS526"/>
    </row>
    <row r="527" spans="1:74" ht="17" hidden="1">
      <c r="A527" s="16">
        <v>2</v>
      </c>
      <c r="B527" s="16">
        <v>523</v>
      </c>
      <c r="C527" s="23" t="s">
        <v>800</v>
      </c>
      <c r="N527" s="113">
        <v>1</v>
      </c>
      <c r="O527" s="113">
        <v>4</v>
      </c>
      <c r="P527" s="113">
        <v>37</v>
      </c>
      <c r="Q527" s="113">
        <v>38</v>
      </c>
      <c r="R527" s="113">
        <v>40</v>
      </c>
      <c r="S527" s="113">
        <v>45</v>
      </c>
      <c r="T527" s="113">
        <v>7</v>
      </c>
      <c r="U527" s="112">
        <f t="shared" si="376"/>
        <v>165</v>
      </c>
      <c r="W527" s="22" t="str">
        <f t="shared" si="377"/>
        <v>홀수</v>
      </c>
      <c r="X527" s="22" t="str">
        <f t="shared" si="378"/>
        <v>짝수</v>
      </c>
      <c r="Y527" s="22" t="str">
        <f t="shared" si="379"/>
        <v>홀수</v>
      </c>
      <c r="Z527" s="22" t="str">
        <f t="shared" si="380"/>
        <v>짝수</v>
      </c>
      <c r="AA527" s="23" t="str">
        <f t="shared" si="381"/>
        <v>짝수</v>
      </c>
      <c r="AB527" s="23" t="str">
        <f t="shared" si="382"/>
        <v>홀수</v>
      </c>
      <c r="AC527" s="22" t="str">
        <f t="shared" si="383"/>
        <v>3 : 3</v>
      </c>
      <c r="AD527" s="22">
        <f t="shared" si="384"/>
        <v>3</v>
      </c>
      <c r="AE527" s="22">
        <f t="shared" si="385"/>
        <v>3</v>
      </c>
      <c r="AF527" s="22" t="str">
        <f t="shared" si="386"/>
        <v>저수</v>
      </c>
      <c r="AG527" s="22" t="str">
        <f t="shared" si="387"/>
        <v>저수</v>
      </c>
      <c r="AH527" s="22" t="str">
        <f t="shared" si="388"/>
        <v>고수</v>
      </c>
      <c r="AI527" s="22" t="str">
        <f t="shared" si="389"/>
        <v>고수</v>
      </c>
      <c r="AJ527" s="22" t="str">
        <f t="shared" si="390"/>
        <v>고수</v>
      </c>
      <c r="AK527" s="22" t="str">
        <f t="shared" si="391"/>
        <v>고수</v>
      </c>
      <c r="AL527" s="22" t="str">
        <f t="shared" si="392"/>
        <v>2 : 4</v>
      </c>
      <c r="AM527" s="22">
        <f t="shared" si="393"/>
        <v>2</v>
      </c>
      <c r="AN527" s="22">
        <f t="shared" si="394"/>
        <v>4</v>
      </c>
      <c r="AO527" s="22">
        <f t="shared" si="395"/>
        <v>25</v>
      </c>
      <c r="AP527" s="22" t="str">
        <f t="shared" si="396"/>
        <v>X</v>
      </c>
      <c r="AQ527" s="22" t="str">
        <f t="shared" si="397"/>
        <v>X</v>
      </c>
      <c r="AR527" s="22" t="str">
        <f t="shared" si="398"/>
        <v>X</v>
      </c>
      <c r="AS527" s="22" t="str">
        <f t="shared" si="399"/>
        <v>X</v>
      </c>
      <c r="AT527" s="22" t="str">
        <f t="shared" si="400"/>
        <v>X</v>
      </c>
      <c r="AU527" s="22" t="str">
        <f t="shared" si="401"/>
        <v>X</v>
      </c>
      <c r="AV527" s="22" t="str">
        <f t="shared" si="402"/>
        <v>X</v>
      </c>
      <c r="AW527" s="22" t="str">
        <f t="shared" si="403"/>
        <v>X</v>
      </c>
      <c r="AX527" s="22" t="str">
        <f t="shared" si="404"/>
        <v>O</v>
      </c>
      <c r="AY527" s="22" t="str">
        <f t="shared" si="405"/>
        <v>X</v>
      </c>
      <c r="AZ527" s="22" t="str">
        <f t="shared" si="406"/>
        <v>X</v>
      </c>
      <c r="BA527" s="22" t="str">
        <f t="shared" si="407"/>
        <v>X</v>
      </c>
      <c r="BB527" s="22">
        <f t="shared" si="408"/>
        <v>1</v>
      </c>
      <c r="BC527" s="22" t="str">
        <f t="shared" si="409"/>
        <v>1G</v>
      </c>
      <c r="BD527" s="22" t="str">
        <f t="shared" si="410"/>
        <v>1G</v>
      </c>
      <c r="BE527" s="22" t="str">
        <f t="shared" si="411"/>
        <v>3G</v>
      </c>
      <c r="BF527" s="22" t="str">
        <f t="shared" si="412"/>
        <v>3G</v>
      </c>
      <c r="BG527" s="22" t="str">
        <f t="shared" si="413"/>
        <v>3G</v>
      </c>
      <c r="BH527" s="22" t="str">
        <f t="shared" si="414"/>
        <v>3G</v>
      </c>
      <c r="BI527" s="22">
        <f t="shared" si="416"/>
        <v>2</v>
      </c>
      <c r="BJ527" s="22">
        <f t="shared" si="417"/>
        <v>0</v>
      </c>
      <c r="BK527" s="22">
        <f t="shared" si="418"/>
        <v>4</v>
      </c>
      <c r="BL527" s="22" t="str">
        <f t="shared" si="415"/>
        <v>204</v>
      </c>
      <c r="BS527"/>
    </row>
    <row r="528" spans="1:74" ht="17" hidden="1">
      <c r="A528" s="16">
        <v>2</v>
      </c>
      <c r="B528" s="16">
        <v>524</v>
      </c>
      <c r="C528" s="23" t="s">
        <v>801</v>
      </c>
      <c r="N528" s="23">
        <v>10</v>
      </c>
      <c r="O528" s="23">
        <v>11</v>
      </c>
      <c r="P528" s="23">
        <v>29</v>
      </c>
      <c r="Q528" s="23">
        <v>38</v>
      </c>
      <c r="R528" s="23">
        <v>41</v>
      </c>
      <c r="S528" s="23">
        <v>45</v>
      </c>
      <c r="T528" s="23">
        <v>21</v>
      </c>
      <c r="U528" s="112">
        <f t="shared" si="376"/>
        <v>174</v>
      </c>
      <c r="W528" s="22" t="str">
        <f t="shared" si="377"/>
        <v>짝수</v>
      </c>
      <c r="X528" s="22" t="str">
        <f t="shared" si="378"/>
        <v>홀수</v>
      </c>
      <c r="Y528" s="22" t="str">
        <f t="shared" si="379"/>
        <v>홀수</v>
      </c>
      <c r="Z528" s="22" t="str">
        <f t="shared" si="380"/>
        <v>짝수</v>
      </c>
      <c r="AA528" s="23" t="str">
        <f t="shared" si="381"/>
        <v>홀수</v>
      </c>
      <c r="AB528" s="23" t="str">
        <f t="shared" si="382"/>
        <v>홀수</v>
      </c>
      <c r="AC528" s="22" t="str">
        <f t="shared" si="383"/>
        <v>4 : 2</v>
      </c>
      <c r="AD528" s="22">
        <f t="shared" si="384"/>
        <v>4</v>
      </c>
      <c r="AE528" s="22">
        <f t="shared" si="385"/>
        <v>2</v>
      </c>
      <c r="AF528" s="22" t="str">
        <f t="shared" si="386"/>
        <v>저수</v>
      </c>
      <c r="AG528" s="22" t="str">
        <f t="shared" si="387"/>
        <v>저수</v>
      </c>
      <c r="AH528" s="22" t="str">
        <f t="shared" si="388"/>
        <v>고수</v>
      </c>
      <c r="AI528" s="22" t="str">
        <f t="shared" si="389"/>
        <v>고수</v>
      </c>
      <c r="AJ528" s="22" t="str">
        <f t="shared" si="390"/>
        <v>고수</v>
      </c>
      <c r="AK528" s="22" t="str">
        <f t="shared" si="391"/>
        <v>고수</v>
      </c>
      <c r="AL528" s="22" t="str">
        <f t="shared" si="392"/>
        <v>2 : 4</v>
      </c>
      <c r="AM528" s="22">
        <f t="shared" si="393"/>
        <v>2</v>
      </c>
      <c r="AN528" s="22">
        <f t="shared" si="394"/>
        <v>4</v>
      </c>
      <c r="AO528" s="22">
        <f t="shared" si="395"/>
        <v>24</v>
      </c>
      <c r="AP528" s="22" t="str">
        <f t="shared" si="396"/>
        <v>X</v>
      </c>
      <c r="AQ528" s="22" t="str">
        <f t="shared" si="397"/>
        <v>O</v>
      </c>
      <c r="AR528" s="22" t="str">
        <f t="shared" si="398"/>
        <v>X</v>
      </c>
      <c r="AS528" s="22" t="str">
        <f t="shared" si="399"/>
        <v>X</v>
      </c>
      <c r="AT528" s="22" t="str">
        <f t="shared" si="400"/>
        <v>X</v>
      </c>
      <c r="AU528" s="22" t="str">
        <f t="shared" si="401"/>
        <v>X</v>
      </c>
      <c r="AV528" s="22" t="str">
        <f t="shared" si="402"/>
        <v>X</v>
      </c>
      <c r="AW528" s="22" t="str">
        <f t="shared" si="403"/>
        <v>X</v>
      </c>
      <c r="AX528" s="22" t="str">
        <f t="shared" si="404"/>
        <v>O</v>
      </c>
      <c r="AY528" s="22" t="str">
        <f t="shared" si="405"/>
        <v>X</v>
      </c>
      <c r="AZ528" s="22" t="str">
        <f t="shared" si="406"/>
        <v>O</v>
      </c>
      <c r="BA528" s="22" t="str">
        <f t="shared" si="407"/>
        <v>X</v>
      </c>
      <c r="BB528" s="22">
        <f t="shared" si="408"/>
        <v>3</v>
      </c>
      <c r="BC528" s="22" t="str">
        <f t="shared" si="409"/>
        <v>1G</v>
      </c>
      <c r="BD528" s="22" t="str">
        <f t="shared" si="410"/>
        <v>1G</v>
      </c>
      <c r="BE528" s="22" t="str">
        <f t="shared" si="411"/>
        <v>2G</v>
      </c>
      <c r="BF528" s="22" t="str">
        <f t="shared" si="412"/>
        <v>3G</v>
      </c>
      <c r="BG528" s="22" t="str">
        <f t="shared" si="413"/>
        <v>3G</v>
      </c>
      <c r="BH528" s="22" t="str">
        <f t="shared" si="414"/>
        <v>3G</v>
      </c>
      <c r="BI528" s="22">
        <f t="shared" si="416"/>
        <v>2</v>
      </c>
      <c r="BJ528" s="22">
        <f t="shared" si="417"/>
        <v>1</v>
      </c>
      <c r="BK528" s="22">
        <f t="shared" si="418"/>
        <v>3</v>
      </c>
      <c r="BL528" s="22" t="str">
        <f t="shared" si="415"/>
        <v>213</v>
      </c>
      <c r="BS528"/>
    </row>
    <row r="529" spans="1:71" ht="17" hidden="1">
      <c r="A529" s="16">
        <v>2</v>
      </c>
      <c r="B529" s="16">
        <v>525</v>
      </c>
      <c r="C529" s="23" t="s">
        <v>813</v>
      </c>
      <c r="N529" s="23">
        <v>11</v>
      </c>
      <c r="O529" s="23">
        <v>23</v>
      </c>
      <c r="P529" s="23">
        <v>26</v>
      </c>
      <c r="Q529" s="23">
        <v>29</v>
      </c>
      <c r="R529" s="23">
        <v>39</v>
      </c>
      <c r="S529" s="23">
        <v>44</v>
      </c>
      <c r="T529" s="23">
        <v>22</v>
      </c>
      <c r="U529" s="23">
        <f t="shared" si="376"/>
        <v>172</v>
      </c>
      <c r="W529" s="22" t="str">
        <f t="shared" ref="W529:AB529" si="419">IF(RIGHT(N529,1)="1","홀수",IF(RIGHT(N529,1)="3","홀수",IF(RIGHT(N529,1)="5","홀수",IF(RIGHT(N529,1)="7","홀수",IF(RIGHT(N529,1)="9","홀수","짝수")))))</f>
        <v>홀수</v>
      </c>
      <c r="X529" s="22" t="str">
        <f t="shared" si="419"/>
        <v>홀수</v>
      </c>
      <c r="Y529" s="22" t="str">
        <f t="shared" si="419"/>
        <v>짝수</v>
      </c>
      <c r="Z529" s="22" t="str">
        <f t="shared" si="419"/>
        <v>홀수</v>
      </c>
      <c r="AA529" s="23" t="str">
        <f t="shared" si="419"/>
        <v>홀수</v>
      </c>
      <c r="AB529" s="23" t="str">
        <f t="shared" si="419"/>
        <v>짝수</v>
      </c>
      <c r="AC529" s="22" t="str">
        <f>AD529&amp;" : "&amp;AE529</f>
        <v>4 : 2</v>
      </c>
      <c r="AD529" s="22">
        <f>COUNTIF(W529:AB529,"홀수")</f>
        <v>4</v>
      </c>
      <c r="AE529" s="22">
        <f>COUNTIF(W529:AB529,"짝수")</f>
        <v>2</v>
      </c>
      <c r="AF529" s="22" t="str">
        <f t="shared" ref="AF529:AK529" si="420">IF(N529&lt;23,"저수","고수")</f>
        <v>저수</v>
      </c>
      <c r="AG529" s="22" t="str">
        <f t="shared" si="420"/>
        <v>고수</v>
      </c>
      <c r="AH529" s="22" t="str">
        <f t="shared" si="420"/>
        <v>고수</v>
      </c>
      <c r="AI529" s="22" t="str">
        <f t="shared" si="420"/>
        <v>고수</v>
      </c>
      <c r="AJ529" s="22" t="str">
        <f t="shared" si="420"/>
        <v>고수</v>
      </c>
      <c r="AK529" s="22" t="str">
        <f t="shared" si="420"/>
        <v>고수</v>
      </c>
      <c r="AL529" s="22" t="str">
        <f>AM529&amp;" : "&amp;AN529</f>
        <v>1 : 5</v>
      </c>
      <c r="AM529" s="22">
        <f>COUNTIF(AF529:AK529,"저수")</f>
        <v>1</v>
      </c>
      <c r="AN529" s="22">
        <f>COUNTIF(AF529:AK529,"고수")</f>
        <v>5</v>
      </c>
      <c r="AO529" s="22">
        <f>RIGHT(N529,1)+RIGHT(O529,1)+RIGHT(P529,1)+RIGHT(Q529,1)+RIGHT(R529,1)+RIGHT(S529,1)</f>
        <v>32</v>
      </c>
      <c r="AP529" s="22" t="str">
        <f t="shared" ref="AP529:AU529" si="421">IF(N529=2,"O",IF(N529=3,"O",IF(N529=5,"O",IF(N529=7,"O",IF(N529=11,"O",IF(N529=13,"O",IF(N529=17,"O",IF(N529=19,"O","X"))))))))</f>
        <v>O</v>
      </c>
      <c r="AQ529" s="22" t="str">
        <f t="shared" si="421"/>
        <v>X</v>
      </c>
      <c r="AR529" s="22" t="str">
        <f t="shared" si="421"/>
        <v>X</v>
      </c>
      <c r="AS529" s="22" t="str">
        <f t="shared" si="421"/>
        <v>X</v>
      </c>
      <c r="AT529" s="22" t="str">
        <f t="shared" si="421"/>
        <v>X</v>
      </c>
      <c r="AU529" s="22" t="str">
        <f t="shared" si="421"/>
        <v>X</v>
      </c>
      <c r="AV529" s="22" t="str">
        <f t="shared" ref="AV529:BA529" si="422">IF(N529=23,"O",IF(N529=29,"O",IF(N529=31,"O",IF(N529=37,"O",IF(N529=41,"O",IF(N529=43,"O","X"))))))</f>
        <v>X</v>
      </c>
      <c r="AW529" s="22" t="str">
        <f t="shared" si="422"/>
        <v>O</v>
      </c>
      <c r="AX529" s="22" t="str">
        <f t="shared" si="422"/>
        <v>X</v>
      </c>
      <c r="AY529" s="22" t="str">
        <f t="shared" si="422"/>
        <v>O</v>
      </c>
      <c r="AZ529" s="22" t="str">
        <f t="shared" si="422"/>
        <v>X</v>
      </c>
      <c r="BA529" s="22" t="str">
        <f t="shared" si="422"/>
        <v>X</v>
      </c>
      <c r="BB529" s="22">
        <f>COUNTIF(AP529:BA529,"O")</f>
        <v>3</v>
      </c>
      <c r="BC529" s="22" t="str">
        <f t="shared" ref="BC529:BC548" si="423">VLOOKUP(N529,삼그룹,6,FALSE)</f>
        <v>1G</v>
      </c>
      <c r="BD529" s="22" t="str">
        <f t="shared" ref="BD529:BD548" si="424">VLOOKUP(O529,삼그룹,6,FALSE)</f>
        <v>2G</v>
      </c>
      <c r="BE529" s="22" t="str">
        <f t="shared" ref="BE529:BE548" si="425">VLOOKUP(P529,삼그룹,6,FALSE)</f>
        <v>2G</v>
      </c>
      <c r="BF529" s="22" t="str">
        <f t="shared" ref="BF529:BF548" si="426">VLOOKUP(Q529,삼그룹,6,FALSE)</f>
        <v>2G</v>
      </c>
      <c r="BG529" s="22" t="str">
        <f t="shared" ref="BG529:BG548" si="427">VLOOKUP(R529,삼그룹,6,FALSE)</f>
        <v>3G</v>
      </c>
      <c r="BH529" s="22" t="str">
        <f t="shared" ref="BH529:BH548" si="428">VLOOKUP(S529,삼그룹,6,FALSE)</f>
        <v>3G</v>
      </c>
      <c r="BI529" s="22">
        <f t="shared" si="416"/>
        <v>1</v>
      </c>
      <c r="BJ529" s="22">
        <f t="shared" si="417"/>
        <v>3</v>
      </c>
      <c r="BK529" s="22">
        <f t="shared" si="418"/>
        <v>2</v>
      </c>
      <c r="BL529" s="22" t="str">
        <f t="shared" ref="BL529:BL548" si="429">BI529&amp;BJ529&amp;BK529</f>
        <v>132</v>
      </c>
      <c r="BS529"/>
    </row>
    <row r="530" spans="1:71" ht="17" hidden="1">
      <c r="A530" s="16">
        <v>2</v>
      </c>
      <c r="B530" s="16">
        <v>526</v>
      </c>
      <c r="C530" s="23" t="s">
        <v>824</v>
      </c>
      <c r="N530" s="23">
        <v>7</v>
      </c>
      <c r="O530" s="23">
        <v>14</v>
      </c>
      <c r="P530" s="23">
        <v>17</v>
      </c>
      <c r="Q530" s="23">
        <v>20</v>
      </c>
      <c r="R530" s="23">
        <v>35</v>
      </c>
      <c r="S530" s="23">
        <v>39</v>
      </c>
      <c r="T530" s="23">
        <v>31</v>
      </c>
      <c r="U530" s="23">
        <f t="shared" si="376"/>
        <v>132</v>
      </c>
      <c r="W530" s="22" t="str">
        <f t="shared" ref="W530:W577" si="430">IF(RIGHT(N530,1)="1","홀수",IF(RIGHT(N530,1)="3","홀수",IF(RIGHT(N530,1)="5","홀수",IF(RIGHT(N530,1)="7","홀수",IF(RIGHT(N530,1)="9","홀수","짝수")))))</f>
        <v>홀수</v>
      </c>
      <c r="X530" s="22" t="str">
        <f t="shared" ref="X530:X577" si="431">IF(RIGHT(O530,1)="1","홀수",IF(RIGHT(O530,1)="3","홀수",IF(RIGHT(O530,1)="5","홀수",IF(RIGHT(O530,1)="7","홀수",IF(RIGHT(O530,1)="9","홀수","짝수")))))</f>
        <v>짝수</v>
      </c>
      <c r="Y530" s="22" t="str">
        <f t="shared" ref="Y530:Y577" si="432">IF(RIGHT(P530,1)="1","홀수",IF(RIGHT(P530,1)="3","홀수",IF(RIGHT(P530,1)="5","홀수",IF(RIGHT(P530,1)="7","홀수",IF(RIGHT(P530,1)="9","홀수","짝수")))))</f>
        <v>홀수</v>
      </c>
      <c r="Z530" s="22" t="str">
        <f t="shared" ref="Z530:Z577" si="433">IF(RIGHT(Q530,1)="1","홀수",IF(RIGHT(Q530,1)="3","홀수",IF(RIGHT(Q530,1)="5","홀수",IF(RIGHT(Q530,1)="7","홀수",IF(RIGHT(Q530,1)="9","홀수","짝수")))))</f>
        <v>짝수</v>
      </c>
      <c r="AA530" s="23" t="str">
        <f t="shared" ref="AA530:AA577" si="434">IF(RIGHT(R530,1)="1","홀수",IF(RIGHT(R530,1)="3","홀수",IF(RIGHT(R530,1)="5","홀수",IF(RIGHT(R530,1)="7","홀수",IF(RIGHT(R530,1)="9","홀수","짝수")))))</f>
        <v>홀수</v>
      </c>
      <c r="AB530" s="23" t="str">
        <f t="shared" ref="AB530:AB577" si="435">IF(RIGHT(S530,1)="1","홀수",IF(RIGHT(S530,1)="3","홀수",IF(RIGHT(S530,1)="5","홀수",IF(RIGHT(S530,1)="7","홀수",IF(RIGHT(S530,1)="9","홀수","짝수")))))</f>
        <v>홀수</v>
      </c>
      <c r="AC530" s="22" t="str">
        <f t="shared" ref="AC530:AC577" si="436">AD530&amp;" : "&amp;AE530</f>
        <v>4 : 2</v>
      </c>
      <c r="AD530" s="22">
        <f t="shared" ref="AD530:AD577" si="437">COUNTIF(W530:AB530,"홀수")</f>
        <v>4</v>
      </c>
      <c r="AE530" s="22">
        <f t="shared" ref="AE530:AE577" si="438">COUNTIF(W530:AB530,"짝수")</f>
        <v>2</v>
      </c>
      <c r="AF530" s="22" t="str">
        <f t="shared" ref="AF530:AF577" si="439">IF(N530&lt;23,"저수","고수")</f>
        <v>저수</v>
      </c>
      <c r="AG530" s="22" t="str">
        <f t="shared" ref="AG530:AG577" si="440">IF(O530&lt;23,"저수","고수")</f>
        <v>저수</v>
      </c>
      <c r="AH530" s="22" t="str">
        <f t="shared" ref="AH530:AH577" si="441">IF(P530&lt;23,"저수","고수")</f>
        <v>저수</v>
      </c>
      <c r="AI530" s="22" t="str">
        <f t="shared" ref="AI530:AI577" si="442">IF(Q530&lt;23,"저수","고수")</f>
        <v>저수</v>
      </c>
      <c r="AJ530" s="22" t="str">
        <f t="shared" ref="AJ530:AJ577" si="443">IF(R530&lt;23,"저수","고수")</f>
        <v>고수</v>
      </c>
      <c r="AK530" s="22" t="str">
        <f t="shared" ref="AK530:AK577" si="444">IF(S530&lt;23,"저수","고수")</f>
        <v>고수</v>
      </c>
      <c r="AL530" s="22" t="str">
        <f t="shared" ref="AL530:AL577" si="445">AM530&amp;" : "&amp;AN530</f>
        <v>4 : 2</v>
      </c>
      <c r="AM530" s="22">
        <f t="shared" ref="AM530:AM577" si="446">COUNTIF(AF530:AK530,"저수")</f>
        <v>4</v>
      </c>
      <c r="AN530" s="22">
        <f t="shared" ref="AN530:AN577" si="447">COUNTIF(AF530:AK530,"고수")</f>
        <v>2</v>
      </c>
      <c r="AO530" s="22">
        <f t="shared" ref="AO530:AO577" si="448">RIGHT(N530,1)+RIGHT(O530,1)+RIGHT(P530,1)+RIGHT(Q530,1)+RIGHT(R530,1)+RIGHT(S530,1)</f>
        <v>32</v>
      </c>
      <c r="AP530" s="22" t="str">
        <f t="shared" ref="AP530:AP577" si="449">IF(N530=2,"O",IF(N530=3,"O",IF(N530=5,"O",IF(N530=7,"O",IF(N530=11,"O",IF(N530=13,"O",IF(N530=17,"O",IF(N530=19,"O","X"))))))))</f>
        <v>O</v>
      </c>
      <c r="AQ530" s="22" t="str">
        <f t="shared" ref="AQ530:AQ577" si="450">IF(O530=2,"O",IF(O530=3,"O",IF(O530=5,"O",IF(O530=7,"O",IF(O530=11,"O",IF(O530=13,"O",IF(O530=17,"O",IF(O530=19,"O","X"))))))))</f>
        <v>X</v>
      </c>
      <c r="AR530" s="22" t="str">
        <f t="shared" ref="AR530:AR577" si="451">IF(P530=2,"O",IF(P530=3,"O",IF(P530=5,"O",IF(P530=7,"O",IF(P530=11,"O",IF(P530=13,"O",IF(P530=17,"O",IF(P530=19,"O","X"))))))))</f>
        <v>O</v>
      </c>
      <c r="AS530" s="22" t="str">
        <f t="shared" ref="AS530:AS577" si="452">IF(Q530=2,"O",IF(Q530=3,"O",IF(Q530=5,"O",IF(Q530=7,"O",IF(Q530=11,"O",IF(Q530=13,"O",IF(Q530=17,"O",IF(Q530=19,"O","X"))))))))</f>
        <v>X</v>
      </c>
      <c r="AT530" s="22" t="str">
        <f t="shared" ref="AT530:AT577" si="453">IF(R530=2,"O",IF(R530=3,"O",IF(R530=5,"O",IF(R530=7,"O",IF(R530=11,"O",IF(R530=13,"O",IF(R530=17,"O",IF(R530=19,"O","X"))))))))</f>
        <v>X</v>
      </c>
      <c r="AU530" s="22" t="str">
        <f t="shared" ref="AU530:AU577" si="454">IF(S530=2,"O",IF(S530=3,"O",IF(S530=5,"O",IF(S530=7,"O",IF(S530=11,"O",IF(S530=13,"O",IF(S530=17,"O",IF(S530=19,"O","X"))))))))</f>
        <v>X</v>
      </c>
      <c r="AV530" s="22" t="str">
        <f t="shared" ref="AV530:AV577" si="455">IF(N530=23,"O",IF(N530=29,"O",IF(N530=31,"O",IF(N530=37,"O",IF(N530=41,"O",IF(N530=43,"O","X"))))))</f>
        <v>X</v>
      </c>
      <c r="AW530" s="22" t="str">
        <f t="shared" ref="AW530:AW577" si="456">IF(O530=23,"O",IF(O530=29,"O",IF(O530=31,"O",IF(O530=37,"O",IF(O530=41,"O",IF(O530=43,"O","X"))))))</f>
        <v>X</v>
      </c>
      <c r="AX530" s="22" t="str">
        <f t="shared" ref="AX530:AX577" si="457">IF(P530=23,"O",IF(P530=29,"O",IF(P530=31,"O",IF(P530=37,"O",IF(P530=41,"O",IF(P530=43,"O","X"))))))</f>
        <v>X</v>
      </c>
      <c r="AY530" s="22" t="str">
        <f t="shared" ref="AY530:AY577" si="458">IF(Q530=23,"O",IF(Q530=29,"O",IF(Q530=31,"O",IF(Q530=37,"O",IF(Q530=41,"O",IF(Q530=43,"O","X"))))))</f>
        <v>X</v>
      </c>
      <c r="AZ530" s="22" t="str">
        <f t="shared" ref="AZ530:AZ577" si="459">IF(R530=23,"O",IF(R530=29,"O",IF(R530=31,"O",IF(R530=37,"O",IF(R530=41,"O",IF(R530=43,"O","X"))))))</f>
        <v>X</v>
      </c>
      <c r="BA530" s="22" t="str">
        <f t="shared" ref="BA530:BA577" si="460">IF(S530=23,"O",IF(S530=29,"O",IF(S530=31,"O",IF(S530=37,"O",IF(S530=41,"O",IF(S530=43,"O","X"))))))</f>
        <v>X</v>
      </c>
      <c r="BB530" s="22">
        <f t="shared" ref="BB530:BB577" si="461">COUNTIF(AP530:BA530,"O")</f>
        <v>2</v>
      </c>
      <c r="BC530" s="22" t="str">
        <f t="shared" si="423"/>
        <v>1G</v>
      </c>
      <c r="BD530" s="22" t="str">
        <f t="shared" si="424"/>
        <v>1G</v>
      </c>
      <c r="BE530" s="22" t="str">
        <f t="shared" si="425"/>
        <v>2G</v>
      </c>
      <c r="BF530" s="22" t="str">
        <f t="shared" si="426"/>
        <v>2G</v>
      </c>
      <c r="BG530" s="22" t="str">
        <f t="shared" si="427"/>
        <v>3G</v>
      </c>
      <c r="BH530" s="22" t="str">
        <f t="shared" si="428"/>
        <v>3G</v>
      </c>
      <c r="BI530" s="22">
        <f t="shared" si="416"/>
        <v>2</v>
      </c>
      <c r="BJ530" s="22">
        <f t="shared" si="417"/>
        <v>2</v>
      </c>
      <c r="BK530" s="22">
        <f t="shared" si="418"/>
        <v>2</v>
      </c>
      <c r="BL530" s="22" t="str">
        <f t="shared" si="429"/>
        <v>222</v>
      </c>
      <c r="BS530"/>
    </row>
    <row r="531" spans="1:71" ht="17" hidden="1">
      <c r="A531" s="16">
        <v>3</v>
      </c>
      <c r="B531" s="16">
        <v>527</v>
      </c>
      <c r="C531" s="23" t="s">
        <v>827</v>
      </c>
      <c r="N531" s="23">
        <v>1</v>
      </c>
      <c r="O531" s="23">
        <v>12</v>
      </c>
      <c r="P531" s="23">
        <v>22</v>
      </c>
      <c r="Q531" s="23">
        <v>32</v>
      </c>
      <c r="R531" s="23">
        <v>33</v>
      </c>
      <c r="S531" s="23">
        <v>42</v>
      </c>
      <c r="T531" s="23">
        <v>38</v>
      </c>
      <c r="U531" s="23">
        <f t="shared" si="376"/>
        <v>142</v>
      </c>
      <c r="W531" s="22" t="str">
        <f t="shared" si="430"/>
        <v>홀수</v>
      </c>
      <c r="X531" s="22" t="str">
        <f t="shared" si="431"/>
        <v>짝수</v>
      </c>
      <c r="Y531" s="22" t="str">
        <f t="shared" si="432"/>
        <v>짝수</v>
      </c>
      <c r="Z531" s="22" t="str">
        <f t="shared" si="433"/>
        <v>짝수</v>
      </c>
      <c r="AA531" s="23" t="str">
        <f t="shared" si="434"/>
        <v>홀수</v>
      </c>
      <c r="AB531" s="23" t="str">
        <f t="shared" si="435"/>
        <v>짝수</v>
      </c>
      <c r="AC531" s="22" t="str">
        <f t="shared" si="436"/>
        <v>2 : 4</v>
      </c>
      <c r="AD531" s="22">
        <f t="shared" si="437"/>
        <v>2</v>
      </c>
      <c r="AE531" s="22">
        <f t="shared" si="438"/>
        <v>4</v>
      </c>
      <c r="AF531" s="22" t="str">
        <f t="shared" si="439"/>
        <v>저수</v>
      </c>
      <c r="AG531" s="22" t="str">
        <f t="shared" si="440"/>
        <v>저수</v>
      </c>
      <c r="AH531" s="22" t="str">
        <f t="shared" si="441"/>
        <v>저수</v>
      </c>
      <c r="AI531" s="22" t="str">
        <f t="shared" si="442"/>
        <v>고수</v>
      </c>
      <c r="AJ531" s="22" t="str">
        <f t="shared" si="443"/>
        <v>고수</v>
      </c>
      <c r="AK531" s="22" t="str">
        <f t="shared" si="444"/>
        <v>고수</v>
      </c>
      <c r="AL531" s="22" t="str">
        <f t="shared" si="445"/>
        <v>3 : 3</v>
      </c>
      <c r="AM531" s="22">
        <f t="shared" si="446"/>
        <v>3</v>
      </c>
      <c r="AN531" s="22">
        <f t="shared" si="447"/>
        <v>3</v>
      </c>
      <c r="AO531" s="22">
        <f t="shared" si="448"/>
        <v>12</v>
      </c>
      <c r="AP531" s="22" t="str">
        <f t="shared" si="449"/>
        <v>X</v>
      </c>
      <c r="AQ531" s="22" t="str">
        <f t="shared" si="450"/>
        <v>X</v>
      </c>
      <c r="AR531" s="22" t="str">
        <f t="shared" si="451"/>
        <v>X</v>
      </c>
      <c r="AS531" s="22" t="str">
        <f t="shared" si="452"/>
        <v>X</v>
      </c>
      <c r="AT531" s="22" t="str">
        <f t="shared" si="453"/>
        <v>X</v>
      </c>
      <c r="AU531" s="22" t="str">
        <f t="shared" si="454"/>
        <v>X</v>
      </c>
      <c r="AV531" s="22" t="str">
        <f t="shared" si="455"/>
        <v>X</v>
      </c>
      <c r="AW531" s="22" t="str">
        <f t="shared" si="456"/>
        <v>X</v>
      </c>
      <c r="AX531" s="22" t="str">
        <f t="shared" si="457"/>
        <v>X</v>
      </c>
      <c r="AY531" s="22" t="str">
        <f t="shared" si="458"/>
        <v>X</v>
      </c>
      <c r="AZ531" s="22" t="str">
        <f t="shared" si="459"/>
        <v>X</v>
      </c>
      <c r="BA531" s="22" t="str">
        <f t="shared" si="460"/>
        <v>X</v>
      </c>
      <c r="BB531" s="22">
        <f t="shared" si="461"/>
        <v>0</v>
      </c>
      <c r="BC531" s="22" t="str">
        <f t="shared" si="423"/>
        <v>1G</v>
      </c>
      <c r="BD531" s="22" t="str">
        <f t="shared" si="424"/>
        <v>1G</v>
      </c>
      <c r="BE531" s="22" t="str">
        <f t="shared" si="425"/>
        <v>2G</v>
      </c>
      <c r="BF531" s="22" t="str">
        <f t="shared" si="426"/>
        <v>3G</v>
      </c>
      <c r="BG531" s="22" t="str">
        <f t="shared" si="427"/>
        <v>3G</v>
      </c>
      <c r="BH531" s="22" t="str">
        <f t="shared" si="428"/>
        <v>3G</v>
      </c>
      <c r="BI531" s="22">
        <f t="shared" si="416"/>
        <v>2</v>
      </c>
      <c r="BJ531" s="22">
        <f t="shared" si="417"/>
        <v>1</v>
      </c>
      <c r="BK531" s="22">
        <f t="shared" si="418"/>
        <v>3</v>
      </c>
      <c r="BL531" s="22" t="str">
        <f t="shared" si="429"/>
        <v>213</v>
      </c>
      <c r="BS531"/>
    </row>
    <row r="532" spans="1:71" ht="17" hidden="1">
      <c r="A532" s="16">
        <v>3</v>
      </c>
      <c r="B532" s="16">
        <v>528</v>
      </c>
      <c r="C532" s="23" t="s">
        <v>828</v>
      </c>
      <c r="N532" s="23">
        <v>5</v>
      </c>
      <c r="O532" s="23">
        <v>17</v>
      </c>
      <c r="P532" s="23">
        <v>25</v>
      </c>
      <c r="Q532" s="23">
        <v>31</v>
      </c>
      <c r="R532" s="23">
        <v>39</v>
      </c>
      <c r="S532" s="23">
        <v>40</v>
      </c>
      <c r="T532" s="23">
        <v>10</v>
      </c>
      <c r="U532" s="23">
        <f t="shared" si="376"/>
        <v>157</v>
      </c>
      <c r="W532" s="22" t="str">
        <f t="shared" si="430"/>
        <v>홀수</v>
      </c>
      <c r="X532" s="22" t="str">
        <f t="shared" si="431"/>
        <v>홀수</v>
      </c>
      <c r="Y532" s="22" t="str">
        <f t="shared" si="432"/>
        <v>홀수</v>
      </c>
      <c r="Z532" s="22" t="str">
        <f t="shared" si="433"/>
        <v>홀수</v>
      </c>
      <c r="AA532" s="23" t="str">
        <f t="shared" si="434"/>
        <v>홀수</v>
      </c>
      <c r="AB532" s="23" t="str">
        <f t="shared" si="435"/>
        <v>짝수</v>
      </c>
      <c r="AC532" s="22" t="str">
        <f t="shared" si="436"/>
        <v>5 : 1</v>
      </c>
      <c r="AD532" s="22">
        <f t="shared" si="437"/>
        <v>5</v>
      </c>
      <c r="AE532" s="22">
        <f t="shared" si="438"/>
        <v>1</v>
      </c>
      <c r="AF532" s="22" t="str">
        <f t="shared" si="439"/>
        <v>저수</v>
      </c>
      <c r="AG532" s="22" t="str">
        <f t="shared" si="440"/>
        <v>저수</v>
      </c>
      <c r="AH532" s="22" t="str">
        <f t="shared" si="441"/>
        <v>고수</v>
      </c>
      <c r="AI532" s="22" t="str">
        <f t="shared" si="442"/>
        <v>고수</v>
      </c>
      <c r="AJ532" s="22" t="str">
        <f t="shared" si="443"/>
        <v>고수</v>
      </c>
      <c r="AK532" s="22" t="str">
        <f t="shared" si="444"/>
        <v>고수</v>
      </c>
      <c r="AL532" s="22" t="str">
        <f t="shared" si="445"/>
        <v>2 : 4</v>
      </c>
      <c r="AM532" s="22">
        <f t="shared" si="446"/>
        <v>2</v>
      </c>
      <c r="AN532" s="22">
        <f t="shared" si="447"/>
        <v>4</v>
      </c>
      <c r="AO532" s="22">
        <f t="shared" si="448"/>
        <v>27</v>
      </c>
      <c r="AP532" s="22" t="str">
        <f t="shared" si="449"/>
        <v>O</v>
      </c>
      <c r="AQ532" s="22" t="str">
        <f t="shared" si="450"/>
        <v>O</v>
      </c>
      <c r="AR532" s="22" t="str">
        <f t="shared" si="451"/>
        <v>X</v>
      </c>
      <c r="AS532" s="22" t="str">
        <f t="shared" si="452"/>
        <v>X</v>
      </c>
      <c r="AT532" s="22" t="str">
        <f t="shared" si="453"/>
        <v>X</v>
      </c>
      <c r="AU532" s="22" t="str">
        <f t="shared" si="454"/>
        <v>X</v>
      </c>
      <c r="AV532" s="22" t="str">
        <f t="shared" si="455"/>
        <v>X</v>
      </c>
      <c r="AW532" s="22" t="str">
        <f t="shared" si="456"/>
        <v>X</v>
      </c>
      <c r="AX532" s="22" t="str">
        <f t="shared" si="457"/>
        <v>X</v>
      </c>
      <c r="AY532" s="22" t="str">
        <f t="shared" si="458"/>
        <v>O</v>
      </c>
      <c r="AZ532" s="22" t="str">
        <f t="shared" si="459"/>
        <v>X</v>
      </c>
      <c r="BA532" s="22" t="str">
        <f t="shared" si="460"/>
        <v>X</v>
      </c>
      <c r="BB532" s="22">
        <f t="shared" si="461"/>
        <v>3</v>
      </c>
      <c r="BC532" s="22" t="str">
        <f t="shared" si="423"/>
        <v>1G</v>
      </c>
      <c r="BD532" s="22" t="str">
        <f t="shared" si="424"/>
        <v>2G</v>
      </c>
      <c r="BE532" s="22" t="str">
        <f t="shared" si="425"/>
        <v>2G</v>
      </c>
      <c r="BF532" s="22" t="str">
        <f t="shared" si="426"/>
        <v>3G</v>
      </c>
      <c r="BG532" s="22" t="str">
        <f t="shared" si="427"/>
        <v>3G</v>
      </c>
      <c r="BH532" s="22" t="str">
        <f t="shared" si="428"/>
        <v>3G</v>
      </c>
      <c r="BI532" s="22">
        <f t="shared" si="416"/>
        <v>1</v>
      </c>
      <c r="BJ532" s="22">
        <f t="shared" si="417"/>
        <v>2</v>
      </c>
      <c r="BK532" s="22">
        <f t="shared" si="418"/>
        <v>3</v>
      </c>
      <c r="BL532" s="22" t="str">
        <f t="shared" si="429"/>
        <v>123</v>
      </c>
      <c r="BS532"/>
    </row>
    <row r="533" spans="1:71" ht="17" hidden="1">
      <c r="A533" s="16">
        <v>3</v>
      </c>
      <c r="B533" s="16">
        <v>529</v>
      </c>
      <c r="C533" s="23" t="s">
        <v>830</v>
      </c>
      <c r="N533" s="23">
        <v>18</v>
      </c>
      <c r="O533" s="23">
        <v>20</v>
      </c>
      <c r="P533" s="23">
        <v>24</v>
      </c>
      <c r="Q533" s="23">
        <v>27</v>
      </c>
      <c r="R533" s="23">
        <v>31</v>
      </c>
      <c r="S533" s="23">
        <v>42</v>
      </c>
      <c r="T533" s="23">
        <v>39</v>
      </c>
      <c r="U533" s="23">
        <f t="shared" si="376"/>
        <v>162</v>
      </c>
      <c r="W533" s="22" t="str">
        <f t="shared" si="430"/>
        <v>짝수</v>
      </c>
      <c r="X533" s="22" t="str">
        <f t="shared" si="431"/>
        <v>짝수</v>
      </c>
      <c r="Y533" s="22" t="str">
        <f t="shared" si="432"/>
        <v>짝수</v>
      </c>
      <c r="Z533" s="22" t="str">
        <f t="shared" si="433"/>
        <v>홀수</v>
      </c>
      <c r="AA533" s="23" t="str">
        <f t="shared" si="434"/>
        <v>홀수</v>
      </c>
      <c r="AB533" s="23" t="str">
        <f t="shared" si="435"/>
        <v>짝수</v>
      </c>
      <c r="AC533" s="22" t="str">
        <f t="shared" si="436"/>
        <v>2 : 4</v>
      </c>
      <c r="AD533" s="22">
        <f t="shared" si="437"/>
        <v>2</v>
      </c>
      <c r="AE533" s="22">
        <f t="shared" si="438"/>
        <v>4</v>
      </c>
      <c r="AF533" s="22" t="str">
        <f t="shared" si="439"/>
        <v>저수</v>
      </c>
      <c r="AG533" s="22" t="str">
        <f t="shared" si="440"/>
        <v>저수</v>
      </c>
      <c r="AH533" s="22" t="str">
        <f t="shared" si="441"/>
        <v>고수</v>
      </c>
      <c r="AI533" s="22" t="str">
        <f t="shared" si="442"/>
        <v>고수</v>
      </c>
      <c r="AJ533" s="22" t="str">
        <f t="shared" si="443"/>
        <v>고수</v>
      </c>
      <c r="AK533" s="22" t="str">
        <f t="shared" si="444"/>
        <v>고수</v>
      </c>
      <c r="AL533" s="22" t="str">
        <f t="shared" si="445"/>
        <v>2 : 4</v>
      </c>
      <c r="AM533" s="22">
        <f t="shared" si="446"/>
        <v>2</v>
      </c>
      <c r="AN533" s="22">
        <f t="shared" si="447"/>
        <v>4</v>
      </c>
      <c r="AO533" s="22">
        <f t="shared" si="448"/>
        <v>22</v>
      </c>
      <c r="AP533" s="22" t="str">
        <f t="shared" si="449"/>
        <v>X</v>
      </c>
      <c r="AQ533" s="22" t="str">
        <f t="shared" si="450"/>
        <v>X</v>
      </c>
      <c r="AR533" s="22" t="str">
        <f t="shared" si="451"/>
        <v>X</v>
      </c>
      <c r="AS533" s="22" t="str">
        <f t="shared" si="452"/>
        <v>X</v>
      </c>
      <c r="AT533" s="22" t="str">
        <f t="shared" si="453"/>
        <v>X</v>
      </c>
      <c r="AU533" s="22" t="str">
        <f t="shared" si="454"/>
        <v>X</v>
      </c>
      <c r="AV533" s="22" t="str">
        <f t="shared" si="455"/>
        <v>X</v>
      </c>
      <c r="AW533" s="22" t="str">
        <f t="shared" si="456"/>
        <v>X</v>
      </c>
      <c r="AX533" s="22" t="str">
        <f t="shared" si="457"/>
        <v>X</v>
      </c>
      <c r="AY533" s="22" t="str">
        <f t="shared" si="458"/>
        <v>X</v>
      </c>
      <c r="AZ533" s="22" t="str">
        <f t="shared" si="459"/>
        <v>O</v>
      </c>
      <c r="BA533" s="22" t="str">
        <f t="shared" si="460"/>
        <v>X</v>
      </c>
      <c r="BB533" s="22">
        <f t="shared" si="461"/>
        <v>1</v>
      </c>
      <c r="BC533" s="22" t="str">
        <f t="shared" si="423"/>
        <v>2G</v>
      </c>
      <c r="BD533" s="22" t="str">
        <f t="shared" si="424"/>
        <v>2G</v>
      </c>
      <c r="BE533" s="22" t="str">
        <f t="shared" si="425"/>
        <v>2G</v>
      </c>
      <c r="BF533" s="22" t="str">
        <f t="shared" si="426"/>
        <v>2G</v>
      </c>
      <c r="BG533" s="22" t="str">
        <f t="shared" si="427"/>
        <v>3G</v>
      </c>
      <c r="BH533" s="22" t="str">
        <f t="shared" si="428"/>
        <v>3G</v>
      </c>
      <c r="BI533" s="22">
        <f t="shared" si="416"/>
        <v>0</v>
      </c>
      <c r="BJ533" s="22">
        <f t="shared" si="417"/>
        <v>4</v>
      </c>
      <c r="BK533" s="22">
        <f t="shared" si="418"/>
        <v>2</v>
      </c>
      <c r="BL533" s="22" t="str">
        <f t="shared" si="429"/>
        <v>042</v>
      </c>
      <c r="BS533"/>
    </row>
    <row r="534" spans="1:71" ht="17" hidden="1">
      <c r="A534" s="16">
        <v>3</v>
      </c>
      <c r="B534" s="16">
        <v>530</v>
      </c>
      <c r="C534" s="23" t="s">
        <v>831</v>
      </c>
      <c r="N534" s="23">
        <v>16</v>
      </c>
      <c r="O534" s="23">
        <v>23</v>
      </c>
      <c r="P534" s="23">
        <v>27</v>
      </c>
      <c r="Q534" s="23">
        <v>29</v>
      </c>
      <c r="R534" s="23">
        <v>33</v>
      </c>
      <c r="S534" s="23">
        <v>41</v>
      </c>
      <c r="T534" s="23">
        <v>22</v>
      </c>
      <c r="U534" s="23">
        <f t="shared" si="376"/>
        <v>169</v>
      </c>
      <c r="W534" s="22" t="str">
        <f t="shared" si="430"/>
        <v>짝수</v>
      </c>
      <c r="X534" s="22" t="str">
        <f t="shared" si="431"/>
        <v>홀수</v>
      </c>
      <c r="Y534" s="22" t="str">
        <f t="shared" si="432"/>
        <v>홀수</v>
      </c>
      <c r="Z534" s="22" t="str">
        <f t="shared" si="433"/>
        <v>홀수</v>
      </c>
      <c r="AA534" s="23" t="str">
        <f t="shared" si="434"/>
        <v>홀수</v>
      </c>
      <c r="AB534" s="23" t="str">
        <f t="shared" si="435"/>
        <v>홀수</v>
      </c>
      <c r="AC534" s="22" t="str">
        <f t="shared" si="436"/>
        <v>5 : 1</v>
      </c>
      <c r="AD534" s="22">
        <f t="shared" si="437"/>
        <v>5</v>
      </c>
      <c r="AE534" s="22">
        <f t="shared" si="438"/>
        <v>1</v>
      </c>
      <c r="AF534" s="22" t="str">
        <f t="shared" si="439"/>
        <v>저수</v>
      </c>
      <c r="AG534" s="22" t="str">
        <f t="shared" si="440"/>
        <v>고수</v>
      </c>
      <c r="AH534" s="22" t="str">
        <f t="shared" si="441"/>
        <v>고수</v>
      </c>
      <c r="AI534" s="22" t="str">
        <f t="shared" si="442"/>
        <v>고수</v>
      </c>
      <c r="AJ534" s="22" t="str">
        <f t="shared" si="443"/>
        <v>고수</v>
      </c>
      <c r="AK534" s="22" t="str">
        <f t="shared" si="444"/>
        <v>고수</v>
      </c>
      <c r="AL534" s="22" t="str">
        <f t="shared" si="445"/>
        <v>1 : 5</v>
      </c>
      <c r="AM534" s="22">
        <f t="shared" si="446"/>
        <v>1</v>
      </c>
      <c r="AN534" s="22">
        <f t="shared" si="447"/>
        <v>5</v>
      </c>
      <c r="AO534" s="22">
        <f t="shared" si="448"/>
        <v>29</v>
      </c>
      <c r="AP534" s="22" t="str">
        <f t="shared" si="449"/>
        <v>X</v>
      </c>
      <c r="AQ534" s="22" t="str">
        <f t="shared" si="450"/>
        <v>X</v>
      </c>
      <c r="AR534" s="22" t="str">
        <f t="shared" si="451"/>
        <v>X</v>
      </c>
      <c r="AS534" s="22" t="str">
        <f t="shared" si="452"/>
        <v>X</v>
      </c>
      <c r="AT534" s="22" t="str">
        <f t="shared" si="453"/>
        <v>X</v>
      </c>
      <c r="AU534" s="22" t="str">
        <f t="shared" si="454"/>
        <v>X</v>
      </c>
      <c r="AV534" s="22" t="str">
        <f t="shared" si="455"/>
        <v>X</v>
      </c>
      <c r="AW534" s="22" t="str">
        <f t="shared" si="456"/>
        <v>O</v>
      </c>
      <c r="AX534" s="22" t="str">
        <f t="shared" si="457"/>
        <v>X</v>
      </c>
      <c r="AY534" s="22" t="str">
        <f t="shared" si="458"/>
        <v>O</v>
      </c>
      <c r="AZ534" s="22" t="str">
        <f t="shared" si="459"/>
        <v>X</v>
      </c>
      <c r="BA534" s="22" t="str">
        <f t="shared" si="460"/>
        <v>O</v>
      </c>
      <c r="BB534" s="22">
        <f t="shared" si="461"/>
        <v>3</v>
      </c>
      <c r="BC534" s="22" t="str">
        <f t="shared" si="423"/>
        <v>2G</v>
      </c>
      <c r="BD534" s="22" t="str">
        <f t="shared" si="424"/>
        <v>2G</v>
      </c>
      <c r="BE534" s="22" t="str">
        <f t="shared" si="425"/>
        <v>2G</v>
      </c>
      <c r="BF534" s="22" t="str">
        <f t="shared" si="426"/>
        <v>2G</v>
      </c>
      <c r="BG534" s="22" t="str">
        <f t="shared" si="427"/>
        <v>3G</v>
      </c>
      <c r="BH534" s="22" t="str">
        <f t="shared" si="428"/>
        <v>3G</v>
      </c>
      <c r="BI534" s="22">
        <f t="shared" si="416"/>
        <v>0</v>
      </c>
      <c r="BJ534" s="22">
        <f t="shared" si="417"/>
        <v>4</v>
      </c>
      <c r="BK534" s="22">
        <f t="shared" si="418"/>
        <v>2</v>
      </c>
      <c r="BL534" s="22" t="str">
        <f t="shared" si="429"/>
        <v>042</v>
      </c>
      <c r="BS534"/>
    </row>
    <row r="535" spans="1:71" ht="17" hidden="1">
      <c r="B535" s="16">
        <v>531</v>
      </c>
      <c r="C535" s="23" t="s">
        <v>832</v>
      </c>
      <c r="N535" s="23">
        <v>1</v>
      </c>
      <c r="O535" s="23">
        <v>5</v>
      </c>
      <c r="P535" s="23">
        <v>9</v>
      </c>
      <c r="Q535" s="23">
        <v>21</v>
      </c>
      <c r="R535" s="23">
        <v>27</v>
      </c>
      <c r="S535" s="23">
        <v>35</v>
      </c>
      <c r="T535" s="23">
        <v>45</v>
      </c>
      <c r="U535" s="23">
        <f t="shared" si="376"/>
        <v>98</v>
      </c>
      <c r="W535" s="22" t="str">
        <f t="shared" si="430"/>
        <v>홀수</v>
      </c>
      <c r="X535" s="22" t="str">
        <f t="shared" si="431"/>
        <v>홀수</v>
      </c>
      <c r="Y535" s="22" t="str">
        <f t="shared" si="432"/>
        <v>홀수</v>
      </c>
      <c r="Z535" s="22" t="str">
        <f t="shared" si="433"/>
        <v>홀수</v>
      </c>
      <c r="AA535" s="23" t="str">
        <f t="shared" si="434"/>
        <v>홀수</v>
      </c>
      <c r="AB535" s="23" t="str">
        <f t="shared" si="435"/>
        <v>홀수</v>
      </c>
      <c r="AC535" s="22" t="str">
        <f t="shared" si="436"/>
        <v>6 : 0</v>
      </c>
      <c r="AD535" s="22">
        <f t="shared" si="437"/>
        <v>6</v>
      </c>
      <c r="AE535" s="22">
        <f t="shared" si="438"/>
        <v>0</v>
      </c>
      <c r="AF535" s="22" t="str">
        <f t="shared" si="439"/>
        <v>저수</v>
      </c>
      <c r="AG535" s="22" t="str">
        <f t="shared" si="440"/>
        <v>저수</v>
      </c>
      <c r="AH535" s="22" t="str">
        <f t="shared" si="441"/>
        <v>저수</v>
      </c>
      <c r="AI535" s="22" t="str">
        <f t="shared" si="442"/>
        <v>저수</v>
      </c>
      <c r="AJ535" s="22" t="str">
        <f t="shared" si="443"/>
        <v>고수</v>
      </c>
      <c r="AK535" s="22" t="str">
        <f t="shared" si="444"/>
        <v>고수</v>
      </c>
      <c r="AL535" s="22" t="str">
        <f t="shared" si="445"/>
        <v>4 : 2</v>
      </c>
      <c r="AM535" s="22">
        <f t="shared" si="446"/>
        <v>4</v>
      </c>
      <c r="AN535" s="22">
        <f t="shared" si="447"/>
        <v>2</v>
      </c>
      <c r="AO535" s="22">
        <f t="shared" si="448"/>
        <v>28</v>
      </c>
      <c r="AP535" s="22" t="str">
        <f t="shared" si="449"/>
        <v>X</v>
      </c>
      <c r="AQ535" s="22" t="str">
        <f t="shared" si="450"/>
        <v>O</v>
      </c>
      <c r="AR535" s="22" t="str">
        <f t="shared" si="451"/>
        <v>X</v>
      </c>
      <c r="AS535" s="22" t="str">
        <f t="shared" si="452"/>
        <v>X</v>
      </c>
      <c r="AT535" s="22" t="str">
        <f t="shared" si="453"/>
        <v>X</v>
      </c>
      <c r="AU535" s="22" t="str">
        <f t="shared" si="454"/>
        <v>X</v>
      </c>
      <c r="AV535" s="22" t="str">
        <f t="shared" si="455"/>
        <v>X</v>
      </c>
      <c r="AW535" s="22" t="str">
        <f t="shared" si="456"/>
        <v>X</v>
      </c>
      <c r="AX535" s="22" t="str">
        <f t="shared" si="457"/>
        <v>X</v>
      </c>
      <c r="AY535" s="22" t="str">
        <f t="shared" si="458"/>
        <v>X</v>
      </c>
      <c r="AZ535" s="22" t="str">
        <f t="shared" si="459"/>
        <v>X</v>
      </c>
      <c r="BA535" s="22" t="str">
        <f t="shared" si="460"/>
        <v>X</v>
      </c>
      <c r="BB535" s="22">
        <f t="shared" si="461"/>
        <v>1</v>
      </c>
      <c r="BC535" s="22" t="str">
        <f t="shared" si="423"/>
        <v>1G</v>
      </c>
      <c r="BD535" s="22" t="str">
        <f t="shared" si="424"/>
        <v>1G</v>
      </c>
      <c r="BE535" s="22" t="str">
        <f t="shared" si="425"/>
        <v>1G</v>
      </c>
      <c r="BF535" s="22" t="str">
        <f t="shared" si="426"/>
        <v>2G</v>
      </c>
      <c r="BG535" s="22" t="str">
        <f t="shared" si="427"/>
        <v>2G</v>
      </c>
      <c r="BH535" s="22" t="str">
        <f t="shared" si="428"/>
        <v>3G</v>
      </c>
      <c r="BI535" s="22">
        <f t="shared" si="416"/>
        <v>3</v>
      </c>
      <c r="BJ535" s="22">
        <f t="shared" si="417"/>
        <v>2</v>
      </c>
      <c r="BK535" s="22">
        <f t="shared" si="418"/>
        <v>1</v>
      </c>
      <c r="BL535" s="22" t="str">
        <f t="shared" si="429"/>
        <v>321</v>
      </c>
      <c r="BS535"/>
    </row>
    <row r="536" spans="1:71" ht="17" hidden="1">
      <c r="B536" s="16">
        <v>532</v>
      </c>
      <c r="C536" s="23" t="s">
        <v>833</v>
      </c>
      <c r="N536" s="23">
        <v>16</v>
      </c>
      <c r="O536" s="23">
        <v>17</v>
      </c>
      <c r="P536" s="23">
        <v>23</v>
      </c>
      <c r="Q536" s="23">
        <v>24</v>
      </c>
      <c r="R536" s="23">
        <v>29</v>
      </c>
      <c r="S536" s="23">
        <v>44</v>
      </c>
      <c r="T536" s="23">
        <v>3</v>
      </c>
      <c r="U536" s="23">
        <f t="shared" si="376"/>
        <v>153</v>
      </c>
      <c r="W536" s="22" t="str">
        <f t="shared" si="430"/>
        <v>짝수</v>
      </c>
      <c r="X536" s="22" t="str">
        <f t="shared" si="431"/>
        <v>홀수</v>
      </c>
      <c r="Y536" s="22" t="str">
        <f t="shared" si="432"/>
        <v>홀수</v>
      </c>
      <c r="Z536" s="22" t="str">
        <f t="shared" si="433"/>
        <v>짝수</v>
      </c>
      <c r="AA536" s="23" t="str">
        <f t="shared" si="434"/>
        <v>홀수</v>
      </c>
      <c r="AB536" s="23" t="str">
        <f t="shared" si="435"/>
        <v>짝수</v>
      </c>
      <c r="AC536" s="22" t="str">
        <f t="shared" si="436"/>
        <v>3 : 3</v>
      </c>
      <c r="AD536" s="22">
        <f t="shared" si="437"/>
        <v>3</v>
      </c>
      <c r="AE536" s="22">
        <f t="shared" si="438"/>
        <v>3</v>
      </c>
      <c r="AF536" s="22" t="str">
        <f t="shared" si="439"/>
        <v>저수</v>
      </c>
      <c r="AG536" s="22" t="str">
        <f t="shared" si="440"/>
        <v>저수</v>
      </c>
      <c r="AH536" s="22" t="str">
        <f t="shared" si="441"/>
        <v>고수</v>
      </c>
      <c r="AI536" s="22" t="str">
        <f t="shared" si="442"/>
        <v>고수</v>
      </c>
      <c r="AJ536" s="22" t="str">
        <f t="shared" si="443"/>
        <v>고수</v>
      </c>
      <c r="AK536" s="22" t="str">
        <f t="shared" si="444"/>
        <v>고수</v>
      </c>
      <c r="AL536" s="22" t="str">
        <f t="shared" si="445"/>
        <v>2 : 4</v>
      </c>
      <c r="AM536" s="22">
        <f t="shared" si="446"/>
        <v>2</v>
      </c>
      <c r="AN536" s="22">
        <f t="shared" si="447"/>
        <v>4</v>
      </c>
      <c r="AO536" s="22">
        <f t="shared" si="448"/>
        <v>33</v>
      </c>
      <c r="AP536" s="22" t="str">
        <f t="shared" si="449"/>
        <v>X</v>
      </c>
      <c r="AQ536" s="22" t="str">
        <f t="shared" si="450"/>
        <v>O</v>
      </c>
      <c r="AR536" s="22" t="str">
        <f t="shared" si="451"/>
        <v>X</v>
      </c>
      <c r="AS536" s="22" t="str">
        <f t="shared" si="452"/>
        <v>X</v>
      </c>
      <c r="AT536" s="22" t="str">
        <f t="shared" si="453"/>
        <v>X</v>
      </c>
      <c r="AU536" s="22" t="str">
        <f t="shared" si="454"/>
        <v>X</v>
      </c>
      <c r="AV536" s="22" t="str">
        <f t="shared" si="455"/>
        <v>X</v>
      </c>
      <c r="AW536" s="22" t="str">
        <f t="shared" si="456"/>
        <v>X</v>
      </c>
      <c r="AX536" s="22" t="str">
        <f t="shared" si="457"/>
        <v>O</v>
      </c>
      <c r="AY536" s="22" t="str">
        <f t="shared" si="458"/>
        <v>X</v>
      </c>
      <c r="AZ536" s="22" t="str">
        <f t="shared" si="459"/>
        <v>O</v>
      </c>
      <c r="BA536" s="22" t="str">
        <f t="shared" si="460"/>
        <v>X</v>
      </c>
      <c r="BB536" s="22">
        <f t="shared" si="461"/>
        <v>3</v>
      </c>
      <c r="BC536" s="22" t="str">
        <f t="shared" si="423"/>
        <v>2G</v>
      </c>
      <c r="BD536" s="22" t="str">
        <f t="shared" si="424"/>
        <v>2G</v>
      </c>
      <c r="BE536" s="22" t="str">
        <f t="shared" si="425"/>
        <v>2G</v>
      </c>
      <c r="BF536" s="22" t="str">
        <f t="shared" si="426"/>
        <v>2G</v>
      </c>
      <c r="BG536" s="22" t="str">
        <f t="shared" si="427"/>
        <v>2G</v>
      </c>
      <c r="BH536" s="22" t="str">
        <f t="shared" si="428"/>
        <v>3G</v>
      </c>
      <c r="BI536" s="22">
        <f t="shared" si="416"/>
        <v>0</v>
      </c>
      <c r="BJ536" s="22">
        <f t="shared" si="417"/>
        <v>5</v>
      </c>
      <c r="BK536" s="22">
        <f t="shared" si="418"/>
        <v>1</v>
      </c>
      <c r="BL536" s="22" t="str">
        <f t="shared" si="429"/>
        <v>051</v>
      </c>
      <c r="BS536"/>
    </row>
    <row r="537" spans="1:71" ht="17" hidden="1">
      <c r="B537" s="16">
        <v>533</v>
      </c>
      <c r="C537" s="23" t="s">
        <v>837</v>
      </c>
      <c r="N537" s="23">
        <v>9</v>
      </c>
      <c r="O537" s="23">
        <v>14</v>
      </c>
      <c r="P537" s="23">
        <v>15</v>
      </c>
      <c r="Q537" s="23">
        <v>17</v>
      </c>
      <c r="R537" s="23">
        <v>31</v>
      </c>
      <c r="S537" s="23">
        <v>33</v>
      </c>
      <c r="T537" s="23">
        <v>23</v>
      </c>
      <c r="U537" s="23">
        <f t="shared" si="376"/>
        <v>119</v>
      </c>
      <c r="W537" s="22" t="str">
        <f t="shared" si="430"/>
        <v>홀수</v>
      </c>
      <c r="X537" s="22" t="str">
        <f t="shared" si="431"/>
        <v>짝수</v>
      </c>
      <c r="Y537" s="22" t="str">
        <f t="shared" si="432"/>
        <v>홀수</v>
      </c>
      <c r="Z537" s="22" t="str">
        <f t="shared" si="433"/>
        <v>홀수</v>
      </c>
      <c r="AA537" s="23" t="str">
        <f t="shared" si="434"/>
        <v>홀수</v>
      </c>
      <c r="AB537" s="23" t="str">
        <f t="shared" si="435"/>
        <v>홀수</v>
      </c>
      <c r="AC537" s="22" t="str">
        <f t="shared" si="436"/>
        <v>5 : 1</v>
      </c>
      <c r="AD537" s="22">
        <f t="shared" si="437"/>
        <v>5</v>
      </c>
      <c r="AE537" s="22">
        <f t="shared" si="438"/>
        <v>1</v>
      </c>
      <c r="AF537" s="22" t="str">
        <f t="shared" si="439"/>
        <v>저수</v>
      </c>
      <c r="AG537" s="22" t="str">
        <f t="shared" si="440"/>
        <v>저수</v>
      </c>
      <c r="AH537" s="22" t="str">
        <f t="shared" si="441"/>
        <v>저수</v>
      </c>
      <c r="AI537" s="22" t="str">
        <f t="shared" si="442"/>
        <v>저수</v>
      </c>
      <c r="AJ537" s="22" t="str">
        <f t="shared" si="443"/>
        <v>고수</v>
      </c>
      <c r="AK537" s="22" t="str">
        <f t="shared" si="444"/>
        <v>고수</v>
      </c>
      <c r="AL537" s="22" t="str">
        <f t="shared" si="445"/>
        <v>4 : 2</v>
      </c>
      <c r="AM537" s="22">
        <f t="shared" si="446"/>
        <v>4</v>
      </c>
      <c r="AN537" s="22">
        <f t="shared" si="447"/>
        <v>2</v>
      </c>
      <c r="AO537" s="22">
        <f t="shared" si="448"/>
        <v>29</v>
      </c>
      <c r="AP537" s="22" t="str">
        <f t="shared" si="449"/>
        <v>X</v>
      </c>
      <c r="AQ537" s="22" t="str">
        <f t="shared" si="450"/>
        <v>X</v>
      </c>
      <c r="AR537" s="22" t="str">
        <f t="shared" si="451"/>
        <v>X</v>
      </c>
      <c r="AS537" s="22" t="str">
        <f t="shared" si="452"/>
        <v>O</v>
      </c>
      <c r="AT537" s="22" t="str">
        <f t="shared" si="453"/>
        <v>X</v>
      </c>
      <c r="AU537" s="22" t="str">
        <f t="shared" si="454"/>
        <v>X</v>
      </c>
      <c r="AV537" s="22" t="str">
        <f t="shared" si="455"/>
        <v>X</v>
      </c>
      <c r="AW537" s="22" t="str">
        <f t="shared" si="456"/>
        <v>X</v>
      </c>
      <c r="AX537" s="22" t="str">
        <f t="shared" si="457"/>
        <v>X</v>
      </c>
      <c r="AY537" s="22" t="str">
        <f t="shared" si="458"/>
        <v>X</v>
      </c>
      <c r="AZ537" s="22" t="str">
        <f t="shared" si="459"/>
        <v>O</v>
      </c>
      <c r="BA537" s="22" t="str">
        <f t="shared" si="460"/>
        <v>X</v>
      </c>
      <c r="BB537" s="22">
        <f t="shared" si="461"/>
        <v>2</v>
      </c>
      <c r="BC537" s="22" t="str">
        <f t="shared" si="423"/>
        <v>1G</v>
      </c>
      <c r="BD537" s="22" t="str">
        <f t="shared" si="424"/>
        <v>1G</v>
      </c>
      <c r="BE537" s="22" t="str">
        <f t="shared" si="425"/>
        <v>1G</v>
      </c>
      <c r="BF537" s="22" t="str">
        <f t="shared" si="426"/>
        <v>2G</v>
      </c>
      <c r="BG537" s="22" t="str">
        <f t="shared" si="427"/>
        <v>3G</v>
      </c>
      <c r="BH537" s="22" t="str">
        <f t="shared" si="428"/>
        <v>3G</v>
      </c>
      <c r="BI537" s="22">
        <f t="shared" si="416"/>
        <v>3</v>
      </c>
      <c r="BJ537" s="22">
        <f t="shared" si="417"/>
        <v>1</v>
      </c>
      <c r="BK537" s="22">
        <f t="shared" si="418"/>
        <v>2</v>
      </c>
      <c r="BL537" s="22" t="str">
        <f t="shared" si="429"/>
        <v>312</v>
      </c>
      <c r="BS537"/>
    </row>
    <row r="538" spans="1:71" ht="17" hidden="1">
      <c r="B538" s="16">
        <v>534</v>
      </c>
      <c r="C538" s="23" t="s">
        <v>838</v>
      </c>
      <c r="N538" s="23">
        <v>10</v>
      </c>
      <c r="O538" s="23">
        <v>24</v>
      </c>
      <c r="P538" s="23">
        <v>26</v>
      </c>
      <c r="Q538" s="23">
        <v>29</v>
      </c>
      <c r="R538" s="23">
        <v>37</v>
      </c>
      <c r="S538" s="23">
        <v>38</v>
      </c>
      <c r="T538" s="23">
        <v>32</v>
      </c>
      <c r="U538" s="23">
        <f t="shared" si="376"/>
        <v>164</v>
      </c>
      <c r="W538" s="22" t="str">
        <f t="shared" si="430"/>
        <v>짝수</v>
      </c>
      <c r="X538" s="22" t="str">
        <f t="shared" si="431"/>
        <v>짝수</v>
      </c>
      <c r="Y538" s="22" t="str">
        <f t="shared" si="432"/>
        <v>짝수</v>
      </c>
      <c r="Z538" s="22" t="str">
        <f t="shared" si="433"/>
        <v>홀수</v>
      </c>
      <c r="AA538" s="23" t="str">
        <f t="shared" si="434"/>
        <v>홀수</v>
      </c>
      <c r="AB538" s="23" t="str">
        <f t="shared" si="435"/>
        <v>짝수</v>
      </c>
      <c r="AC538" s="22" t="str">
        <f t="shared" si="436"/>
        <v>2 : 4</v>
      </c>
      <c r="AD538" s="22">
        <f t="shared" si="437"/>
        <v>2</v>
      </c>
      <c r="AE538" s="22">
        <f t="shared" si="438"/>
        <v>4</v>
      </c>
      <c r="AF538" s="22" t="str">
        <f t="shared" si="439"/>
        <v>저수</v>
      </c>
      <c r="AG538" s="22" t="str">
        <f t="shared" si="440"/>
        <v>고수</v>
      </c>
      <c r="AH538" s="22" t="str">
        <f t="shared" si="441"/>
        <v>고수</v>
      </c>
      <c r="AI538" s="22" t="str">
        <f t="shared" si="442"/>
        <v>고수</v>
      </c>
      <c r="AJ538" s="22" t="str">
        <f t="shared" si="443"/>
        <v>고수</v>
      </c>
      <c r="AK538" s="22" t="str">
        <f t="shared" si="444"/>
        <v>고수</v>
      </c>
      <c r="AL538" s="22" t="str">
        <f t="shared" si="445"/>
        <v>1 : 5</v>
      </c>
      <c r="AM538" s="22">
        <f t="shared" si="446"/>
        <v>1</v>
      </c>
      <c r="AN538" s="22">
        <f t="shared" si="447"/>
        <v>5</v>
      </c>
      <c r="AO538" s="22">
        <f t="shared" si="448"/>
        <v>34</v>
      </c>
      <c r="AP538" s="22" t="str">
        <f t="shared" si="449"/>
        <v>X</v>
      </c>
      <c r="AQ538" s="22" t="str">
        <f t="shared" si="450"/>
        <v>X</v>
      </c>
      <c r="AR538" s="22" t="str">
        <f t="shared" si="451"/>
        <v>X</v>
      </c>
      <c r="AS538" s="22" t="str">
        <f t="shared" si="452"/>
        <v>X</v>
      </c>
      <c r="AT538" s="22" t="str">
        <f t="shared" si="453"/>
        <v>X</v>
      </c>
      <c r="AU538" s="22" t="str">
        <f t="shared" si="454"/>
        <v>X</v>
      </c>
      <c r="AV538" s="22" t="str">
        <f t="shared" si="455"/>
        <v>X</v>
      </c>
      <c r="AW538" s="22" t="str">
        <f t="shared" si="456"/>
        <v>X</v>
      </c>
      <c r="AX538" s="22" t="str">
        <f t="shared" si="457"/>
        <v>X</v>
      </c>
      <c r="AY538" s="22" t="str">
        <f t="shared" si="458"/>
        <v>O</v>
      </c>
      <c r="AZ538" s="22" t="str">
        <f t="shared" si="459"/>
        <v>O</v>
      </c>
      <c r="BA538" s="22" t="str">
        <f t="shared" si="460"/>
        <v>X</v>
      </c>
      <c r="BB538" s="22">
        <f t="shared" si="461"/>
        <v>2</v>
      </c>
      <c r="BC538" s="22" t="str">
        <f t="shared" si="423"/>
        <v>1G</v>
      </c>
      <c r="BD538" s="22" t="str">
        <f t="shared" si="424"/>
        <v>2G</v>
      </c>
      <c r="BE538" s="22" t="str">
        <f t="shared" si="425"/>
        <v>2G</v>
      </c>
      <c r="BF538" s="22" t="str">
        <f t="shared" si="426"/>
        <v>2G</v>
      </c>
      <c r="BG538" s="22" t="str">
        <f t="shared" si="427"/>
        <v>3G</v>
      </c>
      <c r="BH538" s="22" t="str">
        <f t="shared" si="428"/>
        <v>3G</v>
      </c>
      <c r="BI538" s="22">
        <f t="shared" si="416"/>
        <v>1</v>
      </c>
      <c r="BJ538" s="22">
        <f t="shared" si="417"/>
        <v>3</v>
      </c>
      <c r="BK538" s="22">
        <f t="shared" si="418"/>
        <v>2</v>
      </c>
      <c r="BL538" s="22" t="str">
        <f t="shared" si="429"/>
        <v>132</v>
      </c>
      <c r="BS538"/>
    </row>
    <row r="539" spans="1:71" ht="17" hidden="1">
      <c r="A539" s="16">
        <v>2</v>
      </c>
      <c r="B539" s="16">
        <v>535</v>
      </c>
      <c r="C539" s="23" t="s">
        <v>846</v>
      </c>
      <c r="N539" s="23">
        <v>11</v>
      </c>
      <c r="O539" s="23">
        <v>12</v>
      </c>
      <c r="P539" s="23">
        <v>14</v>
      </c>
      <c r="Q539" s="23">
        <v>15</v>
      </c>
      <c r="R539" s="23">
        <v>18</v>
      </c>
      <c r="S539" s="23">
        <v>39</v>
      </c>
      <c r="T539" s="23">
        <v>34</v>
      </c>
      <c r="U539" s="23">
        <f t="shared" si="376"/>
        <v>109</v>
      </c>
      <c r="W539" s="22" t="str">
        <f t="shared" si="430"/>
        <v>홀수</v>
      </c>
      <c r="X539" s="22" t="str">
        <f t="shared" si="431"/>
        <v>짝수</v>
      </c>
      <c r="Y539" s="22" t="str">
        <f t="shared" si="432"/>
        <v>짝수</v>
      </c>
      <c r="Z539" s="22" t="str">
        <f t="shared" si="433"/>
        <v>홀수</v>
      </c>
      <c r="AA539" s="23" t="str">
        <f t="shared" si="434"/>
        <v>짝수</v>
      </c>
      <c r="AB539" s="23" t="str">
        <f t="shared" si="435"/>
        <v>홀수</v>
      </c>
      <c r="AC539" s="22" t="str">
        <f t="shared" si="436"/>
        <v>3 : 3</v>
      </c>
      <c r="AD539" s="22">
        <f t="shared" si="437"/>
        <v>3</v>
      </c>
      <c r="AE539" s="22">
        <f t="shared" si="438"/>
        <v>3</v>
      </c>
      <c r="AF539" s="22" t="str">
        <f t="shared" si="439"/>
        <v>저수</v>
      </c>
      <c r="AG539" s="22" t="str">
        <f t="shared" si="440"/>
        <v>저수</v>
      </c>
      <c r="AH539" s="22" t="str">
        <f t="shared" si="441"/>
        <v>저수</v>
      </c>
      <c r="AI539" s="22" t="str">
        <f t="shared" si="442"/>
        <v>저수</v>
      </c>
      <c r="AJ539" s="22" t="str">
        <f t="shared" si="443"/>
        <v>저수</v>
      </c>
      <c r="AK539" s="22" t="str">
        <f t="shared" si="444"/>
        <v>고수</v>
      </c>
      <c r="AL539" s="22" t="str">
        <f t="shared" si="445"/>
        <v>5 : 1</v>
      </c>
      <c r="AM539" s="22">
        <f t="shared" si="446"/>
        <v>5</v>
      </c>
      <c r="AN539" s="22">
        <f t="shared" si="447"/>
        <v>1</v>
      </c>
      <c r="AO539" s="22">
        <f t="shared" si="448"/>
        <v>29</v>
      </c>
      <c r="AP539" s="22" t="str">
        <f t="shared" si="449"/>
        <v>O</v>
      </c>
      <c r="AQ539" s="22" t="str">
        <f t="shared" si="450"/>
        <v>X</v>
      </c>
      <c r="AR539" s="22" t="str">
        <f t="shared" si="451"/>
        <v>X</v>
      </c>
      <c r="AS539" s="22" t="str">
        <f t="shared" si="452"/>
        <v>X</v>
      </c>
      <c r="AT539" s="22" t="str">
        <f t="shared" si="453"/>
        <v>X</v>
      </c>
      <c r="AU539" s="22" t="str">
        <f t="shared" si="454"/>
        <v>X</v>
      </c>
      <c r="AV539" s="22" t="str">
        <f t="shared" si="455"/>
        <v>X</v>
      </c>
      <c r="AW539" s="22" t="str">
        <f t="shared" si="456"/>
        <v>X</v>
      </c>
      <c r="AX539" s="22" t="str">
        <f t="shared" si="457"/>
        <v>X</v>
      </c>
      <c r="AY539" s="22" t="str">
        <f t="shared" si="458"/>
        <v>X</v>
      </c>
      <c r="AZ539" s="22" t="str">
        <f t="shared" si="459"/>
        <v>X</v>
      </c>
      <c r="BA539" s="22" t="str">
        <f t="shared" si="460"/>
        <v>X</v>
      </c>
      <c r="BB539" s="22">
        <f t="shared" si="461"/>
        <v>1</v>
      </c>
      <c r="BC539" s="22" t="str">
        <f t="shared" si="423"/>
        <v>1G</v>
      </c>
      <c r="BD539" s="22" t="str">
        <f t="shared" si="424"/>
        <v>1G</v>
      </c>
      <c r="BE539" s="22" t="str">
        <f t="shared" si="425"/>
        <v>1G</v>
      </c>
      <c r="BF539" s="22" t="str">
        <f t="shared" si="426"/>
        <v>1G</v>
      </c>
      <c r="BG539" s="22" t="str">
        <f t="shared" si="427"/>
        <v>2G</v>
      </c>
      <c r="BH539" s="22" t="str">
        <f t="shared" si="428"/>
        <v>3G</v>
      </c>
      <c r="BI539" s="22">
        <f t="shared" si="416"/>
        <v>4</v>
      </c>
      <c r="BJ539" s="22">
        <f t="shared" si="417"/>
        <v>1</v>
      </c>
      <c r="BK539" s="22">
        <f t="shared" si="418"/>
        <v>1</v>
      </c>
      <c r="BL539" s="22" t="str">
        <f t="shared" si="429"/>
        <v>411</v>
      </c>
      <c r="BS539"/>
    </row>
    <row r="540" spans="1:71" ht="17" hidden="1">
      <c r="A540" s="16">
        <v>2</v>
      </c>
      <c r="B540" s="16">
        <v>536</v>
      </c>
      <c r="C540" s="23" t="s">
        <v>849</v>
      </c>
      <c r="N540" s="23">
        <v>7</v>
      </c>
      <c r="O540" s="23">
        <v>8</v>
      </c>
      <c r="P540" s="23">
        <v>18</v>
      </c>
      <c r="Q540" s="23">
        <v>32</v>
      </c>
      <c r="R540" s="23">
        <v>37</v>
      </c>
      <c r="S540" s="23">
        <v>43</v>
      </c>
      <c r="T540" s="23">
        <v>12</v>
      </c>
      <c r="U540" s="23">
        <f t="shared" si="376"/>
        <v>145</v>
      </c>
      <c r="W540" s="22" t="str">
        <f t="shared" si="430"/>
        <v>홀수</v>
      </c>
      <c r="X540" s="22" t="str">
        <f t="shared" si="431"/>
        <v>짝수</v>
      </c>
      <c r="Y540" s="22" t="str">
        <f t="shared" si="432"/>
        <v>짝수</v>
      </c>
      <c r="Z540" s="22" t="str">
        <f t="shared" si="433"/>
        <v>짝수</v>
      </c>
      <c r="AA540" s="23" t="str">
        <f t="shared" si="434"/>
        <v>홀수</v>
      </c>
      <c r="AB540" s="23" t="str">
        <f t="shared" si="435"/>
        <v>홀수</v>
      </c>
      <c r="AC540" s="22" t="str">
        <f t="shared" si="436"/>
        <v>3 : 3</v>
      </c>
      <c r="AD540" s="22">
        <f t="shared" si="437"/>
        <v>3</v>
      </c>
      <c r="AE540" s="22">
        <f t="shared" si="438"/>
        <v>3</v>
      </c>
      <c r="AF540" s="22" t="str">
        <f t="shared" si="439"/>
        <v>저수</v>
      </c>
      <c r="AG540" s="22" t="str">
        <f t="shared" si="440"/>
        <v>저수</v>
      </c>
      <c r="AH540" s="22" t="str">
        <f t="shared" si="441"/>
        <v>저수</v>
      </c>
      <c r="AI540" s="22" t="str">
        <f t="shared" si="442"/>
        <v>고수</v>
      </c>
      <c r="AJ540" s="22" t="str">
        <f t="shared" si="443"/>
        <v>고수</v>
      </c>
      <c r="AK540" s="22" t="str">
        <f t="shared" si="444"/>
        <v>고수</v>
      </c>
      <c r="AL540" s="22" t="str">
        <f t="shared" si="445"/>
        <v>3 : 3</v>
      </c>
      <c r="AM540" s="22">
        <f t="shared" si="446"/>
        <v>3</v>
      </c>
      <c r="AN540" s="22">
        <f t="shared" si="447"/>
        <v>3</v>
      </c>
      <c r="AO540" s="22">
        <f t="shared" si="448"/>
        <v>35</v>
      </c>
      <c r="AP540" s="22" t="str">
        <f t="shared" si="449"/>
        <v>O</v>
      </c>
      <c r="AQ540" s="22" t="str">
        <f t="shared" si="450"/>
        <v>X</v>
      </c>
      <c r="AR540" s="22" t="str">
        <f t="shared" si="451"/>
        <v>X</v>
      </c>
      <c r="AS540" s="22" t="str">
        <f t="shared" si="452"/>
        <v>X</v>
      </c>
      <c r="AT540" s="22" t="str">
        <f t="shared" si="453"/>
        <v>X</v>
      </c>
      <c r="AU540" s="22" t="str">
        <f t="shared" si="454"/>
        <v>X</v>
      </c>
      <c r="AV540" s="22" t="str">
        <f t="shared" si="455"/>
        <v>X</v>
      </c>
      <c r="AW540" s="22" t="str">
        <f t="shared" si="456"/>
        <v>X</v>
      </c>
      <c r="AX540" s="22" t="str">
        <f t="shared" si="457"/>
        <v>X</v>
      </c>
      <c r="AY540" s="22" t="str">
        <f t="shared" si="458"/>
        <v>X</v>
      </c>
      <c r="AZ540" s="22" t="str">
        <f t="shared" si="459"/>
        <v>O</v>
      </c>
      <c r="BA540" s="22" t="str">
        <f t="shared" si="460"/>
        <v>O</v>
      </c>
      <c r="BB540" s="22">
        <f t="shared" si="461"/>
        <v>3</v>
      </c>
      <c r="BC540" s="22" t="str">
        <f t="shared" si="423"/>
        <v>1G</v>
      </c>
      <c r="BD540" s="22" t="str">
        <f t="shared" si="424"/>
        <v>1G</v>
      </c>
      <c r="BE540" s="22" t="str">
        <f t="shared" si="425"/>
        <v>2G</v>
      </c>
      <c r="BF540" s="22" t="str">
        <f t="shared" si="426"/>
        <v>3G</v>
      </c>
      <c r="BG540" s="22" t="str">
        <f t="shared" si="427"/>
        <v>3G</v>
      </c>
      <c r="BH540" s="22" t="str">
        <f t="shared" si="428"/>
        <v>3G</v>
      </c>
      <c r="BI540" s="22">
        <f t="shared" si="416"/>
        <v>2</v>
      </c>
      <c r="BJ540" s="22">
        <f t="shared" si="417"/>
        <v>1</v>
      </c>
      <c r="BK540" s="22">
        <f t="shared" si="418"/>
        <v>3</v>
      </c>
      <c r="BL540" s="22" t="str">
        <f t="shared" si="429"/>
        <v>213</v>
      </c>
      <c r="BS540"/>
    </row>
    <row r="541" spans="1:71" ht="17" hidden="1">
      <c r="A541" s="16">
        <v>2</v>
      </c>
      <c r="B541" s="16">
        <v>537</v>
      </c>
      <c r="C541" s="23" t="s">
        <v>854</v>
      </c>
      <c r="N541" s="23">
        <v>12</v>
      </c>
      <c r="O541" s="23">
        <v>23</v>
      </c>
      <c r="P541" s="23">
        <v>26</v>
      </c>
      <c r="Q541" s="23">
        <v>30</v>
      </c>
      <c r="R541" s="23">
        <v>36</v>
      </c>
      <c r="S541" s="23">
        <v>43</v>
      </c>
      <c r="T541" s="23">
        <v>11</v>
      </c>
      <c r="U541" s="23">
        <f t="shared" si="376"/>
        <v>170</v>
      </c>
      <c r="W541" s="22" t="str">
        <f t="shared" si="430"/>
        <v>짝수</v>
      </c>
      <c r="X541" s="22" t="str">
        <f t="shared" si="431"/>
        <v>홀수</v>
      </c>
      <c r="Y541" s="22" t="str">
        <f t="shared" si="432"/>
        <v>짝수</v>
      </c>
      <c r="Z541" s="22" t="str">
        <f t="shared" si="433"/>
        <v>짝수</v>
      </c>
      <c r="AA541" s="23" t="str">
        <f t="shared" si="434"/>
        <v>짝수</v>
      </c>
      <c r="AB541" s="23" t="str">
        <f t="shared" si="435"/>
        <v>홀수</v>
      </c>
      <c r="AC541" s="22" t="str">
        <f t="shared" si="436"/>
        <v>2 : 4</v>
      </c>
      <c r="AD541" s="22">
        <f t="shared" si="437"/>
        <v>2</v>
      </c>
      <c r="AE541" s="22">
        <f t="shared" si="438"/>
        <v>4</v>
      </c>
      <c r="AF541" s="22" t="str">
        <f t="shared" si="439"/>
        <v>저수</v>
      </c>
      <c r="AG541" s="22" t="str">
        <f t="shared" si="440"/>
        <v>고수</v>
      </c>
      <c r="AH541" s="22" t="str">
        <f t="shared" si="441"/>
        <v>고수</v>
      </c>
      <c r="AI541" s="22" t="str">
        <f t="shared" si="442"/>
        <v>고수</v>
      </c>
      <c r="AJ541" s="22" t="str">
        <f t="shared" si="443"/>
        <v>고수</v>
      </c>
      <c r="AK541" s="22" t="str">
        <f t="shared" si="444"/>
        <v>고수</v>
      </c>
      <c r="AL541" s="22" t="str">
        <f t="shared" si="445"/>
        <v>1 : 5</v>
      </c>
      <c r="AM541" s="22">
        <f t="shared" si="446"/>
        <v>1</v>
      </c>
      <c r="AN541" s="22">
        <f t="shared" si="447"/>
        <v>5</v>
      </c>
      <c r="AO541" s="22">
        <f t="shared" si="448"/>
        <v>20</v>
      </c>
      <c r="AP541" s="22" t="str">
        <f t="shared" si="449"/>
        <v>X</v>
      </c>
      <c r="AQ541" s="22" t="str">
        <f t="shared" si="450"/>
        <v>X</v>
      </c>
      <c r="AR541" s="22" t="str">
        <f t="shared" si="451"/>
        <v>X</v>
      </c>
      <c r="AS541" s="22" t="str">
        <f t="shared" si="452"/>
        <v>X</v>
      </c>
      <c r="AT541" s="22" t="str">
        <f t="shared" si="453"/>
        <v>X</v>
      </c>
      <c r="AU541" s="22" t="str">
        <f t="shared" si="454"/>
        <v>X</v>
      </c>
      <c r="AV541" s="22" t="str">
        <f t="shared" si="455"/>
        <v>X</v>
      </c>
      <c r="AW541" s="22" t="str">
        <f t="shared" si="456"/>
        <v>O</v>
      </c>
      <c r="AX541" s="22" t="str">
        <f t="shared" si="457"/>
        <v>X</v>
      </c>
      <c r="AY541" s="22" t="str">
        <f t="shared" si="458"/>
        <v>X</v>
      </c>
      <c r="AZ541" s="22" t="str">
        <f t="shared" si="459"/>
        <v>X</v>
      </c>
      <c r="BA541" s="22" t="str">
        <f t="shared" si="460"/>
        <v>O</v>
      </c>
      <c r="BB541" s="22">
        <f t="shared" si="461"/>
        <v>2</v>
      </c>
      <c r="BC541" s="22" t="str">
        <f t="shared" si="423"/>
        <v>1G</v>
      </c>
      <c r="BD541" s="22" t="str">
        <f t="shared" si="424"/>
        <v>2G</v>
      </c>
      <c r="BE541" s="22" t="str">
        <f t="shared" si="425"/>
        <v>2G</v>
      </c>
      <c r="BF541" s="22" t="str">
        <f t="shared" si="426"/>
        <v>2G</v>
      </c>
      <c r="BG541" s="22" t="str">
        <f t="shared" si="427"/>
        <v>3G</v>
      </c>
      <c r="BH541" s="22" t="str">
        <f t="shared" si="428"/>
        <v>3G</v>
      </c>
      <c r="BI541" s="22">
        <f t="shared" si="416"/>
        <v>1</v>
      </c>
      <c r="BJ541" s="22">
        <f t="shared" si="417"/>
        <v>3</v>
      </c>
      <c r="BK541" s="22">
        <f t="shared" si="418"/>
        <v>2</v>
      </c>
      <c r="BL541" s="22" t="str">
        <f t="shared" si="429"/>
        <v>132</v>
      </c>
      <c r="BS541"/>
    </row>
    <row r="542" spans="1:71" ht="17" hidden="1">
      <c r="A542" s="16">
        <v>2</v>
      </c>
      <c r="B542" s="16">
        <v>538</v>
      </c>
      <c r="C542" s="23" t="s">
        <v>855</v>
      </c>
      <c r="N542" s="23">
        <v>6</v>
      </c>
      <c r="O542" s="23">
        <v>10</v>
      </c>
      <c r="P542" s="23">
        <v>18</v>
      </c>
      <c r="Q542" s="23">
        <v>31</v>
      </c>
      <c r="R542" s="23">
        <v>32</v>
      </c>
      <c r="S542" s="23">
        <v>34</v>
      </c>
      <c r="T542" s="23">
        <v>11</v>
      </c>
      <c r="U542" s="23">
        <f t="shared" si="376"/>
        <v>131</v>
      </c>
      <c r="W542" s="22" t="str">
        <f t="shared" si="430"/>
        <v>짝수</v>
      </c>
      <c r="X542" s="22" t="str">
        <f t="shared" si="431"/>
        <v>짝수</v>
      </c>
      <c r="Y542" s="22" t="str">
        <f t="shared" si="432"/>
        <v>짝수</v>
      </c>
      <c r="Z542" s="22" t="str">
        <f t="shared" si="433"/>
        <v>홀수</v>
      </c>
      <c r="AA542" s="23" t="str">
        <f t="shared" si="434"/>
        <v>짝수</v>
      </c>
      <c r="AB542" s="23" t="str">
        <f t="shared" si="435"/>
        <v>짝수</v>
      </c>
      <c r="AC542" s="22" t="str">
        <f t="shared" si="436"/>
        <v>1 : 5</v>
      </c>
      <c r="AD542" s="22">
        <f t="shared" si="437"/>
        <v>1</v>
      </c>
      <c r="AE542" s="22">
        <f t="shared" si="438"/>
        <v>5</v>
      </c>
      <c r="AF542" s="22" t="str">
        <f t="shared" si="439"/>
        <v>저수</v>
      </c>
      <c r="AG542" s="22" t="str">
        <f t="shared" si="440"/>
        <v>저수</v>
      </c>
      <c r="AH542" s="22" t="str">
        <f t="shared" si="441"/>
        <v>저수</v>
      </c>
      <c r="AI542" s="22" t="str">
        <f t="shared" si="442"/>
        <v>고수</v>
      </c>
      <c r="AJ542" s="22" t="str">
        <f t="shared" si="443"/>
        <v>고수</v>
      </c>
      <c r="AK542" s="22" t="str">
        <f t="shared" si="444"/>
        <v>고수</v>
      </c>
      <c r="AL542" s="22" t="str">
        <f t="shared" si="445"/>
        <v>3 : 3</v>
      </c>
      <c r="AM542" s="22">
        <f t="shared" si="446"/>
        <v>3</v>
      </c>
      <c r="AN542" s="22">
        <f t="shared" si="447"/>
        <v>3</v>
      </c>
      <c r="AO542" s="22">
        <f t="shared" si="448"/>
        <v>21</v>
      </c>
      <c r="AP542" s="22" t="str">
        <f t="shared" si="449"/>
        <v>X</v>
      </c>
      <c r="AQ542" s="22" t="str">
        <f t="shared" si="450"/>
        <v>X</v>
      </c>
      <c r="AR542" s="22" t="str">
        <f t="shared" si="451"/>
        <v>X</v>
      </c>
      <c r="AS542" s="22" t="str">
        <f t="shared" si="452"/>
        <v>X</v>
      </c>
      <c r="AT542" s="22" t="str">
        <f t="shared" si="453"/>
        <v>X</v>
      </c>
      <c r="AU542" s="22" t="str">
        <f t="shared" si="454"/>
        <v>X</v>
      </c>
      <c r="AV542" s="22" t="str">
        <f t="shared" si="455"/>
        <v>X</v>
      </c>
      <c r="AW542" s="22" t="str">
        <f t="shared" si="456"/>
        <v>X</v>
      </c>
      <c r="AX542" s="22" t="str">
        <f t="shared" si="457"/>
        <v>X</v>
      </c>
      <c r="AY542" s="22" t="str">
        <f t="shared" si="458"/>
        <v>O</v>
      </c>
      <c r="AZ542" s="22" t="str">
        <f t="shared" si="459"/>
        <v>X</v>
      </c>
      <c r="BA542" s="22" t="str">
        <f t="shared" si="460"/>
        <v>X</v>
      </c>
      <c r="BB542" s="22">
        <f t="shared" si="461"/>
        <v>1</v>
      </c>
      <c r="BC542" s="22" t="str">
        <f t="shared" si="423"/>
        <v>1G</v>
      </c>
      <c r="BD542" s="22" t="str">
        <f t="shared" si="424"/>
        <v>1G</v>
      </c>
      <c r="BE542" s="22" t="str">
        <f t="shared" si="425"/>
        <v>2G</v>
      </c>
      <c r="BF542" s="22" t="str">
        <f t="shared" si="426"/>
        <v>3G</v>
      </c>
      <c r="BG542" s="22" t="str">
        <f t="shared" si="427"/>
        <v>3G</v>
      </c>
      <c r="BH542" s="22" t="str">
        <f t="shared" si="428"/>
        <v>3G</v>
      </c>
      <c r="BI542" s="22">
        <f t="shared" si="416"/>
        <v>2</v>
      </c>
      <c r="BJ542" s="22">
        <f t="shared" si="417"/>
        <v>1</v>
      </c>
      <c r="BK542" s="22">
        <f t="shared" si="418"/>
        <v>3</v>
      </c>
      <c r="BL542" s="22" t="str">
        <f t="shared" si="429"/>
        <v>213</v>
      </c>
      <c r="BS542"/>
    </row>
    <row r="543" spans="1:71" ht="17" hidden="1">
      <c r="A543" s="16">
        <v>2</v>
      </c>
      <c r="B543" s="16">
        <v>539</v>
      </c>
      <c r="C543" s="23" t="s">
        <v>877</v>
      </c>
      <c r="N543" s="23">
        <v>3</v>
      </c>
      <c r="O543" s="23">
        <v>19</v>
      </c>
      <c r="P543" s="23">
        <v>22</v>
      </c>
      <c r="Q543" s="23">
        <v>31</v>
      </c>
      <c r="R543" s="23">
        <v>42</v>
      </c>
      <c r="S543" s="23">
        <v>43</v>
      </c>
      <c r="T543" s="23">
        <v>26</v>
      </c>
      <c r="U543" s="23">
        <f t="shared" si="376"/>
        <v>160</v>
      </c>
      <c r="W543" s="22" t="str">
        <f t="shared" si="430"/>
        <v>홀수</v>
      </c>
      <c r="X543" s="22" t="str">
        <f t="shared" si="431"/>
        <v>홀수</v>
      </c>
      <c r="Y543" s="22" t="str">
        <f t="shared" si="432"/>
        <v>짝수</v>
      </c>
      <c r="Z543" s="22" t="str">
        <f t="shared" si="433"/>
        <v>홀수</v>
      </c>
      <c r="AA543" s="23" t="str">
        <f t="shared" si="434"/>
        <v>짝수</v>
      </c>
      <c r="AB543" s="23" t="str">
        <f t="shared" si="435"/>
        <v>홀수</v>
      </c>
      <c r="AC543" s="22" t="str">
        <f t="shared" si="436"/>
        <v>4 : 2</v>
      </c>
      <c r="AD543" s="22">
        <f t="shared" si="437"/>
        <v>4</v>
      </c>
      <c r="AE543" s="22">
        <f t="shared" si="438"/>
        <v>2</v>
      </c>
      <c r="AF543" s="22" t="str">
        <f t="shared" si="439"/>
        <v>저수</v>
      </c>
      <c r="AG543" s="22" t="str">
        <f t="shared" si="440"/>
        <v>저수</v>
      </c>
      <c r="AH543" s="22" t="str">
        <f t="shared" si="441"/>
        <v>저수</v>
      </c>
      <c r="AI543" s="22" t="str">
        <f t="shared" si="442"/>
        <v>고수</v>
      </c>
      <c r="AJ543" s="22" t="str">
        <f t="shared" si="443"/>
        <v>고수</v>
      </c>
      <c r="AK543" s="22" t="str">
        <f t="shared" si="444"/>
        <v>고수</v>
      </c>
      <c r="AL543" s="22" t="str">
        <f t="shared" si="445"/>
        <v>3 : 3</v>
      </c>
      <c r="AM543" s="22">
        <f t="shared" si="446"/>
        <v>3</v>
      </c>
      <c r="AN543" s="22">
        <f t="shared" si="447"/>
        <v>3</v>
      </c>
      <c r="AO543" s="22">
        <f t="shared" si="448"/>
        <v>20</v>
      </c>
      <c r="AP543" s="22" t="str">
        <f t="shared" si="449"/>
        <v>O</v>
      </c>
      <c r="AQ543" s="22" t="str">
        <f t="shared" si="450"/>
        <v>O</v>
      </c>
      <c r="AR543" s="22" t="str">
        <f t="shared" si="451"/>
        <v>X</v>
      </c>
      <c r="AS543" s="22" t="str">
        <f t="shared" si="452"/>
        <v>X</v>
      </c>
      <c r="AT543" s="22" t="str">
        <f t="shared" si="453"/>
        <v>X</v>
      </c>
      <c r="AU543" s="22" t="str">
        <f t="shared" si="454"/>
        <v>X</v>
      </c>
      <c r="AV543" s="22" t="str">
        <f t="shared" si="455"/>
        <v>X</v>
      </c>
      <c r="AW543" s="22" t="str">
        <f t="shared" si="456"/>
        <v>X</v>
      </c>
      <c r="AX543" s="22" t="str">
        <f t="shared" si="457"/>
        <v>X</v>
      </c>
      <c r="AY543" s="22" t="str">
        <f t="shared" si="458"/>
        <v>O</v>
      </c>
      <c r="AZ543" s="22" t="str">
        <f t="shared" si="459"/>
        <v>X</v>
      </c>
      <c r="BA543" s="22" t="str">
        <f t="shared" si="460"/>
        <v>O</v>
      </c>
      <c r="BB543" s="22">
        <f t="shared" si="461"/>
        <v>4</v>
      </c>
      <c r="BC543" s="22" t="str">
        <f t="shared" si="423"/>
        <v>1G</v>
      </c>
      <c r="BD543" s="22" t="str">
        <f t="shared" si="424"/>
        <v>2G</v>
      </c>
      <c r="BE543" s="22" t="str">
        <f t="shared" si="425"/>
        <v>2G</v>
      </c>
      <c r="BF543" s="22" t="str">
        <f t="shared" si="426"/>
        <v>3G</v>
      </c>
      <c r="BG543" s="22" t="str">
        <f t="shared" si="427"/>
        <v>3G</v>
      </c>
      <c r="BH543" s="22" t="str">
        <f t="shared" si="428"/>
        <v>3G</v>
      </c>
      <c r="BI543" s="22">
        <f t="shared" si="416"/>
        <v>1</v>
      </c>
      <c r="BJ543" s="22">
        <f t="shared" si="417"/>
        <v>2</v>
      </c>
      <c r="BK543" s="22">
        <f t="shared" si="418"/>
        <v>3</v>
      </c>
      <c r="BL543" s="22" t="str">
        <f t="shared" si="429"/>
        <v>123</v>
      </c>
      <c r="BS543"/>
    </row>
    <row r="544" spans="1:71" ht="17" hidden="1">
      <c r="B544" s="16">
        <v>540</v>
      </c>
      <c r="C544" s="23" t="s">
        <v>878</v>
      </c>
      <c r="N544" s="23">
        <v>3</v>
      </c>
      <c r="O544" s="23">
        <v>12</v>
      </c>
      <c r="P544" s="23">
        <v>13</v>
      </c>
      <c r="Q544" s="23">
        <v>15</v>
      </c>
      <c r="R544" s="23">
        <v>34</v>
      </c>
      <c r="S544" s="23">
        <v>36</v>
      </c>
      <c r="T544" s="23">
        <v>14</v>
      </c>
      <c r="U544" s="23">
        <f t="shared" si="376"/>
        <v>113</v>
      </c>
      <c r="W544" s="22" t="str">
        <f t="shared" si="430"/>
        <v>홀수</v>
      </c>
      <c r="X544" s="22" t="str">
        <f t="shared" si="431"/>
        <v>짝수</v>
      </c>
      <c r="Y544" s="22" t="str">
        <f t="shared" si="432"/>
        <v>홀수</v>
      </c>
      <c r="Z544" s="22" t="str">
        <f t="shared" si="433"/>
        <v>홀수</v>
      </c>
      <c r="AA544" s="23" t="str">
        <f t="shared" si="434"/>
        <v>짝수</v>
      </c>
      <c r="AB544" s="23" t="str">
        <f t="shared" si="435"/>
        <v>짝수</v>
      </c>
      <c r="AC544" s="22" t="str">
        <f t="shared" si="436"/>
        <v>3 : 3</v>
      </c>
      <c r="AD544" s="22">
        <f t="shared" si="437"/>
        <v>3</v>
      </c>
      <c r="AE544" s="22">
        <f t="shared" si="438"/>
        <v>3</v>
      </c>
      <c r="AF544" s="22" t="str">
        <f t="shared" si="439"/>
        <v>저수</v>
      </c>
      <c r="AG544" s="22" t="str">
        <f t="shared" si="440"/>
        <v>저수</v>
      </c>
      <c r="AH544" s="22" t="str">
        <f t="shared" si="441"/>
        <v>저수</v>
      </c>
      <c r="AI544" s="22" t="str">
        <f t="shared" si="442"/>
        <v>저수</v>
      </c>
      <c r="AJ544" s="22" t="str">
        <f t="shared" si="443"/>
        <v>고수</v>
      </c>
      <c r="AK544" s="22" t="str">
        <f t="shared" si="444"/>
        <v>고수</v>
      </c>
      <c r="AL544" s="22" t="str">
        <f t="shared" si="445"/>
        <v>4 : 2</v>
      </c>
      <c r="AM544" s="22">
        <f t="shared" si="446"/>
        <v>4</v>
      </c>
      <c r="AN544" s="22">
        <f t="shared" si="447"/>
        <v>2</v>
      </c>
      <c r="AO544" s="22">
        <f t="shared" si="448"/>
        <v>23</v>
      </c>
      <c r="AP544" s="22" t="str">
        <f t="shared" si="449"/>
        <v>O</v>
      </c>
      <c r="AQ544" s="22" t="str">
        <f t="shared" si="450"/>
        <v>X</v>
      </c>
      <c r="AR544" s="22" t="str">
        <f t="shared" si="451"/>
        <v>O</v>
      </c>
      <c r="AS544" s="22" t="str">
        <f t="shared" si="452"/>
        <v>X</v>
      </c>
      <c r="AT544" s="22" t="str">
        <f t="shared" si="453"/>
        <v>X</v>
      </c>
      <c r="AU544" s="22" t="str">
        <f t="shared" si="454"/>
        <v>X</v>
      </c>
      <c r="AV544" s="22" t="str">
        <f t="shared" si="455"/>
        <v>X</v>
      </c>
      <c r="AW544" s="22" t="str">
        <f t="shared" si="456"/>
        <v>X</v>
      </c>
      <c r="AX544" s="22" t="str">
        <f t="shared" si="457"/>
        <v>X</v>
      </c>
      <c r="AY544" s="22" t="str">
        <f t="shared" si="458"/>
        <v>X</v>
      </c>
      <c r="AZ544" s="22" t="str">
        <f t="shared" si="459"/>
        <v>X</v>
      </c>
      <c r="BA544" s="22" t="str">
        <f t="shared" si="460"/>
        <v>X</v>
      </c>
      <c r="BB544" s="22">
        <f t="shared" si="461"/>
        <v>2</v>
      </c>
      <c r="BC544" s="22" t="str">
        <f t="shared" si="423"/>
        <v>1G</v>
      </c>
      <c r="BD544" s="22" t="str">
        <f t="shared" si="424"/>
        <v>1G</v>
      </c>
      <c r="BE544" s="22" t="str">
        <f t="shared" si="425"/>
        <v>1G</v>
      </c>
      <c r="BF544" s="22" t="str">
        <f t="shared" si="426"/>
        <v>1G</v>
      </c>
      <c r="BG544" s="22" t="str">
        <f t="shared" si="427"/>
        <v>3G</v>
      </c>
      <c r="BH544" s="22" t="str">
        <f t="shared" si="428"/>
        <v>3G</v>
      </c>
      <c r="BI544" s="22">
        <f t="shared" si="416"/>
        <v>4</v>
      </c>
      <c r="BJ544" s="22">
        <f t="shared" si="417"/>
        <v>0</v>
      </c>
      <c r="BK544" s="22">
        <f t="shared" si="418"/>
        <v>2</v>
      </c>
      <c r="BL544" s="22" t="str">
        <f t="shared" si="429"/>
        <v>402</v>
      </c>
      <c r="BS544"/>
    </row>
    <row r="545" spans="2:71" ht="17" hidden="1">
      <c r="B545" s="16">
        <v>541</v>
      </c>
      <c r="C545" s="23" t="s">
        <v>879</v>
      </c>
      <c r="N545" s="23">
        <v>8</v>
      </c>
      <c r="O545" s="23">
        <v>13</v>
      </c>
      <c r="P545" s="23">
        <v>26</v>
      </c>
      <c r="Q545" s="23">
        <v>28</v>
      </c>
      <c r="R545" s="23">
        <v>32</v>
      </c>
      <c r="S545" s="23">
        <v>34</v>
      </c>
      <c r="T545" s="23">
        <v>43</v>
      </c>
      <c r="U545" s="23">
        <f t="shared" si="376"/>
        <v>141</v>
      </c>
      <c r="W545" s="22" t="str">
        <f t="shared" si="430"/>
        <v>짝수</v>
      </c>
      <c r="X545" s="22" t="str">
        <f t="shared" si="431"/>
        <v>홀수</v>
      </c>
      <c r="Y545" s="22" t="str">
        <f t="shared" si="432"/>
        <v>짝수</v>
      </c>
      <c r="Z545" s="22" t="str">
        <f t="shared" si="433"/>
        <v>짝수</v>
      </c>
      <c r="AA545" s="23" t="str">
        <f t="shared" si="434"/>
        <v>짝수</v>
      </c>
      <c r="AB545" s="23" t="str">
        <f t="shared" si="435"/>
        <v>짝수</v>
      </c>
      <c r="AC545" s="22" t="str">
        <f t="shared" si="436"/>
        <v>1 : 5</v>
      </c>
      <c r="AD545" s="22">
        <f t="shared" si="437"/>
        <v>1</v>
      </c>
      <c r="AE545" s="22">
        <f t="shared" si="438"/>
        <v>5</v>
      </c>
      <c r="AF545" s="22" t="str">
        <f t="shared" si="439"/>
        <v>저수</v>
      </c>
      <c r="AG545" s="22" t="str">
        <f t="shared" si="440"/>
        <v>저수</v>
      </c>
      <c r="AH545" s="22" t="str">
        <f t="shared" si="441"/>
        <v>고수</v>
      </c>
      <c r="AI545" s="22" t="str">
        <f t="shared" si="442"/>
        <v>고수</v>
      </c>
      <c r="AJ545" s="22" t="str">
        <f t="shared" si="443"/>
        <v>고수</v>
      </c>
      <c r="AK545" s="22" t="str">
        <f t="shared" si="444"/>
        <v>고수</v>
      </c>
      <c r="AL545" s="22" t="str">
        <f t="shared" si="445"/>
        <v>2 : 4</v>
      </c>
      <c r="AM545" s="22">
        <f t="shared" si="446"/>
        <v>2</v>
      </c>
      <c r="AN545" s="22">
        <f t="shared" si="447"/>
        <v>4</v>
      </c>
      <c r="AO545" s="22">
        <f t="shared" si="448"/>
        <v>31</v>
      </c>
      <c r="AP545" s="22" t="str">
        <f t="shared" si="449"/>
        <v>X</v>
      </c>
      <c r="AQ545" s="22" t="str">
        <f t="shared" si="450"/>
        <v>O</v>
      </c>
      <c r="AR545" s="22" t="str">
        <f t="shared" si="451"/>
        <v>X</v>
      </c>
      <c r="AS545" s="22" t="str">
        <f t="shared" si="452"/>
        <v>X</v>
      </c>
      <c r="AT545" s="22" t="str">
        <f t="shared" si="453"/>
        <v>X</v>
      </c>
      <c r="AU545" s="22" t="str">
        <f t="shared" si="454"/>
        <v>X</v>
      </c>
      <c r="AV545" s="22" t="str">
        <f t="shared" si="455"/>
        <v>X</v>
      </c>
      <c r="AW545" s="22" t="str">
        <f t="shared" si="456"/>
        <v>X</v>
      </c>
      <c r="AX545" s="22" t="str">
        <f t="shared" si="457"/>
        <v>X</v>
      </c>
      <c r="AY545" s="22" t="str">
        <f t="shared" si="458"/>
        <v>X</v>
      </c>
      <c r="AZ545" s="22" t="str">
        <f t="shared" si="459"/>
        <v>X</v>
      </c>
      <c r="BA545" s="22" t="str">
        <f t="shared" si="460"/>
        <v>X</v>
      </c>
      <c r="BB545" s="22">
        <f t="shared" si="461"/>
        <v>1</v>
      </c>
      <c r="BC545" s="22" t="str">
        <f t="shared" si="423"/>
        <v>1G</v>
      </c>
      <c r="BD545" s="22" t="str">
        <f t="shared" si="424"/>
        <v>1G</v>
      </c>
      <c r="BE545" s="22" t="str">
        <f t="shared" si="425"/>
        <v>2G</v>
      </c>
      <c r="BF545" s="22" t="str">
        <f t="shared" si="426"/>
        <v>2G</v>
      </c>
      <c r="BG545" s="22" t="str">
        <f t="shared" si="427"/>
        <v>3G</v>
      </c>
      <c r="BH545" s="22" t="str">
        <f t="shared" si="428"/>
        <v>3G</v>
      </c>
      <c r="BI545" s="22">
        <f t="shared" si="416"/>
        <v>2</v>
      </c>
      <c r="BJ545" s="22">
        <f t="shared" si="417"/>
        <v>2</v>
      </c>
      <c r="BK545" s="22">
        <f t="shared" si="418"/>
        <v>2</v>
      </c>
      <c r="BL545" s="22" t="str">
        <f t="shared" si="429"/>
        <v>222</v>
      </c>
      <c r="BS545"/>
    </row>
    <row r="546" spans="2:71" ht="17" hidden="1">
      <c r="B546" s="16">
        <v>542</v>
      </c>
      <c r="C546" s="23" t="s">
        <v>880</v>
      </c>
      <c r="N546" s="23">
        <v>5</v>
      </c>
      <c r="O546" s="23">
        <v>6</v>
      </c>
      <c r="P546" s="23">
        <v>19</v>
      </c>
      <c r="Q546" s="23">
        <v>26</v>
      </c>
      <c r="R546" s="23">
        <v>41</v>
      </c>
      <c r="S546" s="23">
        <v>45</v>
      </c>
      <c r="T546" s="23">
        <v>34</v>
      </c>
      <c r="U546" s="23">
        <f t="shared" si="376"/>
        <v>142</v>
      </c>
      <c r="W546" s="22" t="str">
        <f t="shared" si="430"/>
        <v>홀수</v>
      </c>
      <c r="X546" s="22" t="str">
        <f t="shared" si="431"/>
        <v>짝수</v>
      </c>
      <c r="Y546" s="22" t="str">
        <f t="shared" si="432"/>
        <v>홀수</v>
      </c>
      <c r="Z546" s="22" t="str">
        <f t="shared" si="433"/>
        <v>짝수</v>
      </c>
      <c r="AA546" s="23" t="str">
        <f t="shared" si="434"/>
        <v>홀수</v>
      </c>
      <c r="AB546" s="23" t="str">
        <f t="shared" si="435"/>
        <v>홀수</v>
      </c>
      <c r="AC546" s="22" t="str">
        <f t="shared" si="436"/>
        <v>4 : 2</v>
      </c>
      <c r="AD546" s="22">
        <f t="shared" si="437"/>
        <v>4</v>
      </c>
      <c r="AE546" s="22">
        <f t="shared" si="438"/>
        <v>2</v>
      </c>
      <c r="AF546" s="22" t="str">
        <f t="shared" si="439"/>
        <v>저수</v>
      </c>
      <c r="AG546" s="22" t="str">
        <f t="shared" si="440"/>
        <v>저수</v>
      </c>
      <c r="AH546" s="22" t="str">
        <f t="shared" si="441"/>
        <v>저수</v>
      </c>
      <c r="AI546" s="22" t="str">
        <f t="shared" si="442"/>
        <v>고수</v>
      </c>
      <c r="AJ546" s="22" t="str">
        <f t="shared" si="443"/>
        <v>고수</v>
      </c>
      <c r="AK546" s="22" t="str">
        <f t="shared" si="444"/>
        <v>고수</v>
      </c>
      <c r="AL546" s="22" t="str">
        <f t="shared" si="445"/>
        <v>3 : 3</v>
      </c>
      <c r="AM546" s="22">
        <f t="shared" si="446"/>
        <v>3</v>
      </c>
      <c r="AN546" s="22">
        <f t="shared" si="447"/>
        <v>3</v>
      </c>
      <c r="AO546" s="22">
        <f t="shared" si="448"/>
        <v>32</v>
      </c>
      <c r="AP546" s="22" t="str">
        <f t="shared" si="449"/>
        <v>O</v>
      </c>
      <c r="AQ546" s="22" t="str">
        <f t="shared" si="450"/>
        <v>X</v>
      </c>
      <c r="AR546" s="22" t="str">
        <f t="shared" si="451"/>
        <v>O</v>
      </c>
      <c r="AS546" s="22" t="str">
        <f t="shared" si="452"/>
        <v>X</v>
      </c>
      <c r="AT546" s="22" t="str">
        <f t="shared" si="453"/>
        <v>X</v>
      </c>
      <c r="AU546" s="22" t="str">
        <f t="shared" si="454"/>
        <v>X</v>
      </c>
      <c r="AV546" s="22" t="str">
        <f t="shared" si="455"/>
        <v>X</v>
      </c>
      <c r="AW546" s="22" t="str">
        <f t="shared" si="456"/>
        <v>X</v>
      </c>
      <c r="AX546" s="22" t="str">
        <f t="shared" si="457"/>
        <v>X</v>
      </c>
      <c r="AY546" s="22" t="str">
        <f t="shared" si="458"/>
        <v>X</v>
      </c>
      <c r="AZ546" s="22" t="str">
        <f t="shared" si="459"/>
        <v>O</v>
      </c>
      <c r="BA546" s="22" t="str">
        <f t="shared" si="460"/>
        <v>X</v>
      </c>
      <c r="BB546" s="22">
        <f t="shared" si="461"/>
        <v>3</v>
      </c>
      <c r="BC546" s="22" t="str">
        <f t="shared" si="423"/>
        <v>1G</v>
      </c>
      <c r="BD546" s="22" t="str">
        <f t="shared" si="424"/>
        <v>1G</v>
      </c>
      <c r="BE546" s="22" t="str">
        <f t="shared" si="425"/>
        <v>2G</v>
      </c>
      <c r="BF546" s="22" t="str">
        <f t="shared" si="426"/>
        <v>2G</v>
      </c>
      <c r="BG546" s="22" t="str">
        <f t="shared" si="427"/>
        <v>3G</v>
      </c>
      <c r="BH546" s="22" t="str">
        <f t="shared" si="428"/>
        <v>3G</v>
      </c>
      <c r="BI546" s="22">
        <f t="shared" si="416"/>
        <v>2</v>
      </c>
      <c r="BJ546" s="22">
        <f t="shared" si="417"/>
        <v>2</v>
      </c>
      <c r="BK546" s="22">
        <f t="shared" si="418"/>
        <v>2</v>
      </c>
      <c r="BL546" s="22" t="str">
        <f t="shared" si="429"/>
        <v>222</v>
      </c>
      <c r="BS546"/>
    </row>
    <row r="547" spans="2:71" ht="17" hidden="1">
      <c r="B547" s="16">
        <v>543</v>
      </c>
      <c r="C547" s="23" t="s">
        <v>881</v>
      </c>
      <c r="N547" s="23">
        <v>13</v>
      </c>
      <c r="O547" s="23">
        <v>18</v>
      </c>
      <c r="P547" s="23">
        <v>26</v>
      </c>
      <c r="Q547" s="23">
        <v>31</v>
      </c>
      <c r="R547" s="23">
        <v>34</v>
      </c>
      <c r="S547" s="23">
        <v>44</v>
      </c>
      <c r="T547" s="23">
        <v>12</v>
      </c>
      <c r="U547" s="23">
        <f t="shared" si="376"/>
        <v>166</v>
      </c>
      <c r="W547" s="22" t="str">
        <f t="shared" si="430"/>
        <v>홀수</v>
      </c>
      <c r="X547" s="22" t="str">
        <f t="shared" si="431"/>
        <v>짝수</v>
      </c>
      <c r="Y547" s="22" t="str">
        <f t="shared" si="432"/>
        <v>짝수</v>
      </c>
      <c r="Z547" s="22" t="str">
        <f t="shared" si="433"/>
        <v>홀수</v>
      </c>
      <c r="AA547" s="23" t="str">
        <f t="shared" si="434"/>
        <v>짝수</v>
      </c>
      <c r="AB547" s="23" t="str">
        <f t="shared" si="435"/>
        <v>짝수</v>
      </c>
      <c r="AC547" s="22" t="str">
        <f t="shared" si="436"/>
        <v>2 : 4</v>
      </c>
      <c r="AD547" s="22">
        <f t="shared" si="437"/>
        <v>2</v>
      </c>
      <c r="AE547" s="22">
        <f t="shared" si="438"/>
        <v>4</v>
      </c>
      <c r="AF547" s="22" t="str">
        <f t="shared" si="439"/>
        <v>저수</v>
      </c>
      <c r="AG547" s="22" t="str">
        <f t="shared" si="440"/>
        <v>저수</v>
      </c>
      <c r="AH547" s="22" t="str">
        <f t="shared" si="441"/>
        <v>고수</v>
      </c>
      <c r="AI547" s="22" t="str">
        <f t="shared" si="442"/>
        <v>고수</v>
      </c>
      <c r="AJ547" s="22" t="str">
        <f t="shared" si="443"/>
        <v>고수</v>
      </c>
      <c r="AK547" s="22" t="str">
        <f t="shared" si="444"/>
        <v>고수</v>
      </c>
      <c r="AL547" s="22" t="str">
        <f t="shared" si="445"/>
        <v>2 : 4</v>
      </c>
      <c r="AM547" s="22">
        <f t="shared" si="446"/>
        <v>2</v>
      </c>
      <c r="AN547" s="22">
        <f t="shared" si="447"/>
        <v>4</v>
      </c>
      <c r="AO547" s="22">
        <f t="shared" si="448"/>
        <v>26</v>
      </c>
      <c r="AP547" s="22" t="str">
        <f t="shared" si="449"/>
        <v>O</v>
      </c>
      <c r="AQ547" s="22" t="str">
        <f t="shared" si="450"/>
        <v>X</v>
      </c>
      <c r="AR547" s="22" t="str">
        <f t="shared" si="451"/>
        <v>X</v>
      </c>
      <c r="AS547" s="22" t="str">
        <f t="shared" si="452"/>
        <v>X</v>
      </c>
      <c r="AT547" s="22" t="str">
        <f t="shared" si="453"/>
        <v>X</v>
      </c>
      <c r="AU547" s="22" t="str">
        <f t="shared" si="454"/>
        <v>X</v>
      </c>
      <c r="AV547" s="22" t="str">
        <f t="shared" si="455"/>
        <v>X</v>
      </c>
      <c r="AW547" s="22" t="str">
        <f t="shared" si="456"/>
        <v>X</v>
      </c>
      <c r="AX547" s="22" t="str">
        <f t="shared" si="457"/>
        <v>X</v>
      </c>
      <c r="AY547" s="22" t="str">
        <f t="shared" si="458"/>
        <v>O</v>
      </c>
      <c r="AZ547" s="22" t="str">
        <f t="shared" si="459"/>
        <v>X</v>
      </c>
      <c r="BA547" s="22" t="str">
        <f t="shared" si="460"/>
        <v>X</v>
      </c>
      <c r="BB547" s="22">
        <f t="shared" si="461"/>
        <v>2</v>
      </c>
      <c r="BC547" s="22" t="str">
        <f t="shared" si="423"/>
        <v>1G</v>
      </c>
      <c r="BD547" s="22" t="str">
        <f t="shared" si="424"/>
        <v>2G</v>
      </c>
      <c r="BE547" s="22" t="str">
        <f t="shared" si="425"/>
        <v>2G</v>
      </c>
      <c r="BF547" s="22" t="str">
        <f t="shared" si="426"/>
        <v>3G</v>
      </c>
      <c r="BG547" s="22" t="str">
        <f t="shared" si="427"/>
        <v>3G</v>
      </c>
      <c r="BH547" s="22" t="str">
        <f t="shared" si="428"/>
        <v>3G</v>
      </c>
      <c r="BI547" s="22">
        <f t="shared" si="416"/>
        <v>1</v>
      </c>
      <c r="BJ547" s="22">
        <f t="shared" si="417"/>
        <v>2</v>
      </c>
      <c r="BK547" s="22">
        <f t="shared" si="418"/>
        <v>3</v>
      </c>
      <c r="BL547" s="22" t="str">
        <f t="shared" si="429"/>
        <v>123</v>
      </c>
      <c r="BS547"/>
    </row>
    <row r="548" spans="2:71" ht="17" hidden="1">
      <c r="B548" s="16">
        <v>544</v>
      </c>
      <c r="C548" s="23" t="s">
        <v>883</v>
      </c>
      <c r="N548" s="23">
        <v>5</v>
      </c>
      <c r="O548" s="23">
        <v>17</v>
      </c>
      <c r="P548" s="23">
        <v>21</v>
      </c>
      <c r="Q548" s="23">
        <v>25</v>
      </c>
      <c r="R548" s="23">
        <v>36</v>
      </c>
      <c r="S548" s="23">
        <v>44</v>
      </c>
      <c r="T548" s="23">
        <v>10</v>
      </c>
      <c r="U548" s="23">
        <f t="shared" si="376"/>
        <v>148</v>
      </c>
      <c r="W548" s="22" t="str">
        <f t="shared" si="430"/>
        <v>홀수</v>
      </c>
      <c r="X548" s="22" t="str">
        <f t="shared" si="431"/>
        <v>홀수</v>
      </c>
      <c r="Y548" s="22" t="str">
        <f t="shared" si="432"/>
        <v>홀수</v>
      </c>
      <c r="Z548" s="22" t="str">
        <f t="shared" si="433"/>
        <v>홀수</v>
      </c>
      <c r="AA548" s="23" t="str">
        <f t="shared" si="434"/>
        <v>짝수</v>
      </c>
      <c r="AB548" s="23" t="str">
        <f t="shared" si="435"/>
        <v>짝수</v>
      </c>
      <c r="AC548" s="22" t="str">
        <f t="shared" si="436"/>
        <v>4 : 2</v>
      </c>
      <c r="AD548" s="22">
        <f t="shared" si="437"/>
        <v>4</v>
      </c>
      <c r="AE548" s="22">
        <f t="shared" si="438"/>
        <v>2</v>
      </c>
      <c r="AF548" s="22" t="str">
        <f t="shared" si="439"/>
        <v>저수</v>
      </c>
      <c r="AG548" s="22" t="str">
        <f t="shared" si="440"/>
        <v>저수</v>
      </c>
      <c r="AH548" s="22" t="str">
        <f t="shared" si="441"/>
        <v>저수</v>
      </c>
      <c r="AI548" s="22" t="str">
        <f t="shared" si="442"/>
        <v>고수</v>
      </c>
      <c r="AJ548" s="22" t="str">
        <f t="shared" si="443"/>
        <v>고수</v>
      </c>
      <c r="AK548" s="22" t="str">
        <f t="shared" si="444"/>
        <v>고수</v>
      </c>
      <c r="AL548" s="22" t="str">
        <f t="shared" si="445"/>
        <v>3 : 3</v>
      </c>
      <c r="AM548" s="22">
        <f t="shared" si="446"/>
        <v>3</v>
      </c>
      <c r="AN548" s="22">
        <f t="shared" si="447"/>
        <v>3</v>
      </c>
      <c r="AO548" s="22">
        <f t="shared" si="448"/>
        <v>28</v>
      </c>
      <c r="AP548" s="22" t="str">
        <f t="shared" si="449"/>
        <v>O</v>
      </c>
      <c r="AQ548" s="22" t="str">
        <f t="shared" si="450"/>
        <v>O</v>
      </c>
      <c r="AR548" s="22" t="str">
        <f t="shared" si="451"/>
        <v>X</v>
      </c>
      <c r="AS548" s="22" t="str">
        <f t="shared" si="452"/>
        <v>X</v>
      </c>
      <c r="AT548" s="22" t="str">
        <f t="shared" si="453"/>
        <v>X</v>
      </c>
      <c r="AU548" s="22" t="str">
        <f t="shared" si="454"/>
        <v>X</v>
      </c>
      <c r="AV548" s="22" t="str">
        <f t="shared" si="455"/>
        <v>X</v>
      </c>
      <c r="AW548" s="22" t="str">
        <f t="shared" si="456"/>
        <v>X</v>
      </c>
      <c r="AX548" s="22" t="str">
        <f t="shared" si="457"/>
        <v>X</v>
      </c>
      <c r="AY548" s="22" t="str">
        <f t="shared" si="458"/>
        <v>X</v>
      </c>
      <c r="AZ548" s="22" t="str">
        <f t="shared" si="459"/>
        <v>X</v>
      </c>
      <c r="BA548" s="22" t="str">
        <f t="shared" si="460"/>
        <v>X</v>
      </c>
      <c r="BB548" s="22">
        <f t="shared" si="461"/>
        <v>2</v>
      </c>
      <c r="BC548" s="22" t="str">
        <f t="shared" si="423"/>
        <v>1G</v>
      </c>
      <c r="BD548" s="22" t="str">
        <f t="shared" si="424"/>
        <v>2G</v>
      </c>
      <c r="BE548" s="22" t="str">
        <f t="shared" si="425"/>
        <v>2G</v>
      </c>
      <c r="BF548" s="22" t="str">
        <f t="shared" si="426"/>
        <v>2G</v>
      </c>
      <c r="BG548" s="22" t="str">
        <f t="shared" si="427"/>
        <v>3G</v>
      </c>
      <c r="BH548" s="22" t="str">
        <f t="shared" si="428"/>
        <v>3G</v>
      </c>
      <c r="BI548" s="22">
        <f t="shared" si="416"/>
        <v>1</v>
      </c>
      <c r="BJ548" s="22">
        <f t="shared" si="417"/>
        <v>3</v>
      </c>
      <c r="BK548" s="22">
        <f t="shared" si="418"/>
        <v>2</v>
      </c>
      <c r="BL548" s="22" t="str">
        <f t="shared" si="429"/>
        <v>132</v>
      </c>
      <c r="BS548"/>
    </row>
    <row r="549" spans="2:71" ht="17" hidden="1">
      <c r="B549" s="16">
        <v>545</v>
      </c>
      <c r="C549" s="23" t="s">
        <v>884</v>
      </c>
      <c r="N549" s="23">
        <v>4</v>
      </c>
      <c r="O549" s="23">
        <v>24</v>
      </c>
      <c r="P549" s="23">
        <v>25</v>
      </c>
      <c r="Q549" s="23">
        <v>27</v>
      </c>
      <c r="R549" s="23">
        <v>34</v>
      </c>
      <c r="S549" s="23">
        <v>35</v>
      </c>
      <c r="T549" s="23">
        <v>2</v>
      </c>
      <c r="U549" s="23">
        <f t="shared" si="376"/>
        <v>149</v>
      </c>
      <c r="W549" s="22" t="str">
        <f t="shared" si="430"/>
        <v>짝수</v>
      </c>
      <c r="X549" s="22" t="str">
        <f t="shared" si="431"/>
        <v>짝수</v>
      </c>
      <c r="Y549" s="22" t="str">
        <f t="shared" si="432"/>
        <v>홀수</v>
      </c>
      <c r="Z549" s="22" t="str">
        <f t="shared" si="433"/>
        <v>홀수</v>
      </c>
      <c r="AA549" s="23" t="str">
        <f t="shared" si="434"/>
        <v>짝수</v>
      </c>
      <c r="AB549" s="23" t="str">
        <f t="shared" si="435"/>
        <v>홀수</v>
      </c>
      <c r="AC549" s="22" t="str">
        <f t="shared" si="436"/>
        <v>3 : 3</v>
      </c>
      <c r="AD549" s="22">
        <f t="shared" si="437"/>
        <v>3</v>
      </c>
      <c r="AE549" s="22">
        <f t="shared" si="438"/>
        <v>3</v>
      </c>
      <c r="AF549" s="22" t="str">
        <f t="shared" si="439"/>
        <v>저수</v>
      </c>
      <c r="AG549" s="22" t="str">
        <f t="shared" si="440"/>
        <v>고수</v>
      </c>
      <c r="AH549" s="22" t="str">
        <f t="shared" si="441"/>
        <v>고수</v>
      </c>
      <c r="AI549" s="22" t="str">
        <f t="shared" si="442"/>
        <v>고수</v>
      </c>
      <c r="AJ549" s="22" t="str">
        <f t="shared" si="443"/>
        <v>고수</v>
      </c>
      <c r="AK549" s="22" t="str">
        <f t="shared" si="444"/>
        <v>고수</v>
      </c>
      <c r="AL549" s="22" t="str">
        <f t="shared" si="445"/>
        <v>1 : 5</v>
      </c>
      <c r="AM549" s="22">
        <f t="shared" si="446"/>
        <v>1</v>
      </c>
      <c r="AN549" s="22">
        <f t="shared" si="447"/>
        <v>5</v>
      </c>
      <c r="AO549" s="22">
        <f t="shared" si="448"/>
        <v>29</v>
      </c>
      <c r="AP549" s="22" t="str">
        <f t="shared" si="449"/>
        <v>X</v>
      </c>
      <c r="AQ549" s="22" t="str">
        <f t="shared" si="450"/>
        <v>X</v>
      </c>
      <c r="AR549" s="22" t="str">
        <f t="shared" si="451"/>
        <v>X</v>
      </c>
      <c r="AS549" s="22" t="str">
        <f t="shared" si="452"/>
        <v>X</v>
      </c>
      <c r="AT549" s="22" t="str">
        <f t="shared" si="453"/>
        <v>X</v>
      </c>
      <c r="AU549" s="22" t="str">
        <f t="shared" si="454"/>
        <v>X</v>
      </c>
      <c r="AV549" s="22" t="str">
        <f t="shared" si="455"/>
        <v>X</v>
      </c>
      <c r="AW549" s="22" t="str">
        <f t="shared" si="456"/>
        <v>X</v>
      </c>
      <c r="AX549" s="22" t="str">
        <f t="shared" si="457"/>
        <v>X</v>
      </c>
      <c r="AY549" s="22" t="str">
        <f t="shared" si="458"/>
        <v>X</v>
      </c>
      <c r="AZ549" s="22" t="str">
        <f t="shared" si="459"/>
        <v>X</v>
      </c>
      <c r="BA549" s="22" t="str">
        <f t="shared" si="460"/>
        <v>X</v>
      </c>
      <c r="BB549" s="22">
        <f t="shared" si="461"/>
        <v>0</v>
      </c>
      <c r="BC549" s="22" t="str">
        <f t="shared" ref="BC549:BC558" si="462">VLOOKUP(N549,삼그룹,6,FALSE)</f>
        <v>1G</v>
      </c>
      <c r="BD549" s="22" t="str">
        <f t="shared" ref="BD549:BD558" si="463">VLOOKUP(O549,삼그룹,6,FALSE)</f>
        <v>2G</v>
      </c>
      <c r="BE549" s="22" t="str">
        <f t="shared" ref="BE549:BE558" si="464">VLOOKUP(P549,삼그룹,6,FALSE)</f>
        <v>2G</v>
      </c>
      <c r="BF549" s="22" t="str">
        <f t="shared" ref="BF549:BF558" si="465">VLOOKUP(Q549,삼그룹,6,FALSE)</f>
        <v>2G</v>
      </c>
      <c r="BG549" s="22" t="str">
        <f t="shared" ref="BG549:BG558" si="466">VLOOKUP(R549,삼그룹,6,FALSE)</f>
        <v>3G</v>
      </c>
      <c r="BH549" s="22" t="str">
        <f t="shared" ref="BH549:BH558" si="467">VLOOKUP(S549,삼그룹,6,FALSE)</f>
        <v>3G</v>
      </c>
      <c r="BI549" s="22">
        <f t="shared" si="416"/>
        <v>1</v>
      </c>
      <c r="BJ549" s="22">
        <f t="shared" si="417"/>
        <v>3</v>
      </c>
      <c r="BK549" s="22">
        <f t="shared" si="418"/>
        <v>2</v>
      </c>
      <c r="BL549" s="22" t="str">
        <f t="shared" ref="BL549:BL558" si="468">BI549&amp;BJ549&amp;BK549</f>
        <v>132</v>
      </c>
      <c r="BS549"/>
    </row>
    <row r="550" spans="2:71" ht="17" hidden="1">
      <c r="B550" s="16">
        <v>546</v>
      </c>
      <c r="C550" s="23" t="s">
        <v>885</v>
      </c>
      <c r="N550" s="23">
        <v>8</v>
      </c>
      <c r="O550" s="23">
        <v>17</v>
      </c>
      <c r="P550" s="23">
        <v>20</v>
      </c>
      <c r="Q550" s="23">
        <v>27</v>
      </c>
      <c r="R550" s="23">
        <v>37</v>
      </c>
      <c r="S550" s="23">
        <v>43</v>
      </c>
      <c r="T550" s="23">
        <v>6</v>
      </c>
      <c r="U550" s="23">
        <f t="shared" si="376"/>
        <v>152</v>
      </c>
      <c r="W550" s="22" t="str">
        <f t="shared" si="430"/>
        <v>짝수</v>
      </c>
      <c r="X550" s="22" t="str">
        <f t="shared" si="431"/>
        <v>홀수</v>
      </c>
      <c r="Y550" s="22" t="str">
        <f t="shared" si="432"/>
        <v>짝수</v>
      </c>
      <c r="Z550" s="22" t="str">
        <f t="shared" si="433"/>
        <v>홀수</v>
      </c>
      <c r="AA550" s="23" t="str">
        <f t="shared" si="434"/>
        <v>홀수</v>
      </c>
      <c r="AB550" s="23" t="str">
        <f t="shared" si="435"/>
        <v>홀수</v>
      </c>
      <c r="AC550" s="22" t="str">
        <f t="shared" si="436"/>
        <v>4 : 2</v>
      </c>
      <c r="AD550" s="22">
        <f t="shared" si="437"/>
        <v>4</v>
      </c>
      <c r="AE550" s="22">
        <f t="shared" si="438"/>
        <v>2</v>
      </c>
      <c r="AF550" s="22" t="str">
        <f t="shared" si="439"/>
        <v>저수</v>
      </c>
      <c r="AG550" s="22" t="str">
        <f t="shared" si="440"/>
        <v>저수</v>
      </c>
      <c r="AH550" s="22" t="str">
        <f t="shared" si="441"/>
        <v>저수</v>
      </c>
      <c r="AI550" s="22" t="str">
        <f t="shared" si="442"/>
        <v>고수</v>
      </c>
      <c r="AJ550" s="22" t="str">
        <f t="shared" si="443"/>
        <v>고수</v>
      </c>
      <c r="AK550" s="22" t="str">
        <f t="shared" si="444"/>
        <v>고수</v>
      </c>
      <c r="AL550" s="22" t="str">
        <f t="shared" si="445"/>
        <v>3 : 3</v>
      </c>
      <c r="AM550" s="22">
        <f t="shared" si="446"/>
        <v>3</v>
      </c>
      <c r="AN550" s="22">
        <f t="shared" si="447"/>
        <v>3</v>
      </c>
      <c r="AO550" s="22">
        <f t="shared" si="448"/>
        <v>32</v>
      </c>
      <c r="AP550" s="22" t="str">
        <f t="shared" si="449"/>
        <v>X</v>
      </c>
      <c r="AQ550" s="22" t="str">
        <f t="shared" si="450"/>
        <v>O</v>
      </c>
      <c r="AR550" s="22" t="str">
        <f t="shared" si="451"/>
        <v>X</v>
      </c>
      <c r="AS550" s="22" t="str">
        <f t="shared" si="452"/>
        <v>X</v>
      </c>
      <c r="AT550" s="22" t="str">
        <f t="shared" si="453"/>
        <v>X</v>
      </c>
      <c r="AU550" s="22" t="str">
        <f t="shared" si="454"/>
        <v>X</v>
      </c>
      <c r="AV550" s="22" t="str">
        <f t="shared" si="455"/>
        <v>X</v>
      </c>
      <c r="AW550" s="22" t="str">
        <f t="shared" si="456"/>
        <v>X</v>
      </c>
      <c r="AX550" s="22" t="str">
        <f t="shared" si="457"/>
        <v>X</v>
      </c>
      <c r="AY550" s="22" t="str">
        <f t="shared" si="458"/>
        <v>X</v>
      </c>
      <c r="AZ550" s="22" t="str">
        <f t="shared" si="459"/>
        <v>O</v>
      </c>
      <c r="BA550" s="22" t="str">
        <f t="shared" si="460"/>
        <v>O</v>
      </c>
      <c r="BB550" s="22">
        <f t="shared" si="461"/>
        <v>3</v>
      </c>
      <c r="BC550" s="22" t="str">
        <f t="shared" si="462"/>
        <v>1G</v>
      </c>
      <c r="BD550" s="22" t="str">
        <f t="shared" si="463"/>
        <v>2G</v>
      </c>
      <c r="BE550" s="22" t="str">
        <f t="shared" si="464"/>
        <v>2G</v>
      </c>
      <c r="BF550" s="22" t="str">
        <f t="shared" si="465"/>
        <v>2G</v>
      </c>
      <c r="BG550" s="22" t="str">
        <f t="shared" si="466"/>
        <v>3G</v>
      </c>
      <c r="BH550" s="22" t="str">
        <f t="shared" si="467"/>
        <v>3G</v>
      </c>
      <c r="BI550" s="22">
        <f t="shared" si="416"/>
        <v>1</v>
      </c>
      <c r="BJ550" s="22">
        <f t="shared" si="417"/>
        <v>3</v>
      </c>
      <c r="BK550" s="22">
        <f t="shared" si="418"/>
        <v>2</v>
      </c>
      <c r="BL550" s="22" t="str">
        <f t="shared" si="468"/>
        <v>132</v>
      </c>
      <c r="BS550"/>
    </row>
    <row r="551" spans="2:71" ht="17" hidden="1">
      <c r="B551" s="16">
        <v>547</v>
      </c>
      <c r="C551" s="23" t="s">
        <v>886</v>
      </c>
      <c r="N551" s="23">
        <v>6</v>
      </c>
      <c r="O551" s="23">
        <v>7</v>
      </c>
      <c r="P551" s="23">
        <v>15</v>
      </c>
      <c r="Q551" s="23">
        <v>22</v>
      </c>
      <c r="R551" s="23">
        <v>34</v>
      </c>
      <c r="S551" s="23">
        <v>39</v>
      </c>
      <c r="T551" s="23">
        <v>28</v>
      </c>
      <c r="U551" s="23">
        <f t="shared" si="376"/>
        <v>123</v>
      </c>
      <c r="W551" s="22" t="str">
        <f t="shared" si="430"/>
        <v>짝수</v>
      </c>
      <c r="X551" s="22" t="str">
        <f t="shared" si="431"/>
        <v>홀수</v>
      </c>
      <c r="Y551" s="22" t="str">
        <f t="shared" si="432"/>
        <v>홀수</v>
      </c>
      <c r="Z551" s="22" t="str">
        <f t="shared" si="433"/>
        <v>짝수</v>
      </c>
      <c r="AA551" s="23" t="str">
        <f t="shared" si="434"/>
        <v>짝수</v>
      </c>
      <c r="AB551" s="23" t="str">
        <f t="shared" si="435"/>
        <v>홀수</v>
      </c>
      <c r="AC551" s="22" t="str">
        <f t="shared" si="436"/>
        <v>3 : 3</v>
      </c>
      <c r="AD551" s="22">
        <f t="shared" si="437"/>
        <v>3</v>
      </c>
      <c r="AE551" s="22">
        <f t="shared" si="438"/>
        <v>3</v>
      </c>
      <c r="AF551" s="22" t="str">
        <f t="shared" si="439"/>
        <v>저수</v>
      </c>
      <c r="AG551" s="22" t="str">
        <f t="shared" si="440"/>
        <v>저수</v>
      </c>
      <c r="AH551" s="22" t="str">
        <f t="shared" si="441"/>
        <v>저수</v>
      </c>
      <c r="AI551" s="22" t="str">
        <f t="shared" si="442"/>
        <v>저수</v>
      </c>
      <c r="AJ551" s="22" t="str">
        <f t="shared" si="443"/>
        <v>고수</v>
      </c>
      <c r="AK551" s="22" t="str">
        <f t="shared" si="444"/>
        <v>고수</v>
      </c>
      <c r="AL551" s="22" t="str">
        <f t="shared" si="445"/>
        <v>4 : 2</v>
      </c>
      <c r="AM551" s="22">
        <f t="shared" si="446"/>
        <v>4</v>
      </c>
      <c r="AN551" s="22">
        <f t="shared" si="447"/>
        <v>2</v>
      </c>
      <c r="AO551" s="22">
        <f t="shared" si="448"/>
        <v>33</v>
      </c>
      <c r="AP551" s="22" t="str">
        <f t="shared" si="449"/>
        <v>X</v>
      </c>
      <c r="AQ551" s="22" t="str">
        <f t="shared" si="450"/>
        <v>O</v>
      </c>
      <c r="AR551" s="22" t="str">
        <f t="shared" si="451"/>
        <v>X</v>
      </c>
      <c r="AS551" s="22" t="str">
        <f t="shared" si="452"/>
        <v>X</v>
      </c>
      <c r="AT551" s="22" t="str">
        <f t="shared" si="453"/>
        <v>X</v>
      </c>
      <c r="AU551" s="22" t="str">
        <f t="shared" si="454"/>
        <v>X</v>
      </c>
      <c r="AV551" s="22" t="str">
        <f t="shared" si="455"/>
        <v>X</v>
      </c>
      <c r="AW551" s="22" t="str">
        <f t="shared" si="456"/>
        <v>X</v>
      </c>
      <c r="AX551" s="22" t="str">
        <f t="shared" si="457"/>
        <v>X</v>
      </c>
      <c r="AY551" s="22" t="str">
        <f t="shared" si="458"/>
        <v>X</v>
      </c>
      <c r="AZ551" s="22" t="str">
        <f t="shared" si="459"/>
        <v>X</v>
      </c>
      <c r="BA551" s="22" t="str">
        <f t="shared" si="460"/>
        <v>X</v>
      </c>
      <c r="BB551" s="22">
        <f t="shared" si="461"/>
        <v>1</v>
      </c>
      <c r="BC551" s="22" t="str">
        <f t="shared" si="462"/>
        <v>1G</v>
      </c>
      <c r="BD551" s="22" t="str">
        <f t="shared" si="463"/>
        <v>1G</v>
      </c>
      <c r="BE551" s="22" t="str">
        <f t="shared" si="464"/>
        <v>1G</v>
      </c>
      <c r="BF551" s="22" t="str">
        <f t="shared" si="465"/>
        <v>2G</v>
      </c>
      <c r="BG551" s="22" t="str">
        <f t="shared" si="466"/>
        <v>3G</v>
      </c>
      <c r="BH551" s="22" t="str">
        <f t="shared" si="467"/>
        <v>3G</v>
      </c>
      <c r="BI551" s="22">
        <f t="shared" si="416"/>
        <v>3</v>
      </c>
      <c r="BJ551" s="22">
        <f t="shared" si="417"/>
        <v>1</v>
      </c>
      <c r="BK551" s="22">
        <f t="shared" si="418"/>
        <v>2</v>
      </c>
      <c r="BL551" s="22" t="str">
        <f t="shared" si="468"/>
        <v>312</v>
      </c>
      <c r="BS551"/>
    </row>
    <row r="552" spans="2:71" ht="17" hidden="1">
      <c r="B552" s="16">
        <v>548</v>
      </c>
      <c r="C552" s="23" t="s">
        <v>889</v>
      </c>
      <c r="N552" s="23">
        <v>1</v>
      </c>
      <c r="O552" s="23">
        <v>12</v>
      </c>
      <c r="P552" s="23">
        <v>13</v>
      </c>
      <c r="Q552" s="23">
        <v>21</v>
      </c>
      <c r="R552" s="23">
        <v>32</v>
      </c>
      <c r="S552" s="23">
        <v>45</v>
      </c>
      <c r="T552" s="23">
        <v>14</v>
      </c>
      <c r="U552" s="23">
        <f t="shared" si="376"/>
        <v>124</v>
      </c>
      <c r="W552" s="22" t="str">
        <f t="shared" si="430"/>
        <v>홀수</v>
      </c>
      <c r="X552" s="22" t="str">
        <f t="shared" si="431"/>
        <v>짝수</v>
      </c>
      <c r="Y552" s="22" t="str">
        <f t="shared" si="432"/>
        <v>홀수</v>
      </c>
      <c r="Z552" s="22" t="str">
        <f t="shared" si="433"/>
        <v>홀수</v>
      </c>
      <c r="AA552" s="23" t="str">
        <f t="shared" si="434"/>
        <v>짝수</v>
      </c>
      <c r="AB552" s="23" t="str">
        <f t="shared" si="435"/>
        <v>홀수</v>
      </c>
      <c r="AC552" s="22" t="str">
        <f t="shared" si="436"/>
        <v>4 : 2</v>
      </c>
      <c r="AD552" s="22">
        <f t="shared" si="437"/>
        <v>4</v>
      </c>
      <c r="AE552" s="22">
        <f t="shared" si="438"/>
        <v>2</v>
      </c>
      <c r="AF552" s="22" t="str">
        <f t="shared" si="439"/>
        <v>저수</v>
      </c>
      <c r="AG552" s="22" t="str">
        <f t="shared" si="440"/>
        <v>저수</v>
      </c>
      <c r="AH552" s="22" t="str">
        <f t="shared" si="441"/>
        <v>저수</v>
      </c>
      <c r="AI552" s="22" t="str">
        <f t="shared" si="442"/>
        <v>저수</v>
      </c>
      <c r="AJ552" s="22" t="str">
        <f t="shared" si="443"/>
        <v>고수</v>
      </c>
      <c r="AK552" s="22" t="str">
        <f t="shared" si="444"/>
        <v>고수</v>
      </c>
      <c r="AL552" s="22" t="str">
        <f t="shared" si="445"/>
        <v>4 : 2</v>
      </c>
      <c r="AM552" s="22">
        <f t="shared" si="446"/>
        <v>4</v>
      </c>
      <c r="AN552" s="22">
        <f t="shared" si="447"/>
        <v>2</v>
      </c>
      <c r="AO552" s="22">
        <f t="shared" si="448"/>
        <v>14</v>
      </c>
      <c r="AP552" s="22" t="str">
        <f t="shared" si="449"/>
        <v>X</v>
      </c>
      <c r="AQ552" s="22" t="str">
        <f t="shared" si="450"/>
        <v>X</v>
      </c>
      <c r="AR552" s="22" t="str">
        <f t="shared" si="451"/>
        <v>O</v>
      </c>
      <c r="AS552" s="22" t="str">
        <f t="shared" si="452"/>
        <v>X</v>
      </c>
      <c r="AT552" s="22" t="str">
        <f t="shared" si="453"/>
        <v>X</v>
      </c>
      <c r="AU552" s="22" t="str">
        <f t="shared" si="454"/>
        <v>X</v>
      </c>
      <c r="AV552" s="22" t="str">
        <f t="shared" si="455"/>
        <v>X</v>
      </c>
      <c r="AW552" s="22" t="str">
        <f t="shared" si="456"/>
        <v>X</v>
      </c>
      <c r="AX552" s="22" t="str">
        <f t="shared" si="457"/>
        <v>X</v>
      </c>
      <c r="AY552" s="22" t="str">
        <f t="shared" si="458"/>
        <v>X</v>
      </c>
      <c r="AZ552" s="22" t="str">
        <f t="shared" si="459"/>
        <v>X</v>
      </c>
      <c r="BA552" s="22" t="str">
        <f t="shared" si="460"/>
        <v>X</v>
      </c>
      <c r="BB552" s="22">
        <f t="shared" si="461"/>
        <v>1</v>
      </c>
      <c r="BC552" s="22" t="str">
        <f t="shared" si="462"/>
        <v>1G</v>
      </c>
      <c r="BD552" s="22" t="str">
        <f t="shared" si="463"/>
        <v>1G</v>
      </c>
      <c r="BE552" s="22" t="str">
        <f t="shared" si="464"/>
        <v>1G</v>
      </c>
      <c r="BF552" s="22" t="str">
        <f t="shared" si="465"/>
        <v>2G</v>
      </c>
      <c r="BG552" s="22" t="str">
        <f t="shared" si="466"/>
        <v>3G</v>
      </c>
      <c r="BH552" s="22" t="str">
        <f t="shared" si="467"/>
        <v>3G</v>
      </c>
      <c r="BI552" s="22">
        <f t="shared" si="416"/>
        <v>3</v>
      </c>
      <c r="BJ552" s="22">
        <f t="shared" si="417"/>
        <v>1</v>
      </c>
      <c r="BK552" s="22">
        <f t="shared" si="418"/>
        <v>2</v>
      </c>
      <c r="BL552" s="22" t="str">
        <f t="shared" si="468"/>
        <v>312</v>
      </c>
      <c r="BS552"/>
    </row>
    <row r="553" spans="2:71" ht="17" hidden="1">
      <c r="B553" s="16">
        <v>549</v>
      </c>
      <c r="C553" s="23" t="s">
        <v>890</v>
      </c>
      <c r="N553" s="23">
        <v>29</v>
      </c>
      <c r="O553" s="23">
        <v>31</v>
      </c>
      <c r="P553" s="23">
        <v>35</v>
      </c>
      <c r="Q553" s="23">
        <v>38</v>
      </c>
      <c r="R553" s="23">
        <v>40</v>
      </c>
      <c r="S553" s="23">
        <v>44</v>
      </c>
      <c r="T553" s="23">
        <v>17</v>
      </c>
      <c r="U553" s="23">
        <f t="shared" si="376"/>
        <v>217</v>
      </c>
      <c r="W553" s="22" t="str">
        <f t="shared" si="430"/>
        <v>홀수</v>
      </c>
      <c r="X553" s="22" t="str">
        <f t="shared" si="431"/>
        <v>홀수</v>
      </c>
      <c r="Y553" s="22" t="str">
        <f t="shared" si="432"/>
        <v>홀수</v>
      </c>
      <c r="Z553" s="22" t="str">
        <f t="shared" si="433"/>
        <v>짝수</v>
      </c>
      <c r="AA553" s="23" t="str">
        <f t="shared" si="434"/>
        <v>짝수</v>
      </c>
      <c r="AB553" s="23" t="str">
        <f t="shared" si="435"/>
        <v>짝수</v>
      </c>
      <c r="AC553" s="22" t="str">
        <f t="shared" si="436"/>
        <v>3 : 3</v>
      </c>
      <c r="AD553" s="22">
        <f t="shared" si="437"/>
        <v>3</v>
      </c>
      <c r="AE553" s="22">
        <f t="shared" si="438"/>
        <v>3</v>
      </c>
      <c r="AF553" s="22" t="str">
        <f t="shared" si="439"/>
        <v>고수</v>
      </c>
      <c r="AG553" s="22" t="str">
        <f t="shared" si="440"/>
        <v>고수</v>
      </c>
      <c r="AH553" s="22" t="str">
        <f t="shared" si="441"/>
        <v>고수</v>
      </c>
      <c r="AI553" s="22" t="str">
        <f t="shared" si="442"/>
        <v>고수</v>
      </c>
      <c r="AJ553" s="22" t="str">
        <f t="shared" si="443"/>
        <v>고수</v>
      </c>
      <c r="AK553" s="22" t="str">
        <f t="shared" si="444"/>
        <v>고수</v>
      </c>
      <c r="AL553" s="22" t="str">
        <f t="shared" si="445"/>
        <v>0 : 6</v>
      </c>
      <c r="AM553" s="22">
        <f t="shared" si="446"/>
        <v>0</v>
      </c>
      <c r="AN553" s="22">
        <f t="shared" si="447"/>
        <v>6</v>
      </c>
      <c r="AO553" s="22">
        <f t="shared" si="448"/>
        <v>27</v>
      </c>
      <c r="AP553" s="22" t="str">
        <f t="shared" si="449"/>
        <v>X</v>
      </c>
      <c r="AQ553" s="22" t="str">
        <f t="shared" si="450"/>
        <v>X</v>
      </c>
      <c r="AR553" s="22" t="str">
        <f t="shared" si="451"/>
        <v>X</v>
      </c>
      <c r="AS553" s="22" t="str">
        <f t="shared" si="452"/>
        <v>X</v>
      </c>
      <c r="AT553" s="22" t="str">
        <f t="shared" si="453"/>
        <v>X</v>
      </c>
      <c r="AU553" s="22" t="str">
        <f t="shared" si="454"/>
        <v>X</v>
      </c>
      <c r="AV553" s="22" t="str">
        <f t="shared" si="455"/>
        <v>O</v>
      </c>
      <c r="AW553" s="22" t="str">
        <f t="shared" si="456"/>
        <v>O</v>
      </c>
      <c r="AX553" s="22" t="str">
        <f t="shared" si="457"/>
        <v>X</v>
      </c>
      <c r="AY553" s="22" t="str">
        <f t="shared" si="458"/>
        <v>X</v>
      </c>
      <c r="AZ553" s="22" t="str">
        <f t="shared" si="459"/>
        <v>X</v>
      </c>
      <c r="BA553" s="22" t="str">
        <f t="shared" si="460"/>
        <v>X</v>
      </c>
      <c r="BB553" s="22">
        <f t="shared" si="461"/>
        <v>2</v>
      </c>
      <c r="BC553" s="22" t="str">
        <f t="shared" si="462"/>
        <v>2G</v>
      </c>
      <c r="BD553" s="22" t="str">
        <f t="shared" si="463"/>
        <v>3G</v>
      </c>
      <c r="BE553" s="22" t="str">
        <f t="shared" si="464"/>
        <v>3G</v>
      </c>
      <c r="BF553" s="22" t="str">
        <f t="shared" si="465"/>
        <v>3G</v>
      </c>
      <c r="BG553" s="22" t="str">
        <f t="shared" si="466"/>
        <v>3G</v>
      </c>
      <c r="BH553" s="22" t="str">
        <f t="shared" si="467"/>
        <v>3G</v>
      </c>
      <c r="BI553" s="22">
        <f t="shared" si="416"/>
        <v>0</v>
      </c>
      <c r="BJ553" s="22">
        <f t="shared" si="417"/>
        <v>1</v>
      </c>
      <c r="BK553" s="22">
        <f t="shared" si="418"/>
        <v>5</v>
      </c>
      <c r="BL553" s="22" t="str">
        <f t="shared" si="468"/>
        <v>015</v>
      </c>
      <c r="BS553"/>
    </row>
    <row r="554" spans="2:71" ht="17" hidden="1">
      <c r="B554" s="16">
        <v>550</v>
      </c>
      <c r="C554" s="23" t="s">
        <v>891</v>
      </c>
      <c r="N554" s="23">
        <v>1</v>
      </c>
      <c r="O554" s="23">
        <v>7</v>
      </c>
      <c r="P554" s="23">
        <v>14</v>
      </c>
      <c r="Q554" s="23">
        <v>20</v>
      </c>
      <c r="R554" s="23">
        <v>34</v>
      </c>
      <c r="S554" s="23">
        <v>37</v>
      </c>
      <c r="T554" s="23">
        <v>41</v>
      </c>
      <c r="U554" s="23">
        <f t="shared" si="376"/>
        <v>113</v>
      </c>
      <c r="W554" s="22" t="str">
        <f t="shared" si="430"/>
        <v>홀수</v>
      </c>
      <c r="X554" s="22" t="str">
        <f t="shared" si="431"/>
        <v>홀수</v>
      </c>
      <c r="Y554" s="22" t="str">
        <f t="shared" si="432"/>
        <v>짝수</v>
      </c>
      <c r="Z554" s="22" t="str">
        <f t="shared" si="433"/>
        <v>짝수</v>
      </c>
      <c r="AA554" s="23" t="str">
        <f t="shared" si="434"/>
        <v>짝수</v>
      </c>
      <c r="AB554" s="23" t="str">
        <f t="shared" si="435"/>
        <v>홀수</v>
      </c>
      <c r="AC554" s="22" t="str">
        <f t="shared" si="436"/>
        <v>3 : 3</v>
      </c>
      <c r="AD554" s="22">
        <f t="shared" si="437"/>
        <v>3</v>
      </c>
      <c r="AE554" s="22">
        <f t="shared" si="438"/>
        <v>3</v>
      </c>
      <c r="AF554" s="22" t="str">
        <f t="shared" si="439"/>
        <v>저수</v>
      </c>
      <c r="AG554" s="22" t="str">
        <f t="shared" si="440"/>
        <v>저수</v>
      </c>
      <c r="AH554" s="22" t="str">
        <f t="shared" si="441"/>
        <v>저수</v>
      </c>
      <c r="AI554" s="22" t="str">
        <f t="shared" si="442"/>
        <v>저수</v>
      </c>
      <c r="AJ554" s="22" t="str">
        <f t="shared" si="443"/>
        <v>고수</v>
      </c>
      <c r="AK554" s="22" t="str">
        <f t="shared" si="444"/>
        <v>고수</v>
      </c>
      <c r="AL554" s="22" t="str">
        <f t="shared" si="445"/>
        <v>4 : 2</v>
      </c>
      <c r="AM554" s="22">
        <f t="shared" si="446"/>
        <v>4</v>
      </c>
      <c r="AN554" s="22">
        <f t="shared" si="447"/>
        <v>2</v>
      </c>
      <c r="AO554" s="22">
        <f t="shared" si="448"/>
        <v>23</v>
      </c>
      <c r="AP554" s="22" t="str">
        <f t="shared" si="449"/>
        <v>X</v>
      </c>
      <c r="AQ554" s="22" t="str">
        <f t="shared" si="450"/>
        <v>O</v>
      </c>
      <c r="AR554" s="22" t="str">
        <f t="shared" si="451"/>
        <v>X</v>
      </c>
      <c r="AS554" s="22" t="str">
        <f t="shared" si="452"/>
        <v>X</v>
      </c>
      <c r="AT554" s="22" t="str">
        <f t="shared" si="453"/>
        <v>X</v>
      </c>
      <c r="AU554" s="22" t="str">
        <f t="shared" si="454"/>
        <v>X</v>
      </c>
      <c r="AV554" s="22" t="str">
        <f t="shared" si="455"/>
        <v>X</v>
      </c>
      <c r="AW554" s="22" t="str">
        <f t="shared" si="456"/>
        <v>X</v>
      </c>
      <c r="AX554" s="22" t="str">
        <f t="shared" si="457"/>
        <v>X</v>
      </c>
      <c r="AY554" s="22" t="str">
        <f t="shared" si="458"/>
        <v>X</v>
      </c>
      <c r="AZ554" s="22" t="str">
        <f t="shared" si="459"/>
        <v>X</v>
      </c>
      <c r="BA554" s="22" t="str">
        <f t="shared" si="460"/>
        <v>O</v>
      </c>
      <c r="BB554" s="22">
        <f t="shared" si="461"/>
        <v>2</v>
      </c>
      <c r="BC554" s="22" t="str">
        <f t="shared" si="462"/>
        <v>1G</v>
      </c>
      <c r="BD554" s="22" t="str">
        <f t="shared" si="463"/>
        <v>1G</v>
      </c>
      <c r="BE554" s="22" t="str">
        <f t="shared" si="464"/>
        <v>1G</v>
      </c>
      <c r="BF554" s="22" t="str">
        <f t="shared" si="465"/>
        <v>2G</v>
      </c>
      <c r="BG554" s="22" t="str">
        <f t="shared" si="466"/>
        <v>3G</v>
      </c>
      <c r="BH554" s="22" t="str">
        <f t="shared" si="467"/>
        <v>3G</v>
      </c>
      <c r="BI554" s="22">
        <f t="shared" si="416"/>
        <v>3</v>
      </c>
      <c r="BJ554" s="22">
        <f t="shared" si="417"/>
        <v>1</v>
      </c>
      <c r="BK554" s="22">
        <f t="shared" si="418"/>
        <v>2</v>
      </c>
      <c r="BL554" s="22" t="str">
        <f t="shared" si="468"/>
        <v>312</v>
      </c>
      <c r="BS554"/>
    </row>
    <row r="555" spans="2:71" ht="17" hidden="1">
      <c r="B555" s="16">
        <v>551</v>
      </c>
      <c r="C555" s="23" t="s">
        <v>892</v>
      </c>
      <c r="N555" s="23">
        <v>3</v>
      </c>
      <c r="O555" s="23">
        <v>6</v>
      </c>
      <c r="P555" s="23">
        <v>20</v>
      </c>
      <c r="Q555" s="23">
        <v>24</v>
      </c>
      <c r="R555" s="23">
        <v>27</v>
      </c>
      <c r="S555" s="23">
        <v>44</v>
      </c>
      <c r="T555" s="23">
        <v>25</v>
      </c>
      <c r="U555" s="23">
        <f t="shared" si="376"/>
        <v>124</v>
      </c>
      <c r="W555" s="22" t="str">
        <f t="shared" si="430"/>
        <v>홀수</v>
      </c>
      <c r="X555" s="22" t="str">
        <f t="shared" si="431"/>
        <v>짝수</v>
      </c>
      <c r="Y555" s="22" t="str">
        <f t="shared" si="432"/>
        <v>짝수</v>
      </c>
      <c r="Z555" s="22" t="str">
        <f t="shared" si="433"/>
        <v>짝수</v>
      </c>
      <c r="AA555" s="23" t="str">
        <f t="shared" si="434"/>
        <v>홀수</v>
      </c>
      <c r="AB555" s="23" t="str">
        <f t="shared" si="435"/>
        <v>짝수</v>
      </c>
      <c r="AC555" s="22" t="str">
        <f t="shared" si="436"/>
        <v>2 : 4</v>
      </c>
      <c r="AD555" s="22">
        <f t="shared" si="437"/>
        <v>2</v>
      </c>
      <c r="AE555" s="22">
        <f t="shared" si="438"/>
        <v>4</v>
      </c>
      <c r="AF555" s="22" t="str">
        <f t="shared" si="439"/>
        <v>저수</v>
      </c>
      <c r="AG555" s="22" t="str">
        <f t="shared" si="440"/>
        <v>저수</v>
      </c>
      <c r="AH555" s="22" t="str">
        <f t="shared" si="441"/>
        <v>저수</v>
      </c>
      <c r="AI555" s="22" t="str">
        <f t="shared" si="442"/>
        <v>고수</v>
      </c>
      <c r="AJ555" s="22" t="str">
        <f t="shared" si="443"/>
        <v>고수</v>
      </c>
      <c r="AK555" s="22" t="str">
        <f t="shared" si="444"/>
        <v>고수</v>
      </c>
      <c r="AL555" s="22" t="str">
        <f t="shared" si="445"/>
        <v>3 : 3</v>
      </c>
      <c r="AM555" s="22">
        <f t="shared" si="446"/>
        <v>3</v>
      </c>
      <c r="AN555" s="22">
        <f t="shared" si="447"/>
        <v>3</v>
      </c>
      <c r="AO555" s="22">
        <f t="shared" si="448"/>
        <v>24</v>
      </c>
      <c r="AP555" s="22" t="str">
        <f t="shared" si="449"/>
        <v>O</v>
      </c>
      <c r="AQ555" s="22" t="str">
        <f t="shared" si="450"/>
        <v>X</v>
      </c>
      <c r="AR555" s="22" t="str">
        <f t="shared" si="451"/>
        <v>X</v>
      </c>
      <c r="AS555" s="22" t="str">
        <f t="shared" si="452"/>
        <v>X</v>
      </c>
      <c r="AT555" s="22" t="str">
        <f t="shared" si="453"/>
        <v>X</v>
      </c>
      <c r="AU555" s="22" t="str">
        <f t="shared" si="454"/>
        <v>X</v>
      </c>
      <c r="AV555" s="22" t="str">
        <f t="shared" si="455"/>
        <v>X</v>
      </c>
      <c r="AW555" s="22" t="str">
        <f t="shared" si="456"/>
        <v>X</v>
      </c>
      <c r="AX555" s="22" t="str">
        <f t="shared" si="457"/>
        <v>X</v>
      </c>
      <c r="AY555" s="22" t="str">
        <f t="shared" si="458"/>
        <v>X</v>
      </c>
      <c r="AZ555" s="22" t="str">
        <f t="shared" si="459"/>
        <v>X</v>
      </c>
      <c r="BA555" s="22" t="str">
        <f t="shared" si="460"/>
        <v>X</v>
      </c>
      <c r="BB555" s="22">
        <f t="shared" si="461"/>
        <v>1</v>
      </c>
      <c r="BC555" s="22" t="str">
        <f t="shared" si="462"/>
        <v>1G</v>
      </c>
      <c r="BD555" s="22" t="str">
        <f t="shared" si="463"/>
        <v>1G</v>
      </c>
      <c r="BE555" s="22" t="str">
        <f t="shared" si="464"/>
        <v>2G</v>
      </c>
      <c r="BF555" s="22" t="str">
        <f t="shared" si="465"/>
        <v>2G</v>
      </c>
      <c r="BG555" s="22" t="str">
        <f t="shared" si="466"/>
        <v>2G</v>
      </c>
      <c r="BH555" s="22" t="str">
        <f t="shared" si="467"/>
        <v>3G</v>
      </c>
      <c r="BI555" s="22">
        <f t="shared" si="416"/>
        <v>2</v>
      </c>
      <c r="BJ555" s="22">
        <f t="shared" si="417"/>
        <v>3</v>
      </c>
      <c r="BK555" s="22">
        <f t="shared" si="418"/>
        <v>1</v>
      </c>
      <c r="BL555" s="22" t="str">
        <f t="shared" si="468"/>
        <v>231</v>
      </c>
      <c r="BS555"/>
    </row>
    <row r="556" spans="2:71" ht="17" hidden="1">
      <c r="B556" s="16">
        <v>552</v>
      </c>
      <c r="C556" s="23" t="s">
        <v>895</v>
      </c>
      <c r="N556" s="23">
        <v>1</v>
      </c>
      <c r="O556" s="23">
        <v>10</v>
      </c>
      <c r="P556" s="23">
        <v>20</v>
      </c>
      <c r="Q556" s="23">
        <v>32</v>
      </c>
      <c r="R556" s="23">
        <v>35</v>
      </c>
      <c r="S556" s="23">
        <v>40</v>
      </c>
      <c r="T556" s="23">
        <v>43</v>
      </c>
      <c r="U556" s="23">
        <f t="shared" si="376"/>
        <v>138</v>
      </c>
      <c r="W556" s="22" t="str">
        <f t="shared" si="430"/>
        <v>홀수</v>
      </c>
      <c r="X556" s="22" t="str">
        <f t="shared" si="431"/>
        <v>짝수</v>
      </c>
      <c r="Y556" s="22" t="str">
        <f t="shared" si="432"/>
        <v>짝수</v>
      </c>
      <c r="Z556" s="22" t="str">
        <f t="shared" si="433"/>
        <v>짝수</v>
      </c>
      <c r="AA556" s="23" t="str">
        <f t="shared" si="434"/>
        <v>홀수</v>
      </c>
      <c r="AB556" s="23" t="str">
        <f t="shared" si="435"/>
        <v>짝수</v>
      </c>
      <c r="AC556" s="22" t="str">
        <f t="shared" si="436"/>
        <v>2 : 4</v>
      </c>
      <c r="AD556" s="22">
        <f t="shared" si="437"/>
        <v>2</v>
      </c>
      <c r="AE556" s="22">
        <f t="shared" si="438"/>
        <v>4</v>
      </c>
      <c r="AF556" s="22" t="str">
        <f t="shared" si="439"/>
        <v>저수</v>
      </c>
      <c r="AG556" s="22" t="str">
        <f t="shared" si="440"/>
        <v>저수</v>
      </c>
      <c r="AH556" s="22" t="str">
        <f t="shared" si="441"/>
        <v>저수</v>
      </c>
      <c r="AI556" s="22" t="str">
        <f t="shared" si="442"/>
        <v>고수</v>
      </c>
      <c r="AJ556" s="22" t="str">
        <f t="shared" si="443"/>
        <v>고수</v>
      </c>
      <c r="AK556" s="22" t="str">
        <f t="shared" si="444"/>
        <v>고수</v>
      </c>
      <c r="AL556" s="22" t="str">
        <f t="shared" si="445"/>
        <v>3 : 3</v>
      </c>
      <c r="AM556" s="22">
        <f t="shared" si="446"/>
        <v>3</v>
      </c>
      <c r="AN556" s="22">
        <f t="shared" si="447"/>
        <v>3</v>
      </c>
      <c r="AO556" s="22">
        <f t="shared" si="448"/>
        <v>8</v>
      </c>
      <c r="AP556" s="22" t="str">
        <f t="shared" si="449"/>
        <v>X</v>
      </c>
      <c r="AQ556" s="22" t="str">
        <f t="shared" si="450"/>
        <v>X</v>
      </c>
      <c r="AR556" s="22" t="str">
        <f t="shared" si="451"/>
        <v>X</v>
      </c>
      <c r="AS556" s="22" t="str">
        <f t="shared" si="452"/>
        <v>X</v>
      </c>
      <c r="AT556" s="22" t="str">
        <f t="shared" si="453"/>
        <v>X</v>
      </c>
      <c r="AU556" s="22" t="str">
        <f t="shared" si="454"/>
        <v>X</v>
      </c>
      <c r="AV556" s="22" t="str">
        <f t="shared" si="455"/>
        <v>X</v>
      </c>
      <c r="AW556" s="22" t="str">
        <f t="shared" si="456"/>
        <v>X</v>
      </c>
      <c r="AX556" s="22" t="str">
        <f t="shared" si="457"/>
        <v>X</v>
      </c>
      <c r="AY556" s="22" t="str">
        <f t="shared" si="458"/>
        <v>X</v>
      </c>
      <c r="AZ556" s="22" t="str">
        <f t="shared" si="459"/>
        <v>X</v>
      </c>
      <c r="BA556" s="22" t="str">
        <f t="shared" si="460"/>
        <v>X</v>
      </c>
      <c r="BB556" s="22">
        <f t="shared" si="461"/>
        <v>0</v>
      </c>
      <c r="BC556" s="22" t="str">
        <f t="shared" si="462"/>
        <v>1G</v>
      </c>
      <c r="BD556" s="22" t="str">
        <f t="shared" si="463"/>
        <v>1G</v>
      </c>
      <c r="BE556" s="22" t="str">
        <f t="shared" si="464"/>
        <v>2G</v>
      </c>
      <c r="BF556" s="22" t="str">
        <f t="shared" si="465"/>
        <v>3G</v>
      </c>
      <c r="BG556" s="22" t="str">
        <f t="shared" si="466"/>
        <v>3G</v>
      </c>
      <c r="BH556" s="22" t="str">
        <f t="shared" si="467"/>
        <v>3G</v>
      </c>
      <c r="BI556" s="22">
        <f t="shared" si="416"/>
        <v>2</v>
      </c>
      <c r="BJ556" s="22">
        <f t="shared" si="417"/>
        <v>1</v>
      </c>
      <c r="BK556" s="22">
        <f t="shared" si="418"/>
        <v>3</v>
      </c>
      <c r="BL556" s="22" t="str">
        <f t="shared" si="468"/>
        <v>213</v>
      </c>
      <c r="BS556"/>
    </row>
    <row r="557" spans="2:71" ht="17" hidden="1">
      <c r="B557" s="16">
        <v>553</v>
      </c>
      <c r="C557" s="23" t="s">
        <v>896</v>
      </c>
      <c r="N557" s="23">
        <v>2</v>
      </c>
      <c r="O557" s="23">
        <v>7</v>
      </c>
      <c r="P557" s="23">
        <v>17</v>
      </c>
      <c r="Q557" s="23">
        <v>28</v>
      </c>
      <c r="R557" s="23">
        <v>29</v>
      </c>
      <c r="S557" s="23">
        <v>39</v>
      </c>
      <c r="T557" s="23">
        <v>37</v>
      </c>
      <c r="U557" s="23">
        <f t="shared" si="376"/>
        <v>122</v>
      </c>
      <c r="W557" s="22" t="str">
        <f t="shared" si="430"/>
        <v>짝수</v>
      </c>
      <c r="X557" s="22" t="str">
        <f t="shared" si="431"/>
        <v>홀수</v>
      </c>
      <c r="Y557" s="22" t="str">
        <f t="shared" si="432"/>
        <v>홀수</v>
      </c>
      <c r="Z557" s="22" t="str">
        <f t="shared" si="433"/>
        <v>짝수</v>
      </c>
      <c r="AA557" s="23" t="str">
        <f t="shared" si="434"/>
        <v>홀수</v>
      </c>
      <c r="AB557" s="23" t="str">
        <f t="shared" si="435"/>
        <v>홀수</v>
      </c>
      <c r="AC557" s="22" t="str">
        <f t="shared" si="436"/>
        <v>4 : 2</v>
      </c>
      <c r="AD557" s="22">
        <f t="shared" si="437"/>
        <v>4</v>
      </c>
      <c r="AE557" s="22">
        <f t="shared" si="438"/>
        <v>2</v>
      </c>
      <c r="AF557" s="22" t="str">
        <f t="shared" si="439"/>
        <v>저수</v>
      </c>
      <c r="AG557" s="22" t="str">
        <f t="shared" si="440"/>
        <v>저수</v>
      </c>
      <c r="AH557" s="22" t="str">
        <f t="shared" si="441"/>
        <v>저수</v>
      </c>
      <c r="AI557" s="22" t="str">
        <f t="shared" si="442"/>
        <v>고수</v>
      </c>
      <c r="AJ557" s="22" t="str">
        <f t="shared" si="443"/>
        <v>고수</v>
      </c>
      <c r="AK557" s="22" t="str">
        <f t="shared" si="444"/>
        <v>고수</v>
      </c>
      <c r="AL557" s="22" t="str">
        <f t="shared" si="445"/>
        <v>3 : 3</v>
      </c>
      <c r="AM557" s="22">
        <f t="shared" si="446"/>
        <v>3</v>
      </c>
      <c r="AN557" s="22">
        <f t="shared" si="447"/>
        <v>3</v>
      </c>
      <c r="AO557" s="22">
        <f t="shared" si="448"/>
        <v>42</v>
      </c>
      <c r="AP557" s="22" t="str">
        <f t="shared" si="449"/>
        <v>O</v>
      </c>
      <c r="AQ557" s="22" t="str">
        <f t="shared" si="450"/>
        <v>O</v>
      </c>
      <c r="AR557" s="22" t="str">
        <f t="shared" si="451"/>
        <v>O</v>
      </c>
      <c r="AS557" s="22" t="str">
        <f t="shared" si="452"/>
        <v>X</v>
      </c>
      <c r="AT557" s="22" t="str">
        <f t="shared" si="453"/>
        <v>X</v>
      </c>
      <c r="AU557" s="22" t="str">
        <f t="shared" si="454"/>
        <v>X</v>
      </c>
      <c r="AV557" s="22" t="str">
        <f t="shared" si="455"/>
        <v>X</v>
      </c>
      <c r="AW557" s="22" t="str">
        <f t="shared" si="456"/>
        <v>X</v>
      </c>
      <c r="AX557" s="22" t="str">
        <f t="shared" si="457"/>
        <v>X</v>
      </c>
      <c r="AY557" s="22" t="str">
        <f t="shared" si="458"/>
        <v>X</v>
      </c>
      <c r="AZ557" s="22" t="str">
        <f t="shared" si="459"/>
        <v>O</v>
      </c>
      <c r="BA557" s="22" t="str">
        <f t="shared" si="460"/>
        <v>X</v>
      </c>
      <c r="BB557" s="22">
        <f t="shared" si="461"/>
        <v>4</v>
      </c>
      <c r="BC557" s="22" t="str">
        <f t="shared" si="462"/>
        <v>1G</v>
      </c>
      <c r="BD557" s="22" t="str">
        <f t="shared" si="463"/>
        <v>1G</v>
      </c>
      <c r="BE557" s="22" t="str">
        <f t="shared" si="464"/>
        <v>2G</v>
      </c>
      <c r="BF557" s="22" t="str">
        <f t="shared" si="465"/>
        <v>2G</v>
      </c>
      <c r="BG557" s="22" t="str">
        <f t="shared" si="466"/>
        <v>2G</v>
      </c>
      <c r="BH557" s="22" t="str">
        <f t="shared" si="467"/>
        <v>3G</v>
      </c>
      <c r="BI557" s="22">
        <f t="shared" si="416"/>
        <v>2</v>
      </c>
      <c r="BJ557" s="22">
        <f t="shared" si="417"/>
        <v>3</v>
      </c>
      <c r="BK557" s="22">
        <f t="shared" si="418"/>
        <v>1</v>
      </c>
      <c r="BL557" s="22" t="str">
        <f t="shared" si="468"/>
        <v>231</v>
      </c>
      <c r="BS557"/>
    </row>
    <row r="558" spans="2:71" ht="17" hidden="1">
      <c r="B558" s="16">
        <v>554</v>
      </c>
      <c r="C558" s="23" t="s">
        <v>897</v>
      </c>
      <c r="N558" s="23">
        <v>13</v>
      </c>
      <c r="O558" s="23">
        <v>14</v>
      </c>
      <c r="P558" s="23">
        <v>17</v>
      </c>
      <c r="Q558" s="23">
        <v>32</v>
      </c>
      <c r="R558" s="23">
        <v>41</v>
      </c>
      <c r="S558" s="23">
        <v>42</v>
      </c>
      <c r="T558" s="23">
        <v>6</v>
      </c>
      <c r="U558" s="23">
        <f t="shared" si="376"/>
        <v>159</v>
      </c>
      <c r="W558" s="22" t="str">
        <f t="shared" si="430"/>
        <v>홀수</v>
      </c>
      <c r="X558" s="22" t="str">
        <f t="shared" si="431"/>
        <v>짝수</v>
      </c>
      <c r="Y558" s="22" t="str">
        <f t="shared" si="432"/>
        <v>홀수</v>
      </c>
      <c r="Z558" s="22" t="str">
        <f t="shared" si="433"/>
        <v>짝수</v>
      </c>
      <c r="AA558" s="23" t="str">
        <f t="shared" si="434"/>
        <v>홀수</v>
      </c>
      <c r="AB558" s="23" t="str">
        <f t="shared" si="435"/>
        <v>짝수</v>
      </c>
      <c r="AC558" s="22" t="str">
        <f t="shared" si="436"/>
        <v>3 : 3</v>
      </c>
      <c r="AD558" s="22">
        <f t="shared" si="437"/>
        <v>3</v>
      </c>
      <c r="AE558" s="22">
        <f t="shared" si="438"/>
        <v>3</v>
      </c>
      <c r="AF558" s="22" t="str">
        <f t="shared" si="439"/>
        <v>저수</v>
      </c>
      <c r="AG558" s="22" t="str">
        <f t="shared" si="440"/>
        <v>저수</v>
      </c>
      <c r="AH558" s="22" t="str">
        <f t="shared" si="441"/>
        <v>저수</v>
      </c>
      <c r="AI558" s="22" t="str">
        <f t="shared" si="442"/>
        <v>고수</v>
      </c>
      <c r="AJ558" s="22" t="str">
        <f t="shared" si="443"/>
        <v>고수</v>
      </c>
      <c r="AK558" s="22" t="str">
        <f t="shared" si="444"/>
        <v>고수</v>
      </c>
      <c r="AL558" s="22" t="str">
        <f t="shared" si="445"/>
        <v>3 : 3</v>
      </c>
      <c r="AM558" s="22">
        <f t="shared" si="446"/>
        <v>3</v>
      </c>
      <c r="AN558" s="22">
        <f t="shared" si="447"/>
        <v>3</v>
      </c>
      <c r="AO558" s="22">
        <f t="shared" si="448"/>
        <v>19</v>
      </c>
      <c r="AP558" s="22" t="str">
        <f t="shared" si="449"/>
        <v>O</v>
      </c>
      <c r="AQ558" s="22" t="str">
        <f t="shared" si="450"/>
        <v>X</v>
      </c>
      <c r="AR558" s="22" t="str">
        <f t="shared" si="451"/>
        <v>O</v>
      </c>
      <c r="AS558" s="22" t="str">
        <f t="shared" si="452"/>
        <v>X</v>
      </c>
      <c r="AT558" s="22" t="str">
        <f t="shared" si="453"/>
        <v>X</v>
      </c>
      <c r="AU558" s="22" t="str">
        <f t="shared" si="454"/>
        <v>X</v>
      </c>
      <c r="AV558" s="22" t="str">
        <f t="shared" si="455"/>
        <v>X</v>
      </c>
      <c r="AW558" s="22" t="str">
        <f t="shared" si="456"/>
        <v>X</v>
      </c>
      <c r="AX558" s="22" t="str">
        <f t="shared" si="457"/>
        <v>X</v>
      </c>
      <c r="AY558" s="22" t="str">
        <f t="shared" si="458"/>
        <v>X</v>
      </c>
      <c r="AZ558" s="22" t="str">
        <f t="shared" si="459"/>
        <v>O</v>
      </c>
      <c r="BA558" s="22" t="str">
        <f t="shared" si="460"/>
        <v>X</v>
      </c>
      <c r="BB558" s="22">
        <f t="shared" si="461"/>
        <v>3</v>
      </c>
      <c r="BC558" s="22" t="str">
        <f t="shared" si="462"/>
        <v>1G</v>
      </c>
      <c r="BD558" s="22" t="str">
        <f t="shared" si="463"/>
        <v>1G</v>
      </c>
      <c r="BE558" s="22" t="str">
        <f t="shared" si="464"/>
        <v>2G</v>
      </c>
      <c r="BF558" s="22" t="str">
        <f t="shared" si="465"/>
        <v>3G</v>
      </c>
      <c r="BG558" s="22" t="str">
        <f t="shared" si="466"/>
        <v>3G</v>
      </c>
      <c r="BH558" s="22" t="str">
        <f t="shared" si="467"/>
        <v>3G</v>
      </c>
      <c r="BI558" s="22">
        <f t="shared" si="416"/>
        <v>2</v>
      </c>
      <c r="BJ558" s="22">
        <f t="shared" si="417"/>
        <v>1</v>
      </c>
      <c r="BK558" s="22">
        <f t="shared" si="418"/>
        <v>3</v>
      </c>
      <c r="BL558" s="22" t="str">
        <f t="shared" si="468"/>
        <v>213</v>
      </c>
      <c r="BS558"/>
    </row>
    <row r="559" spans="2:71" ht="17" hidden="1">
      <c r="B559" s="16">
        <v>555</v>
      </c>
      <c r="C559" s="23" t="s">
        <v>898</v>
      </c>
      <c r="N559" s="23">
        <v>11</v>
      </c>
      <c r="O559" s="23">
        <v>17</v>
      </c>
      <c r="P559" s="23">
        <v>21</v>
      </c>
      <c r="Q559" s="23">
        <v>24</v>
      </c>
      <c r="R559" s="23">
        <v>26</v>
      </c>
      <c r="S559" s="23">
        <v>36</v>
      </c>
      <c r="T559" s="23">
        <v>12</v>
      </c>
      <c r="U559" s="23">
        <f t="shared" si="376"/>
        <v>135</v>
      </c>
      <c r="W559" s="22" t="str">
        <f t="shared" si="430"/>
        <v>홀수</v>
      </c>
      <c r="X559" s="22" t="str">
        <f t="shared" si="431"/>
        <v>홀수</v>
      </c>
      <c r="Y559" s="22" t="str">
        <f t="shared" si="432"/>
        <v>홀수</v>
      </c>
      <c r="Z559" s="22" t="str">
        <f t="shared" si="433"/>
        <v>짝수</v>
      </c>
      <c r="AA559" s="23" t="str">
        <f t="shared" si="434"/>
        <v>짝수</v>
      </c>
      <c r="AB559" s="23" t="str">
        <f t="shared" si="435"/>
        <v>짝수</v>
      </c>
      <c r="AC559" s="22" t="str">
        <f t="shared" si="436"/>
        <v>3 : 3</v>
      </c>
      <c r="AD559" s="22">
        <f t="shared" si="437"/>
        <v>3</v>
      </c>
      <c r="AE559" s="22">
        <f t="shared" si="438"/>
        <v>3</v>
      </c>
      <c r="AF559" s="22" t="str">
        <f t="shared" si="439"/>
        <v>저수</v>
      </c>
      <c r="AG559" s="22" t="str">
        <f t="shared" si="440"/>
        <v>저수</v>
      </c>
      <c r="AH559" s="22" t="str">
        <f t="shared" si="441"/>
        <v>저수</v>
      </c>
      <c r="AI559" s="22" t="str">
        <f t="shared" si="442"/>
        <v>고수</v>
      </c>
      <c r="AJ559" s="22" t="str">
        <f t="shared" si="443"/>
        <v>고수</v>
      </c>
      <c r="AK559" s="22" t="str">
        <f t="shared" si="444"/>
        <v>고수</v>
      </c>
      <c r="AL559" s="22" t="str">
        <f t="shared" si="445"/>
        <v>3 : 3</v>
      </c>
      <c r="AM559" s="22">
        <f t="shared" si="446"/>
        <v>3</v>
      </c>
      <c r="AN559" s="22">
        <f t="shared" si="447"/>
        <v>3</v>
      </c>
      <c r="AO559" s="22">
        <f t="shared" si="448"/>
        <v>25</v>
      </c>
      <c r="AP559" s="22" t="str">
        <f t="shared" si="449"/>
        <v>O</v>
      </c>
      <c r="AQ559" s="22" t="str">
        <f t="shared" si="450"/>
        <v>O</v>
      </c>
      <c r="AR559" s="22" t="str">
        <f t="shared" si="451"/>
        <v>X</v>
      </c>
      <c r="AS559" s="22" t="str">
        <f t="shared" si="452"/>
        <v>X</v>
      </c>
      <c r="AT559" s="22" t="str">
        <f t="shared" si="453"/>
        <v>X</v>
      </c>
      <c r="AU559" s="22" t="str">
        <f t="shared" si="454"/>
        <v>X</v>
      </c>
      <c r="AV559" s="22" t="str">
        <f t="shared" si="455"/>
        <v>X</v>
      </c>
      <c r="AW559" s="22" t="str">
        <f t="shared" si="456"/>
        <v>X</v>
      </c>
      <c r="AX559" s="22" t="str">
        <f t="shared" si="457"/>
        <v>X</v>
      </c>
      <c r="AY559" s="22" t="str">
        <f t="shared" si="458"/>
        <v>X</v>
      </c>
      <c r="AZ559" s="22" t="str">
        <f t="shared" si="459"/>
        <v>X</v>
      </c>
      <c r="BA559" s="22" t="str">
        <f t="shared" si="460"/>
        <v>X</v>
      </c>
      <c r="BB559" s="22">
        <f t="shared" si="461"/>
        <v>2</v>
      </c>
      <c r="BC559" s="22" t="str">
        <f t="shared" ref="BC559:BH563" si="469">VLOOKUP(N559,삼그룹,6,FALSE)</f>
        <v>1G</v>
      </c>
      <c r="BD559" s="22" t="str">
        <f t="shared" si="469"/>
        <v>2G</v>
      </c>
      <c r="BE559" s="22" t="str">
        <f t="shared" si="469"/>
        <v>2G</v>
      </c>
      <c r="BF559" s="22" t="str">
        <f t="shared" si="469"/>
        <v>2G</v>
      </c>
      <c r="BG559" s="22" t="str">
        <f t="shared" si="469"/>
        <v>2G</v>
      </c>
      <c r="BH559" s="22" t="str">
        <f t="shared" si="469"/>
        <v>3G</v>
      </c>
      <c r="BI559" s="22">
        <f t="shared" si="416"/>
        <v>1</v>
      </c>
      <c r="BJ559" s="22">
        <f t="shared" si="417"/>
        <v>4</v>
      </c>
      <c r="BK559" s="22">
        <f t="shared" si="418"/>
        <v>1</v>
      </c>
      <c r="BL559" s="22" t="str">
        <f t="shared" ref="BL559:BL564" si="470">BI559&amp;BJ559&amp;BK559</f>
        <v>141</v>
      </c>
      <c r="BS559"/>
    </row>
    <row r="560" spans="2:71" ht="17" hidden="1">
      <c r="B560" s="16">
        <v>556</v>
      </c>
      <c r="C560" s="23" t="s">
        <v>899</v>
      </c>
      <c r="N560" s="23">
        <v>12</v>
      </c>
      <c r="O560" s="23">
        <v>20</v>
      </c>
      <c r="P560" s="23">
        <v>23</v>
      </c>
      <c r="Q560" s="23">
        <v>28</v>
      </c>
      <c r="R560" s="23">
        <v>30</v>
      </c>
      <c r="S560" s="23">
        <v>44</v>
      </c>
      <c r="T560" s="23">
        <v>43</v>
      </c>
      <c r="U560" s="23">
        <f t="shared" si="376"/>
        <v>157</v>
      </c>
      <c r="W560" s="22" t="str">
        <f t="shared" si="430"/>
        <v>짝수</v>
      </c>
      <c r="X560" s="22" t="str">
        <f t="shared" si="431"/>
        <v>짝수</v>
      </c>
      <c r="Y560" s="22" t="str">
        <f t="shared" si="432"/>
        <v>홀수</v>
      </c>
      <c r="Z560" s="22" t="str">
        <f t="shared" si="433"/>
        <v>짝수</v>
      </c>
      <c r="AA560" s="23" t="str">
        <f t="shared" si="434"/>
        <v>짝수</v>
      </c>
      <c r="AB560" s="23" t="str">
        <f t="shared" si="435"/>
        <v>짝수</v>
      </c>
      <c r="AC560" s="22" t="str">
        <f t="shared" si="436"/>
        <v>1 : 5</v>
      </c>
      <c r="AD560" s="22">
        <f t="shared" si="437"/>
        <v>1</v>
      </c>
      <c r="AE560" s="22">
        <f t="shared" si="438"/>
        <v>5</v>
      </c>
      <c r="AF560" s="22" t="str">
        <f t="shared" si="439"/>
        <v>저수</v>
      </c>
      <c r="AG560" s="22" t="str">
        <f t="shared" si="440"/>
        <v>저수</v>
      </c>
      <c r="AH560" s="22" t="str">
        <f t="shared" si="441"/>
        <v>고수</v>
      </c>
      <c r="AI560" s="22" t="str">
        <f t="shared" si="442"/>
        <v>고수</v>
      </c>
      <c r="AJ560" s="22" t="str">
        <f t="shared" si="443"/>
        <v>고수</v>
      </c>
      <c r="AK560" s="22" t="str">
        <f t="shared" si="444"/>
        <v>고수</v>
      </c>
      <c r="AL560" s="22" t="str">
        <f t="shared" si="445"/>
        <v>2 : 4</v>
      </c>
      <c r="AM560" s="22">
        <f t="shared" si="446"/>
        <v>2</v>
      </c>
      <c r="AN560" s="22">
        <f t="shared" si="447"/>
        <v>4</v>
      </c>
      <c r="AO560" s="22">
        <f t="shared" si="448"/>
        <v>17</v>
      </c>
      <c r="AP560" s="22" t="str">
        <f t="shared" si="449"/>
        <v>X</v>
      </c>
      <c r="AQ560" s="22" t="str">
        <f t="shared" si="450"/>
        <v>X</v>
      </c>
      <c r="AR560" s="22" t="str">
        <f t="shared" si="451"/>
        <v>X</v>
      </c>
      <c r="AS560" s="22" t="str">
        <f t="shared" si="452"/>
        <v>X</v>
      </c>
      <c r="AT560" s="22" t="str">
        <f t="shared" si="453"/>
        <v>X</v>
      </c>
      <c r="AU560" s="22" t="str">
        <f t="shared" si="454"/>
        <v>X</v>
      </c>
      <c r="AV560" s="22" t="str">
        <f t="shared" si="455"/>
        <v>X</v>
      </c>
      <c r="AW560" s="22" t="str">
        <f t="shared" si="456"/>
        <v>X</v>
      </c>
      <c r="AX560" s="22" t="str">
        <f t="shared" si="457"/>
        <v>O</v>
      </c>
      <c r="AY560" s="22" t="str">
        <f t="shared" si="458"/>
        <v>X</v>
      </c>
      <c r="AZ560" s="22" t="str">
        <f t="shared" si="459"/>
        <v>X</v>
      </c>
      <c r="BA560" s="22" t="str">
        <f t="shared" si="460"/>
        <v>X</v>
      </c>
      <c r="BB560" s="22">
        <f t="shared" si="461"/>
        <v>1</v>
      </c>
      <c r="BC560" s="22" t="str">
        <f t="shared" si="469"/>
        <v>1G</v>
      </c>
      <c r="BD560" s="22" t="str">
        <f t="shared" si="469"/>
        <v>2G</v>
      </c>
      <c r="BE560" s="22" t="str">
        <f t="shared" si="469"/>
        <v>2G</v>
      </c>
      <c r="BF560" s="22" t="str">
        <f t="shared" si="469"/>
        <v>2G</v>
      </c>
      <c r="BG560" s="22" t="str">
        <f t="shared" si="469"/>
        <v>2G</v>
      </c>
      <c r="BH560" s="22" t="str">
        <f t="shared" si="469"/>
        <v>3G</v>
      </c>
      <c r="BI560" s="22">
        <f t="shared" si="416"/>
        <v>1</v>
      </c>
      <c r="BJ560" s="22">
        <f t="shared" si="417"/>
        <v>4</v>
      </c>
      <c r="BK560" s="22">
        <f t="shared" si="418"/>
        <v>1</v>
      </c>
      <c r="BL560" s="22" t="str">
        <f t="shared" si="470"/>
        <v>141</v>
      </c>
      <c r="BS560"/>
    </row>
    <row r="561" spans="2:71" ht="17" hidden="1">
      <c r="B561" s="16">
        <v>557</v>
      </c>
      <c r="C561" s="23" t="s">
        <v>900</v>
      </c>
      <c r="N561" s="23">
        <v>4</v>
      </c>
      <c r="O561" s="23">
        <v>20</v>
      </c>
      <c r="P561" s="23">
        <v>26</v>
      </c>
      <c r="Q561" s="23">
        <v>28</v>
      </c>
      <c r="R561" s="23">
        <v>35</v>
      </c>
      <c r="S561" s="23">
        <v>40</v>
      </c>
      <c r="T561" s="23">
        <v>31</v>
      </c>
      <c r="U561" s="23">
        <f t="shared" si="376"/>
        <v>153</v>
      </c>
      <c r="W561" s="22" t="str">
        <f t="shared" si="430"/>
        <v>짝수</v>
      </c>
      <c r="X561" s="22" t="str">
        <f t="shared" si="431"/>
        <v>짝수</v>
      </c>
      <c r="Y561" s="22" t="str">
        <f t="shared" si="432"/>
        <v>짝수</v>
      </c>
      <c r="Z561" s="22" t="str">
        <f t="shared" si="433"/>
        <v>짝수</v>
      </c>
      <c r="AA561" s="23" t="str">
        <f t="shared" si="434"/>
        <v>홀수</v>
      </c>
      <c r="AB561" s="23" t="str">
        <f t="shared" si="435"/>
        <v>짝수</v>
      </c>
      <c r="AC561" s="22" t="str">
        <f t="shared" si="436"/>
        <v>1 : 5</v>
      </c>
      <c r="AD561" s="22">
        <f t="shared" si="437"/>
        <v>1</v>
      </c>
      <c r="AE561" s="22">
        <f t="shared" si="438"/>
        <v>5</v>
      </c>
      <c r="AF561" s="22" t="str">
        <f t="shared" si="439"/>
        <v>저수</v>
      </c>
      <c r="AG561" s="22" t="str">
        <f t="shared" si="440"/>
        <v>저수</v>
      </c>
      <c r="AH561" s="22" t="str">
        <f t="shared" si="441"/>
        <v>고수</v>
      </c>
      <c r="AI561" s="22" t="str">
        <f t="shared" si="442"/>
        <v>고수</v>
      </c>
      <c r="AJ561" s="22" t="str">
        <f t="shared" si="443"/>
        <v>고수</v>
      </c>
      <c r="AK561" s="22" t="str">
        <f t="shared" si="444"/>
        <v>고수</v>
      </c>
      <c r="AL561" s="22" t="str">
        <f t="shared" si="445"/>
        <v>2 : 4</v>
      </c>
      <c r="AM561" s="22">
        <f t="shared" si="446"/>
        <v>2</v>
      </c>
      <c r="AN561" s="22">
        <f t="shared" si="447"/>
        <v>4</v>
      </c>
      <c r="AO561" s="22">
        <f t="shared" si="448"/>
        <v>23</v>
      </c>
      <c r="AP561" s="22" t="str">
        <f t="shared" si="449"/>
        <v>X</v>
      </c>
      <c r="AQ561" s="22" t="str">
        <f t="shared" si="450"/>
        <v>X</v>
      </c>
      <c r="AR561" s="22" t="str">
        <f t="shared" si="451"/>
        <v>X</v>
      </c>
      <c r="AS561" s="22" t="str">
        <f t="shared" si="452"/>
        <v>X</v>
      </c>
      <c r="AT561" s="22" t="str">
        <f t="shared" si="453"/>
        <v>X</v>
      </c>
      <c r="AU561" s="22" t="str">
        <f t="shared" si="454"/>
        <v>X</v>
      </c>
      <c r="AV561" s="22" t="str">
        <f t="shared" si="455"/>
        <v>X</v>
      </c>
      <c r="AW561" s="22" t="str">
        <f t="shared" si="456"/>
        <v>X</v>
      </c>
      <c r="AX561" s="22" t="str">
        <f t="shared" si="457"/>
        <v>X</v>
      </c>
      <c r="AY561" s="22" t="str">
        <f t="shared" si="458"/>
        <v>X</v>
      </c>
      <c r="AZ561" s="22" t="str">
        <f t="shared" si="459"/>
        <v>X</v>
      </c>
      <c r="BA561" s="22" t="str">
        <f t="shared" si="460"/>
        <v>X</v>
      </c>
      <c r="BB561" s="22">
        <f t="shared" si="461"/>
        <v>0</v>
      </c>
      <c r="BC561" s="22" t="str">
        <f t="shared" si="469"/>
        <v>1G</v>
      </c>
      <c r="BD561" s="22" t="str">
        <f t="shared" si="469"/>
        <v>2G</v>
      </c>
      <c r="BE561" s="22" t="str">
        <f t="shared" si="469"/>
        <v>2G</v>
      </c>
      <c r="BF561" s="22" t="str">
        <f t="shared" si="469"/>
        <v>2G</v>
      </c>
      <c r="BG561" s="22" t="str">
        <f t="shared" si="469"/>
        <v>3G</v>
      </c>
      <c r="BH561" s="22" t="str">
        <f t="shared" si="469"/>
        <v>3G</v>
      </c>
      <c r="BI561" s="22">
        <f t="shared" si="416"/>
        <v>1</v>
      </c>
      <c r="BJ561" s="22">
        <f t="shared" si="417"/>
        <v>3</v>
      </c>
      <c r="BK561" s="22">
        <f t="shared" si="418"/>
        <v>2</v>
      </c>
      <c r="BL561" s="22" t="str">
        <f t="shared" si="470"/>
        <v>132</v>
      </c>
      <c r="BS561"/>
    </row>
    <row r="562" spans="2:71" ht="17" hidden="1">
      <c r="B562" s="16">
        <v>558</v>
      </c>
      <c r="C562" s="23" t="s">
        <v>901</v>
      </c>
      <c r="N562" s="23">
        <v>12</v>
      </c>
      <c r="O562" s="23">
        <v>15</v>
      </c>
      <c r="P562" s="23">
        <v>19</v>
      </c>
      <c r="Q562" s="23">
        <v>26</v>
      </c>
      <c r="R562" s="23">
        <v>40</v>
      </c>
      <c r="S562" s="23">
        <v>43</v>
      </c>
      <c r="T562" s="23">
        <v>29</v>
      </c>
      <c r="U562" s="23">
        <f t="shared" si="376"/>
        <v>155</v>
      </c>
      <c r="W562" s="22" t="str">
        <f t="shared" si="430"/>
        <v>짝수</v>
      </c>
      <c r="X562" s="22" t="str">
        <f t="shared" si="431"/>
        <v>홀수</v>
      </c>
      <c r="Y562" s="22" t="str">
        <f t="shared" si="432"/>
        <v>홀수</v>
      </c>
      <c r="Z562" s="22" t="str">
        <f t="shared" si="433"/>
        <v>짝수</v>
      </c>
      <c r="AA562" s="23" t="str">
        <f t="shared" si="434"/>
        <v>짝수</v>
      </c>
      <c r="AB562" s="23" t="str">
        <f t="shared" si="435"/>
        <v>홀수</v>
      </c>
      <c r="AC562" s="22" t="str">
        <f t="shared" si="436"/>
        <v>3 : 3</v>
      </c>
      <c r="AD562" s="22">
        <f t="shared" si="437"/>
        <v>3</v>
      </c>
      <c r="AE562" s="22">
        <f t="shared" si="438"/>
        <v>3</v>
      </c>
      <c r="AF562" s="22" t="str">
        <f t="shared" si="439"/>
        <v>저수</v>
      </c>
      <c r="AG562" s="22" t="str">
        <f t="shared" si="440"/>
        <v>저수</v>
      </c>
      <c r="AH562" s="22" t="str">
        <f t="shared" si="441"/>
        <v>저수</v>
      </c>
      <c r="AI562" s="22" t="str">
        <f t="shared" si="442"/>
        <v>고수</v>
      </c>
      <c r="AJ562" s="22" t="str">
        <f t="shared" si="443"/>
        <v>고수</v>
      </c>
      <c r="AK562" s="22" t="str">
        <f t="shared" si="444"/>
        <v>고수</v>
      </c>
      <c r="AL562" s="22" t="str">
        <f t="shared" si="445"/>
        <v>3 : 3</v>
      </c>
      <c r="AM562" s="22">
        <f t="shared" si="446"/>
        <v>3</v>
      </c>
      <c r="AN562" s="22">
        <f t="shared" si="447"/>
        <v>3</v>
      </c>
      <c r="AO562" s="22">
        <f t="shared" si="448"/>
        <v>25</v>
      </c>
      <c r="AP562" s="22" t="str">
        <f t="shared" si="449"/>
        <v>X</v>
      </c>
      <c r="AQ562" s="22" t="str">
        <f t="shared" si="450"/>
        <v>X</v>
      </c>
      <c r="AR562" s="22" t="str">
        <f t="shared" si="451"/>
        <v>O</v>
      </c>
      <c r="AS562" s="22" t="str">
        <f t="shared" si="452"/>
        <v>X</v>
      </c>
      <c r="AT562" s="22" t="str">
        <f t="shared" si="453"/>
        <v>X</v>
      </c>
      <c r="AU562" s="22" t="str">
        <f t="shared" si="454"/>
        <v>X</v>
      </c>
      <c r="AV562" s="22" t="str">
        <f t="shared" si="455"/>
        <v>X</v>
      </c>
      <c r="AW562" s="22" t="str">
        <f t="shared" si="456"/>
        <v>X</v>
      </c>
      <c r="AX562" s="22" t="str">
        <f t="shared" si="457"/>
        <v>X</v>
      </c>
      <c r="AY562" s="22" t="str">
        <f t="shared" si="458"/>
        <v>X</v>
      </c>
      <c r="AZ562" s="22" t="str">
        <f t="shared" si="459"/>
        <v>X</v>
      </c>
      <c r="BA562" s="22" t="str">
        <f t="shared" si="460"/>
        <v>O</v>
      </c>
      <c r="BB562" s="22">
        <f t="shared" si="461"/>
        <v>2</v>
      </c>
      <c r="BC562" s="22" t="str">
        <f t="shared" si="469"/>
        <v>1G</v>
      </c>
      <c r="BD562" s="22" t="str">
        <f t="shared" si="469"/>
        <v>1G</v>
      </c>
      <c r="BE562" s="22" t="str">
        <f t="shared" si="469"/>
        <v>2G</v>
      </c>
      <c r="BF562" s="22" t="str">
        <f t="shared" si="469"/>
        <v>2G</v>
      </c>
      <c r="BG562" s="22" t="str">
        <f t="shared" si="469"/>
        <v>3G</v>
      </c>
      <c r="BH562" s="22" t="str">
        <f t="shared" si="469"/>
        <v>3G</v>
      </c>
      <c r="BI562" s="22">
        <f t="shared" si="416"/>
        <v>2</v>
      </c>
      <c r="BJ562" s="22">
        <f t="shared" si="417"/>
        <v>2</v>
      </c>
      <c r="BK562" s="22">
        <f t="shared" si="418"/>
        <v>2</v>
      </c>
      <c r="BL562" s="22" t="str">
        <f t="shared" si="470"/>
        <v>222</v>
      </c>
      <c r="BS562"/>
    </row>
    <row r="563" spans="2:71" ht="17" hidden="1">
      <c r="B563" s="16">
        <v>559</v>
      </c>
      <c r="C563" s="23" t="s">
        <v>902</v>
      </c>
      <c r="N563" s="23">
        <v>11</v>
      </c>
      <c r="O563" s="23">
        <v>12</v>
      </c>
      <c r="P563" s="23">
        <v>25</v>
      </c>
      <c r="Q563" s="23">
        <v>32</v>
      </c>
      <c r="R563" s="23">
        <v>44</v>
      </c>
      <c r="S563" s="23">
        <v>45</v>
      </c>
      <c r="T563" s="23">
        <v>23</v>
      </c>
      <c r="U563" s="23">
        <f t="shared" si="376"/>
        <v>169</v>
      </c>
      <c r="W563" s="22" t="str">
        <f t="shared" si="430"/>
        <v>홀수</v>
      </c>
      <c r="X563" s="22" t="str">
        <f t="shared" si="431"/>
        <v>짝수</v>
      </c>
      <c r="Y563" s="22" t="str">
        <f t="shared" si="432"/>
        <v>홀수</v>
      </c>
      <c r="Z563" s="22" t="str">
        <f t="shared" si="433"/>
        <v>짝수</v>
      </c>
      <c r="AA563" s="23" t="str">
        <f t="shared" si="434"/>
        <v>짝수</v>
      </c>
      <c r="AB563" s="23" t="str">
        <f t="shared" si="435"/>
        <v>홀수</v>
      </c>
      <c r="AC563" s="22" t="str">
        <f t="shared" si="436"/>
        <v>3 : 3</v>
      </c>
      <c r="AD563" s="22">
        <f t="shared" si="437"/>
        <v>3</v>
      </c>
      <c r="AE563" s="22">
        <f t="shared" si="438"/>
        <v>3</v>
      </c>
      <c r="AF563" s="22" t="str">
        <f t="shared" si="439"/>
        <v>저수</v>
      </c>
      <c r="AG563" s="22" t="str">
        <f t="shared" si="440"/>
        <v>저수</v>
      </c>
      <c r="AH563" s="22" t="str">
        <f t="shared" si="441"/>
        <v>고수</v>
      </c>
      <c r="AI563" s="22" t="str">
        <f t="shared" si="442"/>
        <v>고수</v>
      </c>
      <c r="AJ563" s="22" t="str">
        <f t="shared" si="443"/>
        <v>고수</v>
      </c>
      <c r="AK563" s="22" t="str">
        <f t="shared" si="444"/>
        <v>고수</v>
      </c>
      <c r="AL563" s="22" t="str">
        <f t="shared" si="445"/>
        <v>2 : 4</v>
      </c>
      <c r="AM563" s="22">
        <f t="shared" si="446"/>
        <v>2</v>
      </c>
      <c r="AN563" s="22">
        <f t="shared" si="447"/>
        <v>4</v>
      </c>
      <c r="AO563" s="22">
        <f t="shared" si="448"/>
        <v>19</v>
      </c>
      <c r="AP563" s="22" t="str">
        <f t="shared" si="449"/>
        <v>O</v>
      </c>
      <c r="AQ563" s="22" t="str">
        <f t="shared" si="450"/>
        <v>X</v>
      </c>
      <c r="AR563" s="22" t="str">
        <f t="shared" si="451"/>
        <v>X</v>
      </c>
      <c r="AS563" s="22" t="str">
        <f t="shared" si="452"/>
        <v>X</v>
      </c>
      <c r="AT563" s="22" t="str">
        <f t="shared" si="453"/>
        <v>X</v>
      </c>
      <c r="AU563" s="22" t="str">
        <f t="shared" si="454"/>
        <v>X</v>
      </c>
      <c r="AV563" s="22" t="str">
        <f t="shared" si="455"/>
        <v>X</v>
      </c>
      <c r="AW563" s="22" t="str">
        <f t="shared" si="456"/>
        <v>X</v>
      </c>
      <c r="AX563" s="22" t="str">
        <f t="shared" si="457"/>
        <v>X</v>
      </c>
      <c r="AY563" s="22" t="str">
        <f t="shared" si="458"/>
        <v>X</v>
      </c>
      <c r="AZ563" s="22" t="str">
        <f t="shared" si="459"/>
        <v>X</v>
      </c>
      <c r="BA563" s="22" t="str">
        <f t="shared" si="460"/>
        <v>X</v>
      </c>
      <c r="BB563" s="22">
        <f t="shared" si="461"/>
        <v>1</v>
      </c>
      <c r="BC563" s="22" t="str">
        <f t="shared" si="469"/>
        <v>1G</v>
      </c>
      <c r="BD563" s="22" t="str">
        <f t="shared" si="469"/>
        <v>1G</v>
      </c>
      <c r="BE563" s="22" t="str">
        <f t="shared" si="469"/>
        <v>2G</v>
      </c>
      <c r="BF563" s="22" t="str">
        <f t="shared" si="469"/>
        <v>3G</v>
      </c>
      <c r="BG563" s="22" t="str">
        <f t="shared" si="469"/>
        <v>3G</v>
      </c>
      <c r="BH563" s="22" t="str">
        <f t="shared" si="469"/>
        <v>3G</v>
      </c>
      <c r="BI563" s="22">
        <f t="shared" si="416"/>
        <v>2</v>
      </c>
      <c r="BJ563" s="22">
        <f t="shared" si="417"/>
        <v>1</v>
      </c>
      <c r="BK563" s="22">
        <f t="shared" si="418"/>
        <v>3</v>
      </c>
      <c r="BL563" s="22" t="str">
        <f t="shared" si="470"/>
        <v>213</v>
      </c>
      <c r="BS563"/>
    </row>
    <row r="564" spans="2:71" ht="17" hidden="1">
      <c r="B564" s="16">
        <v>560</v>
      </c>
      <c r="C564" s="23" t="s">
        <v>909</v>
      </c>
      <c r="N564" s="23">
        <v>1</v>
      </c>
      <c r="O564" s="23">
        <v>4</v>
      </c>
      <c r="P564" s="23">
        <v>20</v>
      </c>
      <c r="Q564" s="23">
        <v>23</v>
      </c>
      <c r="R564" s="23">
        <v>29</v>
      </c>
      <c r="S564" s="23">
        <v>45</v>
      </c>
      <c r="T564" s="23">
        <v>28</v>
      </c>
      <c r="U564" s="23">
        <f t="shared" si="376"/>
        <v>122</v>
      </c>
      <c r="W564" s="22" t="str">
        <f t="shared" si="430"/>
        <v>홀수</v>
      </c>
      <c r="X564" s="22" t="str">
        <f t="shared" si="431"/>
        <v>짝수</v>
      </c>
      <c r="Y564" s="22" t="str">
        <f t="shared" si="432"/>
        <v>짝수</v>
      </c>
      <c r="Z564" s="22" t="str">
        <f t="shared" si="433"/>
        <v>홀수</v>
      </c>
      <c r="AA564" s="23" t="str">
        <f t="shared" si="434"/>
        <v>홀수</v>
      </c>
      <c r="AB564" s="23" t="str">
        <f t="shared" si="435"/>
        <v>홀수</v>
      </c>
      <c r="AC564" s="22" t="str">
        <f t="shared" si="436"/>
        <v>4 : 2</v>
      </c>
      <c r="AD564" s="22">
        <f t="shared" si="437"/>
        <v>4</v>
      </c>
      <c r="AE564" s="22">
        <f t="shared" si="438"/>
        <v>2</v>
      </c>
      <c r="AF564" s="22" t="str">
        <f t="shared" si="439"/>
        <v>저수</v>
      </c>
      <c r="AG564" s="22" t="str">
        <f t="shared" si="440"/>
        <v>저수</v>
      </c>
      <c r="AH564" s="22" t="str">
        <f t="shared" si="441"/>
        <v>저수</v>
      </c>
      <c r="AI564" s="22" t="str">
        <f t="shared" si="442"/>
        <v>고수</v>
      </c>
      <c r="AJ564" s="22" t="str">
        <f t="shared" si="443"/>
        <v>고수</v>
      </c>
      <c r="AK564" s="22" t="str">
        <f t="shared" si="444"/>
        <v>고수</v>
      </c>
      <c r="AL564" s="22" t="str">
        <f t="shared" si="445"/>
        <v>3 : 3</v>
      </c>
      <c r="AM564" s="22">
        <f t="shared" si="446"/>
        <v>3</v>
      </c>
      <c r="AN564" s="22">
        <f t="shared" si="447"/>
        <v>3</v>
      </c>
      <c r="AO564" s="22">
        <f t="shared" si="448"/>
        <v>22</v>
      </c>
      <c r="AP564" s="22" t="str">
        <f t="shared" si="449"/>
        <v>X</v>
      </c>
      <c r="AQ564" s="22" t="str">
        <f t="shared" si="450"/>
        <v>X</v>
      </c>
      <c r="AR564" s="22" t="str">
        <f t="shared" si="451"/>
        <v>X</v>
      </c>
      <c r="AS564" s="22" t="str">
        <f t="shared" si="452"/>
        <v>X</v>
      </c>
      <c r="AT564" s="22" t="str">
        <f t="shared" si="453"/>
        <v>X</v>
      </c>
      <c r="AU564" s="22" t="str">
        <f t="shared" si="454"/>
        <v>X</v>
      </c>
      <c r="AV564" s="22" t="str">
        <f t="shared" si="455"/>
        <v>X</v>
      </c>
      <c r="AW564" s="22" t="str">
        <f t="shared" si="456"/>
        <v>X</v>
      </c>
      <c r="AX564" s="22" t="str">
        <f t="shared" si="457"/>
        <v>X</v>
      </c>
      <c r="AY564" s="22" t="str">
        <f t="shared" si="458"/>
        <v>O</v>
      </c>
      <c r="AZ564" s="22" t="str">
        <f t="shared" si="459"/>
        <v>O</v>
      </c>
      <c r="BA564" s="22" t="str">
        <f t="shared" si="460"/>
        <v>X</v>
      </c>
      <c r="BB564" s="22">
        <f t="shared" si="461"/>
        <v>2</v>
      </c>
      <c r="BC564" s="22" t="str">
        <f t="shared" ref="BC564:BH569" si="471">VLOOKUP(N564,삼그룹,6,FALSE)</f>
        <v>1G</v>
      </c>
      <c r="BD564" s="22" t="str">
        <f t="shared" si="471"/>
        <v>1G</v>
      </c>
      <c r="BE564" s="22" t="str">
        <f t="shared" si="471"/>
        <v>2G</v>
      </c>
      <c r="BF564" s="22" t="str">
        <f t="shared" si="471"/>
        <v>2G</v>
      </c>
      <c r="BG564" s="22" t="str">
        <f t="shared" si="471"/>
        <v>2G</v>
      </c>
      <c r="BH564" s="22" t="str">
        <f t="shared" si="471"/>
        <v>3G</v>
      </c>
      <c r="BI564" s="22">
        <f t="shared" si="416"/>
        <v>2</v>
      </c>
      <c r="BJ564" s="22">
        <f t="shared" si="417"/>
        <v>3</v>
      </c>
      <c r="BK564" s="22">
        <f t="shared" si="418"/>
        <v>1</v>
      </c>
      <c r="BL564" s="22" t="str">
        <f t="shared" si="470"/>
        <v>231</v>
      </c>
      <c r="BS564"/>
    </row>
    <row r="565" spans="2:71" ht="17" hidden="1">
      <c r="B565" s="16">
        <v>561</v>
      </c>
      <c r="C565" s="23" t="s">
        <v>910</v>
      </c>
      <c r="N565" s="23">
        <v>5</v>
      </c>
      <c r="O565" s="23">
        <v>7</v>
      </c>
      <c r="P565" s="23">
        <v>18</v>
      </c>
      <c r="Q565" s="23">
        <v>37</v>
      </c>
      <c r="R565" s="23">
        <v>42</v>
      </c>
      <c r="S565" s="23">
        <v>45</v>
      </c>
      <c r="T565" s="23">
        <v>20</v>
      </c>
      <c r="U565" s="23">
        <f t="shared" si="376"/>
        <v>154</v>
      </c>
      <c r="W565" s="22" t="str">
        <f t="shared" si="430"/>
        <v>홀수</v>
      </c>
      <c r="X565" s="22" t="str">
        <f t="shared" si="431"/>
        <v>홀수</v>
      </c>
      <c r="Y565" s="22" t="str">
        <f t="shared" si="432"/>
        <v>짝수</v>
      </c>
      <c r="Z565" s="22" t="str">
        <f t="shared" si="433"/>
        <v>홀수</v>
      </c>
      <c r="AA565" s="23" t="str">
        <f t="shared" si="434"/>
        <v>짝수</v>
      </c>
      <c r="AB565" s="23" t="str">
        <f t="shared" si="435"/>
        <v>홀수</v>
      </c>
      <c r="AC565" s="22" t="str">
        <f t="shared" si="436"/>
        <v>4 : 2</v>
      </c>
      <c r="AD565" s="22">
        <f t="shared" si="437"/>
        <v>4</v>
      </c>
      <c r="AE565" s="22">
        <f t="shared" si="438"/>
        <v>2</v>
      </c>
      <c r="AF565" s="22" t="str">
        <f t="shared" si="439"/>
        <v>저수</v>
      </c>
      <c r="AG565" s="22" t="str">
        <f t="shared" si="440"/>
        <v>저수</v>
      </c>
      <c r="AH565" s="22" t="str">
        <f t="shared" si="441"/>
        <v>저수</v>
      </c>
      <c r="AI565" s="22" t="str">
        <f t="shared" si="442"/>
        <v>고수</v>
      </c>
      <c r="AJ565" s="22" t="str">
        <f t="shared" si="443"/>
        <v>고수</v>
      </c>
      <c r="AK565" s="22" t="str">
        <f t="shared" si="444"/>
        <v>고수</v>
      </c>
      <c r="AL565" s="22" t="str">
        <f t="shared" si="445"/>
        <v>3 : 3</v>
      </c>
      <c r="AM565" s="22">
        <f t="shared" si="446"/>
        <v>3</v>
      </c>
      <c r="AN565" s="22">
        <f t="shared" si="447"/>
        <v>3</v>
      </c>
      <c r="AO565" s="22">
        <f t="shared" si="448"/>
        <v>34</v>
      </c>
      <c r="AP565" s="22" t="str">
        <f t="shared" si="449"/>
        <v>O</v>
      </c>
      <c r="AQ565" s="22" t="str">
        <f t="shared" si="450"/>
        <v>O</v>
      </c>
      <c r="AR565" s="22" t="str">
        <f t="shared" si="451"/>
        <v>X</v>
      </c>
      <c r="AS565" s="22" t="str">
        <f t="shared" si="452"/>
        <v>X</v>
      </c>
      <c r="AT565" s="22" t="str">
        <f t="shared" si="453"/>
        <v>X</v>
      </c>
      <c r="AU565" s="22" t="str">
        <f t="shared" si="454"/>
        <v>X</v>
      </c>
      <c r="AV565" s="22" t="str">
        <f t="shared" si="455"/>
        <v>X</v>
      </c>
      <c r="AW565" s="22" t="str">
        <f t="shared" si="456"/>
        <v>X</v>
      </c>
      <c r="AX565" s="22" t="str">
        <f t="shared" si="457"/>
        <v>X</v>
      </c>
      <c r="AY565" s="22" t="str">
        <f t="shared" si="458"/>
        <v>O</v>
      </c>
      <c r="AZ565" s="22" t="str">
        <f t="shared" si="459"/>
        <v>X</v>
      </c>
      <c r="BA565" s="22" t="str">
        <f t="shared" si="460"/>
        <v>X</v>
      </c>
      <c r="BB565" s="22">
        <f t="shared" si="461"/>
        <v>3</v>
      </c>
      <c r="BC565" s="22" t="str">
        <f t="shared" si="471"/>
        <v>1G</v>
      </c>
      <c r="BD565" s="22" t="str">
        <f t="shared" si="471"/>
        <v>1G</v>
      </c>
      <c r="BE565" s="22" t="str">
        <f t="shared" si="471"/>
        <v>2G</v>
      </c>
      <c r="BF565" s="22" t="str">
        <f t="shared" si="471"/>
        <v>3G</v>
      </c>
      <c r="BG565" s="22" t="str">
        <f t="shared" si="471"/>
        <v>3G</v>
      </c>
      <c r="BH565" s="22" t="str">
        <f t="shared" si="471"/>
        <v>3G</v>
      </c>
      <c r="BI565" s="22">
        <f t="shared" si="416"/>
        <v>2</v>
      </c>
      <c r="BJ565" s="22">
        <f t="shared" si="417"/>
        <v>1</v>
      </c>
      <c r="BK565" s="22">
        <f t="shared" si="418"/>
        <v>3</v>
      </c>
      <c r="BL565" s="22" t="str">
        <f t="shared" ref="BL565:BL570" si="472">BI565&amp;BJ565&amp;BK565</f>
        <v>213</v>
      </c>
      <c r="BS565"/>
    </row>
    <row r="566" spans="2:71" ht="17" hidden="1">
      <c r="B566" s="16">
        <v>562</v>
      </c>
      <c r="C566" s="23" t="s">
        <v>911</v>
      </c>
      <c r="N566" s="23">
        <v>4</v>
      </c>
      <c r="O566" s="23">
        <v>11</v>
      </c>
      <c r="P566" s="23">
        <v>13</v>
      </c>
      <c r="Q566" s="23">
        <v>17</v>
      </c>
      <c r="R566" s="23">
        <v>20</v>
      </c>
      <c r="S566" s="23">
        <v>31</v>
      </c>
      <c r="T566" s="23">
        <v>33</v>
      </c>
      <c r="U566" s="23">
        <f t="shared" si="376"/>
        <v>96</v>
      </c>
      <c r="W566" s="22" t="str">
        <f t="shared" si="430"/>
        <v>짝수</v>
      </c>
      <c r="X566" s="22" t="str">
        <f t="shared" si="431"/>
        <v>홀수</v>
      </c>
      <c r="Y566" s="22" t="str">
        <f t="shared" si="432"/>
        <v>홀수</v>
      </c>
      <c r="Z566" s="22" t="str">
        <f t="shared" si="433"/>
        <v>홀수</v>
      </c>
      <c r="AA566" s="23" t="str">
        <f t="shared" si="434"/>
        <v>짝수</v>
      </c>
      <c r="AB566" s="23" t="str">
        <f t="shared" si="435"/>
        <v>홀수</v>
      </c>
      <c r="AC566" s="22" t="str">
        <f t="shared" si="436"/>
        <v>4 : 2</v>
      </c>
      <c r="AD566" s="22">
        <f t="shared" si="437"/>
        <v>4</v>
      </c>
      <c r="AE566" s="22">
        <f t="shared" si="438"/>
        <v>2</v>
      </c>
      <c r="AF566" s="22" t="str">
        <f t="shared" si="439"/>
        <v>저수</v>
      </c>
      <c r="AG566" s="22" t="str">
        <f t="shared" si="440"/>
        <v>저수</v>
      </c>
      <c r="AH566" s="22" t="str">
        <f t="shared" si="441"/>
        <v>저수</v>
      </c>
      <c r="AI566" s="22" t="str">
        <f t="shared" si="442"/>
        <v>저수</v>
      </c>
      <c r="AJ566" s="22" t="str">
        <f t="shared" si="443"/>
        <v>저수</v>
      </c>
      <c r="AK566" s="22" t="str">
        <f t="shared" si="444"/>
        <v>고수</v>
      </c>
      <c r="AL566" s="22" t="str">
        <f t="shared" si="445"/>
        <v>5 : 1</v>
      </c>
      <c r="AM566" s="22">
        <f t="shared" si="446"/>
        <v>5</v>
      </c>
      <c r="AN566" s="22">
        <f t="shared" si="447"/>
        <v>1</v>
      </c>
      <c r="AO566" s="22">
        <f t="shared" si="448"/>
        <v>16</v>
      </c>
      <c r="AP566" s="22" t="str">
        <f t="shared" si="449"/>
        <v>X</v>
      </c>
      <c r="AQ566" s="22" t="str">
        <f t="shared" si="450"/>
        <v>O</v>
      </c>
      <c r="AR566" s="22" t="str">
        <f t="shared" si="451"/>
        <v>O</v>
      </c>
      <c r="AS566" s="22" t="str">
        <f t="shared" si="452"/>
        <v>O</v>
      </c>
      <c r="AT566" s="22" t="str">
        <f t="shared" si="453"/>
        <v>X</v>
      </c>
      <c r="AU566" s="22" t="str">
        <f t="shared" si="454"/>
        <v>X</v>
      </c>
      <c r="AV566" s="22" t="str">
        <f t="shared" si="455"/>
        <v>X</v>
      </c>
      <c r="AW566" s="22" t="str">
        <f t="shared" si="456"/>
        <v>X</v>
      </c>
      <c r="AX566" s="22" t="str">
        <f t="shared" si="457"/>
        <v>X</v>
      </c>
      <c r="AY566" s="22" t="str">
        <f t="shared" si="458"/>
        <v>X</v>
      </c>
      <c r="AZ566" s="22" t="str">
        <f t="shared" si="459"/>
        <v>X</v>
      </c>
      <c r="BA566" s="22" t="str">
        <f t="shared" si="460"/>
        <v>O</v>
      </c>
      <c r="BB566" s="22">
        <f t="shared" si="461"/>
        <v>4</v>
      </c>
      <c r="BC566" s="22" t="str">
        <f t="shared" si="471"/>
        <v>1G</v>
      </c>
      <c r="BD566" s="22" t="str">
        <f t="shared" si="471"/>
        <v>1G</v>
      </c>
      <c r="BE566" s="22" t="str">
        <f t="shared" si="471"/>
        <v>1G</v>
      </c>
      <c r="BF566" s="22" t="str">
        <f t="shared" si="471"/>
        <v>2G</v>
      </c>
      <c r="BG566" s="22" t="str">
        <f t="shared" si="471"/>
        <v>2G</v>
      </c>
      <c r="BH566" s="22" t="str">
        <f t="shared" si="471"/>
        <v>3G</v>
      </c>
      <c r="BI566" s="22">
        <f t="shared" si="416"/>
        <v>3</v>
      </c>
      <c r="BJ566" s="22">
        <f t="shared" si="417"/>
        <v>2</v>
      </c>
      <c r="BK566" s="22">
        <f t="shared" si="418"/>
        <v>1</v>
      </c>
      <c r="BL566" s="22" t="str">
        <f t="shared" si="472"/>
        <v>321</v>
      </c>
      <c r="BS566"/>
    </row>
    <row r="567" spans="2:71" ht="17" hidden="1">
      <c r="B567" s="16">
        <v>563</v>
      </c>
      <c r="C567" s="23" t="s">
        <v>912</v>
      </c>
      <c r="N567" s="23">
        <v>5</v>
      </c>
      <c r="O567" s="23">
        <v>10</v>
      </c>
      <c r="P567" s="23">
        <v>16</v>
      </c>
      <c r="Q567" s="23">
        <v>17</v>
      </c>
      <c r="R567" s="23">
        <v>31</v>
      </c>
      <c r="S567" s="23">
        <v>32</v>
      </c>
      <c r="T567" s="23">
        <v>21</v>
      </c>
      <c r="U567" s="23">
        <f t="shared" si="376"/>
        <v>111</v>
      </c>
      <c r="W567" s="22" t="str">
        <f t="shared" si="430"/>
        <v>홀수</v>
      </c>
      <c r="X567" s="22" t="str">
        <f t="shared" si="431"/>
        <v>짝수</v>
      </c>
      <c r="Y567" s="22" t="str">
        <f t="shared" si="432"/>
        <v>짝수</v>
      </c>
      <c r="Z567" s="22" t="str">
        <f t="shared" si="433"/>
        <v>홀수</v>
      </c>
      <c r="AA567" s="23" t="str">
        <f t="shared" si="434"/>
        <v>홀수</v>
      </c>
      <c r="AB567" s="23" t="str">
        <f t="shared" si="435"/>
        <v>짝수</v>
      </c>
      <c r="AC567" s="22" t="str">
        <f t="shared" si="436"/>
        <v>3 : 3</v>
      </c>
      <c r="AD567" s="22">
        <f t="shared" si="437"/>
        <v>3</v>
      </c>
      <c r="AE567" s="22">
        <f t="shared" si="438"/>
        <v>3</v>
      </c>
      <c r="AF567" s="22" t="str">
        <f t="shared" si="439"/>
        <v>저수</v>
      </c>
      <c r="AG567" s="22" t="str">
        <f t="shared" si="440"/>
        <v>저수</v>
      </c>
      <c r="AH567" s="22" t="str">
        <f t="shared" si="441"/>
        <v>저수</v>
      </c>
      <c r="AI567" s="22" t="str">
        <f t="shared" si="442"/>
        <v>저수</v>
      </c>
      <c r="AJ567" s="22" t="str">
        <f t="shared" si="443"/>
        <v>고수</v>
      </c>
      <c r="AK567" s="22" t="str">
        <f t="shared" si="444"/>
        <v>고수</v>
      </c>
      <c r="AL567" s="22" t="str">
        <f t="shared" si="445"/>
        <v>4 : 2</v>
      </c>
      <c r="AM567" s="22">
        <f t="shared" si="446"/>
        <v>4</v>
      </c>
      <c r="AN567" s="22">
        <f t="shared" si="447"/>
        <v>2</v>
      </c>
      <c r="AO567" s="22">
        <f t="shared" si="448"/>
        <v>21</v>
      </c>
      <c r="AP567" s="22" t="str">
        <f t="shared" si="449"/>
        <v>O</v>
      </c>
      <c r="AQ567" s="22" t="str">
        <f t="shared" si="450"/>
        <v>X</v>
      </c>
      <c r="AR567" s="22" t="str">
        <f t="shared" si="451"/>
        <v>X</v>
      </c>
      <c r="AS567" s="22" t="str">
        <f t="shared" si="452"/>
        <v>O</v>
      </c>
      <c r="AT567" s="22" t="str">
        <f t="shared" si="453"/>
        <v>X</v>
      </c>
      <c r="AU567" s="22" t="str">
        <f t="shared" si="454"/>
        <v>X</v>
      </c>
      <c r="AV567" s="22" t="str">
        <f t="shared" si="455"/>
        <v>X</v>
      </c>
      <c r="AW567" s="22" t="str">
        <f t="shared" si="456"/>
        <v>X</v>
      </c>
      <c r="AX567" s="22" t="str">
        <f t="shared" si="457"/>
        <v>X</v>
      </c>
      <c r="AY567" s="22" t="str">
        <f t="shared" si="458"/>
        <v>X</v>
      </c>
      <c r="AZ567" s="22" t="str">
        <f t="shared" si="459"/>
        <v>O</v>
      </c>
      <c r="BA567" s="22" t="str">
        <f t="shared" si="460"/>
        <v>X</v>
      </c>
      <c r="BB567" s="22">
        <f t="shared" si="461"/>
        <v>3</v>
      </c>
      <c r="BC567" s="22" t="str">
        <f t="shared" si="471"/>
        <v>1G</v>
      </c>
      <c r="BD567" s="22" t="str">
        <f t="shared" si="471"/>
        <v>1G</v>
      </c>
      <c r="BE567" s="22" t="str">
        <f t="shared" si="471"/>
        <v>2G</v>
      </c>
      <c r="BF567" s="22" t="str">
        <f t="shared" si="471"/>
        <v>2G</v>
      </c>
      <c r="BG567" s="22" t="str">
        <f t="shared" si="471"/>
        <v>3G</v>
      </c>
      <c r="BH567" s="22" t="str">
        <f t="shared" si="471"/>
        <v>3G</v>
      </c>
      <c r="BI567" s="22">
        <f t="shared" si="416"/>
        <v>2</v>
      </c>
      <c r="BJ567" s="22">
        <f t="shared" si="417"/>
        <v>2</v>
      </c>
      <c r="BK567" s="22">
        <f t="shared" si="418"/>
        <v>2</v>
      </c>
      <c r="BL567" s="22" t="str">
        <f t="shared" si="472"/>
        <v>222</v>
      </c>
      <c r="BS567"/>
    </row>
    <row r="568" spans="2:71" ht="17" hidden="1">
      <c r="B568" s="16">
        <v>564</v>
      </c>
      <c r="C568" s="23" t="s">
        <v>913</v>
      </c>
      <c r="N568" s="23">
        <v>14</v>
      </c>
      <c r="O568" s="23">
        <v>19</v>
      </c>
      <c r="P568" s="23">
        <v>25</v>
      </c>
      <c r="Q568" s="23">
        <v>26</v>
      </c>
      <c r="R568" s="23">
        <v>27</v>
      </c>
      <c r="S568" s="23">
        <v>34</v>
      </c>
      <c r="T568" s="23">
        <v>2</v>
      </c>
      <c r="U568" s="23">
        <f t="shared" si="376"/>
        <v>145</v>
      </c>
      <c r="W568" s="22" t="str">
        <f t="shared" si="430"/>
        <v>짝수</v>
      </c>
      <c r="X568" s="22" t="str">
        <f t="shared" si="431"/>
        <v>홀수</v>
      </c>
      <c r="Y568" s="22" t="str">
        <f t="shared" si="432"/>
        <v>홀수</v>
      </c>
      <c r="Z568" s="22" t="str">
        <f t="shared" si="433"/>
        <v>짝수</v>
      </c>
      <c r="AA568" s="23" t="str">
        <f t="shared" si="434"/>
        <v>홀수</v>
      </c>
      <c r="AB568" s="23" t="str">
        <f t="shared" si="435"/>
        <v>짝수</v>
      </c>
      <c r="AC568" s="22" t="str">
        <f t="shared" si="436"/>
        <v>3 : 3</v>
      </c>
      <c r="AD568" s="22">
        <f t="shared" si="437"/>
        <v>3</v>
      </c>
      <c r="AE568" s="22">
        <f t="shared" si="438"/>
        <v>3</v>
      </c>
      <c r="AF568" s="22" t="str">
        <f t="shared" si="439"/>
        <v>저수</v>
      </c>
      <c r="AG568" s="22" t="str">
        <f t="shared" si="440"/>
        <v>저수</v>
      </c>
      <c r="AH568" s="22" t="str">
        <f t="shared" si="441"/>
        <v>고수</v>
      </c>
      <c r="AI568" s="22" t="str">
        <f t="shared" si="442"/>
        <v>고수</v>
      </c>
      <c r="AJ568" s="22" t="str">
        <f t="shared" si="443"/>
        <v>고수</v>
      </c>
      <c r="AK568" s="22" t="str">
        <f t="shared" si="444"/>
        <v>고수</v>
      </c>
      <c r="AL568" s="22" t="str">
        <f t="shared" si="445"/>
        <v>2 : 4</v>
      </c>
      <c r="AM568" s="22">
        <f t="shared" si="446"/>
        <v>2</v>
      </c>
      <c r="AN568" s="22">
        <f t="shared" si="447"/>
        <v>4</v>
      </c>
      <c r="AO568" s="22">
        <f t="shared" si="448"/>
        <v>35</v>
      </c>
      <c r="AP568" s="22" t="str">
        <f t="shared" si="449"/>
        <v>X</v>
      </c>
      <c r="AQ568" s="22" t="str">
        <f t="shared" si="450"/>
        <v>O</v>
      </c>
      <c r="AR568" s="22" t="str">
        <f t="shared" si="451"/>
        <v>X</v>
      </c>
      <c r="AS568" s="22" t="str">
        <f t="shared" si="452"/>
        <v>X</v>
      </c>
      <c r="AT568" s="22" t="str">
        <f t="shared" si="453"/>
        <v>X</v>
      </c>
      <c r="AU568" s="22" t="str">
        <f t="shared" si="454"/>
        <v>X</v>
      </c>
      <c r="AV568" s="22" t="str">
        <f t="shared" si="455"/>
        <v>X</v>
      </c>
      <c r="AW568" s="22" t="str">
        <f t="shared" si="456"/>
        <v>X</v>
      </c>
      <c r="AX568" s="22" t="str">
        <f t="shared" si="457"/>
        <v>X</v>
      </c>
      <c r="AY568" s="22" t="str">
        <f t="shared" si="458"/>
        <v>X</v>
      </c>
      <c r="AZ568" s="22" t="str">
        <f t="shared" si="459"/>
        <v>X</v>
      </c>
      <c r="BA568" s="22" t="str">
        <f t="shared" si="460"/>
        <v>X</v>
      </c>
      <c r="BB568" s="22">
        <f t="shared" si="461"/>
        <v>1</v>
      </c>
      <c r="BC568" s="22" t="str">
        <f t="shared" si="471"/>
        <v>1G</v>
      </c>
      <c r="BD568" s="22" t="str">
        <f t="shared" si="471"/>
        <v>2G</v>
      </c>
      <c r="BE568" s="22" t="str">
        <f t="shared" si="471"/>
        <v>2G</v>
      </c>
      <c r="BF568" s="22" t="str">
        <f t="shared" si="471"/>
        <v>2G</v>
      </c>
      <c r="BG568" s="22" t="str">
        <f t="shared" si="471"/>
        <v>2G</v>
      </c>
      <c r="BH568" s="22" t="str">
        <f t="shared" si="471"/>
        <v>3G</v>
      </c>
      <c r="BI568" s="22">
        <f t="shared" si="416"/>
        <v>1</v>
      </c>
      <c r="BJ568" s="22">
        <f t="shared" si="417"/>
        <v>4</v>
      </c>
      <c r="BK568" s="22">
        <f t="shared" si="418"/>
        <v>1</v>
      </c>
      <c r="BL568" s="22" t="str">
        <f t="shared" si="472"/>
        <v>141</v>
      </c>
      <c r="BS568"/>
    </row>
    <row r="569" spans="2:71" ht="17" hidden="1">
      <c r="B569" s="16">
        <v>565</v>
      </c>
      <c r="C569" s="23" t="s">
        <v>914</v>
      </c>
      <c r="N569" s="23">
        <v>4</v>
      </c>
      <c r="O569" s="23">
        <v>10</v>
      </c>
      <c r="P569" s="23">
        <v>18</v>
      </c>
      <c r="Q569" s="23">
        <v>27</v>
      </c>
      <c r="R569" s="23">
        <v>40</v>
      </c>
      <c r="S569" s="23">
        <v>45</v>
      </c>
      <c r="T569" s="23">
        <v>38</v>
      </c>
      <c r="U569" s="23">
        <f t="shared" si="376"/>
        <v>144</v>
      </c>
      <c r="W569" s="22" t="str">
        <f t="shared" si="430"/>
        <v>짝수</v>
      </c>
      <c r="X569" s="22" t="str">
        <f t="shared" si="431"/>
        <v>짝수</v>
      </c>
      <c r="Y569" s="22" t="str">
        <f t="shared" si="432"/>
        <v>짝수</v>
      </c>
      <c r="Z569" s="22" t="str">
        <f t="shared" si="433"/>
        <v>홀수</v>
      </c>
      <c r="AA569" s="23" t="str">
        <f t="shared" si="434"/>
        <v>짝수</v>
      </c>
      <c r="AB569" s="23" t="str">
        <f t="shared" si="435"/>
        <v>홀수</v>
      </c>
      <c r="AC569" s="22" t="str">
        <f t="shared" si="436"/>
        <v>2 : 4</v>
      </c>
      <c r="AD569" s="22">
        <f t="shared" si="437"/>
        <v>2</v>
      </c>
      <c r="AE569" s="22">
        <f t="shared" si="438"/>
        <v>4</v>
      </c>
      <c r="AF569" s="22" t="str">
        <f t="shared" si="439"/>
        <v>저수</v>
      </c>
      <c r="AG569" s="22" t="str">
        <f t="shared" si="440"/>
        <v>저수</v>
      </c>
      <c r="AH569" s="22" t="str">
        <f t="shared" si="441"/>
        <v>저수</v>
      </c>
      <c r="AI569" s="22" t="str">
        <f t="shared" si="442"/>
        <v>고수</v>
      </c>
      <c r="AJ569" s="22" t="str">
        <f t="shared" si="443"/>
        <v>고수</v>
      </c>
      <c r="AK569" s="22" t="str">
        <f t="shared" si="444"/>
        <v>고수</v>
      </c>
      <c r="AL569" s="22" t="str">
        <f t="shared" si="445"/>
        <v>3 : 3</v>
      </c>
      <c r="AM569" s="22">
        <f t="shared" si="446"/>
        <v>3</v>
      </c>
      <c r="AN569" s="22">
        <f t="shared" si="447"/>
        <v>3</v>
      </c>
      <c r="AO569" s="22">
        <f t="shared" si="448"/>
        <v>24</v>
      </c>
      <c r="AP569" s="22" t="str">
        <f t="shared" si="449"/>
        <v>X</v>
      </c>
      <c r="AQ569" s="22" t="str">
        <f t="shared" si="450"/>
        <v>X</v>
      </c>
      <c r="AR569" s="22" t="str">
        <f t="shared" si="451"/>
        <v>X</v>
      </c>
      <c r="AS569" s="22" t="str">
        <f t="shared" si="452"/>
        <v>X</v>
      </c>
      <c r="AT569" s="22" t="str">
        <f t="shared" si="453"/>
        <v>X</v>
      </c>
      <c r="AU569" s="22" t="str">
        <f t="shared" si="454"/>
        <v>X</v>
      </c>
      <c r="AV569" s="22" t="str">
        <f t="shared" si="455"/>
        <v>X</v>
      </c>
      <c r="AW569" s="22" t="str">
        <f t="shared" si="456"/>
        <v>X</v>
      </c>
      <c r="AX569" s="22" t="str">
        <f t="shared" si="457"/>
        <v>X</v>
      </c>
      <c r="AY569" s="22" t="str">
        <f t="shared" si="458"/>
        <v>X</v>
      </c>
      <c r="AZ569" s="22" t="str">
        <f t="shared" si="459"/>
        <v>X</v>
      </c>
      <c r="BA569" s="22" t="str">
        <f t="shared" si="460"/>
        <v>X</v>
      </c>
      <c r="BB569" s="22">
        <f t="shared" si="461"/>
        <v>0</v>
      </c>
      <c r="BC569" s="22" t="str">
        <f t="shared" si="471"/>
        <v>1G</v>
      </c>
      <c r="BD569" s="22" t="str">
        <f t="shared" si="471"/>
        <v>1G</v>
      </c>
      <c r="BE569" s="22" t="str">
        <f t="shared" si="471"/>
        <v>2G</v>
      </c>
      <c r="BF569" s="22" t="str">
        <f t="shared" si="471"/>
        <v>2G</v>
      </c>
      <c r="BG569" s="22" t="str">
        <f t="shared" si="471"/>
        <v>3G</v>
      </c>
      <c r="BH569" s="22" t="str">
        <f t="shared" si="471"/>
        <v>3G</v>
      </c>
      <c r="BI569" s="22">
        <f t="shared" si="416"/>
        <v>2</v>
      </c>
      <c r="BJ569" s="22">
        <f t="shared" si="417"/>
        <v>2</v>
      </c>
      <c r="BK569" s="22">
        <f t="shared" si="418"/>
        <v>2</v>
      </c>
      <c r="BL569" s="22" t="str">
        <f t="shared" si="472"/>
        <v>222</v>
      </c>
      <c r="BS569"/>
    </row>
    <row r="570" spans="2:71" ht="17" hidden="1">
      <c r="B570" s="16">
        <v>566</v>
      </c>
      <c r="C570" s="23" t="s">
        <v>915</v>
      </c>
      <c r="N570" s="23">
        <v>4</v>
      </c>
      <c r="O570" s="23">
        <v>5</v>
      </c>
      <c r="P570" s="23">
        <v>6</v>
      </c>
      <c r="Q570" s="23">
        <v>25</v>
      </c>
      <c r="R570" s="23">
        <v>26</v>
      </c>
      <c r="S570" s="23">
        <v>43</v>
      </c>
      <c r="T570" s="23">
        <v>41</v>
      </c>
      <c r="U570" s="23">
        <f t="shared" si="376"/>
        <v>109</v>
      </c>
      <c r="W570" s="22" t="str">
        <f t="shared" si="430"/>
        <v>짝수</v>
      </c>
      <c r="X570" s="22" t="str">
        <f t="shared" si="431"/>
        <v>홀수</v>
      </c>
      <c r="Y570" s="22" t="str">
        <f t="shared" si="432"/>
        <v>짝수</v>
      </c>
      <c r="Z570" s="22" t="str">
        <f t="shared" si="433"/>
        <v>홀수</v>
      </c>
      <c r="AA570" s="23" t="str">
        <f t="shared" si="434"/>
        <v>짝수</v>
      </c>
      <c r="AB570" s="23" t="str">
        <f t="shared" si="435"/>
        <v>홀수</v>
      </c>
      <c r="AC570" s="22" t="str">
        <f t="shared" si="436"/>
        <v>3 : 3</v>
      </c>
      <c r="AD570" s="22">
        <f t="shared" si="437"/>
        <v>3</v>
      </c>
      <c r="AE570" s="22">
        <f t="shared" si="438"/>
        <v>3</v>
      </c>
      <c r="AF570" s="22" t="str">
        <f t="shared" si="439"/>
        <v>저수</v>
      </c>
      <c r="AG570" s="22" t="str">
        <f t="shared" si="440"/>
        <v>저수</v>
      </c>
      <c r="AH570" s="22" t="str">
        <f t="shared" si="441"/>
        <v>저수</v>
      </c>
      <c r="AI570" s="22" t="str">
        <f t="shared" si="442"/>
        <v>고수</v>
      </c>
      <c r="AJ570" s="22" t="str">
        <f t="shared" si="443"/>
        <v>고수</v>
      </c>
      <c r="AK570" s="22" t="str">
        <f t="shared" si="444"/>
        <v>고수</v>
      </c>
      <c r="AL570" s="22" t="str">
        <f t="shared" si="445"/>
        <v>3 : 3</v>
      </c>
      <c r="AM570" s="22">
        <f t="shared" si="446"/>
        <v>3</v>
      </c>
      <c r="AN570" s="22">
        <f t="shared" si="447"/>
        <v>3</v>
      </c>
      <c r="AO570" s="22">
        <f t="shared" si="448"/>
        <v>29</v>
      </c>
      <c r="AP570" s="22" t="str">
        <f t="shared" si="449"/>
        <v>X</v>
      </c>
      <c r="AQ570" s="22" t="str">
        <f t="shared" si="450"/>
        <v>O</v>
      </c>
      <c r="AR570" s="22" t="str">
        <f t="shared" si="451"/>
        <v>X</v>
      </c>
      <c r="AS570" s="22" t="str">
        <f t="shared" si="452"/>
        <v>X</v>
      </c>
      <c r="AT570" s="22" t="str">
        <f t="shared" si="453"/>
        <v>X</v>
      </c>
      <c r="AU570" s="22" t="str">
        <f t="shared" si="454"/>
        <v>X</v>
      </c>
      <c r="AV570" s="22" t="str">
        <f t="shared" si="455"/>
        <v>X</v>
      </c>
      <c r="AW570" s="22" t="str">
        <f t="shared" si="456"/>
        <v>X</v>
      </c>
      <c r="AX570" s="22" t="str">
        <f t="shared" si="457"/>
        <v>X</v>
      </c>
      <c r="AY570" s="22" t="str">
        <f t="shared" si="458"/>
        <v>X</v>
      </c>
      <c r="AZ570" s="22" t="str">
        <f t="shared" si="459"/>
        <v>X</v>
      </c>
      <c r="BA570" s="22" t="str">
        <f t="shared" si="460"/>
        <v>O</v>
      </c>
      <c r="BB570" s="22">
        <f t="shared" si="461"/>
        <v>2</v>
      </c>
      <c r="BC570" s="22" t="str">
        <f t="shared" ref="BC570" si="473">VLOOKUP(N570,삼그룹,6,FALSE)</f>
        <v>1G</v>
      </c>
      <c r="BD570" s="22" t="str">
        <f t="shared" ref="BD570" si="474">VLOOKUP(O570,삼그룹,6,FALSE)</f>
        <v>1G</v>
      </c>
      <c r="BE570" s="22" t="str">
        <f t="shared" ref="BE570" si="475">VLOOKUP(P570,삼그룹,6,FALSE)</f>
        <v>1G</v>
      </c>
      <c r="BF570" s="22" t="str">
        <f t="shared" ref="BF570" si="476">VLOOKUP(Q570,삼그룹,6,FALSE)</f>
        <v>2G</v>
      </c>
      <c r="BG570" s="22" t="str">
        <f t="shared" ref="BG570" si="477">VLOOKUP(R570,삼그룹,6,FALSE)</f>
        <v>2G</v>
      </c>
      <c r="BH570" s="22" t="str">
        <f t="shared" ref="BH570" si="478">VLOOKUP(S570,삼그룹,6,FALSE)</f>
        <v>3G</v>
      </c>
      <c r="BI570" s="22">
        <f t="shared" si="416"/>
        <v>3</v>
      </c>
      <c r="BJ570" s="22">
        <f t="shared" si="417"/>
        <v>2</v>
      </c>
      <c r="BK570" s="22">
        <f t="shared" si="418"/>
        <v>1</v>
      </c>
      <c r="BL570" s="22" t="str">
        <f t="shared" si="472"/>
        <v>321</v>
      </c>
      <c r="BS570"/>
    </row>
    <row r="571" spans="2:71" hidden="1">
      <c r="B571" s="16">
        <v>567</v>
      </c>
      <c r="C571" s="23" t="s">
        <v>916</v>
      </c>
      <c r="N571" s="23">
        <v>1</v>
      </c>
      <c r="O571" s="23">
        <v>10</v>
      </c>
      <c r="P571" s="23">
        <v>15</v>
      </c>
      <c r="Q571" s="23">
        <v>16</v>
      </c>
      <c r="R571" s="23">
        <v>32</v>
      </c>
      <c r="S571" s="23">
        <v>41</v>
      </c>
      <c r="T571" s="23">
        <v>28</v>
      </c>
      <c r="U571" s="23">
        <f t="shared" si="376"/>
        <v>115</v>
      </c>
      <c r="W571" s="22" t="str">
        <f t="shared" si="430"/>
        <v>홀수</v>
      </c>
      <c r="X571" s="22" t="str">
        <f t="shared" si="431"/>
        <v>짝수</v>
      </c>
      <c r="Y571" s="22" t="str">
        <f t="shared" si="432"/>
        <v>홀수</v>
      </c>
      <c r="Z571" s="22" t="str">
        <f t="shared" si="433"/>
        <v>짝수</v>
      </c>
      <c r="AA571" s="23" t="str">
        <f t="shared" si="434"/>
        <v>짝수</v>
      </c>
      <c r="AB571" s="23" t="str">
        <f t="shared" si="435"/>
        <v>홀수</v>
      </c>
      <c r="AC571" s="22" t="str">
        <f t="shared" si="436"/>
        <v>3 : 3</v>
      </c>
      <c r="AD571" s="22">
        <f t="shared" si="437"/>
        <v>3</v>
      </c>
      <c r="AE571" s="22">
        <f t="shared" si="438"/>
        <v>3</v>
      </c>
      <c r="AF571" s="22" t="str">
        <f t="shared" si="439"/>
        <v>저수</v>
      </c>
      <c r="AG571" s="22" t="str">
        <f t="shared" si="440"/>
        <v>저수</v>
      </c>
      <c r="AH571" s="22" t="str">
        <f t="shared" si="441"/>
        <v>저수</v>
      </c>
      <c r="AI571" s="22" t="str">
        <f t="shared" si="442"/>
        <v>저수</v>
      </c>
      <c r="AJ571" s="22" t="str">
        <f t="shared" si="443"/>
        <v>고수</v>
      </c>
      <c r="AK571" s="22" t="str">
        <f t="shared" si="444"/>
        <v>고수</v>
      </c>
      <c r="AL571" s="22" t="str">
        <f t="shared" si="445"/>
        <v>4 : 2</v>
      </c>
      <c r="AM571" s="22">
        <f t="shared" si="446"/>
        <v>4</v>
      </c>
      <c r="AN571" s="22">
        <f t="shared" si="447"/>
        <v>2</v>
      </c>
      <c r="AO571" s="22">
        <f t="shared" si="448"/>
        <v>15</v>
      </c>
      <c r="AP571" s="22" t="str">
        <f t="shared" si="449"/>
        <v>X</v>
      </c>
      <c r="AQ571" s="22" t="str">
        <f t="shared" si="450"/>
        <v>X</v>
      </c>
      <c r="AR571" s="22" t="str">
        <f t="shared" si="451"/>
        <v>X</v>
      </c>
      <c r="AS571" s="22" t="str">
        <f t="shared" si="452"/>
        <v>X</v>
      </c>
      <c r="AT571" s="22" t="str">
        <f t="shared" si="453"/>
        <v>X</v>
      </c>
      <c r="AU571" s="22" t="str">
        <f t="shared" si="454"/>
        <v>X</v>
      </c>
      <c r="AV571" s="22" t="str">
        <f t="shared" si="455"/>
        <v>X</v>
      </c>
      <c r="AW571" s="22" t="str">
        <f t="shared" si="456"/>
        <v>X</v>
      </c>
      <c r="AX571" s="22" t="str">
        <f t="shared" si="457"/>
        <v>X</v>
      </c>
      <c r="AY571" s="22" t="str">
        <f t="shared" si="458"/>
        <v>X</v>
      </c>
      <c r="AZ571" s="22" t="str">
        <f t="shared" si="459"/>
        <v>X</v>
      </c>
      <c r="BA571" s="22" t="str">
        <f t="shared" si="460"/>
        <v>O</v>
      </c>
      <c r="BB571" s="22">
        <f t="shared" si="461"/>
        <v>1</v>
      </c>
      <c r="BC571" s="22" t="str">
        <f t="shared" ref="BC571" si="479">VLOOKUP(N571,삼그룹,6,FALSE)</f>
        <v>1G</v>
      </c>
      <c r="BD571" s="22" t="str">
        <f t="shared" ref="BD571" si="480">VLOOKUP(O571,삼그룹,6,FALSE)</f>
        <v>1G</v>
      </c>
      <c r="BE571" s="22" t="str">
        <f t="shared" ref="BE571" si="481">VLOOKUP(P571,삼그룹,6,FALSE)</f>
        <v>1G</v>
      </c>
      <c r="BF571" s="22" t="str">
        <f t="shared" ref="BF571" si="482">VLOOKUP(Q571,삼그룹,6,FALSE)</f>
        <v>2G</v>
      </c>
      <c r="BG571" s="22" t="str">
        <f t="shared" ref="BG571" si="483">VLOOKUP(R571,삼그룹,6,FALSE)</f>
        <v>3G</v>
      </c>
      <c r="BH571" s="22" t="str">
        <f t="shared" ref="BH571" si="484">VLOOKUP(S571,삼그룹,6,FALSE)</f>
        <v>3G</v>
      </c>
      <c r="BI571" s="22">
        <f t="shared" si="416"/>
        <v>3</v>
      </c>
      <c r="BJ571" s="22">
        <f t="shared" si="417"/>
        <v>1</v>
      </c>
      <c r="BK571" s="22">
        <f t="shared" si="418"/>
        <v>2</v>
      </c>
      <c r="BL571" s="22" t="str">
        <f t="shared" ref="BL571" si="485">BI571&amp;BJ571&amp;BK571</f>
        <v>312</v>
      </c>
    </row>
    <row r="572" spans="2:71" hidden="1">
      <c r="B572" s="16">
        <v>568</v>
      </c>
      <c r="C572" s="23" t="s">
        <v>917</v>
      </c>
      <c r="N572" s="23">
        <v>1</v>
      </c>
      <c r="O572" s="23">
        <v>3</v>
      </c>
      <c r="P572" s="23">
        <v>17</v>
      </c>
      <c r="Q572" s="23">
        <v>20</v>
      </c>
      <c r="R572" s="23">
        <v>31</v>
      </c>
      <c r="S572" s="23">
        <v>44</v>
      </c>
      <c r="T572" s="23">
        <v>40</v>
      </c>
      <c r="U572" s="23">
        <f t="shared" si="376"/>
        <v>116</v>
      </c>
      <c r="W572" s="22" t="str">
        <f t="shared" si="430"/>
        <v>홀수</v>
      </c>
      <c r="X572" s="22" t="str">
        <f t="shared" si="431"/>
        <v>홀수</v>
      </c>
      <c r="Y572" s="22" t="str">
        <f t="shared" si="432"/>
        <v>홀수</v>
      </c>
      <c r="Z572" s="22" t="str">
        <f t="shared" si="433"/>
        <v>짝수</v>
      </c>
      <c r="AA572" s="23" t="str">
        <f t="shared" si="434"/>
        <v>홀수</v>
      </c>
      <c r="AB572" s="23" t="str">
        <f t="shared" si="435"/>
        <v>짝수</v>
      </c>
      <c r="AC572" s="22" t="str">
        <f t="shared" si="436"/>
        <v>4 : 2</v>
      </c>
      <c r="AD572" s="22">
        <f t="shared" si="437"/>
        <v>4</v>
      </c>
      <c r="AE572" s="22">
        <f t="shared" si="438"/>
        <v>2</v>
      </c>
      <c r="AF572" s="22" t="str">
        <f t="shared" si="439"/>
        <v>저수</v>
      </c>
      <c r="AG572" s="22" t="str">
        <f t="shared" si="440"/>
        <v>저수</v>
      </c>
      <c r="AH572" s="22" t="str">
        <f t="shared" si="441"/>
        <v>저수</v>
      </c>
      <c r="AI572" s="22" t="str">
        <f t="shared" si="442"/>
        <v>저수</v>
      </c>
      <c r="AJ572" s="22" t="str">
        <f t="shared" si="443"/>
        <v>고수</v>
      </c>
      <c r="AK572" s="22" t="str">
        <f t="shared" si="444"/>
        <v>고수</v>
      </c>
      <c r="AL572" s="22" t="str">
        <f t="shared" si="445"/>
        <v>4 : 2</v>
      </c>
      <c r="AM572" s="22">
        <f t="shared" si="446"/>
        <v>4</v>
      </c>
      <c r="AN572" s="22">
        <f t="shared" si="447"/>
        <v>2</v>
      </c>
      <c r="AO572" s="22">
        <f t="shared" si="448"/>
        <v>16</v>
      </c>
      <c r="AP572" s="22" t="str">
        <f t="shared" si="449"/>
        <v>X</v>
      </c>
      <c r="AQ572" s="22" t="str">
        <f t="shared" si="450"/>
        <v>O</v>
      </c>
      <c r="AR572" s="22" t="str">
        <f t="shared" si="451"/>
        <v>O</v>
      </c>
      <c r="AS572" s="22" t="str">
        <f t="shared" si="452"/>
        <v>X</v>
      </c>
      <c r="AT572" s="22" t="str">
        <f t="shared" si="453"/>
        <v>X</v>
      </c>
      <c r="AU572" s="22" t="str">
        <f t="shared" si="454"/>
        <v>X</v>
      </c>
      <c r="AV572" s="22" t="str">
        <f t="shared" si="455"/>
        <v>X</v>
      </c>
      <c r="AW572" s="22" t="str">
        <f t="shared" si="456"/>
        <v>X</v>
      </c>
      <c r="AX572" s="22" t="str">
        <f t="shared" si="457"/>
        <v>X</v>
      </c>
      <c r="AY572" s="22" t="str">
        <f t="shared" si="458"/>
        <v>X</v>
      </c>
      <c r="AZ572" s="22" t="str">
        <f t="shared" si="459"/>
        <v>O</v>
      </c>
      <c r="BA572" s="22" t="str">
        <f t="shared" si="460"/>
        <v>X</v>
      </c>
      <c r="BB572" s="22">
        <f t="shared" si="461"/>
        <v>3</v>
      </c>
      <c r="BC572" s="22" t="str">
        <f t="shared" ref="BC572" si="486">VLOOKUP(N572,삼그룹,6,FALSE)</f>
        <v>1G</v>
      </c>
      <c r="BD572" s="22" t="str">
        <f t="shared" ref="BD572" si="487">VLOOKUP(O572,삼그룹,6,FALSE)</f>
        <v>1G</v>
      </c>
      <c r="BE572" s="22" t="str">
        <f t="shared" ref="BE572" si="488">VLOOKUP(P572,삼그룹,6,FALSE)</f>
        <v>2G</v>
      </c>
      <c r="BF572" s="22" t="str">
        <f t="shared" ref="BF572" si="489">VLOOKUP(Q572,삼그룹,6,FALSE)</f>
        <v>2G</v>
      </c>
      <c r="BG572" s="22" t="str">
        <f t="shared" ref="BG572" si="490">VLOOKUP(R572,삼그룹,6,FALSE)</f>
        <v>3G</v>
      </c>
      <c r="BH572" s="22" t="str">
        <f t="shared" ref="BH572" si="491">VLOOKUP(S572,삼그룹,6,FALSE)</f>
        <v>3G</v>
      </c>
      <c r="BI572" s="22">
        <f t="shared" si="416"/>
        <v>2</v>
      </c>
      <c r="BJ572" s="22">
        <f t="shared" si="417"/>
        <v>2</v>
      </c>
      <c r="BK572" s="22">
        <f t="shared" si="418"/>
        <v>2</v>
      </c>
      <c r="BL572" s="22" t="str">
        <f t="shared" ref="BL572" si="492">BI572&amp;BJ572&amp;BK572</f>
        <v>222</v>
      </c>
    </row>
    <row r="573" spans="2:71" hidden="1">
      <c r="B573" s="16">
        <v>569</v>
      </c>
      <c r="C573" s="23" t="s">
        <v>918</v>
      </c>
      <c r="N573" s="23">
        <v>3</v>
      </c>
      <c r="O573" s="23">
        <v>6</v>
      </c>
      <c r="P573" s="23">
        <v>13</v>
      </c>
      <c r="Q573" s="23">
        <v>23</v>
      </c>
      <c r="R573" s="23">
        <v>24</v>
      </c>
      <c r="S573" s="23">
        <v>35</v>
      </c>
      <c r="T573" s="23">
        <v>1</v>
      </c>
      <c r="U573" s="23">
        <f t="shared" si="376"/>
        <v>104</v>
      </c>
      <c r="W573" s="22" t="str">
        <f t="shared" si="430"/>
        <v>홀수</v>
      </c>
      <c r="X573" s="22" t="str">
        <f t="shared" si="431"/>
        <v>짝수</v>
      </c>
      <c r="Y573" s="22" t="str">
        <f t="shared" si="432"/>
        <v>홀수</v>
      </c>
      <c r="Z573" s="22" t="str">
        <f t="shared" si="433"/>
        <v>홀수</v>
      </c>
      <c r="AA573" s="23" t="str">
        <f t="shared" si="434"/>
        <v>짝수</v>
      </c>
      <c r="AB573" s="23" t="str">
        <f t="shared" si="435"/>
        <v>홀수</v>
      </c>
      <c r="AC573" s="22" t="str">
        <f t="shared" si="436"/>
        <v>4 : 2</v>
      </c>
      <c r="AD573" s="22">
        <f t="shared" si="437"/>
        <v>4</v>
      </c>
      <c r="AE573" s="22">
        <f t="shared" si="438"/>
        <v>2</v>
      </c>
      <c r="AF573" s="22" t="str">
        <f t="shared" si="439"/>
        <v>저수</v>
      </c>
      <c r="AG573" s="22" t="str">
        <f t="shared" si="440"/>
        <v>저수</v>
      </c>
      <c r="AH573" s="22" t="str">
        <f t="shared" si="441"/>
        <v>저수</v>
      </c>
      <c r="AI573" s="22" t="str">
        <f t="shared" si="442"/>
        <v>고수</v>
      </c>
      <c r="AJ573" s="22" t="str">
        <f t="shared" si="443"/>
        <v>고수</v>
      </c>
      <c r="AK573" s="22" t="str">
        <f t="shared" si="444"/>
        <v>고수</v>
      </c>
      <c r="AL573" s="22" t="str">
        <f t="shared" si="445"/>
        <v>3 : 3</v>
      </c>
      <c r="AM573" s="22">
        <f t="shared" si="446"/>
        <v>3</v>
      </c>
      <c r="AN573" s="22">
        <f t="shared" si="447"/>
        <v>3</v>
      </c>
      <c r="AO573" s="22">
        <f t="shared" si="448"/>
        <v>24</v>
      </c>
      <c r="AP573" s="22" t="str">
        <f t="shared" si="449"/>
        <v>O</v>
      </c>
      <c r="AQ573" s="22" t="str">
        <f t="shared" si="450"/>
        <v>X</v>
      </c>
      <c r="AR573" s="22" t="str">
        <f t="shared" si="451"/>
        <v>O</v>
      </c>
      <c r="AS573" s="22" t="str">
        <f t="shared" si="452"/>
        <v>X</v>
      </c>
      <c r="AT573" s="22" t="str">
        <f t="shared" si="453"/>
        <v>X</v>
      </c>
      <c r="AU573" s="22" t="str">
        <f t="shared" si="454"/>
        <v>X</v>
      </c>
      <c r="AV573" s="22" t="str">
        <f t="shared" si="455"/>
        <v>X</v>
      </c>
      <c r="AW573" s="22" t="str">
        <f t="shared" si="456"/>
        <v>X</v>
      </c>
      <c r="AX573" s="22" t="str">
        <f t="shared" si="457"/>
        <v>X</v>
      </c>
      <c r="AY573" s="22" t="str">
        <f t="shared" si="458"/>
        <v>O</v>
      </c>
      <c r="AZ573" s="22" t="str">
        <f t="shared" si="459"/>
        <v>X</v>
      </c>
      <c r="BA573" s="22" t="str">
        <f t="shared" si="460"/>
        <v>X</v>
      </c>
      <c r="BB573" s="22">
        <f t="shared" si="461"/>
        <v>3</v>
      </c>
      <c r="BC573" s="22" t="str">
        <f t="shared" ref="BC573" si="493">VLOOKUP(N573,삼그룹,6,FALSE)</f>
        <v>1G</v>
      </c>
      <c r="BD573" s="22" t="str">
        <f t="shared" ref="BD573" si="494">VLOOKUP(O573,삼그룹,6,FALSE)</f>
        <v>1G</v>
      </c>
      <c r="BE573" s="22" t="str">
        <f t="shared" ref="BE573" si="495">VLOOKUP(P573,삼그룹,6,FALSE)</f>
        <v>1G</v>
      </c>
      <c r="BF573" s="22" t="str">
        <f t="shared" ref="BF573" si="496">VLOOKUP(Q573,삼그룹,6,FALSE)</f>
        <v>2G</v>
      </c>
      <c r="BG573" s="22" t="str">
        <f t="shared" ref="BG573" si="497">VLOOKUP(R573,삼그룹,6,FALSE)</f>
        <v>2G</v>
      </c>
      <c r="BH573" s="22" t="str">
        <f t="shared" ref="BH573" si="498">VLOOKUP(S573,삼그룹,6,FALSE)</f>
        <v>3G</v>
      </c>
      <c r="BI573" s="22">
        <f t="shared" si="416"/>
        <v>3</v>
      </c>
      <c r="BJ573" s="22">
        <f t="shared" si="417"/>
        <v>2</v>
      </c>
      <c r="BK573" s="22">
        <f t="shared" si="418"/>
        <v>1</v>
      </c>
      <c r="BL573" s="22" t="str">
        <f t="shared" ref="BL573" si="499">BI573&amp;BJ573&amp;BK573</f>
        <v>321</v>
      </c>
    </row>
    <row r="574" spans="2:71" hidden="1">
      <c r="B574" s="16">
        <v>570</v>
      </c>
      <c r="C574" s="23" t="s">
        <v>919</v>
      </c>
      <c r="N574" s="23">
        <v>1</v>
      </c>
      <c r="O574" s="23">
        <v>12</v>
      </c>
      <c r="P574" s="23">
        <v>26</v>
      </c>
      <c r="Q574" s="23">
        <v>27</v>
      </c>
      <c r="R574" s="23">
        <v>29</v>
      </c>
      <c r="S574" s="23">
        <v>33</v>
      </c>
      <c r="T574" s="23">
        <v>42</v>
      </c>
      <c r="U574" s="23">
        <f t="shared" si="376"/>
        <v>128</v>
      </c>
      <c r="W574" s="22" t="str">
        <f t="shared" si="430"/>
        <v>홀수</v>
      </c>
      <c r="X574" s="22" t="str">
        <f t="shared" si="431"/>
        <v>짝수</v>
      </c>
      <c r="Y574" s="22" t="str">
        <f t="shared" si="432"/>
        <v>짝수</v>
      </c>
      <c r="Z574" s="22" t="str">
        <f t="shared" si="433"/>
        <v>홀수</v>
      </c>
      <c r="AA574" s="23" t="str">
        <f t="shared" si="434"/>
        <v>홀수</v>
      </c>
      <c r="AB574" s="23" t="str">
        <f t="shared" si="435"/>
        <v>홀수</v>
      </c>
      <c r="AC574" s="22" t="str">
        <f t="shared" si="436"/>
        <v>4 : 2</v>
      </c>
      <c r="AD574" s="22">
        <f t="shared" si="437"/>
        <v>4</v>
      </c>
      <c r="AE574" s="22">
        <f t="shared" si="438"/>
        <v>2</v>
      </c>
      <c r="AF574" s="22" t="str">
        <f t="shared" si="439"/>
        <v>저수</v>
      </c>
      <c r="AG574" s="22" t="str">
        <f t="shared" si="440"/>
        <v>저수</v>
      </c>
      <c r="AH574" s="22" t="str">
        <f t="shared" si="441"/>
        <v>고수</v>
      </c>
      <c r="AI574" s="22" t="str">
        <f t="shared" si="442"/>
        <v>고수</v>
      </c>
      <c r="AJ574" s="22" t="str">
        <f t="shared" si="443"/>
        <v>고수</v>
      </c>
      <c r="AK574" s="22" t="str">
        <f t="shared" si="444"/>
        <v>고수</v>
      </c>
      <c r="AL574" s="22" t="str">
        <f t="shared" si="445"/>
        <v>2 : 4</v>
      </c>
      <c r="AM574" s="22">
        <f t="shared" si="446"/>
        <v>2</v>
      </c>
      <c r="AN574" s="22">
        <f t="shared" si="447"/>
        <v>4</v>
      </c>
      <c r="AO574" s="22">
        <f t="shared" si="448"/>
        <v>28</v>
      </c>
      <c r="AP574" s="22" t="str">
        <f t="shared" si="449"/>
        <v>X</v>
      </c>
      <c r="AQ574" s="22" t="str">
        <f t="shared" si="450"/>
        <v>X</v>
      </c>
      <c r="AR574" s="22" t="str">
        <f t="shared" si="451"/>
        <v>X</v>
      </c>
      <c r="AS574" s="22" t="str">
        <f t="shared" si="452"/>
        <v>X</v>
      </c>
      <c r="AT574" s="22" t="str">
        <f t="shared" si="453"/>
        <v>X</v>
      </c>
      <c r="AU574" s="22" t="str">
        <f t="shared" si="454"/>
        <v>X</v>
      </c>
      <c r="AV574" s="22" t="str">
        <f t="shared" si="455"/>
        <v>X</v>
      </c>
      <c r="AW574" s="22" t="str">
        <f t="shared" si="456"/>
        <v>X</v>
      </c>
      <c r="AX574" s="22" t="str">
        <f t="shared" si="457"/>
        <v>X</v>
      </c>
      <c r="AY574" s="22" t="str">
        <f t="shared" si="458"/>
        <v>X</v>
      </c>
      <c r="AZ574" s="22" t="str">
        <f t="shared" si="459"/>
        <v>O</v>
      </c>
      <c r="BA574" s="22" t="str">
        <f t="shared" si="460"/>
        <v>X</v>
      </c>
      <c r="BB574" s="22">
        <f t="shared" si="461"/>
        <v>1</v>
      </c>
      <c r="BC574" s="22" t="str">
        <f t="shared" ref="BC574" si="500">VLOOKUP(N574,삼그룹,6,FALSE)</f>
        <v>1G</v>
      </c>
      <c r="BD574" s="22" t="str">
        <f t="shared" ref="BD574" si="501">VLOOKUP(O574,삼그룹,6,FALSE)</f>
        <v>1G</v>
      </c>
      <c r="BE574" s="22" t="str">
        <f t="shared" ref="BE574" si="502">VLOOKUP(P574,삼그룹,6,FALSE)</f>
        <v>2G</v>
      </c>
      <c r="BF574" s="22" t="str">
        <f t="shared" ref="BF574" si="503">VLOOKUP(Q574,삼그룹,6,FALSE)</f>
        <v>2G</v>
      </c>
      <c r="BG574" s="22" t="str">
        <f t="shared" ref="BG574" si="504">VLOOKUP(R574,삼그룹,6,FALSE)</f>
        <v>2G</v>
      </c>
      <c r="BH574" s="22" t="str">
        <f t="shared" ref="BH574" si="505">VLOOKUP(S574,삼그룹,6,FALSE)</f>
        <v>3G</v>
      </c>
      <c r="BI574" s="22">
        <f t="shared" si="416"/>
        <v>2</v>
      </c>
      <c r="BJ574" s="22">
        <f t="shared" si="417"/>
        <v>3</v>
      </c>
      <c r="BK574" s="22">
        <f t="shared" si="418"/>
        <v>1</v>
      </c>
      <c r="BL574" s="22" t="str">
        <f t="shared" ref="BL574" si="506">BI574&amp;BJ574&amp;BK574</f>
        <v>231</v>
      </c>
    </row>
    <row r="575" spans="2:71" hidden="1">
      <c r="B575" s="16">
        <v>571</v>
      </c>
      <c r="C575" s="23" t="s">
        <v>920</v>
      </c>
      <c r="N575" s="23">
        <v>11</v>
      </c>
      <c r="O575" s="23">
        <v>18</v>
      </c>
      <c r="P575" s="23">
        <v>21</v>
      </c>
      <c r="Q575" s="23">
        <v>26</v>
      </c>
      <c r="R575" s="23">
        <v>38</v>
      </c>
      <c r="S575" s="23">
        <v>43</v>
      </c>
      <c r="T575" s="23">
        <v>29</v>
      </c>
      <c r="U575" s="23">
        <f t="shared" si="376"/>
        <v>157</v>
      </c>
      <c r="W575" s="22" t="str">
        <f t="shared" si="430"/>
        <v>홀수</v>
      </c>
      <c r="X575" s="22" t="str">
        <f t="shared" si="431"/>
        <v>짝수</v>
      </c>
      <c r="Y575" s="22" t="str">
        <f t="shared" si="432"/>
        <v>홀수</v>
      </c>
      <c r="Z575" s="22" t="str">
        <f t="shared" si="433"/>
        <v>짝수</v>
      </c>
      <c r="AA575" s="23" t="str">
        <f t="shared" si="434"/>
        <v>짝수</v>
      </c>
      <c r="AB575" s="23" t="str">
        <f t="shared" si="435"/>
        <v>홀수</v>
      </c>
      <c r="AC575" s="22" t="str">
        <f t="shared" si="436"/>
        <v>3 : 3</v>
      </c>
      <c r="AD575" s="23">
        <f t="shared" si="437"/>
        <v>3</v>
      </c>
      <c r="AE575" s="22">
        <f t="shared" si="438"/>
        <v>3</v>
      </c>
      <c r="AF575" s="23" t="str">
        <f t="shared" si="439"/>
        <v>저수</v>
      </c>
      <c r="AG575" s="22" t="str">
        <f t="shared" si="440"/>
        <v>저수</v>
      </c>
      <c r="AH575" s="23" t="str">
        <f t="shared" si="441"/>
        <v>저수</v>
      </c>
      <c r="AI575" s="22" t="str">
        <f t="shared" si="442"/>
        <v>고수</v>
      </c>
      <c r="AJ575" s="23" t="str">
        <f t="shared" si="443"/>
        <v>고수</v>
      </c>
      <c r="AK575" s="22" t="str">
        <f t="shared" si="444"/>
        <v>고수</v>
      </c>
      <c r="AL575" s="23" t="str">
        <f t="shared" si="445"/>
        <v>3 : 3</v>
      </c>
      <c r="AM575" s="22">
        <f t="shared" si="446"/>
        <v>3</v>
      </c>
      <c r="AN575" s="23">
        <f t="shared" si="447"/>
        <v>3</v>
      </c>
      <c r="AO575" s="22">
        <f t="shared" si="448"/>
        <v>27</v>
      </c>
      <c r="AP575" s="23" t="str">
        <f t="shared" si="449"/>
        <v>O</v>
      </c>
      <c r="AQ575" s="22" t="str">
        <f t="shared" si="450"/>
        <v>X</v>
      </c>
      <c r="AR575" s="22" t="str">
        <f t="shared" si="451"/>
        <v>X</v>
      </c>
      <c r="AS575" s="22" t="str">
        <f t="shared" si="452"/>
        <v>X</v>
      </c>
      <c r="AT575" s="22" t="str">
        <f t="shared" si="453"/>
        <v>X</v>
      </c>
      <c r="AU575" s="22" t="str">
        <f t="shared" si="454"/>
        <v>X</v>
      </c>
      <c r="AV575" s="22" t="str">
        <f t="shared" si="455"/>
        <v>X</v>
      </c>
      <c r="AW575" s="22" t="str">
        <f t="shared" si="456"/>
        <v>X</v>
      </c>
      <c r="AX575" s="22" t="str">
        <f t="shared" si="457"/>
        <v>X</v>
      </c>
      <c r="AY575" s="22" t="str">
        <f t="shared" si="458"/>
        <v>X</v>
      </c>
      <c r="AZ575" s="22" t="str">
        <f t="shared" si="459"/>
        <v>X</v>
      </c>
      <c r="BA575" s="22" t="str">
        <f t="shared" si="460"/>
        <v>O</v>
      </c>
      <c r="BB575" s="22">
        <f t="shared" si="461"/>
        <v>2</v>
      </c>
      <c r="BC575" s="22" t="str">
        <f t="shared" ref="BC575" si="507">VLOOKUP(N575,삼그룹,6,FALSE)</f>
        <v>1G</v>
      </c>
      <c r="BD575" s="22" t="str">
        <f t="shared" ref="BD575" si="508">VLOOKUP(O575,삼그룹,6,FALSE)</f>
        <v>2G</v>
      </c>
      <c r="BE575" s="22" t="str">
        <f t="shared" ref="BE575" si="509">VLOOKUP(P575,삼그룹,6,FALSE)</f>
        <v>2G</v>
      </c>
      <c r="BF575" s="22" t="str">
        <f t="shared" ref="BF575" si="510">VLOOKUP(Q575,삼그룹,6,FALSE)</f>
        <v>2G</v>
      </c>
      <c r="BG575" s="22" t="str">
        <f t="shared" ref="BG575" si="511">VLOOKUP(R575,삼그룹,6,FALSE)</f>
        <v>3G</v>
      </c>
      <c r="BH575" s="22" t="str">
        <f t="shared" ref="BH575" si="512">VLOOKUP(S575,삼그룹,6,FALSE)</f>
        <v>3G</v>
      </c>
      <c r="BI575" s="22">
        <f t="shared" si="416"/>
        <v>1</v>
      </c>
      <c r="BJ575" s="22">
        <f t="shared" si="417"/>
        <v>3</v>
      </c>
      <c r="BK575" s="22">
        <f t="shared" si="418"/>
        <v>2</v>
      </c>
      <c r="BL575" s="22" t="str">
        <f t="shared" ref="BL575" si="513">BI575&amp;BJ575&amp;BK575</f>
        <v>132</v>
      </c>
    </row>
    <row r="576" spans="2:71" hidden="1">
      <c r="B576" s="16">
        <v>572</v>
      </c>
      <c r="C576" s="23" t="s">
        <v>921</v>
      </c>
      <c r="N576" s="23">
        <v>3</v>
      </c>
      <c r="O576" s="23">
        <v>13</v>
      </c>
      <c r="P576" s="23">
        <v>18</v>
      </c>
      <c r="Q576" s="23">
        <v>33</v>
      </c>
      <c r="R576" s="23">
        <v>37</v>
      </c>
      <c r="S576" s="23">
        <v>45</v>
      </c>
      <c r="T576" s="23">
        <v>1</v>
      </c>
      <c r="U576" s="23">
        <f t="shared" si="376"/>
        <v>149</v>
      </c>
      <c r="W576" s="22" t="str">
        <f t="shared" si="430"/>
        <v>홀수</v>
      </c>
      <c r="X576" s="22" t="str">
        <f t="shared" si="431"/>
        <v>홀수</v>
      </c>
      <c r="Y576" s="22" t="str">
        <f t="shared" si="432"/>
        <v>짝수</v>
      </c>
      <c r="Z576" s="22" t="str">
        <f t="shared" si="433"/>
        <v>홀수</v>
      </c>
      <c r="AA576" s="23" t="str">
        <f t="shared" si="434"/>
        <v>홀수</v>
      </c>
      <c r="AB576" s="23" t="str">
        <f t="shared" si="435"/>
        <v>홀수</v>
      </c>
      <c r="AC576" s="22" t="str">
        <f t="shared" si="436"/>
        <v>5 : 1</v>
      </c>
      <c r="AD576" s="22">
        <f t="shared" si="437"/>
        <v>5</v>
      </c>
      <c r="AE576" s="22">
        <f t="shared" si="438"/>
        <v>1</v>
      </c>
      <c r="AF576" s="22" t="str">
        <f t="shared" si="439"/>
        <v>저수</v>
      </c>
      <c r="AG576" s="22" t="str">
        <f t="shared" si="440"/>
        <v>저수</v>
      </c>
      <c r="AH576" s="22" t="str">
        <f t="shared" si="441"/>
        <v>저수</v>
      </c>
      <c r="AI576" s="22" t="str">
        <f t="shared" si="442"/>
        <v>고수</v>
      </c>
      <c r="AJ576" s="22" t="str">
        <f t="shared" si="443"/>
        <v>고수</v>
      </c>
      <c r="AK576" s="22" t="str">
        <f t="shared" si="444"/>
        <v>고수</v>
      </c>
      <c r="AL576" s="22" t="str">
        <f t="shared" si="445"/>
        <v>3 : 3</v>
      </c>
      <c r="AM576" s="22">
        <f t="shared" si="446"/>
        <v>3</v>
      </c>
      <c r="AN576" s="22">
        <f t="shared" si="447"/>
        <v>3</v>
      </c>
      <c r="AO576" s="22">
        <f t="shared" si="448"/>
        <v>29</v>
      </c>
      <c r="AP576" s="22" t="str">
        <f t="shared" si="449"/>
        <v>O</v>
      </c>
      <c r="AQ576" s="22" t="str">
        <f t="shared" si="450"/>
        <v>O</v>
      </c>
      <c r="AR576" s="22" t="str">
        <f t="shared" si="451"/>
        <v>X</v>
      </c>
      <c r="AS576" s="22" t="str">
        <f t="shared" si="452"/>
        <v>X</v>
      </c>
      <c r="AT576" s="22" t="str">
        <f t="shared" si="453"/>
        <v>X</v>
      </c>
      <c r="AU576" s="22" t="str">
        <f t="shared" si="454"/>
        <v>X</v>
      </c>
      <c r="AV576" s="22" t="str">
        <f t="shared" si="455"/>
        <v>X</v>
      </c>
      <c r="AW576" s="22" t="str">
        <f t="shared" si="456"/>
        <v>X</v>
      </c>
      <c r="AX576" s="22" t="str">
        <f t="shared" si="457"/>
        <v>X</v>
      </c>
      <c r="AY576" s="22" t="str">
        <f t="shared" si="458"/>
        <v>X</v>
      </c>
      <c r="AZ576" s="22" t="str">
        <f t="shared" si="459"/>
        <v>O</v>
      </c>
      <c r="BA576" s="22" t="str">
        <f t="shared" si="460"/>
        <v>X</v>
      </c>
      <c r="BB576" s="22">
        <f t="shared" si="461"/>
        <v>3</v>
      </c>
      <c r="BC576" s="22" t="str">
        <f t="shared" ref="BC576" si="514">VLOOKUP(N576,삼그룹,6,FALSE)</f>
        <v>1G</v>
      </c>
      <c r="BD576" s="22" t="str">
        <f t="shared" ref="BD576" si="515">VLOOKUP(O576,삼그룹,6,FALSE)</f>
        <v>1G</v>
      </c>
      <c r="BE576" s="22" t="str">
        <f t="shared" ref="BE576" si="516">VLOOKUP(P576,삼그룹,6,FALSE)</f>
        <v>2G</v>
      </c>
      <c r="BF576" s="22" t="str">
        <f t="shared" ref="BF576" si="517">VLOOKUP(Q576,삼그룹,6,FALSE)</f>
        <v>3G</v>
      </c>
      <c r="BG576" s="22" t="str">
        <f t="shared" ref="BG576" si="518">VLOOKUP(R576,삼그룹,6,FALSE)</f>
        <v>3G</v>
      </c>
      <c r="BH576" s="22" t="str">
        <f t="shared" ref="BH576" si="519">VLOOKUP(S576,삼그룹,6,FALSE)</f>
        <v>3G</v>
      </c>
      <c r="BI576" s="22">
        <f t="shared" si="416"/>
        <v>2</v>
      </c>
      <c r="BJ576" s="22">
        <f t="shared" si="417"/>
        <v>1</v>
      </c>
      <c r="BK576" s="22">
        <f t="shared" si="418"/>
        <v>3</v>
      </c>
      <c r="BL576" s="22" t="str">
        <f t="shared" ref="BL576" si="520">BI576&amp;BJ576&amp;BK576</f>
        <v>213</v>
      </c>
    </row>
    <row r="577" spans="2:71" ht="17" hidden="1">
      <c r="B577" s="16">
        <v>573</v>
      </c>
      <c r="C577" s="23" t="s">
        <v>924</v>
      </c>
      <c r="N577" s="23">
        <v>2</v>
      </c>
      <c r="O577" s="23">
        <v>4</v>
      </c>
      <c r="P577" s="23">
        <v>20</v>
      </c>
      <c r="Q577" s="23">
        <v>34</v>
      </c>
      <c r="R577" s="23">
        <v>35</v>
      </c>
      <c r="S577" s="23">
        <v>43</v>
      </c>
      <c r="T577" s="23">
        <v>14</v>
      </c>
      <c r="U577" s="23">
        <f t="shared" si="376"/>
        <v>138</v>
      </c>
      <c r="W577" s="22" t="str">
        <f t="shared" si="430"/>
        <v>짝수</v>
      </c>
      <c r="X577" s="22" t="str">
        <f t="shared" si="431"/>
        <v>짝수</v>
      </c>
      <c r="Y577" s="22" t="str">
        <f t="shared" si="432"/>
        <v>짝수</v>
      </c>
      <c r="Z577" s="22" t="str">
        <f t="shared" si="433"/>
        <v>짝수</v>
      </c>
      <c r="AA577" s="23" t="str">
        <f t="shared" si="434"/>
        <v>홀수</v>
      </c>
      <c r="AB577" s="23" t="str">
        <f t="shared" si="435"/>
        <v>홀수</v>
      </c>
      <c r="AC577" s="22" t="str">
        <f t="shared" si="436"/>
        <v>2 : 4</v>
      </c>
      <c r="AD577" s="22">
        <f t="shared" si="437"/>
        <v>2</v>
      </c>
      <c r="AE577" s="22">
        <f t="shared" si="438"/>
        <v>4</v>
      </c>
      <c r="AF577" s="22" t="str">
        <f t="shared" si="439"/>
        <v>저수</v>
      </c>
      <c r="AG577" s="22" t="str">
        <f t="shared" si="440"/>
        <v>저수</v>
      </c>
      <c r="AH577" s="22" t="str">
        <f t="shared" si="441"/>
        <v>저수</v>
      </c>
      <c r="AI577" s="22" t="str">
        <f t="shared" si="442"/>
        <v>고수</v>
      </c>
      <c r="AJ577" s="22" t="str">
        <f t="shared" si="443"/>
        <v>고수</v>
      </c>
      <c r="AK577" s="22" t="str">
        <f t="shared" si="444"/>
        <v>고수</v>
      </c>
      <c r="AL577" s="22" t="str">
        <f t="shared" si="445"/>
        <v>3 : 3</v>
      </c>
      <c r="AM577" s="22">
        <f t="shared" si="446"/>
        <v>3</v>
      </c>
      <c r="AN577" s="22">
        <f t="shared" si="447"/>
        <v>3</v>
      </c>
      <c r="AO577" s="22">
        <f t="shared" si="448"/>
        <v>18</v>
      </c>
      <c r="AP577" s="22" t="str">
        <f t="shared" si="449"/>
        <v>O</v>
      </c>
      <c r="AQ577" s="22" t="str">
        <f t="shared" si="450"/>
        <v>X</v>
      </c>
      <c r="AR577" s="22" t="str">
        <f t="shared" si="451"/>
        <v>X</v>
      </c>
      <c r="AS577" s="22" t="str">
        <f t="shared" si="452"/>
        <v>X</v>
      </c>
      <c r="AT577" s="22" t="str">
        <f t="shared" si="453"/>
        <v>X</v>
      </c>
      <c r="AU577" s="22" t="str">
        <f t="shared" si="454"/>
        <v>X</v>
      </c>
      <c r="AV577" s="22" t="str">
        <f t="shared" si="455"/>
        <v>X</v>
      </c>
      <c r="AW577" s="22" t="str">
        <f t="shared" si="456"/>
        <v>X</v>
      </c>
      <c r="AX577" s="22" t="str">
        <f t="shared" si="457"/>
        <v>X</v>
      </c>
      <c r="AY577" s="22" t="str">
        <f t="shared" si="458"/>
        <v>X</v>
      </c>
      <c r="AZ577" s="22" t="str">
        <f t="shared" si="459"/>
        <v>X</v>
      </c>
      <c r="BA577" s="22" t="str">
        <f t="shared" si="460"/>
        <v>O</v>
      </c>
      <c r="BB577" s="22">
        <f t="shared" si="461"/>
        <v>2</v>
      </c>
      <c r="BC577" s="22" t="str">
        <f t="shared" ref="BC577" si="521">VLOOKUP(N577,삼그룹,6,FALSE)</f>
        <v>1G</v>
      </c>
      <c r="BD577" s="22" t="str">
        <f t="shared" ref="BD577" si="522">VLOOKUP(O577,삼그룹,6,FALSE)</f>
        <v>1G</v>
      </c>
      <c r="BE577" s="22" t="str">
        <f t="shared" ref="BE577" si="523">VLOOKUP(P577,삼그룹,6,FALSE)</f>
        <v>2G</v>
      </c>
      <c r="BF577" s="22" t="str">
        <f t="shared" ref="BF577" si="524">VLOOKUP(Q577,삼그룹,6,FALSE)</f>
        <v>3G</v>
      </c>
      <c r="BG577" s="22" t="str">
        <f t="shared" ref="BG577" si="525">VLOOKUP(R577,삼그룹,6,FALSE)</f>
        <v>3G</v>
      </c>
      <c r="BH577" s="22" t="str">
        <f t="shared" ref="BH577" si="526">VLOOKUP(S577,삼그룹,6,FALSE)</f>
        <v>3G</v>
      </c>
      <c r="BI577" s="22">
        <f t="shared" si="416"/>
        <v>2</v>
      </c>
      <c r="BJ577" s="22">
        <f t="shared" si="417"/>
        <v>1</v>
      </c>
      <c r="BK577" s="22">
        <f t="shared" si="418"/>
        <v>3</v>
      </c>
      <c r="BL577" s="22" t="str">
        <f t="shared" ref="BL577" si="527">BI577&amp;BJ577&amp;BK577</f>
        <v>213</v>
      </c>
      <c r="BS577"/>
    </row>
    <row r="578" spans="2:71" ht="17" hidden="1">
      <c r="B578" s="16">
        <v>575</v>
      </c>
      <c r="C578" s="119"/>
      <c r="D578"/>
      <c r="E578"/>
      <c r="F578"/>
      <c r="G578"/>
      <c r="H578"/>
      <c r="I578"/>
      <c r="J578"/>
      <c r="K578"/>
      <c r="L578"/>
      <c r="M578"/>
      <c r="N578" s="23">
        <v>2</v>
      </c>
      <c r="O578" s="23">
        <v>8</v>
      </c>
      <c r="P578" s="23">
        <v>20</v>
      </c>
      <c r="Q578" s="23">
        <v>30</v>
      </c>
      <c r="R578" s="23">
        <v>33</v>
      </c>
      <c r="S578" s="23">
        <v>34</v>
      </c>
      <c r="T578" s="23">
        <v>6</v>
      </c>
      <c r="U578" s="23">
        <f t="shared" ref="U578:U670" si="528">SUM(N578:T578)-T578</f>
        <v>127</v>
      </c>
      <c r="W578" s="22" t="str">
        <f t="shared" ref="W578:W663" si="529">IF(RIGHT(N578,1)="1","홀수",IF(RIGHT(N578,1)="3","홀수",IF(RIGHT(N578,1)="5","홀수",IF(RIGHT(N578,1)="7","홀수",IF(RIGHT(N578,1)="9","홀수","짝수")))))</f>
        <v>짝수</v>
      </c>
      <c r="X578" s="22" t="str">
        <f t="shared" ref="X578:X663" si="530">IF(RIGHT(O578,1)="1","홀수",IF(RIGHT(O578,1)="3","홀수",IF(RIGHT(O578,1)="5","홀수",IF(RIGHT(O578,1)="7","홀수",IF(RIGHT(O578,1)="9","홀수","짝수")))))</f>
        <v>짝수</v>
      </c>
      <c r="Y578" s="22" t="str">
        <f t="shared" ref="Y578:Y663" si="531">IF(RIGHT(P578,1)="1","홀수",IF(RIGHT(P578,1)="3","홀수",IF(RIGHT(P578,1)="5","홀수",IF(RIGHT(P578,1)="7","홀수",IF(RIGHT(P578,1)="9","홀수","짝수")))))</f>
        <v>짝수</v>
      </c>
      <c r="Z578" s="22" t="str">
        <f t="shared" ref="Z578:Z663" si="532">IF(RIGHT(Q578,1)="1","홀수",IF(RIGHT(Q578,1)="3","홀수",IF(RIGHT(Q578,1)="5","홀수",IF(RIGHT(Q578,1)="7","홀수",IF(RIGHT(Q578,1)="9","홀수","짝수")))))</f>
        <v>짝수</v>
      </c>
      <c r="AA578" s="23" t="str">
        <f t="shared" ref="AA578:AA663" si="533">IF(RIGHT(R578,1)="1","홀수",IF(RIGHT(R578,1)="3","홀수",IF(RIGHT(R578,1)="5","홀수",IF(RIGHT(R578,1)="7","홀수",IF(RIGHT(R578,1)="9","홀수","짝수")))))</f>
        <v>홀수</v>
      </c>
      <c r="AB578" s="23" t="str">
        <f t="shared" ref="AB578:AB663" si="534">IF(RIGHT(S578,1)="1","홀수",IF(RIGHT(S578,1)="3","홀수",IF(RIGHT(S578,1)="5","홀수",IF(RIGHT(S578,1)="7","홀수",IF(RIGHT(S578,1)="9","홀수","짝수")))))</f>
        <v>짝수</v>
      </c>
      <c r="AC578" s="22" t="str">
        <f t="shared" ref="AC578:AC663" si="535">AD578&amp;" : "&amp;AE578</f>
        <v>1 : 5</v>
      </c>
      <c r="AD578" s="22">
        <f t="shared" ref="AD578:AD663" si="536">COUNTIF(W578:AB578,"홀수")</f>
        <v>1</v>
      </c>
      <c r="AE578" s="22">
        <f t="shared" ref="AE578:AE663" si="537">COUNTIF(W578:AB578,"짝수")</f>
        <v>5</v>
      </c>
      <c r="AF578" s="22" t="str">
        <f t="shared" ref="AF578:AF663" si="538">IF(N578&lt;23,"저수","고수")</f>
        <v>저수</v>
      </c>
      <c r="AG578" s="22" t="str">
        <f t="shared" ref="AG578:AG663" si="539">IF(O578&lt;23,"저수","고수")</f>
        <v>저수</v>
      </c>
      <c r="AH578" s="22" t="str">
        <f t="shared" ref="AH578:AH663" si="540">IF(P578&lt;23,"저수","고수")</f>
        <v>저수</v>
      </c>
      <c r="AI578" s="22" t="str">
        <f t="shared" ref="AI578:AI663" si="541">IF(Q578&lt;23,"저수","고수")</f>
        <v>고수</v>
      </c>
      <c r="AJ578" s="22" t="str">
        <f t="shared" ref="AJ578:AJ663" si="542">IF(R578&lt;23,"저수","고수")</f>
        <v>고수</v>
      </c>
      <c r="AK578" s="22" t="str">
        <f t="shared" ref="AK578:AK663" si="543">IF(S578&lt;23,"저수","고수")</f>
        <v>고수</v>
      </c>
      <c r="AL578" s="22" t="str">
        <f t="shared" ref="AL578:AL663" si="544">AM578&amp;" : "&amp;AN578</f>
        <v>3 : 3</v>
      </c>
      <c r="AM578" s="22">
        <f t="shared" ref="AM578:AM663" si="545">COUNTIF(AF578:AK578,"저수")</f>
        <v>3</v>
      </c>
      <c r="AN578" s="22">
        <f t="shared" ref="AN578:AN663" si="546">COUNTIF(AF578:AK578,"고수")</f>
        <v>3</v>
      </c>
      <c r="AO578" s="22">
        <f t="shared" ref="AO578:AO663" si="547">RIGHT(N578,1)+RIGHT(O578,1)+RIGHT(P578,1)+RIGHT(Q578,1)+RIGHT(R578,1)+RIGHT(S578,1)</f>
        <v>17</v>
      </c>
      <c r="AP578" s="22" t="str">
        <f t="shared" ref="AP578:AP663" si="548">IF(N578=2,"O",IF(N578=3,"O",IF(N578=5,"O",IF(N578=7,"O",IF(N578=11,"O",IF(N578=13,"O",IF(N578=17,"O",IF(N578=19,"O","X"))))))))</f>
        <v>O</v>
      </c>
      <c r="AQ578" s="22" t="str">
        <f t="shared" ref="AQ578:AQ663" si="549">IF(O578=2,"O",IF(O578=3,"O",IF(O578=5,"O",IF(O578=7,"O",IF(O578=11,"O",IF(O578=13,"O",IF(O578=17,"O",IF(O578=19,"O","X"))))))))</f>
        <v>X</v>
      </c>
      <c r="AR578" s="22" t="str">
        <f t="shared" ref="AR578:AR663" si="550">IF(P578=2,"O",IF(P578=3,"O",IF(P578=5,"O",IF(P578=7,"O",IF(P578=11,"O",IF(P578=13,"O",IF(P578=17,"O",IF(P578=19,"O","X"))))))))</f>
        <v>X</v>
      </c>
      <c r="AS578" s="22" t="str">
        <f t="shared" ref="AS578:AS663" si="551">IF(Q578=2,"O",IF(Q578=3,"O",IF(Q578=5,"O",IF(Q578=7,"O",IF(Q578=11,"O",IF(Q578=13,"O",IF(Q578=17,"O",IF(Q578=19,"O","X"))))))))</f>
        <v>X</v>
      </c>
      <c r="AT578" s="22" t="str">
        <f t="shared" ref="AT578:AT663" si="552">IF(R578=2,"O",IF(R578=3,"O",IF(R578=5,"O",IF(R578=7,"O",IF(R578=11,"O",IF(R578=13,"O",IF(R578=17,"O",IF(R578=19,"O","X"))))))))</f>
        <v>X</v>
      </c>
      <c r="AU578" s="22" t="str">
        <f t="shared" ref="AU578:AU663" si="553">IF(S578=2,"O",IF(S578=3,"O",IF(S578=5,"O",IF(S578=7,"O",IF(S578=11,"O",IF(S578=13,"O",IF(S578=17,"O",IF(S578=19,"O","X"))))))))</f>
        <v>X</v>
      </c>
      <c r="AV578" s="22" t="str">
        <f t="shared" ref="AV578:AV663" si="554">IF(N578=23,"O",IF(N578=29,"O",IF(N578=31,"O",IF(N578=37,"O",IF(N578=41,"O",IF(N578=43,"O","X"))))))</f>
        <v>X</v>
      </c>
      <c r="AW578" s="22" t="str">
        <f t="shared" ref="AW578:AW663" si="555">IF(O578=23,"O",IF(O578=29,"O",IF(O578=31,"O",IF(O578=37,"O",IF(O578=41,"O",IF(O578=43,"O","X"))))))</f>
        <v>X</v>
      </c>
      <c r="AX578" s="22" t="str">
        <f t="shared" ref="AX578:AX663" si="556">IF(P578=23,"O",IF(P578=29,"O",IF(P578=31,"O",IF(P578=37,"O",IF(P578=41,"O",IF(P578=43,"O","X"))))))</f>
        <v>X</v>
      </c>
      <c r="AY578" s="22" t="str">
        <f t="shared" ref="AY578:AY663" si="557">IF(Q578=23,"O",IF(Q578=29,"O",IF(Q578=31,"O",IF(Q578=37,"O",IF(Q578=41,"O",IF(Q578=43,"O","X"))))))</f>
        <v>X</v>
      </c>
      <c r="AZ578" s="22" t="str">
        <f t="shared" ref="AZ578:AZ663" si="558">IF(R578=23,"O",IF(R578=29,"O",IF(R578=31,"O",IF(R578=37,"O",IF(R578=41,"O",IF(R578=43,"O","X"))))))</f>
        <v>X</v>
      </c>
      <c r="BA578" s="22" t="str">
        <f t="shared" ref="BA578:BA663" si="559">IF(S578=23,"O",IF(S578=29,"O",IF(S578=31,"O",IF(S578=37,"O",IF(S578=41,"O",IF(S578=43,"O","X"))))))</f>
        <v>X</v>
      </c>
      <c r="BB578" s="22">
        <f t="shared" ref="BB578:BB663" si="560">COUNTIF(AP578:BA578,"O")</f>
        <v>1</v>
      </c>
      <c r="BC578" s="22" t="str">
        <f t="shared" ref="BC578:BC606" si="561">VLOOKUP(N578,삼그룹,6,FALSE)</f>
        <v>1G</v>
      </c>
      <c r="BD578" s="22" t="str">
        <f t="shared" ref="BD578:BD606" si="562">VLOOKUP(O578,삼그룹,6,FALSE)</f>
        <v>1G</v>
      </c>
      <c r="BE578" s="22" t="str">
        <f t="shared" ref="BE578:BE606" si="563">VLOOKUP(P578,삼그룹,6,FALSE)</f>
        <v>2G</v>
      </c>
      <c r="BF578" s="22" t="str">
        <f t="shared" ref="BF578:BF606" si="564">VLOOKUP(Q578,삼그룹,6,FALSE)</f>
        <v>2G</v>
      </c>
      <c r="BG578" s="22" t="str">
        <f t="shared" ref="BG578:BG606" si="565">VLOOKUP(R578,삼그룹,6,FALSE)</f>
        <v>3G</v>
      </c>
      <c r="BH578" s="22" t="str">
        <f t="shared" ref="BH578:BH606" si="566">VLOOKUP(S578,삼그룹,6,FALSE)</f>
        <v>3G</v>
      </c>
      <c r="BI578" s="22">
        <f t="shared" si="416"/>
        <v>2</v>
      </c>
      <c r="BJ578" s="22">
        <f t="shared" si="417"/>
        <v>2</v>
      </c>
      <c r="BK578" s="22">
        <f t="shared" si="418"/>
        <v>2</v>
      </c>
      <c r="BL578" s="22" t="str">
        <f t="shared" ref="BL578:BL606" si="567">BI578&amp;BJ578&amp;BK578</f>
        <v>222</v>
      </c>
      <c r="BS578"/>
    </row>
    <row r="579" spans="2:71" ht="17" hidden="1">
      <c r="B579" s="16">
        <v>576</v>
      </c>
      <c r="C579" s="119"/>
      <c r="D579"/>
      <c r="E579"/>
      <c r="F579"/>
      <c r="G579"/>
      <c r="H579"/>
      <c r="I579"/>
      <c r="J579"/>
      <c r="K579"/>
      <c r="L579"/>
      <c r="M579"/>
      <c r="N579" s="23">
        <v>10</v>
      </c>
      <c r="O579" s="23">
        <v>11</v>
      </c>
      <c r="P579" s="23">
        <v>15</v>
      </c>
      <c r="Q579" s="23">
        <v>25</v>
      </c>
      <c r="R579" s="23">
        <v>35</v>
      </c>
      <c r="S579" s="23">
        <v>41</v>
      </c>
      <c r="T579" s="23">
        <v>13</v>
      </c>
      <c r="U579" s="23">
        <f t="shared" si="528"/>
        <v>137</v>
      </c>
      <c r="W579" s="22" t="str">
        <f t="shared" si="529"/>
        <v>짝수</v>
      </c>
      <c r="X579" s="22" t="str">
        <f t="shared" si="530"/>
        <v>홀수</v>
      </c>
      <c r="Y579" s="22" t="str">
        <f t="shared" si="531"/>
        <v>홀수</v>
      </c>
      <c r="Z579" s="22" t="str">
        <f t="shared" si="532"/>
        <v>홀수</v>
      </c>
      <c r="AA579" s="23" t="str">
        <f t="shared" si="533"/>
        <v>홀수</v>
      </c>
      <c r="AB579" s="23" t="str">
        <f t="shared" si="534"/>
        <v>홀수</v>
      </c>
      <c r="AC579" s="22" t="str">
        <f t="shared" si="535"/>
        <v>5 : 1</v>
      </c>
      <c r="AD579" s="22">
        <f t="shared" si="536"/>
        <v>5</v>
      </c>
      <c r="AE579" s="22">
        <f t="shared" si="537"/>
        <v>1</v>
      </c>
      <c r="AF579" s="22" t="str">
        <f t="shared" si="538"/>
        <v>저수</v>
      </c>
      <c r="AG579" s="22" t="str">
        <f t="shared" si="539"/>
        <v>저수</v>
      </c>
      <c r="AH579" s="22" t="str">
        <f t="shared" si="540"/>
        <v>저수</v>
      </c>
      <c r="AI579" s="22" t="str">
        <f t="shared" si="541"/>
        <v>고수</v>
      </c>
      <c r="AJ579" s="22" t="str">
        <f t="shared" si="542"/>
        <v>고수</v>
      </c>
      <c r="AK579" s="22" t="str">
        <f t="shared" si="543"/>
        <v>고수</v>
      </c>
      <c r="AL579" s="22" t="str">
        <f t="shared" si="544"/>
        <v>3 : 3</v>
      </c>
      <c r="AM579" s="22">
        <f t="shared" si="545"/>
        <v>3</v>
      </c>
      <c r="AN579" s="22">
        <f t="shared" si="546"/>
        <v>3</v>
      </c>
      <c r="AO579" s="22">
        <f t="shared" si="547"/>
        <v>17</v>
      </c>
      <c r="AP579" s="22" t="str">
        <f t="shared" si="548"/>
        <v>X</v>
      </c>
      <c r="AQ579" s="22" t="str">
        <f t="shared" si="549"/>
        <v>O</v>
      </c>
      <c r="AR579" s="22" t="str">
        <f t="shared" si="550"/>
        <v>X</v>
      </c>
      <c r="AS579" s="22" t="str">
        <f t="shared" si="551"/>
        <v>X</v>
      </c>
      <c r="AT579" s="22" t="str">
        <f t="shared" si="552"/>
        <v>X</v>
      </c>
      <c r="AU579" s="22" t="str">
        <f t="shared" si="553"/>
        <v>X</v>
      </c>
      <c r="AV579" s="22" t="str">
        <f t="shared" si="554"/>
        <v>X</v>
      </c>
      <c r="AW579" s="22" t="str">
        <f t="shared" si="555"/>
        <v>X</v>
      </c>
      <c r="AX579" s="22" t="str">
        <f t="shared" si="556"/>
        <v>X</v>
      </c>
      <c r="AY579" s="22" t="str">
        <f t="shared" si="557"/>
        <v>X</v>
      </c>
      <c r="AZ579" s="22" t="str">
        <f t="shared" si="558"/>
        <v>X</v>
      </c>
      <c r="BA579" s="22" t="str">
        <f t="shared" si="559"/>
        <v>O</v>
      </c>
      <c r="BB579" s="22">
        <f t="shared" si="560"/>
        <v>2</v>
      </c>
      <c r="BC579" s="22" t="str">
        <f t="shared" si="561"/>
        <v>1G</v>
      </c>
      <c r="BD579" s="22" t="str">
        <f t="shared" si="562"/>
        <v>1G</v>
      </c>
      <c r="BE579" s="22" t="str">
        <f t="shared" si="563"/>
        <v>1G</v>
      </c>
      <c r="BF579" s="22" t="str">
        <f t="shared" si="564"/>
        <v>2G</v>
      </c>
      <c r="BG579" s="22" t="str">
        <f t="shared" si="565"/>
        <v>3G</v>
      </c>
      <c r="BH579" s="22" t="str">
        <f t="shared" si="566"/>
        <v>3G</v>
      </c>
      <c r="BI579" s="22">
        <f t="shared" si="416"/>
        <v>3</v>
      </c>
      <c r="BJ579" s="22">
        <f t="shared" si="417"/>
        <v>1</v>
      </c>
      <c r="BK579" s="22">
        <f t="shared" si="418"/>
        <v>2</v>
      </c>
      <c r="BL579" s="22" t="str">
        <f t="shared" si="567"/>
        <v>312</v>
      </c>
      <c r="BS579"/>
    </row>
    <row r="580" spans="2:71" ht="17" hidden="1">
      <c r="B580" s="16">
        <v>577</v>
      </c>
      <c r="C580" s="119"/>
      <c r="D580"/>
      <c r="E580"/>
      <c r="F580"/>
      <c r="G580"/>
      <c r="H580"/>
      <c r="I580"/>
      <c r="J580"/>
      <c r="K580"/>
      <c r="L580"/>
      <c r="M580"/>
      <c r="N580" s="23">
        <v>16</v>
      </c>
      <c r="O580" s="23">
        <v>17</v>
      </c>
      <c r="P580" s="23">
        <v>22</v>
      </c>
      <c r="Q580" s="23">
        <v>31</v>
      </c>
      <c r="R580" s="23">
        <v>34</v>
      </c>
      <c r="S580" s="23">
        <v>37</v>
      </c>
      <c r="T580" s="23">
        <v>33</v>
      </c>
      <c r="U580" s="23">
        <f t="shared" si="528"/>
        <v>157</v>
      </c>
      <c r="W580" s="22" t="str">
        <f t="shared" si="529"/>
        <v>짝수</v>
      </c>
      <c r="X580" s="22" t="str">
        <f t="shared" si="530"/>
        <v>홀수</v>
      </c>
      <c r="Y580" s="22" t="str">
        <f t="shared" si="531"/>
        <v>짝수</v>
      </c>
      <c r="Z580" s="22" t="str">
        <f t="shared" si="532"/>
        <v>홀수</v>
      </c>
      <c r="AA580" s="23" t="str">
        <f t="shared" si="533"/>
        <v>짝수</v>
      </c>
      <c r="AB580" s="23" t="str">
        <f t="shared" si="534"/>
        <v>홀수</v>
      </c>
      <c r="AC580" s="22" t="str">
        <f t="shared" si="535"/>
        <v>3 : 3</v>
      </c>
      <c r="AD580" s="22">
        <f t="shared" si="536"/>
        <v>3</v>
      </c>
      <c r="AE580" s="22">
        <f t="shared" si="537"/>
        <v>3</v>
      </c>
      <c r="AF580" s="22" t="str">
        <f t="shared" si="538"/>
        <v>저수</v>
      </c>
      <c r="AG580" s="22" t="str">
        <f t="shared" si="539"/>
        <v>저수</v>
      </c>
      <c r="AH580" s="22" t="str">
        <f t="shared" si="540"/>
        <v>저수</v>
      </c>
      <c r="AI580" s="22" t="str">
        <f t="shared" si="541"/>
        <v>고수</v>
      </c>
      <c r="AJ580" s="22" t="str">
        <f t="shared" si="542"/>
        <v>고수</v>
      </c>
      <c r="AK580" s="22" t="str">
        <f t="shared" si="543"/>
        <v>고수</v>
      </c>
      <c r="AL580" s="22" t="str">
        <f t="shared" si="544"/>
        <v>3 : 3</v>
      </c>
      <c r="AM580" s="22">
        <f t="shared" si="545"/>
        <v>3</v>
      </c>
      <c r="AN580" s="22">
        <f t="shared" si="546"/>
        <v>3</v>
      </c>
      <c r="AO580" s="22">
        <f t="shared" si="547"/>
        <v>27</v>
      </c>
      <c r="AP580" s="22" t="str">
        <f t="shared" si="548"/>
        <v>X</v>
      </c>
      <c r="AQ580" s="22" t="str">
        <f t="shared" si="549"/>
        <v>O</v>
      </c>
      <c r="AR580" s="22" t="str">
        <f t="shared" si="550"/>
        <v>X</v>
      </c>
      <c r="AS580" s="22" t="str">
        <f t="shared" si="551"/>
        <v>X</v>
      </c>
      <c r="AT580" s="22" t="str">
        <f t="shared" si="552"/>
        <v>X</v>
      </c>
      <c r="AU580" s="22" t="str">
        <f t="shared" si="553"/>
        <v>X</v>
      </c>
      <c r="AV580" s="22" t="str">
        <f t="shared" si="554"/>
        <v>X</v>
      </c>
      <c r="AW580" s="22" t="str">
        <f t="shared" si="555"/>
        <v>X</v>
      </c>
      <c r="AX580" s="22" t="str">
        <f t="shared" si="556"/>
        <v>X</v>
      </c>
      <c r="AY580" s="22" t="str">
        <f t="shared" si="557"/>
        <v>O</v>
      </c>
      <c r="AZ580" s="22" t="str">
        <f t="shared" si="558"/>
        <v>X</v>
      </c>
      <c r="BA580" s="22" t="str">
        <f t="shared" si="559"/>
        <v>O</v>
      </c>
      <c r="BB580" s="22">
        <f t="shared" si="560"/>
        <v>3</v>
      </c>
      <c r="BC580" s="22" t="str">
        <f t="shared" si="561"/>
        <v>2G</v>
      </c>
      <c r="BD580" s="22" t="str">
        <f t="shared" si="562"/>
        <v>2G</v>
      </c>
      <c r="BE580" s="22" t="str">
        <f t="shared" si="563"/>
        <v>2G</v>
      </c>
      <c r="BF580" s="22" t="str">
        <f t="shared" si="564"/>
        <v>3G</v>
      </c>
      <c r="BG580" s="22" t="str">
        <f t="shared" si="565"/>
        <v>3G</v>
      </c>
      <c r="BH580" s="22" t="str">
        <f t="shared" si="566"/>
        <v>3G</v>
      </c>
      <c r="BI580" s="22">
        <f t="shared" si="416"/>
        <v>0</v>
      </c>
      <c r="BJ580" s="22">
        <f t="shared" si="417"/>
        <v>3</v>
      </c>
      <c r="BK580" s="22">
        <f t="shared" si="418"/>
        <v>3</v>
      </c>
      <c r="BL580" s="22" t="str">
        <f t="shared" si="567"/>
        <v>033</v>
      </c>
      <c r="BS580"/>
    </row>
    <row r="581" spans="2:71" ht="17" hidden="1">
      <c r="B581" s="16">
        <v>578</v>
      </c>
      <c r="C581" s="119"/>
      <c r="D581"/>
      <c r="E581"/>
      <c r="F581"/>
      <c r="G581"/>
      <c r="H581"/>
      <c r="I581"/>
      <c r="J581"/>
      <c r="K581"/>
      <c r="L581"/>
      <c r="M581"/>
      <c r="N581" s="23">
        <v>5</v>
      </c>
      <c r="O581" s="23">
        <v>12</v>
      </c>
      <c r="P581" s="23">
        <v>14</v>
      </c>
      <c r="Q581" s="23">
        <v>32</v>
      </c>
      <c r="R581" s="23">
        <v>34</v>
      </c>
      <c r="S581" s="23">
        <v>42</v>
      </c>
      <c r="T581" s="23">
        <v>16</v>
      </c>
      <c r="U581" s="23">
        <f t="shared" si="528"/>
        <v>139</v>
      </c>
      <c r="W581" s="22" t="str">
        <f t="shared" si="529"/>
        <v>홀수</v>
      </c>
      <c r="X581" s="22" t="str">
        <f t="shared" si="530"/>
        <v>짝수</v>
      </c>
      <c r="Y581" s="22" t="str">
        <f t="shared" si="531"/>
        <v>짝수</v>
      </c>
      <c r="Z581" s="22" t="str">
        <f t="shared" si="532"/>
        <v>짝수</v>
      </c>
      <c r="AA581" s="23" t="str">
        <f t="shared" si="533"/>
        <v>짝수</v>
      </c>
      <c r="AB581" s="23" t="str">
        <f t="shared" si="534"/>
        <v>짝수</v>
      </c>
      <c r="AC581" s="22" t="str">
        <f t="shared" si="535"/>
        <v>1 : 5</v>
      </c>
      <c r="AD581" s="22">
        <f t="shared" si="536"/>
        <v>1</v>
      </c>
      <c r="AE581" s="22">
        <f t="shared" si="537"/>
        <v>5</v>
      </c>
      <c r="AF581" s="22" t="str">
        <f t="shared" si="538"/>
        <v>저수</v>
      </c>
      <c r="AG581" s="22" t="str">
        <f t="shared" si="539"/>
        <v>저수</v>
      </c>
      <c r="AH581" s="22" t="str">
        <f t="shared" si="540"/>
        <v>저수</v>
      </c>
      <c r="AI581" s="22" t="str">
        <f t="shared" si="541"/>
        <v>고수</v>
      </c>
      <c r="AJ581" s="22" t="str">
        <f t="shared" si="542"/>
        <v>고수</v>
      </c>
      <c r="AK581" s="22" t="str">
        <f t="shared" si="543"/>
        <v>고수</v>
      </c>
      <c r="AL581" s="22" t="str">
        <f t="shared" si="544"/>
        <v>3 : 3</v>
      </c>
      <c r="AM581" s="22">
        <f t="shared" si="545"/>
        <v>3</v>
      </c>
      <c r="AN581" s="22">
        <f t="shared" si="546"/>
        <v>3</v>
      </c>
      <c r="AO581" s="22">
        <f t="shared" si="547"/>
        <v>19</v>
      </c>
      <c r="AP581" s="22" t="str">
        <f t="shared" si="548"/>
        <v>O</v>
      </c>
      <c r="AQ581" s="22" t="str">
        <f t="shared" si="549"/>
        <v>X</v>
      </c>
      <c r="AR581" s="22" t="str">
        <f t="shared" si="550"/>
        <v>X</v>
      </c>
      <c r="AS581" s="22" t="str">
        <f t="shared" si="551"/>
        <v>X</v>
      </c>
      <c r="AT581" s="22" t="str">
        <f t="shared" si="552"/>
        <v>X</v>
      </c>
      <c r="AU581" s="22" t="str">
        <f t="shared" si="553"/>
        <v>X</v>
      </c>
      <c r="AV581" s="22" t="str">
        <f t="shared" si="554"/>
        <v>X</v>
      </c>
      <c r="AW581" s="22" t="str">
        <f t="shared" si="555"/>
        <v>X</v>
      </c>
      <c r="AX581" s="22" t="str">
        <f t="shared" si="556"/>
        <v>X</v>
      </c>
      <c r="AY581" s="22" t="str">
        <f t="shared" si="557"/>
        <v>X</v>
      </c>
      <c r="AZ581" s="22" t="str">
        <f t="shared" si="558"/>
        <v>X</v>
      </c>
      <c r="BA581" s="22" t="str">
        <f t="shared" si="559"/>
        <v>X</v>
      </c>
      <c r="BB581" s="22">
        <f t="shared" si="560"/>
        <v>1</v>
      </c>
      <c r="BC581" s="22" t="str">
        <f t="shared" si="561"/>
        <v>1G</v>
      </c>
      <c r="BD581" s="22" t="str">
        <f t="shared" si="562"/>
        <v>1G</v>
      </c>
      <c r="BE581" s="22" t="str">
        <f t="shared" si="563"/>
        <v>1G</v>
      </c>
      <c r="BF581" s="22" t="str">
        <f t="shared" si="564"/>
        <v>3G</v>
      </c>
      <c r="BG581" s="22" t="str">
        <f t="shared" si="565"/>
        <v>3G</v>
      </c>
      <c r="BH581" s="22" t="str">
        <f t="shared" si="566"/>
        <v>3G</v>
      </c>
      <c r="BI581" s="22">
        <f t="shared" si="416"/>
        <v>3</v>
      </c>
      <c r="BJ581" s="22">
        <f t="shared" si="417"/>
        <v>0</v>
      </c>
      <c r="BK581" s="22">
        <f t="shared" si="418"/>
        <v>3</v>
      </c>
      <c r="BL581" s="22" t="str">
        <f t="shared" si="567"/>
        <v>303</v>
      </c>
      <c r="BS581"/>
    </row>
    <row r="582" spans="2:71" ht="17" hidden="1">
      <c r="B582" s="16">
        <v>579</v>
      </c>
      <c r="C582" s="119"/>
      <c r="D582"/>
      <c r="E582"/>
      <c r="F582"/>
      <c r="G582"/>
      <c r="H582"/>
      <c r="I582"/>
      <c r="J582"/>
      <c r="K582"/>
      <c r="L582"/>
      <c r="M582"/>
      <c r="N582" s="23">
        <v>5</v>
      </c>
      <c r="O582" s="23">
        <v>7</v>
      </c>
      <c r="P582" s="23">
        <v>20</v>
      </c>
      <c r="Q582" s="23">
        <v>22</v>
      </c>
      <c r="R582" s="23">
        <v>37</v>
      </c>
      <c r="S582" s="23">
        <v>42</v>
      </c>
      <c r="T582" s="23">
        <v>39</v>
      </c>
      <c r="U582" s="23">
        <f t="shared" si="528"/>
        <v>133</v>
      </c>
      <c r="W582" s="22" t="str">
        <f t="shared" si="529"/>
        <v>홀수</v>
      </c>
      <c r="X582" s="22" t="str">
        <f t="shared" si="530"/>
        <v>홀수</v>
      </c>
      <c r="Y582" s="22" t="str">
        <f t="shared" si="531"/>
        <v>짝수</v>
      </c>
      <c r="Z582" s="22" t="str">
        <f t="shared" si="532"/>
        <v>짝수</v>
      </c>
      <c r="AA582" s="23" t="str">
        <f t="shared" si="533"/>
        <v>홀수</v>
      </c>
      <c r="AB582" s="23" t="str">
        <f t="shared" si="534"/>
        <v>짝수</v>
      </c>
      <c r="AC582" s="22" t="str">
        <f t="shared" si="535"/>
        <v>3 : 3</v>
      </c>
      <c r="AD582" s="22">
        <f t="shared" si="536"/>
        <v>3</v>
      </c>
      <c r="AE582" s="22">
        <f t="shared" si="537"/>
        <v>3</v>
      </c>
      <c r="AF582" s="22" t="str">
        <f t="shared" si="538"/>
        <v>저수</v>
      </c>
      <c r="AG582" s="22" t="str">
        <f t="shared" si="539"/>
        <v>저수</v>
      </c>
      <c r="AH582" s="22" t="str">
        <f t="shared" si="540"/>
        <v>저수</v>
      </c>
      <c r="AI582" s="22" t="str">
        <f t="shared" si="541"/>
        <v>저수</v>
      </c>
      <c r="AJ582" s="22" t="str">
        <f t="shared" si="542"/>
        <v>고수</v>
      </c>
      <c r="AK582" s="22" t="str">
        <f t="shared" si="543"/>
        <v>고수</v>
      </c>
      <c r="AL582" s="22" t="str">
        <f t="shared" si="544"/>
        <v>4 : 2</v>
      </c>
      <c r="AM582" s="22">
        <f t="shared" si="545"/>
        <v>4</v>
      </c>
      <c r="AN582" s="22">
        <f t="shared" si="546"/>
        <v>2</v>
      </c>
      <c r="AO582" s="22">
        <f t="shared" si="547"/>
        <v>23</v>
      </c>
      <c r="AP582" s="22" t="str">
        <f t="shared" si="548"/>
        <v>O</v>
      </c>
      <c r="AQ582" s="22" t="str">
        <f t="shared" si="549"/>
        <v>O</v>
      </c>
      <c r="AR582" s="22" t="str">
        <f t="shared" si="550"/>
        <v>X</v>
      </c>
      <c r="AS582" s="22" t="str">
        <f t="shared" si="551"/>
        <v>X</v>
      </c>
      <c r="AT582" s="22" t="str">
        <f t="shared" si="552"/>
        <v>X</v>
      </c>
      <c r="AU582" s="22" t="str">
        <f t="shared" si="553"/>
        <v>X</v>
      </c>
      <c r="AV582" s="22" t="str">
        <f t="shared" si="554"/>
        <v>X</v>
      </c>
      <c r="AW582" s="22" t="str">
        <f t="shared" si="555"/>
        <v>X</v>
      </c>
      <c r="AX582" s="22" t="str">
        <f t="shared" si="556"/>
        <v>X</v>
      </c>
      <c r="AY582" s="22" t="str">
        <f t="shared" si="557"/>
        <v>X</v>
      </c>
      <c r="AZ582" s="22" t="str">
        <f t="shared" si="558"/>
        <v>O</v>
      </c>
      <c r="BA582" s="22" t="str">
        <f t="shared" si="559"/>
        <v>X</v>
      </c>
      <c r="BB582" s="22">
        <f t="shared" si="560"/>
        <v>3</v>
      </c>
      <c r="BC582" s="22" t="str">
        <f t="shared" si="561"/>
        <v>1G</v>
      </c>
      <c r="BD582" s="22" t="str">
        <f t="shared" si="562"/>
        <v>1G</v>
      </c>
      <c r="BE582" s="22" t="str">
        <f t="shared" si="563"/>
        <v>2G</v>
      </c>
      <c r="BF582" s="22" t="str">
        <f t="shared" si="564"/>
        <v>2G</v>
      </c>
      <c r="BG582" s="22" t="str">
        <f t="shared" si="565"/>
        <v>3G</v>
      </c>
      <c r="BH582" s="22" t="str">
        <f t="shared" si="566"/>
        <v>3G</v>
      </c>
      <c r="BI582" s="22">
        <f t="shared" ref="BI582:BI702" si="568">COUNTIF($BC582:$BH582,"1G")</f>
        <v>2</v>
      </c>
      <c r="BJ582" s="22">
        <f t="shared" ref="BJ582:BJ702" si="569">COUNTIF($BC582:$BH582,"2G")</f>
        <v>2</v>
      </c>
      <c r="BK582" s="22">
        <f t="shared" ref="BK582:BK702" si="570">COUNTIF($BC582:$BH582,"3G")</f>
        <v>2</v>
      </c>
      <c r="BL582" s="22" t="str">
        <f t="shared" si="567"/>
        <v>222</v>
      </c>
      <c r="BS582"/>
    </row>
    <row r="583" spans="2:71" ht="17" hidden="1">
      <c r="B583" s="16">
        <v>580</v>
      </c>
      <c r="C583" s="119"/>
      <c r="D583"/>
      <c r="E583"/>
      <c r="F583"/>
      <c r="G583"/>
      <c r="H583"/>
      <c r="I583"/>
      <c r="J583"/>
      <c r="K583"/>
      <c r="L583"/>
      <c r="M583"/>
      <c r="N583" s="23">
        <v>5</v>
      </c>
      <c r="O583" s="23">
        <v>7</v>
      </c>
      <c r="P583" s="23">
        <v>9</v>
      </c>
      <c r="Q583" s="23">
        <v>11</v>
      </c>
      <c r="R583" s="23">
        <v>32</v>
      </c>
      <c r="S583" s="23">
        <v>35</v>
      </c>
      <c r="T583" s="23">
        <v>33</v>
      </c>
      <c r="U583" s="23">
        <f t="shared" si="528"/>
        <v>99</v>
      </c>
      <c r="W583" s="22" t="str">
        <f t="shared" si="529"/>
        <v>홀수</v>
      </c>
      <c r="X583" s="22" t="str">
        <f t="shared" si="530"/>
        <v>홀수</v>
      </c>
      <c r="Y583" s="22" t="str">
        <f t="shared" si="531"/>
        <v>홀수</v>
      </c>
      <c r="Z583" s="22" t="str">
        <f t="shared" si="532"/>
        <v>홀수</v>
      </c>
      <c r="AA583" s="23" t="str">
        <f t="shared" si="533"/>
        <v>짝수</v>
      </c>
      <c r="AB583" s="23" t="str">
        <f t="shared" si="534"/>
        <v>홀수</v>
      </c>
      <c r="AC583" s="22" t="str">
        <f t="shared" si="535"/>
        <v>5 : 1</v>
      </c>
      <c r="AD583" s="22">
        <f t="shared" si="536"/>
        <v>5</v>
      </c>
      <c r="AE583" s="22">
        <f t="shared" si="537"/>
        <v>1</v>
      </c>
      <c r="AF583" s="22" t="str">
        <f t="shared" si="538"/>
        <v>저수</v>
      </c>
      <c r="AG583" s="22" t="str">
        <f t="shared" si="539"/>
        <v>저수</v>
      </c>
      <c r="AH583" s="22" t="str">
        <f t="shared" si="540"/>
        <v>저수</v>
      </c>
      <c r="AI583" s="22" t="str">
        <f t="shared" si="541"/>
        <v>저수</v>
      </c>
      <c r="AJ583" s="22" t="str">
        <f t="shared" si="542"/>
        <v>고수</v>
      </c>
      <c r="AK583" s="22" t="str">
        <f t="shared" si="543"/>
        <v>고수</v>
      </c>
      <c r="AL583" s="22" t="str">
        <f t="shared" si="544"/>
        <v>4 : 2</v>
      </c>
      <c r="AM583" s="22">
        <f t="shared" si="545"/>
        <v>4</v>
      </c>
      <c r="AN583" s="22">
        <f t="shared" si="546"/>
        <v>2</v>
      </c>
      <c r="AO583" s="22">
        <f t="shared" si="547"/>
        <v>29</v>
      </c>
      <c r="AP583" s="22" t="str">
        <f t="shared" si="548"/>
        <v>O</v>
      </c>
      <c r="AQ583" s="22" t="str">
        <f t="shared" si="549"/>
        <v>O</v>
      </c>
      <c r="AR583" s="22" t="str">
        <f t="shared" si="550"/>
        <v>X</v>
      </c>
      <c r="AS583" s="22" t="str">
        <f t="shared" si="551"/>
        <v>O</v>
      </c>
      <c r="AT583" s="22" t="str">
        <f t="shared" si="552"/>
        <v>X</v>
      </c>
      <c r="AU583" s="22" t="str">
        <f t="shared" si="553"/>
        <v>X</v>
      </c>
      <c r="AV583" s="22" t="str">
        <f t="shared" si="554"/>
        <v>X</v>
      </c>
      <c r="AW583" s="22" t="str">
        <f t="shared" si="555"/>
        <v>X</v>
      </c>
      <c r="AX583" s="22" t="str">
        <f t="shared" si="556"/>
        <v>X</v>
      </c>
      <c r="AY583" s="22" t="str">
        <f t="shared" si="557"/>
        <v>X</v>
      </c>
      <c r="AZ583" s="22" t="str">
        <f t="shared" si="558"/>
        <v>X</v>
      </c>
      <c r="BA583" s="22" t="str">
        <f t="shared" si="559"/>
        <v>X</v>
      </c>
      <c r="BB583" s="22">
        <f t="shared" si="560"/>
        <v>3</v>
      </c>
      <c r="BC583" s="22" t="str">
        <f t="shared" si="561"/>
        <v>1G</v>
      </c>
      <c r="BD583" s="22" t="str">
        <f t="shared" si="562"/>
        <v>1G</v>
      </c>
      <c r="BE583" s="22" t="str">
        <f t="shared" si="563"/>
        <v>1G</v>
      </c>
      <c r="BF583" s="22" t="str">
        <f t="shared" si="564"/>
        <v>1G</v>
      </c>
      <c r="BG583" s="22" t="str">
        <f t="shared" si="565"/>
        <v>3G</v>
      </c>
      <c r="BH583" s="22" t="str">
        <f t="shared" si="566"/>
        <v>3G</v>
      </c>
      <c r="BI583" s="22">
        <f t="shared" si="568"/>
        <v>4</v>
      </c>
      <c r="BJ583" s="22">
        <f t="shared" si="569"/>
        <v>0</v>
      </c>
      <c r="BK583" s="22">
        <f t="shared" si="570"/>
        <v>2</v>
      </c>
      <c r="BL583" s="22" t="str">
        <f t="shared" si="567"/>
        <v>402</v>
      </c>
      <c r="BS583"/>
    </row>
    <row r="584" spans="2:71" ht="17" hidden="1">
      <c r="B584" s="16">
        <v>581</v>
      </c>
      <c r="C584" s="119" t="s">
        <v>957</v>
      </c>
      <c r="D584"/>
      <c r="E584"/>
      <c r="F584"/>
      <c r="G584"/>
      <c r="H584"/>
      <c r="I584"/>
      <c r="J584"/>
      <c r="K584"/>
      <c r="L584"/>
      <c r="M584"/>
      <c r="N584" s="23">
        <v>3</v>
      </c>
      <c r="O584" s="23">
        <v>5</v>
      </c>
      <c r="P584" s="23">
        <v>14</v>
      </c>
      <c r="Q584" s="23">
        <v>20</v>
      </c>
      <c r="R584" s="23">
        <v>42</v>
      </c>
      <c r="S584" s="23">
        <v>44</v>
      </c>
      <c r="T584" s="23">
        <v>33</v>
      </c>
      <c r="U584" s="23">
        <f t="shared" si="528"/>
        <v>128</v>
      </c>
      <c r="W584" s="22" t="str">
        <f t="shared" si="529"/>
        <v>홀수</v>
      </c>
      <c r="X584" s="22" t="str">
        <f t="shared" si="530"/>
        <v>홀수</v>
      </c>
      <c r="Y584" s="22" t="str">
        <f t="shared" si="531"/>
        <v>짝수</v>
      </c>
      <c r="Z584" s="22" t="str">
        <f t="shared" si="532"/>
        <v>짝수</v>
      </c>
      <c r="AA584" s="23" t="str">
        <f t="shared" si="533"/>
        <v>짝수</v>
      </c>
      <c r="AB584" s="23" t="str">
        <f t="shared" si="534"/>
        <v>짝수</v>
      </c>
      <c r="AC584" s="22" t="str">
        <f t="shared" si="535"/>
        <v>2 : 4</v>
      </c>
      <c r="AD584" s="22">
        <f t="shared" si="536"/>
        <v>2</v>
      </c>
      <c r="AE584" s="22">
        <f t="shared" si="537"/>
        <v>4</v>
      </c>
      <c r="AF584" s="22" t="str">
        <f t="shared" si="538"/>
        <v>저수</v>
      </c>
      <c r="AG584" s="22" t="str">
        <f t="shared" si="539"/>
        <v>저수</v>
      </c>
      <c r="AH584" s="22" t="str">
        <f t="shared" si="540"/>
        <v>저수</v>
      </c>
      <c r="AI584" s="22" t="str">
        <f t="shared" si="541"/>
        <v>저수</v>
      </c>
      <c r="AJ584" s="22" t="str">
        <f t="shared" si="542"/>
        <v>고수</v>
      </c>
      <c r="AK584" s="22" t="str">
        <f t="shared" si="543"/>
        <v>고수</v>
      </c>
      <c r="AL584" s="22" t="str">
        <f t="shared" si="544"/>
        <v>4 : 2</v>
      </c>
      <c r="AM584" s="22">
        <f t="shared" si="545"/>
        <v>4</v>
      </c>
      <c r="AN584" s="22">
        <f t="shared" si="546"/>
        <v>2</v>
      </c>
      <c r="AO584" s="22">
        <f t="shared" si="547"/>
        <v>18</v>
      </c>
      <c r="AP584" s="22" t="str">
        <f t="shared" si="548"/>
        <v>O</v>
      </c>
      <c r="AQ584" s="22" t="str">
        <f t="shared" si="549"/>
        <v>O</v>
      </c>
      <c r="AR584" s="22" t="str">
        <f t="shared" si="550"/>
        <v>X</v>
      </c>
      <c r="AS584" s="22" t="str">
        <f t="shared" si="551"/>
        <v>X</v>
      </c>
      <c r="AT584" s="22" t="str">
        <f t="shared" si="552"/>
        <v>X</v>
      </c>
      <c r="AU584" s="22" t="str">
        <f t="shared" si="553"/>
        <v>X</v>
      </c>
      <c r="AV584" s="22" t="str">
        <f t="shared" si="554"/>
        <v>X</v>
      </c>
      <c r="AW584" s="22" t="str">
        <f t="shared" si="555"/>
        <v>X</v>
      </c>
      <c r="AX584" s="22" t="str">
        <f t="shared" si="556"/>
        <v>X</v>
      </c>
      <c r="AY584" s="22" t="str">
        <f t="shared" si="557"/>
        <v>X</v>
      </c>
      <c r="AZ584" s="22" t="str">
        <f t="shared" si="558"/>
        <v>X</v>
      </c>
      <c r="BA584" s="22" t="str">
        <f t="shared" si="559"/>
        <v>X</v>
      </c>
      <c r="BB584" s="22">
        <f t="shared" si="560"/>
        <v>2</v>
      </c>
      <c r="BC584" s="22" t="str">
        <f t="shared" si="561"/>
        <v>1G</v>
      </c>
      <c r="BD584" s="22" t="str">
        <f t="shared" si="562"/>
        <v>1G</v>
      </c>
      <c r="BE584" s="22" t="str">
        <f t="shared" si="563"/>
        <v>1G</v>
      </c>
      <c r="BF584" s="22" t="str">
        <f t="shared" si="564"/>
        <v>2G</v>
      </c>
      <c r="BG584" s="22" t="str">
        <f t="shared" si="565"/>
        <v>3G</v>
      </c>
      <c r="BH584" s="22" t="str">
        <f t="shared" si="566"/>
        <v>3G</v>
      </c>
      <c r="BI584" s="22">
        <f t="shared" si="568"/>
        <v>3</v>
      </c>
      <c r="BJ584" s="22">
        <f t="shared" si="569"/>
        <v>1</v>
      </c>
      <c r="BK584" s="22">
        <f t="shared" si="570"/>
        <v>2</v>
      </c>
      <c r="BL584" s="22" t="str">
        <f t="shared" si="567"/>
        <v>312</v>
      </c>
      <c r="BS584"/>
    </row>
    <row r="585" spans="2:71" ht="17" hidden="1">
      <c r="B585" s="16">
        <v>582</v>
      </c>
      <c r="C585" s="119" t="s">
        <v>956</v>
      </c>
      <c r="D585"/>
      <c r="E585"/>
      <c r="F585"/>
      <c r="G585"/>
      <c r="H585"/>
      <c r="I585"/>
      <c r="J585"/>
      <c r="K585"/>
      <c r="L585"/>
      <c r="M585"/>
      <c r="N585" s="23">
        <v>2</v>
      </c>
      <c r="O585" s="23">
        <v>12</v>
      </c>
      <c r="P585" s="23">
        <v>14</v>
      </c>
      <c r="Q585" s="23">
        <v>33</v>
      </c>
      <c r="R585" s="23">
        <v>40</v>
      </c>
      <c r="S585" s="23">
        <v>41</v>
      </c>
      <c r="T585" s="23">
        <v>25</v>
      </c>
      <c r="U585" s="23">
        <f t="shared" si="528"/>
        <v>142</v>
      </c>
      <c r="W585" s="22" t="str">
        <f t="shared" si="529"/>
        <v>짝수</v>
      </c>
      <c r="X585" s="22" t="str">
        <f t="shared" si="530"/>
        <v>짝수</v>
      </c>
      <c r="Y585" s="22" t="str">
        <f t="shared" si="531"/>
        <v>짝수</v>
      </c>
      <c r="Z585" s="22" t="str">
        <f t="shared" si="532"/>
        <v>홀수</v>
      </c>
      <c r="AA585" s="23" t="str">
        <f t="shared" si="533"/>
        <v>짝수</v>
      </c>
      <c r="AB585" s="23" t="str">
        <f t="shared" si="534"/>
        <v>홀수</v>
      </c>
      <c r="AC585" s="22" t="str">
        <f t="shared" si="535"/>
        <v>2 : 4</v>
      </c>
      <c r="AD585" s="22">
        <f t="shared" si="536"/>
        <v>2</v>
      </c>
      <c r="AE585" s="22">
        <f t="shared" si="537"/>
        <v>4</v>
      </c>
      <c r="AF585" s="22" t="str">
        <f t="shared" si="538"/>
        <v>저수</v>
      </c>
      <c r="AG585" s="22" t="str">
        <f t="shared" si="539"/>
        <v>저수</v>
      </c>
      <c r="AH585" s="22" t="str">
        <f t="shared" si="540"/>
        <v>저수</v>
      </c>
      <c r="AI585" s="22" t="str">
        <f t="shared" si="541"/>
        <v>고수</v>
      </c>
      <c r="AJ585" s="22" t="str">
        <f t="shared" si="542"/>
        <v>고수</v>
      </c>
      <c r="AK585" s="22" t="str">
        <f t="shared" si="543"/>
        <v>고수</v>
      </c>
      <c r="AL585" s="22" t="str">
        <f t="shared" si="544"/>
        <v>3 : 3</v>
      </c>
      <c r="AM585" s="22">
        <f t="shared" si="545"/>
        <v>3</v>
      </c>
      <c r="AN585" s="22">
        <f t="shared" si="546"/>
        <v>3</v>
      </c>
      <c r="AO585" s="22">
        <f t="shared" si="547"/>
        <v>12</v>
      </c>
      <c r="AP585" s="22" t="str">
        <f t="shared" si="548"/>
        <v>O</v>
      </c>
      <c r="AQ585" s="22" t="str">
        <f t="shared" si="549"/>
        <v>X</v>
      </c>
      <c r="AR585" s="22" t="str">
        <f t="shared" si="550"/>
        <v>X</v>
      </c>
      <c r="AS585" s="22" t="str">
        <f t="shared" si="551"/>
        <v>X</v>
      </c>
      <c r="AT585" s="22" t="str">
        <f t="shared" si="552"/>
        <v>X</v>
      </c>
      <c r="AU585" s="22" t="str">
        <f t="shared" si="553"/>
        <v>X</v>
      </c>
      <c r="AV585" s="22" t="str">
        <f t="shared" si="554"/>
        <v>X</v>
      </c>
      <c r="AW585" s="22" t="str">
        <f t="shared" si="555"/>
        <v>X</v>
      </c>
      <c r="AX585" s="22" t="str">
        <f t="shared" si="556"/>
        <v>X</v>
      </c>
      <c r="AY585" s="22" t="str">
        <f t="shared" si="557"/>
        <v>X</v>
      </c>
      <c r="AZ585" s="22" t="str">
        <f t="shared" si="558"/>
        <v>X</v>
      </c>
      <c r="BA585" s="22" t="str">
        <f t="shared" si="559"/>
        <v>O</v>
      </c>
      <c r="BB585" s="22">
        <f t="shared" si="560"/>
        <v>2</v>
      </c>
      <c r="BC585" s="22" t="str">
        <f t="shared" si="561"/>
        <v>1G</v>
      </c>
      <c r="BD585" s="22" t="str">
        <f t="shared" si="562"/>
        <v>1G</v>
      </c>
      <c r="BE585" s="22" t="str">
        <f t="shared" si="563"/>
        <v>1G</v>
      </c>
      <c r="BF585" s="22" t="str">
        <f t="shared" si="564"/>
        <v>3G</v>
      </c>
      <c r="BG585" s="22" t="str">
        <f t="shared" si="565"/>
        <v>3G</v>
      </c>
      <c r="BH585" s="22" t="str">
        <f t="shared" si="566"/>
        <v>3G</v>
      </c>
      <c r="BI585" s="22">
        <f t="shared" si="568"/>
        <v>3</v>
      </c>
      <c r="BJ585" s="22">
        <f t="shared" si="569"/>
        <v>0</v>
      </c>
      <c r="BK585" s="22">
        <f t="shared" si="570"/>
        <v>3</v>
      </c>
      <c r="BL585" s="22" t="str">
        <f t="shared" si="567"/>
        <v>303</v>
      </c>
      <c r="BS585"/>
    </row>
    <row r="586" spans="2:71" ht="17" hidden="1">
      <c r="B586" s="16">
        <v>583</v>
      </c>
      <c r="C586" s="119" t="s">
        <v>955</v>
      </c>
      <c r="D586"/>
      <c r="E586"/>
      <c r="F586"/>
      <c r="G586"/>
      <c r="H586"/>
      <c r="I586"/>
      <c r="J586"/>
      <c r="K586"/>
      <c r="L586"/>
      <c r="M586"/>
      <c r="N586" s="23">
        <v>8</v>
      </c>
      <c r="O586" s="23">
        <v>17</v>
      </c>
      <c r="P586" s="23">
        <v>27</v>
      </c>
      <c r="Q586" s="23">
        <v>33</v>
      </c>
      <c r="R586" s="23">
        <v>40</v>
      </c>
      <c r="S586" s="23">
        <v>44</v>
      </c>
      <c r="T586" s="23">
        <v>24</v>
      </c>
      <c r="U586" s="23">
        <f t="shared" si="528"/>
        <v>169</v>
      </c>
      <c r="W586" s="22" t="str">
        <f t="shared" si="529"/>
        <v>짝수</v>
      </c>
      <c r="X586" s="22" t="str">
        <f t="shared" si="530"/>
        <v>홀수</v>
      </c>
      <c r="Y586" s="22" t="str">
        <f t="shared" si="531"/>
        <v>홀수</v>
      </c>
      <c r="Z586" s="22" t="str">
        <f t="shared" si="532"/>
        <v>홀수</v>
      </c>
      <c r="AA586" s="23" t="str">
        <f t="shared" si="533"/>
        <v>짝수</v>
      </c>
      <c r="AB586" s="23" t="str">
        <f t="shared" si="534"/>
        <v>짝수</v>
      </c>
      <c r="AC586" s="22" t="str">
        <f t="shared" si="535"/>
        <v>3 : 3</v>
      </c>
      <c r="AD586" s="22">
        <f t="shared" si="536"/>
        <v>3</v>
      </c>
      <c r="AE586" s="22">
        <f t="shared" si="537"/>
        <v>3</v>
      </c>
      <c r="AF586" s="22" t="str">
        <f t="shared" si="538"/>
        <v>저수</v>
      </c>
      <c r="AG586" s="22" t="str">
        <f t="shared" si="539"/>
        <v>저수</v>
      </c>
      <c r="AH586" s="22" t="str">
        <f t="shared" si="540"/>
        <v>고수</v>
      </c>
      <c r="AI586" s="22" t="str">
        <f t="shared" si="541"/>
        <v>고수</v>
      </c>
      <c r="AJ586" s="22" t="str">
        <f t="shared" si="542"/>
        <v>고수</v>
      </c>
      <c r="AK586" s="22" t="str">
        <f t="shared" si="543"/>
        <v>고수</v>
      </c>
      <c r="AL586" s="22" t="str">
        <f t="shared" si="544"/>
        <v>2 : 4</v>
      </c>
      <c r="AM586" s="22">
        <f t="shared" si="545"/>
        <v>2</v>
      </c>
      <c r="AN586" s="22">
        <f t="shared" si="546"/>
        <v>4</v>
      </c>
      <c r="AO586" s="22">
        <f t="shared" si="547"/>
        <v>29</v>
      </c>
      <c r="AP586" s="22" t="str">
        <f t="shared" si="548"/>
        <v>X</v>
      </c>
      <c r="AQ586" s="22" t="str">
        <f t="shared" si="549"/>
        <v>O</v>
      </c>
      <c r="AR586" s="22" t="str">
        <f t="shared" si="550"/>
        <v>X</v>
      </c>
      <c r="AS586" s="22" t="str">
        <f t="shared" si="551"/>
        <v>X</v>
      </c>
      <c r="AT586" s="22" t="str">
        <f t="shared" si="552"/>
        <v>X</v>
      </c>
      <c r="AU586" s="22" t="str">
        <f t="shared" si="553"/>
        <v>X</v>
      </c>
      <c r="AV586" s="22" t="str">
        <f t="shared" si="554"/>
        <v>X</v>
      </c>
      <c r="AW586" s="22" t="str">
        <f t="shared" si="555"/>
        <v>X</v>
      </c>
      <c r="AX586" s="22" t="str">
        <f t="shared" si="556"/>
        <v>X</v>
      </c>
      <c r="AY586" s="22" t="str">
        <f t="shared" si="557"/>
        <v>X</v>
      </c>
      <c r="AZ586" s="22" t="str">
        <f t="shared" si="558"/>
        <v>X</v>
      </c>
      <c r="BA586" s="22" t="str">
        <f t="shared" si="559"/>
        <v>X</v>
      </c>
      <c r="BB586" s="22">
        <f t="shared" si="560"/>
        <v>1</v>
      </c>
      <c r="BC586" s="22" t="str">
        <f t="shared" si="561"/>
        <v>1G</v>
      </c>
      <c r="BD586" s="22" t="str">
        <f t="shared" si="562"/>
        <v>2G</v>
      </c>
      <c r="BE586" s="22" t="str">
        <f t="shared" si="563"/>
        <v>2G</v>
      </c>
      <c r="BF586" s="22" t="str">
        <f t="shared" si="564"/>
        <v>3G</v>
      </c>
      <c r="BG586" s="22" t="str">
        <f t="shared" si="565"/>
        <v>3G</v>
      </c>
      <c r="BH586" s="22" t="str">
        <f t="shared" si="566"/>
        <v>3G</v>
      </c>
      <c r="BI586" s="22">
        <f t="shared" si="568"/>
        <v>1</v>
      </c>
      <c r="BJ586" s="22">
        <f t="shared" si="569"/>
        <v>2</v>
      </c>
      <c r="BK586" s="22">
        <f t="shared" si="570"/>
        <v>3</v>
      </c>
      <c r="BL586" s="22" t="str">
        <f t="shared" si="567"/>
        <v>123</v>
      </c>
      <c r="BS586"/>
    </row>
    <row r="587" spans="2:71" ht="17" hidden="1">
      <c r="B587" s="16">
        <v>584</v>
      </c>
      <c r="C587" s="119" t="s">
        <v>954</v>
      </c>
      <c r="D587"/>
      <c r="E587"/>
      <c r="F587"/>
      <c r="G587"/>
      <c r="H587"/>
      <c r="I587"/>
      <c r="J587"/>
      <c r="K587"/>
      <c r="L587"/>
      <c r="M587"/>
      <c r="N587" s="23">
        <v>7</v>
      </c>
      <c r="O587" s="23">
        <v>18</v>
      </c>
      <c r="P587" s="23">
        <v>30</v>
      </c>
      <c r="Q587" s="23">
        <v>39</v>
      </c>
      <c r="R587" s="23">
        <v>40</v>
      </c>
      <c r="S587" s="23">
        <v>41</v>
      </c>
      <c r="T587" s="23">
        <v>36</v>
      </c>
      <c r="U587" s="23">
        <f t="shared" si="528"/>
        <v>175</v>
      </c>
      <c r="W587" s="22" t="str">
        <f t="shared" si="529"/>
        <v>홀수</v>
      </c>
      <c r="X587" s="22" t="str">
        <f t="shared" si="530"/>
        <v>짝수</v>
      </c>
      <c r="Y587" s="22" t="str">
        <f t="shared" si="531"/>
        <v>짝수</v>
      </c>
      <c r="Z587" s="22" t="str">
        <f t="shared" si="532"/>
        <v>홀수</v>
      </c>
      <c r="AA587" s="23" t="str">
        <f t="shared" si="533"/>
        <v>짝수</v>
      </c>
      <c r="AB587" s="23" t="str">
        <f t="shared" si="534"/>
        <v>홀수</v>
      </c>
      <c r="AC587" s="22" t="str">
        <f t="shared" si="535"/>
        <v>3 : 3</v>
      </c>
      <c r="AD587" s="22">
        <f t="shared" si="536"/>
        <v>3</v>
      </c>
      <c r="AE587" s="22">
        <f t="shared" si="537"/>
        <v>3</v>
      </c>
      <c r="AF587" s="22" t="str">
        <f t="shared" si="538"/>
        <v>저수</v>
      </c>
      <c r="AG587" s="22" t="str">
        <f t="shared" si="539"/>
        <v>저수</v>
      </c>
      <c r="AH587" s="22" t="str">
        <f t="shared" si="540"/>
        <v>고수</v>
      </c>
      <c r="AI587" s="22" t="str">
        <f t="shared" si="541"/>
        <v>고수</v>
      </c>
      <c r="AJ587" s="22" t="str">
        <f t="shared" si="542"/>
        <v>고수</v>
      </c>
      <c r="AK587" s="22" t="str">
        <f t="shared" si="543"/>
        <v>고수</v>
      </c>
      <c r="AL587" s="22" t="str">
        <f t="shared" si="544"/>
        <v>2 : 4</v>
      </c>
      <c r="AM587" s="22">
        <f t="shared" si="545"/>
        <v>2</v>
      </c>
      <c r="AN587" s="22">
        <f t="shared" si="546"/>
        <v>4</v>
      </c>
      <c r="AO587" s="22">
        <f t="shared" si="547"/>
        <v>25</v>
      </c>
      <c r="AP587" s="22" t="str">
        <f t="shared" si="548"/>
        <v>O</v>
      </c>
      <c r="AQ587" s="22" t="str">
        <f t="shared" si="549"/>
        <v>X</v>
      </c>
      <c r="AR587" s="22" t="str">
        <f t="shared" si="550"/>
        <v>X</v>
      </c>
      <c r="AS587" s="22" t="str">
        <f t="shared" si="551"/>
        <v>X</v>
      </c>
      <c r="AT587" s="22" t="str">
        <f t="shared" si="552"/>
        <v>X</v>
      </c>
      <c r="AU587" s="22" t="str">
        <f t="shared" si="553"/>
        <v>X</v>
      </c>
      <c r="AV587" s="22" t="str">
        <f t="shared" si="554"/>
        <v>X</v>
      </c>
      <c r="AW587" s="22" t="str">
        <f t="shared" si="555"/>
        <v>X</v>
      </c>
      <c r="AX587" s="22" t="str">
        <f t="shared" si="556"/>
        <v>X</v>
      </c>
      <c r="AY587" s="22" t="str">
        <f t="shared" si="557"/>
        <v>X</v>
      </c>
      <c r="AZ587" s="22" t="str">
        <f t="shared" si="558"/>
        <v>X</v>
      </c>
      <c r="BA587" s="22" t="str">
        <f t="shared" si="559"/>
        <v>O</v>
      </c>
      <c r="BB587" s="22">
        <f t="shared" si="560"/>
        <v>2</v>
      </c>
      <c r="BC587" s="22" t="str">
        <f t="shared" si="561"/>
        <v>1G</v>
      </c>
      <c r="BD587" s="22" t="str">
        <f t="shared" si="562"/>
        <v>2G</v>
      </c>
      <c r="BE587" s="22" t="str">
        <f t="shared" si="563"/>
        <v>2G</v>
      </c>
      <c r="BF587" s="22" t="str">
        <f t="shared" si="564"/>
        <v>3G</v>
      </c>
      <c r="BG587" s="22" t="str">
        <f t="shared" si="565"/>
        <v>3G</v>
      </c>
      <c r="BH587" s="22" t="str">
        <f t="shared" si="566"/>
        <v>3G</v>
      </c>
      <c r="BI587" s="22">
        <f t="shared" si="568"/>
        <v>1</v>
      </c>
      <c r="BJ587" s="22">
        <f t="shared" si="569"/>
        <v>2</v>
      </c>
      <c r="BK587" s="22">
        <f t="shared" si="570"/>
        <v>3</v>
      </c>
      <c r="BL587" s="22" t="str">
        <f t="shared" si="567"/>
        <v>123</v>
      </c>
      <c r="BS587"/>
    </row>
    <row r="588" spans="2:71" ht="17" hidden="1">
      <c r="B588" s="16">
        <v>585</v>
      </c>
      <c r="C588" s="119" t="s">
        <v>953</v>
      </c>
      <c r="D588"/>
      <c r="E588"/>
      <c r="F588"/>
      <c r="G588"/>
      <c r="H588"/>
      <c r="I588"/>
      <c r="J588"/>
      <c r="K588"/>
      <c r="L588"/>
      <c r="M588"/>
      <c r="N588" s="23">
        <v>6</v>
      </c>
      <c r="O588" s="23">
        <v>7</v>
      </c>
      <c r="P588" s="23">
        <v>10</v>
      </c>
      <c r="Q588" s="23">
        <v>16</v>
      </c>
      <c r="R588" s="23">
        <v>38</v>
      </c>
      <c r="S588" s="23">
        <v>41</v>
      </c>
      <c r="T588" s="23">
        <v>4</v>
      </c>
      <c r="U588" s="23">
        <f t="shared" si="528"/>
        <v>118</v>
      </c>
      <c r="W588" s="22" t="str">
        <f t="shared" si="529"/>
        <v>짝수</v>
      </c>
      <c r="X588" s="22" t="str">
        <f t="shared" si="530"/>
        <v>홀수</v>
      </c>
      <c r="Y588" s="22" t="str">
        <f t="shared" si="531"/>
        <v>짝수</v>
      </c>
      <c r="Z588" s="22" t="str">
        <f t="shared" si="532"/>
        <v>짝수</v>
      </c>
      <c r="AA588" s="23" t="str">
        <f t="shared" si="533"/>
        <v>짝수</v>
      </c>
      <c r="AB588" s="23" t="str">
        <f t="shared" si="534"/>
        <v>홀수</v>
      </c>
      <c r="AC588" s="22" t="str">
        <f t="shared" si="535"/>
        <v>2 : 4</v>
      </c>
      <c r="AD588" s="22">
        <f t="shared" si="536"/>
        <v>2</v>
      </c>
      <c r="AE588" s="22">
        <f t="shared" si="537"/>
        <v>4</v>
      </c>
      <c r="AF588" s="22" t="str">
        <f t="shared" si="538"/>
        <v>저수</v>
      </c>
      <c r="AG588" s="22" t="str">
        <f t="shared" si="539"/>
        <v>저수</v>
      </c>
      <c r="AH588" s="22" t="str">
        <f t="shared" si="540"/>
        <v>저수</v>
      </c>
      <c r="AI588" s="22" t="str">
        <f t="shared" si="541"/>
        <v>저수</v>
      </c>
      <c r="AJ588" s="22" t="str">
        <f t="shared" si="542"/>
        <v>고수</v>
      </c>
      <c r="AK588" s="22" t="str">
        <f t="shared" si="543"/>
        <v>고수</v>
      </c>
      <c r="AL588" s="22" t="str">
        <f t="shared" si="544"/>
        <v>4 : 2</v>
      </c>
      <c r="AM588" s="22">
        <f t="shared" si="545"/>
        <v>4</v>
      </c>
      <c r="AN588" s="22">
        <f t="shared" si="546"/>
        <v>2</v>
      </c>
      <c r="AO588" s="22">
        <f t="shared" si="547"/>
        <v>28</v>
      </c>
      <c r="AP588" s="22" t="str">
        <f t="shared" si="548"/>
        <v>X</v>
      </c>
      <c r="AQ588" s="22" t="str">
        <f t="shared" si="549"/>
        <v>O</v>
      </c>
      <c r="AR588" s="22" t="str">
        <f t="shared" si="550"/>
        <v>X</v>
      </c>
      <c r="AS588" s="22" t="str">
        <f t="shared" si="551"/>
        <v>X</v>
      </c>
      <c r="AT588" s="22" t="str">
        <f t="shared" si="552"/>
        <v>X</v>
      </c>
      <c r="AU588" s="22" t="str">
        <f t="shared" si="553"/>
        <v>X</v>
      </c>
      <c r="AV588" s="22" t="str">
        <f t="shared" si="554"/>
        <v>X</v>
      </c>
      <c r="AW588" s="22" t="str">
        <f t="shared" si="555"/>
        <v>X</v>
      </c>
      <c r="AX588" s="22" t="str">
        <f t="shared" si="556"/>
        <v>X</v>
      </c>
      <c r="AY588" s="22" t="str">
        <f t="shared" si="557"/>
        <v>X</v>
      </c>
      <c r="AZ588" s="22" t="str">
        <f t="shared" si="558"/>
        <v>X</v>
      </c>
      <c r="BA588" s="22" t="str">
        <f t="shared" si="559"/>
        <v>O</v>
      </c>
      <c r="BB588" s="22">
        <f t="shared" si="560"/>
        <v>2</v>
      </c>
      <c r="BC588" s="22" t="str">
        <f t="shared" si="561"/>
        <v>1G</v>
      </c>
      <c r="BD588" s="22" t="str">
        <f t="shared" si="562"/>
        <v>1G</v>
      </c>
      <c r="BE588" s="22" t="str">
        <f t="shared" si="563"/>
        <v>1G</v>
      </c>
      <c r="BF588" s="22" t="str">
        <f t="shared" si="564"/>
        <v>2G</v>
      </c>
      <c r="BG588" s="22" t="str">
        <f t="shared" si="565"/>
        <v>3G</v>
      </c>
      <c r="BH588" s="22" t="str">
        <f t="shared" si="566"/>
        <v>3G</v>
      </c>
      <c r="BI588" s="22">
        <f t="shared" si="568"/>
        <v>3</v>
      </c>
      <c r="BJ588" s="22">
        <f t="shared" si="569"/>
        <v>1</v>
      </c>
      <c r="BK588" s="22">
        <f t="shared" si="570"/>
        <v>2</v>
      </c>
      <c r="BL588" s="22" t="str">
        <f t="shared" si="567"/>
        <v>312</v>
      </c>
      <c r="BS588"/>
    </row>
    <row r="589" spans="2:71" ht="17" hidden="1">
      <c r="B589" s="16">
        <v>586</v>
      </c>
      <c r="C589" s="119" t="s">
        <v>952</v>
      </c>
      <c r="D589"/>
      <c r="E589"/>
      <c r="F589"/>
      <c r="G589"/>
      <c r="H589"/>
      <c r="I589"/>
      <c r="J589"/>
      <c r="K589"/>
      <c r="L589"/>
      <c r="M589"/>
      <c r="N589" s="23">
        <v>2</v>
      </c>
      <c r="O589" s="23">
        <v>7</v>
      </c>
      <c r="P589" s="23">
        <v>12</v>
      </c>
      <c r="Q589" s="23">
        <v>15</v>
      </c>
      <c r="R589" s="23">
        <v>21</v>
      </c>
      <c r="S589" s="23">
        <v>34</v>
      </c>
      <c r="T589" s="23">
        <v>5</v>
      </c>
      <c r="U589" s="23">
        <f t="shared" si="528"/>
        <v>91</v>
      </c>
      <c r="W589" s="22" t="str">
        <f t="shared" si="529"/>
        <v>짝수</v>
      </c>
      <c r="X589" s="22" t="str">
        <f t="shared" si="530"/>
        <v>홀수</v>
      </c>
      <c r="Y589" s="22" t="str">
        <f t="shared" si="531"/>
        <v>짝수</v>
      </c>
      <c r="Z589" s="22" t="str">
        <f t="shared" si="532"/>
        <v>홀수</v>
      </c>
      <c r="AA589" s="23" t="str">
        <f t="shared" si="533"/>
        <v>홀수</v>
      </c>
      <c r="AB589" s="23" t="str">
        <f t="shared" si="534"/>
        <v>짝수</v>
      </c>
      <c r="AC589" s="22" t="str">
        <f t="shared" si="535"/>
        <v>3 : 3</v>
      </c>
      <c r="AD589" s="22">
        <f t="shared" si="536"/>
        <v>3</v>
      </c>
      <c r="AE589" s="22">
        <f t="shared" si="537"/>
        <v>3</v>
      </c>
      <c r="AF589" s="22" t="str">
        <f t="shared" si="538"/>
        <v>저수</v>
      </c>
      <c r="AG589" s="22" t="str">
        <f t="shared" si="539"/>
        <v>저수</v>
      </c>
      <c r="AH589" s="22" t="str">
        <f t="shared" si="540"/>
        <v>저수</v>
      </c>
      <c r="AI589" s="22" t="str">
        <f t="shared" si="541"/>
        <v>저수</v>
      </c>
      <c r="AJ589" s="22" t="str">
        <f t="shared" si="542"/>
        <v>저수</v>
      </c>
      <c r="AK589" s="22" t="str">
        <f t="shared" si="543"/>
        <v>고수</v>
      </c>
      <c r="AL589" s="22" t="str">
        <f t="shared" si="544"/>
        <v>5 : 1</v>
      </c>
      <c r="AM589" s="22">
        <f t="shared" si="545"/>
        <v>5</v>
      </c>
      <c r="AN589" s="22">
        <f t="shared" si="546"/>
        <v>1</v>
      </c>
      <c r="AO589" s="22">
        <f t="shared" si="547"/>
        <v>21</v>
      </c>
      <c r="AP589" s="22" t="str">
        <f t="shared" si="548"/>
        <v>O</v>
      </c>
      <c r="AQ589" s="22" t="str">
        <f t="shared" si="549"/>
        <v>O</v>
      </c>
      <c r="AR589" s="22" t="str">
        <f t="shared" si="550"/>
        <v>X</v>
      </c>
      <c r="AS589" s="22" t="str">
        <f t="shared" si="551"/>
        <v>X</v>
      </c>
      <c r="AT589" s="22" t="str">
        <f t="shared" si="552"/>
        <v>X</v>
      </c>
      <c r="AU589" s="22" t="str">
        <f t="shared" si="553"/>
        <v>X</v>
      </c>
      <c r="AV589" s="22" t="str">
        <f t="shared" si="554"/>
        <v>X</v>
      </c>
      <c r="AW589" s="22" t="str">
        <f t="shared" si="555"/>
        <v>X</v>
      </c>
      <c r="AX589" s="22" t="str">
        <f t="shared" si="556"/>
        <v>X</v>
      </c>
      <c r="AY589" s="22" t="str">
        <f t="shared" si="557"/>
        <v>X</v>
      </c>
      <c r="AZ589" s="22" t="str">
        <f t="shared" si="558"/>
        <v>X</v>
      </c>
      <c r="BA589" s="22" t="str">
        <f t="shared" si="559"/>
        <v>X</v>
      </c>
      <c r="BB589" s="22">
        <f t="shared" si="560"/>
        <v>2</v>
      </c>
      <c r="BC589" s="22" t="str">
        <f t="shared" si="561"/>
        <v>1G</v>
      </c>
      <c r="BD589" s="22" t="str">
        <f t="shared" si="562"/>
        <v>1G</v>
      </c>
      <c r="BE589" s="22" t="str">
        <f t="shared" si="563"/>
        <v>1G</v>
      </c>
      <c r="BF589" s="22" t="str">
        <f t="shared" si="564"/>
        <v>1G</v>
      </c>
      <c r="BG589" s="22" t="str">
        <f t="shared" si="565"/>
        <v>2G</v>
      </c>
      <c r="BH589" s="22" t="str">
        <f t="shared" si="566"/>
        <v>3G</v>
      </c>
      <c r="BI589" s="22">
        <f t="shared" si="568"/>
        <v>4</v>
      </c>
      <c r="BJ589" s="22">
        <f t="shared" si="569"/>
        <v>1</v>
      </c>
      <c r="BK589" s="22">
        <f t="shared" si="570"/>
        <v>1</v>
      </c>
      <c r="BL589" s="22" t="str">
        <f t="shared" si="567"/>
        <v>411</v>
      </c>
      <c r="BS589"/>
    </row>
    <row r="590" spans="2:71" ht="17" hidden="1">
      <c r="B590" s="16">
        <v>587</v>
      </c>
      <c r="C590" s="119" t="s">
        <v>951</v>
      </c>
      <c r="D590"/>
      <c r="E590"/>
      <c r="F590"/>
      <c r="G590"/>
      <c r="H590"/>
      <c r="I590"/>
      <c r="J590"/>
      <c r="K590"/>
      <c r="L590"/>
      <c r="M590"/>
      <c r="N590" s="23">
        <v>14</v>
      </c>
      <c r="O590" s="23">
        <v>21</v>
      </c>
      <c r="P590" s="23">
        <v>29</v>
      </c>
      <c r="Q590" s="23">
        <v>31</v>
      </c>
      <c r="R590" s="23">
        <v>32</v>
      </c>
      <c r="S590" s="23">
        <v>37</v>
      </c>
      <c r="T590" s="23">
        <v>17</v>
      </c>
      <c r="U590" s="23">
        <f t="shared" si="528"/>
        <v>164</v>
      </c>
      <c r="W590" s="22" t="str">
        <f t="shared" si="529"/>
        <v>짝수</v>
      </c>
      <c r="X590" s="22" t="str">
        <f t="shared" si="530"/>
        <v>홀수</v>
      </c>
      <c r="Y590" s="22" t="str">
        <f t="shared" si="531"/>
        <v>홀수</v>
      </c>
      <c r="Z590" s="22" t="str">
        <f t="shared" si="532"/>
        <v>홀수</v>
      </c>
      <c r="AA590" s="23" t="str">
        <f t="shared" si="533"/>
        <v>짝수</v>
      </c>
      <c r="AB590" s="23" t="str">
        <f t="shared" si="534"/>
        <v>홀수</v>
      </c>
      <c r="AC590" s="22" t="str">
        <f t="shared" si="535"/>
        <v>4 : 2</v>
      </c>
      <c r="AD590" s="22">
        <f t="shared" si="536"/>
        <v>4</v>
      </c>
      <c r="AE590" s="22">
        <f t="shared" si="537"/>
        <v>2</v>
      </c>
      <c r="AF590" s="22" t="str">
        <f t="shared" si="538"/>
        <v>저수</v>
      </c>
      <c r="AG590" s="22" t="str">
        <f t="shared" si="539"/>
        <v>저수</v>
      </c>
      <c r="AH590" s="22" t="str">
        <f t="shared" si="540"/>
        <v>고수</v>
      </c>
      <c r="AI590" s="22" t="str">
        <f t="shared" si="541"/>
        <v>고수</v>
      </c>
      <c r="AJ590" s="22" t="str">
        <f t="shared" si="542"/>
        <v>고수</v>
      </c>
      <c r="AK590" s="22" t="str">
        <f t="shared" si="543"/>
        <v>고수</v>
      </c>
      <c r="AL590" s="22" t="str">
        <f t="shared" si="544"/>
        <v>2 : 4</v>
      </c>
      <c r="AM590" s="22">
        <f t="shared" si="545"/>
        <v>2</v>
      </c>
      <c r="AN590" s="22">
        <f t="shared" si="546"/>
        <v>4</v>
      </c>
      <c r="AO590" s="22">
        <f t="shared" si="547"/>
        <v>24</v>
      </c>
      <c r="AP590" s="22" t="str">
        <f t="shared" si="548"/>
        <v>X</v>
      </c>
      <c r="AQ590" s="22" t="str">
        <f t="shared" si="549"/>
        <v>X</v>
      </c>
      <c r="AR590" s="22" t="str">
        <f t="shared" si="550"/>
        <v>X</v>
      </c>
      <c r="AS590" s="22" t="str">
        <f t="shared" si="551"/>
        <v>X</v>
      </c>
      <c r="AT590" s="22" t="str">
        <f t="shared" si="552"/>
        <v>X</v>
      </c>
      <c r="AU590" s="22" t="str">
        <f t="shared" si="553"/>
        <v>X</v>
      </c>
      <c r="AV590" s="22" t="str">
        <f t="shared" si="554"/>
        <v>X</v>
      </c>
      <c r="AW590" s="22" t="str">
        <f t="shared" si="555"/>
        <v>X</v>
      </c>
      <c r="AX590" s="22" t="str">
        <f t="shared" si="556"/>
        <v>O</v>
      </c>
      <c r="AY590" s="22" t="str">
        <f t="shared" si="557"/>
        <v>O</v>
      </c>
      <c r="AZ590" s="22" t="str">
        <f t="shared" si="558"/>
        <v>X</v>
      </c>
      <c r="BA590" s="22" t="str">
        <f t="shared" si="559"/>
        <v>O</v>
      </c>
      <c r="BB590" s="22">
        <f t="shared" si="560"/>
        <v>3</v>
      </c>
      <c r="BC590" s="22" t="str">
        <f t="shared" si="561"/>
        <v>1G</v>
      </c>
      <c r="BD590" s="22" t="str">
        <f t="shared" si="562"/>
        <v>2G</v>
      </c>
      <c r="BE590" s="22" t="str">
        <f t="shared" si="563"/>
        <v>2G</v>
      </c>
      <c r="BF590" s="22" t="str">
        <f t="shared" si="564"/>
        <v>3G</v>
      </c>
      <c r="BG590" s="22" t="str">
        <f t="shared" si="565"/>
        <v>3G</v>
      </c>
      <c r="BH590" s="22" t="str">
        <f t="shared" si="566"/>
        <v>3G</v>
      </c>
      <c r="BI590" s="22">
        <f t="shared" si="568"/>
        <v>1</v>
      </c>
      <c r="BJ590" s="22">
        <f t="shared" si="569"/>
        <v>2</v>
      </c>
      <c r="BK590" s="22">
        <f t="shared" si="570"/>
        <v>3</v>
      </c>
      <c r="BL590" s="22" t="str">
        <f t="shared" si="567"/>
        <v>123</v>
      </c>
      <c r="BS590"/>
    </row>
    <row r="591" spans="2:71" ht="17" hidden="1">
      <c r="B591" s="16">
        <v>588</v>
      </c>
      <c r="C591" s="119" t="s">
        <v>950</v>
      </c>
      <c r="D591"/>
      <c r="E591"/>
      <c r="F591"/>
      <c r="G591"/>
      <c r="H591"/>
      <c r="I591"/>
      <c r="J591"/>
      <c r="K591"/>
      <c r="L591"/>
      <c r="M591"/>
      <c r="N591" s="23">
        <v>2</v>
      </c>
      <c r="O591" s="23">
        <v>8</v>
      </c>
      <c r="P591" s="23">
        <v>15</v>
      </c>
      <c r="Q591" s="23">
        <v>22</v>
      </c>
      <c r="R591" s="23">
        <v>25</v>
      </c>
      <c r="S591" s="23">
        <v>41</v>
      </c>
      <c r="T591" s="23">
        <v>30</v>
      </c>
      <c r="U591" s="23">
        <f t="shared" si="528"/>
        <v>113</v>
      </c>
      <c r="W591" s="22" t="str">
        <f t="shared" si="529"/>
        <v>짝수</v>
      </c>
      <c r="X591" s="22" t="str">
        <f t="shared" si="530"/>
        <v>짝수</v>
      </c>
      <c r="Y591" s="22" t="str">
        <f t="shared" si="531"/>
        <v>홀수</v>
      </c>
      <c r="Z591" s="22" t="str">
        <f t="shared" si="532"/>
        <v>짝수</v>
      </c>
      <c r="AA591" s="23" t="str">
        <f t="shared" si="533"/>
        <v>홀수</v>
      </c>
      <c r="AB591" s="23" t="str">
        <f t="shared" si="534"/>
        <v>홀수</v>
      </c>
      <c r="AC591" s="22" t="str">
        <f t="shared" si="535"/>
        <v>3 : 3</v>
      </c>
      <c r="AD591" s="22">
        <f t="shared" si="536"/>
        <v>3</v>
      </c>
      <c r="AE591" s="22">
        <f t="shared" si="537"/>
        <v>3</v>
      </c>
      <c r="AF591" s="22" t="str">
        <f t="shared" si="538"/>
        <v>저수</v>
      </c>
      <c r="AG591" s="22" t="str">
        <f t="shared" si="539"/>
        <v>저수</v>
      </c>
      <c r="AH591" s="22" t="str">
        <f t="shared" si="540"/>
        <v>저수</v>
      </c>
      <c r="AI591" s="22" t="str">
        <f t="shared" si="541"/>
        <v>저수</v>
      </c>
      <c r="AJ591" s="22" t="str">
        <f t="shared" si="542"/>
        <v>고수</v>
      </c>
      <c r="AK591" s="22" t="str">
        <f t="shared" si="543"/>
        <v>고수</v>
      </c>
      <c r="AL591" s="22" t="str">
        <f t="shared" si="544"/>
        <v>4 : 2</v>
      </c>
      <c r="AM591" s="22">
        <f t="shared" si="545"/>
        <v>4</v>
      </c>
      <c r="AN591" s="22">
        <f t="shared" si="546"/>
        <v>2</v>
      </c>
      <c r="AO591" s="22">
        <f t="shared" si="547"/>
        <v>23</v>
      </c>
      <c r="AP591" s="22" t="str">
        <f t="shared" si="548"/>
        <v>O</v>
      </c>
      <c r="AQ591" s="22" t="str">
        <f t="shared" si="549"/>
        <v>X</v>
      </c>
      <c r="AR591" s="22" t="str">
        <f t="shared" si="550"/>
        <v>X</v>
      </c>
      <c r="AS591" s="22" t="str">
        <f t="shared" si="551"/>
        <v>X</v>
      </c>
      <c r="AT591" s="22" t="str">
        <f t="shared" si="552"/>
        <v>X</v>
      </c>
      <c r="AU591" s="22" t="str">
        <f t="shared" si="553"/>
        <v>X</v>
      </c>
      <c r="AV591" s="22" t="str">
        <f t="shared" si="554"/>
        <v>X</v>
      </c>
      <c r="AW591" s="22" t="str">
        <f t="shared" si="555"/>
        <v>X</v>
      </c>
      <c r="AX591" s="22" t="str">
        <f t="shared" si="556"/>
        <v>X</v>
      </c>
      <c r="AY591" s="22" t="str">
        <f t="shared" si="557"/>
        <v>X</v>
      </c>
      <c r="AZ591" s="22" t="str">
        <f t="shared" si="558"/>
        <v>X</v>
      </c>
      <c r="BA591" s="22" t="str">
        <f t="shared" si="559"/>
        <v>O</v>
      </c>
      <c r="BB591" s="22">
        <f t="shared" si="560"/>
        <v>2</v>
      </c>
      <c r="BC591" s="22" t="str">
        <f t="shared" si="561"/>
        <v>1G</v>
      </c>
      <c r="BD591" s="22" t="str">
        <f t="shared" si="562"/>
        <v>1G</v>
      </c>
      <c r="BE591" s="22" t="str">
        <f t="shared" si="563"/>
        <v>1G</v>
      </c>
      <c r="BF591" s="22" t="str">
        <f t="shared" si="564"/>
        <v>2G</v>
      </c>
      <c r="BG591" s="22" t="str">
        <f t="shared" si="565"/>
        <v>2G</v>
      </c>
      <c r="BH591" s="22" t="str">
        <f t="shared" si="566"/>
        <v>3G</v>
      </c>
      <c r="BI591" s="22">
        <f t="shared" si="568"/>
        <v>3</v>
      </c>
      <c r="BJ591" s="22">
        <f t="shared" si="569"/>
        <v>2</v>
      </c>
      <c r="BK591" s="22">
        <f t="shared" si="570"/>
        <v>1</v>
      </c>
      <c r="BL591" s="22" t="str">
        <f t="shared" si="567"/>
        <v>321</v>
      </c>
      <c r="BS591"/>
    </row>
    <row r="592" spans="2:71" ht="17" hidden="1">
      <c r="B592" s="16">
        <v>589</v>
      </c>
      <c r="C592" s="119" t="s">
        <v>949</v>
      </c>
      <c r="D592"/>
      <c r="E592"/>
      <c r="F592"/>
      <c r="G592"/>
      <c r="H592"/>
      <c r="I592"/>
      <c r="J592"/>
      <c r="K592"/>
      <c r="L592"/>
      <c r="M592"/>
      <c r="N592" s="23">
        <v>6</v>
      </c>
      <c r="O592" s="23">
        <v>8</v>
      </c>
      <c r="P592" s="23">
        <v>28</v>
      </c>
      <c r="Q592" s="23">
        <v>33</v>
      </c>
      <c r="R592" s="23">
        <v>38</v>
      </c>
      <c r="S592" s="23">
        <v>39</v>
      </c>
      <c r="T592" s="23">
        <v>22</v>
      </c>
      <c r="U592" s="23">
        <f t="shared" si="528"/>
        <v>152</v>
      </c>
      <c r="W592" s="22" t="str">
        <f t="shared" si="529"/>
        <v>짝수</v>
      </c>
      <c r="X592" s="22" t="str">
        <f t="shared" si="530"/>
        <v>짝수</v>
      </c>
      <c r="Y592" s="22" t="str">
        <f t="shared" si="531"/>
        <v>짝수</v>
      </c>
      <c r="Z592" s="22" t="str">
        <f t="shared" si="532"/>
        <v>홀수</v>
      </c>
      <c r="AA592" s="23" t="str">
        <f t="shared" si="533"/>
        <v>짝수</v>
      </c>
      <c r="AB592" s="23" t="str">
        <f t="shared" si="534"/>
        <v>홀수</v>
      </c>
      <c r="AC592" s="22" t="str">
        <f t="shared" si="535"/>
        <v>2 : 4</v>
      </c>
      <c r="AD592" s="22">
        <f t="shared" si="536"/>
        <v>2</v>
      </c>
      <c r="AE592" s="22">
        <f t="shared" si="537"/>
        <v>4</v>
      </c>
      <c r="AF592" s="22" t="str">
        <f t="shared" si="538"/>
        <v>저수</v>
      </c>
      <c r="AG592" s="22" t="str">
        <f t="shared" si="539"/>
        <v>저수</v>
      </c>
      <c r="AH592" s="22" t="str">
        <f t="shared" si="540"/>
        <v>고수</v>
      </c>
      <c r="AI592" s="22" t="str">
        <f t="shared" si="541"/>
        <v>고수</v>
      </c>
      <c r="AJ592" s="22" t="str">
        <f t="shared" si="542"/>
        <v>고수</v>
      </c>
      <c r="AK592" s="22" t="str">
        <f t="shared" si="543"/>
        <v>고수</v>
      </c>
      <c r="AL592" s="22" t="str">
        <f t="shared" si="544"/>
        <v>2 : 4</v>
      </c>
      <c r="AM592" s="22">
        <f t="shared" si="545"/>
        <v>2</v>
      </c>
      <c r="AN592" s="22">
        <f t="shared" si="546"/>
        <v>4</v>
      </c>
      <c r="AO592" s="22">
        <f t="shared" si="547"/>
        <v>42</v>
      </c>
      <c r="AP592" s="22" t="str">
        <f t="shared" si="548"/>
        <v>X</v>
      </c>
      <c r="AQ592" s="22" t="str">
        <f t="shared" si="549"/>
        <v>X</v>
      </c>
      <c r="AR592" s="22" t="str">
        <f t="shared" si="550"/>
        <v>X</v>
      </c>
      <c r="AS592" s="22" t="str">
        <f t="shared" si="551"/>
        <v>X</v>
      </c>
      <c r="AT592" s="22" t="str">
        <f t="shared" si="552"/>
        <v>X</v>
      </c>
      <c r="AU592" s="22" t="str">
        <f t="shared" si="553"/>
        <v>X</v>
      </c>
      <c r="AV592" s="22" t="str">
        <f t="shared" si="554"/>
        <v>X</v>
      </c>
      <c r="AW592" s="22" t="str">
        <f t="shared" si="555"/>
        <v>X</v>
      </c>
      <c r="AX592" s="22" t="str">
        <f t="shared" si="556"/>
        <v>X</v>
      </c>
      <c r="AY592" s="22" t="str">
        <f t="shared" si="557"/>
        <v>X</v>
      </c>
      <c r="AZ592" s="22" t="str">
        <f t="shared" si="558"/>
        <v>X</v>
      </c>
      <c r="BA592" s="22" t="str">
        <f t="shared" si="559"/>
        <v>X</v>
      </c>
      <c r="BB592" s="22">
        <f t="shared" si="560"/>
        <v>0</v>
      </c>
      <c r="BC592" s="22" t="str">
        <f t="shared" si="561"/>
        <v>1G</v>
      </c>
      <c r="BD592" s="22" t="str">
        <f t="shared" si="562"/>
        <v>1G</v>
      </c>
      <c r="BE592" s="22" t="str">
        <f t="shared" si="563"/>
        <v>2G</v>
      </c>
      <c r="BF592" s="22" t="str">
        <f t="shared" si="564"/>
        <v>3G</v>
      </c>
      <c r="BG592" s="22" t="str">
        <f t="shared" si="565"/>
        <v>3G</v>
      </c>
      <c r="BH592" s="22" t="str">
        <f t="shared" si="566"/>
        <v>3G</v>
      </c>
      <c r="BI592" s="22">
        <f t="shared" si="568"/>
        <v>2</v>
      </c>
      <c r="BJ592" s="22">
        <f t="shared" si="569"/>
        <v>1</v>
      </c>
      <c r="BK592" s="22">
        <f t="shared" si="570"/>
        <v>3</v>
      </c>
      <c r="BL592" s="22" t="str">
        <f t="shared" si="567"/>
        <v>213</v>
      </c>
      <c r="BS592"/>
    </row>
    <row r="593" spans="2:71" ht="17" hidden="1">
      <c r="B593" s="16">
        <v>590</v>
      </c>
      <c r="C593" s="119" t="s">
        <v>948</v>
      </c>
      <c r="D593"/>
      <c r="E593"/>
      <c r="F593"/>
      <c r="G593"/>
      <c r="H593"/>
      <c r="I593"/>
      <c r="J593"/>
      <c r="K593"/>
      <c r="L593"/>
      <c r="M593"/>
      <c r="N593" s="23">
        <v>20</v>
      </c>
      <c r="O593" s="23">
        <v>30</v>
      </c>
      <c r="P593" s="23">
        <v>36</v>
      </c>
      <c r="Q593" s="23">
        <v>38</v>
      </c>
      <c r="R593" s="23">
        <v>41</v>
      </c>
      <c r="S593" s="23">
        <v>45</v>
      </c>
      <c r="T593" s="23">
        <v>23</v>
      </c>
      <c r="U593" s="23">
        <f t="shared" si="528"/>
        <v>210</v>
      </c>
      <c r="W593" s="22" t="str">
        <f t="shared" si="529"/>
        <v>짝수</v>
      </c>
      <c r="X593" s="22" t="str">
        <f t="shared" si="530"/>
        <v>짝수</v>
      </c>
      <c r="Y593" s="22" t="str">
        <f t="shared" si="531"/>
        <v>짝수</v>
      </c>
      <c r="Z593" s="22" t="str">
        <f t="shared" si="532"/>
        <v>짝수</v>
      </c>
      <c r="AA593" s="23" t="str">
        <f t="shared" si="533"/>
        <v>홀수</v>
      </c>
      <c r="AB593" s="23" t="str">
        <f t="shared" si="534"/>
        <v>홀수</v>
      </c>
      <c r="AC593" s="22" t="str">
        <f t="shared" si="535"/>
        <v>2 : 4</v>
      </c>
      <c r="AD593" s="22">
        <f t="shared" si="536"/>
        <v>2</v>
      </c>
      <c r="AE593" s="22">
        <f t="shared" si="537"/>
        <v>4</v>
      </c>
      <c r="AF593" s="22" t="str">
        <f t="shared" si="538"/>
        <v>저수</v>
      </c>
      <c r="AG593" s="22" t="str">
        <f t="shared" si="539"/>
        <v>고수</v>
      </c>
      <c r="AH593" s="22" t="str">
        <f t="shared" si="540"/>
        <v>고수</v>
      </c>
      <c r="AI593" s="22" t="str">
        <f t="shared" si="541"/>
        <v>고수</v>
      </c>
      <c r="AJ593" s="22" t="str">
        <f t="shared" si="542"/>
        <v>고수</v>
      </c>
      <c r="AK593" s="22" t="str">
        <f t="shared" si="543"/>
        <v>고수</v>
      </c>
      <c r="AL593" s="22" t="str">
        <f t="shared" si="544"/>
        <v>1 : 5</v>
      </c>
      <c r="AM593" s="22">
        <f t="shared" si="545"/>
        <v>1</v>
      </c>
      <c r="AN593" s="22">
        <f t="shared" si="546"/>
        <v>5</v>
      </c>
      <c r="AO593" s="22">
        <f t="shared" si="547"/>
        <v>20</v>
      </c>
      <c r="AP593" s="22" t="str">
        <f t="shared" si="548"/>
        <v>X</v>
      </c>
      <c r="AQ593" s="22" t="str">
        <f t="shared" si="549"/>
        <v>X</v>
      </c>
      <c r="AR593" s="22" t="str">
        <f t="shared" si="550"/>
        <v>X</v>
      </c>
      <c r="AS593" s="22" t="str">
        <f t="shared" si="551"/>
        <v>X</v>
      </c>
      <c r="AT593" s="22" t="str">
        <f t="shared" si="552"/>
        <v>X</v>
      </c>
      <c r="AU593" s="22" t="str">
        <f t="shared" si="553"/>
        <v>X</v>
      </c>
      <c r="AV593" s="22" t="str">
        <f t="shared" si="554"/>
        <v>X</v>
      </c>
      <c r="AW593" s="22" t="str">
        <f t="shared" si="555"/>
        <v>X</v>
      </c>
      <c r="AX593" s="22" t="str">
        <f t="shared" si="556"/>
        <v>X</v>
      </c>
      <c r="AY593" s="22" t="str">
        <f t="shared" si="557"/>
        <v>X</v>
      </c>
      <c r="AZ593" s="22" t="str">
        <f t="shared" si="558"/>
        <v>O</v>
      </c>
      <c r="BA593" s="22" t="str">
        <f t="shared" si="559"/>
        <v>X</v>
      </c>
      <c r="BB593" s="22">
        <f t="shared" si="560"/>
        <v>1</v>
      </c>
      <c r="BC593" s="22" t="str">
        <f t="shared" si="561"/>
        <v>2G</v>
      </c>
      <c r="BD593" s="22" t="str">
        <f t="shared" si="562"/>
        <v>2G</v>
      </c>
      <c r="BE593" s="22" t="str">
        <f t="shared" si="563"/>
        <v>3G</v>
      </c>
      <c r="BF593" s="22" t="str">
        <f t="shared" si="564"/>
        <v>3G</v>
      </c>
      <c r="BG593" s="22" t="str">
        <f t="shared" si="565"/>
        <v>3G</v>
      </c>
      <c r="BH593" s="22" t="str">
        <f t="shared" si="566"/>
        <v>3G</v>
      </c>
      <c r="BI593" s="22">
        <f t="shared" si="568"/>
        <v>0</v>
      </c>
      <c r="BJ593" s="22">
        <f t="shared" si="569"/>
        <v>2</v>
      </c>
      <c r="BK593" s="22">
        <f t="shared" si="570"/>
        <v>4</v>
      </c>
      <c r="BL593" s="22" t="str">
        <f t="shared" si="567"/>
        <v>024</v>
      </c>
      <c r="BS593"/>
    </row>
    <row r="594" spans="2:71" ht="17" hidden="1">
      <c r="B594" s="16">
        <v>591</v>
      </c>
      <c r="C594" s="119" t="s">
        <v>947</v>
      </c>
      <c r="D594"/>
      <c r="E594"/>
      <c r="F594"/>
      <c r="G594"/>
      <c r="H594"/>
      <c r="I594"/>
      <c r="J594"/>
      <c r="K594"/>
      <c r="L594"/>
      <c r="M594"/>
      <c r="N594" s="23">
        <v>8</v>
      </c>
      <c r="O594" s="23">
        <v>13</v>
      </c>
      <c r="P594" s="23">
        <v>14</v>
      </c>
      <c r="Q594" s="23">
        <v>30</v>
      </c>
      <c r="R594" s="23">
        <v>38</v>
      </c>
      <c r="S594" s="23">
        <v>39</v>
      </c>
      <c r="T594" s="23">
        <v>5</v>
      </c>
      <c r="U594" s="23">
        <f t="shared" si="528"/>
        <v>142</v>
      </c>
      <c r="W594" s="22" t="str">
        <f t="shared" si="529"/>
        <v>짝수</v>
      </c>
      <c r="X594" s="22" t="str">
        <f t="shared" si="530"/>
        <v>홀수</v>
      </c>
      <c r="Y594" s="22" t="str">
        <f t="shared" si="531"/>
        <v>짝수</v>
      </c>
      <c r="Z594" s="22" t="str">
        <f t="shared" si="532"/>
        <v>짝수</v>
      </c>
      <c r="AA594" s="23" t="str">
        <f t="shared" si="533"/>
        <v>짝수</v>
      </c>
      <c r="AB594" s="23" t="str">
        <f t="shared" si="534"/>
        <v>홀수</v>
      </c>
      <c r="AC594" s="22" t="str">
        <f t="shared" si="535"/>
        <v>2 : 4</v>
      </c>
      <c r="AD594" s="22">
        <f t="shared" si="536"/>
        <v>2</v>
      </c>
      <c r="AE594" s="22">
        <f t="shared" si="537"/>
        <v>4</v>
      </c>
      <c r="AF594" s="22" t="str">
        <f t="shared" si="538"/>
        <v>저수</v>
      </c>
      <c r="AG594" s="22" t="str">
        <f t="shared" si="539"/>
        <v>저수</v>
      </c>
      <c r="AH594" s="22" t="str">
        <f t="shared" si="540"/>
        <v>저수</v>
      </c>
      <c r="AI594" s="22" t="str">
        <f t="shared" si="541"/>
        <v>고수</v>
      </c>
      <c r="AJ594" s="22" t="str">
        <f t="shared" si="542"/>
        <v>고수</v>
      </c>
      <c r="AK594" s="22" t="str">
        <f t="shared" si="543"/>
        <v>고수</v>
      </c>
      <c r="AL594" s="22" t="str">
        <f t="shared" si="544"/>
        <v>3 : 3</v>
      </c>
      <c r="AM594" s="22">
        <f t="shared" si="545"/>
        <v>3</v>
      </c>
      <c r="AN594" s="22">
        <f t="shared" si="546"/>
        <v>3</v>
      </c>
      <c r="AO594" s="22">
        <f t="shared" si="547"/>
        <v>32</v>
      </c>
      <c r="AP594" s="22" t="str">
        <f t="shared" si="548"/>
        <v>X</v>
      </c>
      <c r="AQ594" s="22" t="str">
        <f t="shared" si="549"/>
        <v>O</v>
      </c>
      <c r="AR594" s="22" t="str">
        <f t="shared" si="550"/>
        <v>X</v>
      </c>
      <c r="AS594" s="22" t="str">
        <f t="shared" si="551"/>
        <v>X</v>
      </c>
      <c r="AT594" s="22" t="str">
        <f t="shared" si="552"/>
        <v>X</v>
      </c>
      <c r="AU594" s="22" t="str">
        <f t="shared" si="553"/>
        <v>X</v>
      </c>
      <c r="AV594" s="22" t="str">
        <f t="shared" si="554"/>
        <v>X</v>
      </c>
      <c r="AW594" s="22" t="str">
        <f t="shared" si="555"/>
        <v>X</v>
      </c>
      <c r="AX594" s="22" t="str">
        <f t="shared" si="556"/>
        <v>X</v>
      </c>
      <c r="AY594" s="22" t="str">
        <f t="shared" si="557"/>
        <v>X</v>
      </c>
      <c r="AZ594" s="22" t="str">
        <f t="shared" si="558"/>
        <v>X</v>
      </c>
      <c r="BA594" s="22" t="str">
        <f t="shared" si="559"/>
        <v>X</v>
      </c>
      <c r="BB594" s="22">
        <f t="shared" si="560"/>
        <v>1</v>
      </c>
      <c r="BC594" s="22" t="str">
        <f t="shared" si="561"/>
        <v>1G</v>
      </c>
      <c r="BD594" s="22" t="str">
        <f t="shared" si="562"/>
        <v>1G</v>
      </c>
      <c r="BE594" s="22" t="str">
        <f t="shared" si="563"/>
        <v>1G</v>
      </c>
      <c r="BF594" s="22" t="str">
        <f t="shared" si="564"/>
        <v>2G</v>
      </c>
      <c r="BG594" s="22" t="str">
        <f t="shared" si="565"/>
        <v>3G</v>
      </c>
      <c r="BH594" s="22" t="str">
        <f t="shared" si="566"/>
        <v>3G</v>
      </c>
      <c r="BI594" s="22">
        <f t="shared" si="568"/>
        <v>3</v>
      </c>
      <c r="BJ594" s="22">
        <f t="shared" si="569"/>
        <v>1</v>
      </c>
      <c r="BK594" s="22">
        <f t="shared" si="570"/>
        <v>2</v>
      </c>
      <c r="BL594" s="22" t="str">
        <f t="shared" si="567"/>
        <v>312</v>
      </c>
      <c r="BS594"/>
    </row>
    <row r="595" spans="2:71" ht="17" hidden="1">
      <c r="B595" s="16">
        <v>592</v>
      </c>
      <c r="C595" s="119" t="s">
        <v>946</v>
      </c>
      <c r="D595"/>
      <c r="E595"/>
      <c r="F595"/>
      <c r="G595"/>
      <c r="H595"/>
      <c r="I595"/>
      <c r="J595"/>
      <c r="K595"/>
      <c r="L595"/>
      <c r="M595"/>
      <c r="N595" s="23">
        <v>2</v>
      </c>
      <c r="O595" s="23">
        <v>5</v>
      </c>
      <c r="P595" s="23">
        <v>6</v>
      </c>
      <c r="Q595" s="23">
        <v>13</v>
      </c>
      <c r="R595" s="23">
        <v>28</v>
      </c>
      <c r="S595" s="23">
        <v>44</v>
      </c>
      <c r="T595" s="23">
        <v>43</v>
      </c>
      <c r="U595" s="23">
        <f t="shared" si="528"/>
        <v>98</v>
      </c>
      <c r="W595" s="22" t="str">
        <f t="shared" si="529"/>
        <v>짝수</v>
      </c>
      <c r="X595" s="22" t="str">
        <f t="shared" si="530"/>
        <v>홀수</v>
      </c>
      <c r="Y595" s="22" t="str">
        <f t="shared" si="531"/>
        <v>짝수</v>
      </c>
      <c r="Z595" s="22" t="str">
        <f t="shared" si="532"/>
        <v>홀수</v>
      </c>
      <c r="AA595" s="23" t="str">
        <f t="shared" si="533"/>
        <v>짝수</v>
      </c>
      <c r="AB595" s="23" t="str">
        <f t="shared" si="534"/>
        <v>짝수</v>
      </c>
      <c r="AC595" s="22" t="str">
        <f t="shared" si="535"/>
        <v>2 : 4</v>
      </c>
      <c r="AD595" s="22">
        <f t="shared" si="536"/>
        <v>2</v>
      </c>
      <c r="AE595" s="22">
        <f t="shared" si="537"/>
        <v>4</v>
      </c>
      <c r="AF595" s="22" t="str">
        <f t="shared" si="538"/>
        <v>저수</v>
      </c>
      <c r="AG595" s="22" t="str">
        <f t="shared" si="539"/>
        <v>저수</v>
      </c>
      <c r="AH595" s="22" t="str">
        <f t="shared" si="540"/>
        <v>저수</v>
      </c>
      <c r="AI595" s="22" t="str">
        <f t="shared" si="541"/>
        <v>저수</v>
      </c>
      <c r="AJ595" s="22" t="str">
        <f t="shared" si="542"/>
        <v>고수</v>
      </c>
      <c r="AK595" s="22" t="str">
        <f t="shared" si="543"/>
        <v>고수</v>
      </c>
      <c r="AL595" s="22" t="str">
        <f t="shared" si="544"/>
        <v>4 : 2</v>
      </c>
      <c r="AM595" s="22">
        <f t="shared" si="545"/>
        <v>4</v>
      </c>
      <c r="AN595" s="22">
        <f t="shared" si="546"/>
        <v>2</v>
      </c>
      <c r="AO595" s="22">
        <f t="shared" si="547"/>
        <v>28</v>
      </c>
      <c r="AP595" s="22" t="str">
        <f t="shared" si="548"/>
        <v>O</v>
      </c>
      <c r="AQ595" s="22" t="str">
        <f t="shared" si="549"/>
        <v>O</v>
      </c>
      <c r="AR595" s="22" t="str">
        <f t="shared" si="550"/>
        <v>X</v>
      </c>
      <c r="AS595" s="22" t="str">
        <f t="shared" si="551"/>
        <v>O</v>
      </c>
      <c r="AT595" s="22" t="str">
        <f t="shared" si="552"/>
        <v>X</v>
      </c>
      <c r="AU595" s="22" t="str">
        <f t="shared" si="553"/>
        <v>X</v>
      </c>
      <c r="AV595" s="22" t="str">
        <f t="shared" si="554"/>
        <v>X</v>
      </c>
      <c r="AW595" s="22" t="str">
        <f t="shared" si="555"/>
        <v>X</v>
      </c>
      <c r="AX595" s="22" t="str">
        <f t="shared" si="556"/>
        <v>X</v>
      </c>
      <c r="AY595" s="22" t="str">
        <f t="shared" si="557"/>
        <v>X</v>
      </c>
      <c r="AZ595" s="22" t="str">
        <f t="shared" si="558"/>
        <v>X</v>
      </c>
      <c r="BA595" s="22" t="str">
        <f t="shared" si="559"/>
        <v>X</v>
      </c>
      <c r="BB595" s="22">
        <f t="shared" si="560"/>
        <v>3</v>
      </c>
      <c r="BC595" s="22" t="str">
        <f t="shared" si="561"/>
        <v>1G</v>
      </c>
      <c r="BD595" s="22" t="str">
        <f t="shared" si="562"/>
        <v>1G</v>
      </c>
      <c r="BE595" s="22" t="str">
        <f t="shared" si="563"/>
        <v>1G</v>
      </c>
      <c r="BF595" s="22" t="str">
        <f t="shared" si="564"/>
        <v>1G</v>
      </c>
      <c r="BG595" s="22" t="str">
        <f t="shared" si="565"/>
        <v>2G</v>
      </c>
      <c r="BH595" s="22" t="str">
        <f t="shared" si="566"/>
        <v>3G</v>
      </c>
      <c r="BI595" s="22">
        <f t="shared" si="568"/>
        <v>4</v>
      </c>
      <c r="BJ595" s="22">
        <f t="shared" si="569"/>
        <v>1</v>
      </c>
      <c r="BK595" s="22">
        <f t="shared" si="570"/>
        <v>1</v>
      </c>
      <c r="BL595" s="22" t="str">
        <f t="shared" si="567"/>
        <v>411</v>
      </c>
      <c r="BS595"/>
    </row>
    <row r="596" spans="2:71" ht="17" hidden="1">
      <c r="B596" s="16">
        <v>593</v>
      </c>
      <c r="C596" s="119" t="s">
        <v>945</v>
      </c>
      <c r="D596"/>
      <c r="E596"/>
      <c r="F596"/>
      <c r="G596"/>
      <c r="H596"/>
      <c r="I596"/>
      <c r="J596"/>
      <c r="K596"/>
      <c r="L596"/>
      <c r="M596"/>
      <c r="N596" s="23">
        <v>9</v>
      </c>
      <c r="O596" s="23">
        <v>10</v>
      </c>
      <c r="P596" s="23">
        <v>13</v>
      </c>
      <c r="Q596" s="23">
        <v>24</v>
      </c>
      <c r="R596" s="23">
        <v>33</v>
      </c>
      <c r="S596" s="23">
        <v>38</v>
      </c>
      <c r="T596" s="23">
        <v>28</v>
      </c>
      <c r="U596" s="23">
        <f t="shared" si="528"/>
        <v>127</v>
      </c>
      <c r="W596" s="22" t="str">
        <f t="shared" si="529"/>
        <v>홀수</v>
      </c>
      <c r="X596" s="22" t="str">
        <f t="shared" si="530"/>
        <v>짝수</v>
      </c>
      <c r="Y596" s="22" t="str">
        <f t="shared" si="531"/>
        <v>홀수</v>
      </c>
      <c r="Z596" s="22" t="str">
        <f t="shared" si="532"/>
        <v>짝수</v>
      </c>
      <c r="AA596" s="23" t="str">
        <f t="shared" si="533"/>
        <v>홀수</v>
      </c>
      <c r="AB596" s="23" t="str">
        <f t="shared" si="534"/>
        <v>짝수</v>
      </c>
      <c r="AC596" s="22" t="str">
        <f t="shared" si="535"/>
        <v>3 : 3</v>
      </c>
      <c r="AD596" s="22">
        <f t="shared" si="536"/>
        <v>3</v>
      </c>
      <c r="AE596" s="22">
        <f t="shared" si="537"/>
        <v>3</v>
      </c>
      <c r="AF596" s="22" t="str">
        <f t="shared" si="538"/>
        <v>저수</v>
      </c>
      <c r="AG596" s="22" t="str">
        <f t="shared" si="539"/>
        <v>저수</v>
      </c>
      <c r="AH596" s="22" t="str">
        <f t="shared" si="540"/>
        <v>저수</v>
      </c>
      <c r="AI596" s="22" t="str">
        <f t="shared" si="541"/>
        <v>고수</v>
      </c>
      <c r="AJ596" s="22" t="str">
        <f t="shared" si="542"/>
        <v>고수</v>
      </c>
      <c r="AK596" s="22" t="str">
        <f t="shared" si="543"/>
        <v>고수</v>
      </c>
      <c r="AL596" s="22" t="str">
        <f t="shared" si="544"/>
        <v>3 : 3</v>
      </c>
      <c r="AM596" s="22">
        <f t="shared" si="545"/>
        <v>3</v>
      </c>
      <c r="AN596" s="22">
        <f t="shared" si="546"/>
        <v>3</v>
      </c>
      <c r="AO596" s="22">
        <f t="shared" si="547"/>
        <v>27</v>
      </c>
      <c r="AP596" s="22" t="str">
        <f t="shared" si="548"/>
        <v>X</v>
      </c>
      <c r="AQ596" s="22" t="str">
        <f t="shared" si="549"/>
        <v>X</v>
      </c>
      <c r="AR596" s="22" t="str">
        <f t="shared" si="550"/>
        <v>O</v>
      </c>
      <c r="AS596" s="22" t="str">
        <f t="shared" si="551"/>
        <v>X</v>
      </c>
      <c r="AT596" s="22" t="str">
        <f t="shared" si="552"/>
        <v>X</v>
      </c>
      <c r="AU596" s="22" t="str">
        <f t="shared" si="553"/>
        <v>X</v>
      </c>
      <c r="AV596" s="22" t="str">
        <f t="shared" si="554"/>
        <v>X</v>
      </c>
      <c r="AW596" s="22" t="str">
        <f t="shared" si="555"/>
        <v>X</v>
      </c>
      <c r="AX596" s="22" t="str">
        <f t="shared" si="556"/>
        <v>X</v>
      </c>
      <c r="AY596" s="22" t="str">
        <f t="shared" si="557"/>
        <v>X</v>
      </c>
      <c r="AZ596" s="22" t="str">
        <f t="shared" si="558"/>
        <v>X</v>
      </c>
      <c r="BA596" s="22" t="str">
        <f t="shared" si="559"/>
        <v>X</v>
      </c>
      <c r="BB596" s="22">
        <f t="shared" si="560"/>
        <v>1</v>
      </c>
      <c r="BC596" s="22" t="str">
        <f t="shared" si="561"/>
        <v>1G</v>
      </c>
      <c r="BD596" s="22" t="str">
        <f t="shared" si="562"/>
        <v>1G</v>
      </c>
      <c r="BE596" s="22" t="str">
        <f t="shared" si="563"/>
        <v>1G</v>
      </c>
      <c r="BF596" s="22" t="str">
        <f t="shared" si="564"/>
        <v>2G</v>
      </c>
      <c r="BG596" s="22" t="str">
        <f t="shared" si="565"/>
        <v>3G</v>
      </c>
      <c r="BH596" s="22" t="str">
        <f t="shared" si="566"/>
        <v>3G</v>
      </c>
      <c r="BI596" s="22">
        <f t="shared" si="568"/>
        <v>3</v>
      </c>
      <c r="BJ596" s="22">
        <f t="shared" si="569"/>
        <v>1</v>
      </c>
      <c r="BK596" s="22">
        <f t="shared" si="570"/>
        <v>2</v>
      </c>
      <c r="BL596" s="22" t="str">
        <f t="shared" si="567"/>
        <v>312</v>
      </c>
      <c r="BS596"/>
    </row>
    <row r="597" spans="2:71" ht="17" hidden="1">
      <c r="B597" s="16">
        <v>594</v>
      </c>
      <c r="C597" s="119" t="s">
        <v>944</v>
      </c>
      <c r="D597"/>
      <c r="E597"/>
      <c r="F597"/>
      <c r="G597"/>
      <c r="H597"/>
      <c r="I597"/>
      <c r="J597"/>
      <c r="K597"/>
      <c r="L597"/>
      <c r="M597"/>
      <c r="N597" s="23">
        <v>2</v>
      </c>
      <c r="O597" s="23">
        <v>8</v>
      </c>
      <c r="P597" s="23">
        <v>13</v>
      </c>
      <c r="Q597" s="23">
        <v>25</v>
      </c>
      <c r="R597" s="23">
        <v>28</v>
      </c>
      <c r="S597" s="23">
        <v>37</v>
      </c>
      <c r="T597" s="23">
        <v>3</v>
      </c>
      <c r="U597" s="23">
        <f t="shared" si="528"/>
        <v>113</v>
      </c>
      <c r="W597" s="22" t="str">
        <f t="shared" si="529"/>
        <v>짝수</v>
      </c>
      <c r="X597" s="22" t="str">
        <f t="shared" si="530"/>
        <v>짝수</v>
      </c>
      <c r="Y597" s="22" t="str">
        <f t="shared" si="531"/>
        <v>홀수</v>
      </c>
      <c r="Z597" s="22" t="str">
        <f t="shared" si="532"/>
        <v>홀수</v>
      </c>
      <c r="AA597" s="23" t="str">
        <f t="shared" si="533"/>
        <v>짝수</v>
      </c>
      <c r="AB597" s="23" t="str">
        <f t="shared" si="534"/>
        <v>홀수</v>
      </c>
      <c r="AC597" s="22" t="str">
        <f t="shared" si="535"/>
        <v>3 : 3</v>
      </c>
      <c r="AD597" s="22">
        <f t="shared" si="536"/>
        <v>3</v>
      </c>
      <c r="AE597" s="22">
        <f t="shared" si="537"/>
        <v>3</v>
      </c>
      <c r="AF597" s="22" t="str">
        <f t="shared" si="538"/>
        <v>저수</v>
      </c>
      <c r="AG597" s="22" t="str">
        <f t="shared" si="539"/>
        <v>저수</v>
      </c>
      <c r="AH597" s="22" t="str">
        <f t="shared" si="540"/>
        <v>저수</v>
      </c>
      <c r="AI597" s="22" t="str">
        <f t="shared" si="541"/>
        <v>고수</v>
      </c>
      <c r="AJ597" s="22" t="str">
        <f t="shared" si="542"/>
        <v>고수</v>
      </c>
      <c r="AK597" s="22" t="str">
        <f t="shared" si="543"/>
        <v>고수</v>
      </c>
      <c r="AL597" s="22" t="str">
        <f t="shared" si="544"/>
        <v>3 : 3</v>
      </c>
      <c r="AM597" s="22">
        <f t="shared" si="545"/>
        <v>3</v>
      </c>
      <c r="AN597" s="22">
        <f t="shared" si="546"/>
        <v>3</v>
      </c>
      <c r="AO597" s="22">
        <f t="shared" si="547"/>
        <v>33</v>
      </c>
      <c r="AP597" s="22" t="str">
        <f t="shared" si="548"/>
        <v>O</v>
      </c>
      <c r="AQ597" s="22" t="str">
        <f t="shared" si="549"/>
        <v>X</v>
      </c>
      <c r="AR597" s="22" t="str">
        <f t="shared" si="550"/>
        <v>O</v>
      </c>
      <c r="AS597" s="22" t="str">
        <f t="shared" si="551"/>
        <v>X</v>
      </c>
      <c r="AT597" s="22" t="str">
        <f t="shared" si="552"/>
        <v>X</v>
      </c>
      <c r="AU597" s="22" t="str">
        <f t="shared" si="553"/>
        <v>X</v>
      </c>
      <c r="AV597" s="22" t="str">
        <f t="shared" si="554"/>
        <v>X</v>
      </c>
      <c r="AW597" s="22" t="str">
        <f t="shared" si="555"/>
        <v>X</v>
      </c>
      <c r="AX597" s="22" t="str">
        <f t="shared" si="556"/>
        <v>X</v>
      </c>
      <c r="AY597" s="22" t="str">
        <f t="shared" si="557"/>
        <v>X</v>
      </c>
      <c r="AZ597" s="22" t="str">
        <f t="shared" si="558"/>
        <v>X</v>
      </c>
      <c r="BA597" s="22" t="str">
        <f t="shared" si="559"/>
        <v>O</v>
      </c>
      <c r="BB597" s="22">
        <f t="shared" si="560"/>
        <v>3</v>
      </c>
      <c r="BC597" s="22" t="str">
        <f t="shared" si="561"/>
        <v>1G</v>
      </c>
      <c r="BD597" s="22" t="str">
        <f t="shared" si="562"/>
        <v>1G</v>
      </c>
      <c r="BE597" s="22" t="str">
        <f t="shared" si="563"/>
        <v>1G</v>
      </c>
      <c r="BF597" s="22" t="str">
        <f t="shared" si="564"/>
        <v>2G</v>
      </c>
      <c r="BG597" s="22" t="str">
        <f t="shared" si="565"/>
        <v>2G</v>
      </c>
      <c r="BH597" s="22" t="str">
        <f t="shared" si="566"/>
        <v>3G</v>
      </c>
      <c r="BI597" s="22">
        <f t="shared" si="568"/>
        <v>3</v>
      </c>
      <c r="BJ597" s="22">
        <f t="shared" si="569"/>
        <v>2</v>
      </c>
      <c r="BK597" s="22">
        <f t="shared" si="570"/>
        <v>1</v>
      </c>
      <c r="BL597" s="22" t="str">
        <f t="shared" si="567"/>
        <v>321</v>
      </c>
      <c r="BS597"/>
    </row>
    <row r="598" spans="2:71" ht="17" hidden="1">
      <c r="B598" s="16">
        <v>595</v>
      </c>
      <c r="C598" s="119" t="s">
        <v>943</v>
      </c>
      <c r="D598"/>
      <c r="E598"/>
      <c r="F598"/>
      <c r="G598"/>
      <c r="H598"/>
      <c r="I598"/>
      <c r="J598"/>
      <c r="K598"/>
      <c r="L598"/>
      <c r="M598"/>
      <c r="N598" s="23">
        <v>8</v>
      </c>
      <c r="O598" s="23">
        <v>24</v>
      </c>
      <c r="P598" s="23">
        <v>28</v>
      </c>
      <c r="Q598" s="23">
        <v>35</v>
      </c>
      <c r="R598" s="23">
        <v>38</v>
      </c>
      <c r="S598" s="23">
        <v>40</v>
      </c>
      <c r="T598" s="23">
        <v>5</v>
      </c>
      <c r="U598" s="23">
        <f t="shared" si="528"/>
        <v>173</v>
      </c>
      <c r="W598" s="22" t="str">
        <f t="shared" si="529"/>
        <v>짝수</v>
      </c>
      <c r="X598" s="22" t="str">
        <f t="shared" si="530"/>
        <v>짝수</v>
      </c>
      <c r="Y598" s="22" t="str">
        <f t="shared" si="531"/>
        <v>짝수</v>
      </c>
      <c r="Z598" s="22" t="str">
        <f t="shared" si="532"/>
        <v>홀수</v>
      </c>
      <c r="AA598" s="23" t="str">
        <f t="shared" si="533"/>
        <v>짝수</v>
      </c>
      <c r="AB598" s="23" t="str">
        <f t="shared" si="534"/>
        <v>짝수</v>
      </c>
      <c r="AC598" s="22" t="str">
        <f t="shared" si="535"/>
        <v>1 : 5</v>
      </c>
      <c r="AD598" s="22">
        <f t="shared" si="536"/>
        <v>1</v>
      </c>
      <c r="AE598" s="22">
        <f t="shared" si="537"/>
        <v>5</v>
      </c>
      <c r="AF598" s="22" t="str">
        <f t="shared" si="538"/>
        <v>저수</v>
      </c>
      <c r="AG598" s="22" t="str">
        <f t="shared" si="539"/>
        <v>고수</v>
      </c>
      <c r="AH598" s="22" t="str">
        <f t="shared" si="540"/>
        <v>고수</v>
      </c>
      <c r="AI598" s="22" t="str">
        <f t="shared" si="541"/>
        <v>고수</v>
      </c>
      <c r="AJ598" s="22" t="str">
        <f t="shared" si="542"/>
        <v>고수</v>
      </c>
      <c r="AK598" s="22" t="str">
        <f t="shared" si="543"/>
        <v>고수</v>
      </c>
      <c r="AL598" s="22" t="str">
        <f t="shared" si="544"/>
        <v>1 : 5</v>
      </c>
      <c r="AM598" s="22">
        <f t="shared" si="545"/>
        <v>1</v>
      </c>
      <c r="AN598" s="22">
        <f t="shared" si="546"/>
        <v>5</v>
      </c>
      <c r="AO598" s="22">
        <f t="shared" si="547"/>
        <v>33</v>
      </c>
      <c r="AP598" s="22" t="str">
        <f t="shared" si="548"/>
        <v>X</v>
      </c>
      <c r="AQ598" s="22" t="str">
        <f t="shared" si="549"/>
        <v>X</v>
      </c>
      <c r="AR598" s="22" t="str">
        <f t="shared" si="550"/>
        <v>X</v>
      </c>
      <c r="AS598" s="22" t="str">
        <f t="shared" si="551"/>
        <v>X</v>
      </c>
      <c r="AT598" s="22" t="str">
        <f t="shared" si="552"/>
        <v>X</v>
      </c>
      <c r="AU598" s="22" t="str">
        <f t="shared" si="553"/>
        <v>X</v>
      </c>
      <c r="AV598" s="22" t="str">
        <f t="shared" si="554"/>
        <v>X</v>
      </c>
      <c r="AW598" s="22" t="str">
        <f t="shared" si="555"/>
        <v>X</v>
      </c>
      <c r="AX598" s="22" t="str">
        <f t="shared" si="556"/>
        <v>X</v>
      </c>
      <c r="AY598" s="22" t="str">
        <f t="shared" si="557"/>
        <v>X</v>
      </c>
      <c r="AZ598" s="22" t="str">
        <f t="shared" si="558"/>
        <v>X</v>
      </c>
      <c r="BA598" s="22" t="str">
        <f t="shared" si="559"/>
        <v>X</v>
      </c>
      <c r="BB598" s="22">
        <f t="shared" si="560"/>
        <v>0</v>
      </c>
      <c r="BC598" s="22" t="str">
        <f t="shared" si="561"/>
        <v>1G</v>
      </c>
      <c r="BD598" s="22" t="str">
        <f t="shared" si="562"/>
        <v>2G</v>
      </c>
      <c r="BE598" s="22" t="str">
        <f t="shared" si="563"/>
        <v>2G</v>
      </c>
      <c r="BF598" s="22" t="str">
        <f t="shared" si="564"/>
        <v>3G</v>
      </c>
      <c r="BG598" s="22" t="str">
        <f t="shared" si="565"/>
        <v>3G</v>
      </c>
      <c r="BH598" s="22" t="str">
        <f t="shared" si="566"/>
        <v>3G</v>
      </c>
      <c r="BI598" s="22">
        <f t="shared" si="568"/>
        <v>1</v>
      </c>
      <c r="BJ598" s="22">
        <f t="shared" si="569"/>
        <v>2</v>
      </c>
      <c r="BK598" s="22">
        <f t="shared" si="570"/>
        <v>3</v>
      </c>
      <c r="BL598" s="22" t="str">
        <f t="shared" si="567"/>
        <v>123</v>
      </c>
      <c r="BS598"/>
    </row>
    <row r="599" spans="2:71" ht="17" hidden="1">
      <c r="B599" s="16">
        <v>596</v>
      </c>
      <c r="C599" s="119" t="s">
        <v>942</v>
      </c>
      <c r="D599"/>
      <c r="E599"/>
      <c r="F599"/>
      <c r="G599"/>
      <c r="H599"/>
      <c r="I599"/>
      <c r="J599"/>
      <c r="K599"/>
      <c r="L599"/>
      <c r="M599"/>
      <c r="N599" s="23">
        <v>3</v>
      </c>
      <c r="O599" s="23">
        <v>4</v>
      </c>
      <c r="P599" s="23">
        <v>12</v>
      </c>
      <c r="Q599" s="23">
        <v>14</v>
      </c>
      <c r="R599" s="23">
        <v>25</v>
      </c>
      <c r="S599" s="23">
        <v>43</v>
      </c>
      <c r="T599" s="23">
        <v>17</v>
      </c>
      <c r="U599" s="23">
        <f t="shared" si="528"/>
        <v>101</v>
      </c>
      <c r="W599" s="22" t="str">
        <f t="shared" si="529"/>
        <v>홀수</v>
      </c>
      <c r="X599" s="22" t="str">
        <f t="shared" si="530"/>
        <v>짝수</v>
      </c>
      <c r="Y599" s="22" t="str">
        <f t="shared" si="531"/>
        <v>짝수</v>
      </c>
      <c r="Z599" s="22" t="str">
        <f t="shared" si="532"/>
        <v>짝수</v>
      </c>
      <c r="AA599" s="23" t="str">
        <f t="shared" si="533"/>
        <v>홀수</v>
      </c>
      <c r="AB599" s="23" t="str">
        <f t="shared" si="534"/>
        <v>홀수</v>
      </c>
      <c r="AC599" s="22" t="str">
        <f t="shared" si="535"/>
        <v>3 : 3</v>
      </c>
      <c r="AD599" s="22">
        <f t="shared" si="536"/>
        <v>3</v>
      </c>
      <c r="AE599" s="22">
        <f t="shared" si="537"/>
        <v>3</v>
      </c>
      <c r="AF599" s="22" t="str">
        <f t="shared" si="538"/>
        <v>저수</v>
      </c>
      <c r="AG599" s="22" t="str">
        <f t="shared" si="539"/>
        <v>저수</v>
      </c>
      <c r="AH599" s="22" t="str">
        <f t="shared" si="540"/>
        <v>저수</v>
      </c>
      <c r="AI599" s="22" t="str">
        <f t="shared" si="541"/>
        <v>저수</v>
      </c>
      <c r="AJ599" s="22" t="str">
        <f t="shared" si="542"/>
        <v>고수</v>
      </c>
      <c r="AK599" s="22" t="str">
        <f t="shared" si="543"/>
        <v>고수</v>
      </c>
      <c r="AL599" s="22" t="str">
        <f t="shared" si="544"/>
        <v>4 : 2</v>
      </c>
      <c r="AM599" s="22">
        <f t="shared" si="545"/>
        <v>4</v>
      </c>
      <c r="AN599" s="22">
        <f t="shared" si="546"/>
        <v>2</v>
      </c>
      <c r="AO599" s="22">
        <f t="shared" si="547"/>
        <v>21</v>
      </c>
      <c r="AP599" s="22" t="str">
        <f t="shared" si="548"/>
        <v>O</v>
      </c>
      <c r="AQ599" s="22" t="str">
        <f t="shared" si="549"/>
        <v>X</v>
      </c>
      <c r="AR599" s="22" t="str">
        <f t="shared" si="550"/>
        <v>X</v>
      </c>
      <c r="AS599" s="22" t="str">
        <f t="shared" si="551"/>
        <v>X</v>
      </c>
      <c r="AT599" s="22" t="str">
        <f t="shared" si="552"/>
        <v>X</v>
      </c>
      <c r="AU599" s="22" t="str">
        <f t="shared" si="553"/>
        <v>X</v>
      </c>
      <c r="AV599" s="22" t="str">
        <f t="shared" si="554"/>
        <v>X</v>
      </c>
      <c r="AW599" s="22" t="str">
        <f t="shared" si="555"/>
        <v>X</v>
      </c>
      <c r="AX599" s="22" t="str">
        <f t="shared" si="556"/>
        <v>X</v>
      </c>
      <c r="AY599" s="22" t="str">
        <f t="shared" si="557"/>
        <v>X</v>
      </c>
      <c r="AZ599" s="22" t="str">
        <f t="shared" si="558"/>
        <v>X</v>
      </c>
      <c r="BA599" s="22" t="str">
        <f t="shared" si="559"/>
        <v>O</v>
      </c>
      <c r="BB599" s="22">
        <f t="shared" si="560"/>
        <v>2</v>
      </c>
      <c r="BC599" s="22" t="str">
        <f t="shared" si="561"/>
        <v>1G</v>
      </c>
      <c r="BD599" s="22" t="str">
        <f t="shared" si="562"/>
        <v>1G</v>
      </c>
      <c r="BE599" s="22" t="str">
        <f t="shared" si="563"/>
        <v>1G</v>
      </c>
      <c r="BF599" s="22" t="str">
        <f t="shared" si="564"/>
        <v>1G</v>
      </c>
      <c r="BG599" s="22" t="str">
        <f t="shared" si="565"/>
        <v>2G</v>
      </c>
      <c r="BH599" s="22" t="str">
        <f t="shared" si="566"/>
        <v>3G</v>
      </c>
      <c r="BI599" s="22">
        <f t="shared" si="568"/>
        <v>4</v>
      </c>
      <c r="BJ599" s="22">
        <f t="shared" si="569"/>
        <v>1</v>
      </c>
      <c r="BK599" s="22">
        <f t="shared" si="570"/>
        <v>1</v>
      </c>
      <c r="BL599" s="22" t="str">
        <f t="shared" si="567"/>
        <v>411</v>
      </c>
      <c r="BS599"/>
    </row>
    <row r="600" spans="2:71" ht="17" hidden="1">
      <c r="B600" s="16">
        <v>597</v>
      </c>
      <c r="C600" s="119" t="s">
        <v>941</v>
      </c>
      <c r="D600"/>
      <c r="E600"/>
      <c r="F600"/>
      <c r="G600"/>
      <c r="H600"/>
      <c r="I600"/>
      <c r="J600"/>
      <c r="K600"/>
      <c r="L600"/>
      <c r="M600"/>
      <c r="N600" s="23">
        <v>8</v>
      </c>
      <c r="O600" s="23">
        <v>10</v>
      </c>
      <c r="P600" s="23">
        <v>23</v>
      </c>
      <c r="Q600" s="23">
        <v>24</v>
      </c>
      <c r="R600" s="23">
        <v>35</v>
      </c>
      <c r="S600" s="23">
        <v>43</v>
      </c>
      <c r="T600" s="23">
        <v>37</v>
      </c>
      <c r="U600" s="23">
        <f t="shared" si="528"/>
        <v>143</v>
      </c>
      <c r="W600" s="22" t="str">
        <f t="shared" si="529"/>
        <v>짝수</v>
      </c>
      <c r="X600" s="22" t="str">
        <f t="shared" si="530"/>
        <v>짝수</v>
      </c>
      <c r="Y600" s="22" t="str">
        <f t="shared" si="531"/>
        <v>홀수</v>
      </c>
      <c r="Z600" s="22" t="str">
        <f t="shared" si="532"/>
        <v>짝수</v>
      </c>
      <c r="AA600" s="23" t="str">
        <f t="shared" si="533"/>
        <v>홀수</v>
      </c>
      <c r="AB600" s="23" t="str">
        <f t="shared" si="534"/>
        <v>홀수</v>
      </c>
      <c r="AC600" s="22" t="str">
        <f t="shared" si="535"/>
        <v>3 : 3</v>
      </c>
      <c r="AD600" s="22">
        <f t="shared" si="536"/>
        <v>3</v>
      </c>
      <c r="AE600" s="22">
        <f t="shared" si="537"/>
        <v>3</v>
      </c>
      <c r="AF600" s="22" t="str">
        <f t="shared" si="538"/>
        <v>저수</v>
      </c>
      <c r="AG600" s="22" t="str">
        <f t="shared" si="539"/>
        <v>저수</v>
      </c>
      <c r="AH600" s="22" t="str">
        <f t="shared" si="540"/>
        <v>고수</v>
      </c>
      <c r="AI600" s="22" t="str">
        <f t="shared" si="541"/>
        <v>고수</v>
      </c>
      <c r="AJ600" s="22" t="str">
        <f t="shared" si="542"/>
        <v>고수</v>
      </c>
      <c r="AK600" s="22" t="str">
        <f t="shared" si="543"/>
        <v>고수</v>
      </c>
      <c r="AL600" s="22" t="str">
        <f t="shared" si="544"/>
        <v>2 : 4</v>
      </c>
      <c r="AM600" s="22">
        <f t="shared" si="545"/>
        <v>2</v>
      </c>
      <c r="AN600" s="22">
        <f t="shared" si="546"/>
        <v>4</v>
      </c>
      <c r="AO600" s="22">
        <f t="shared" si="547"/>
        <v>23</v>
      </c>
      <c r="AP600" s="22" t="str">
        <f t="shared" si="548"/>
        <v>X</v>
      </c>
      <c r="AQ600" s="22" t="str">
        <f t="shared" si="549"/>
        <v>X</v>
      </c>
      <c r="AR600" s="22" t="str">
        <f t="shared" si="550"/>
        <v>X</v>
      </c>
      <c r="AS600" s="22" t="str">
        <f t="shared" si="551"/>
        <v>X</v>
      </c>
      <c r="AT600" s="22" t="str">
        <f t="shared" si="552"/>
        <v>X</v>
      </c>
      <c r="AU600" s="22" t="str">
        <f t="shared" si="553"/>
        <v>X</v>
      </c>
      <c r="AV600" s="22" t="str">
        <f t="shared" si="554"/>
        <v>X</v>
      </c>
      <c r="AW600" s="22" t="str">
        <f t="shared" si="555"/>
        <v>X</v>
      </c>
      <c r="AX600" s="22" t="str">
        <f t="shared" si="556"/>
        <v>O</v>
      </c>
      <c r="AY600" s="22" t="str">
        <f t="shared" si="557"/>
        <v>X</v>
      </c>
      <c r="AZ600" s="22" t="str">
        <f t="shared" si="558"/>
        <v>X</v>
      </c>
      <c r="BA600" s="22" t="str">
        <f t="shared" si="559"/>
        <v>O</v>
      </c>
      <c r="BB600" s="22">
        <f t="shared" si="560"/>
        <v>2</v>
      </c>
      <c r="BC600" s="22" t="str">
        <f t="shared" si="561"/>
        <v>1G</v>
      </c>
      <c r="BD600" s="22" t="str">
        <f t="shared" si="562"/>
        <v>1G</v>
      </c>
      <c r="BE600" s="22" t="str">
        <f t="shared" si="563"/>
        <v>2G</v>
      </c>
      <c r="BF600" s="22" t="str">
        <f t="shared" si="564"/>
        <v>2G</v>
      </c>
      <c r="BG600" s="22" t="str">
        <f t="shared" si="565"/>
        <v>3G</v>
      </c>
      <c r="BH600" s="22" t="str">
        <f t="shared" si="566"/>
        <v>3G</v>
      </c>
      <c r="BI600" s="22">
        <f t="shared" si="568"/>
        <v>2</v>
      </c>
      <c r="BJ600" s="22">
        <f t="shared" si="569"/>
        <v>2</v>
      </c>
      <c r="BK600" s="22">
        <f t="shared" si="570"/>
        <v>2</v>
      </c>
      <c r="BL600" s="22" t="str">
        <f t="shared" si="567"/>
        <v>222</v>
      </c>
      <c r="BS600"/>
    </row>
    <row r="601" spans="2:71" ht="17" hidden="1">
      <c r="B601" s="16">
        <v>598</v>
      </c>
      <c r="C601" s="119" t="s">
        <v>940</v>
      </c>
      <c r="D601"/>
      <c r="E601"/>
      <c r="F601"/>
      <c r="G601"/>
      <c r="H601"/>
      <c r="I601"/>
      <c r="J601"/>
      <c r="K601"/>
      <c r="L601"/>
      <c r="M601"/>
      <c r="N601" s="23">
        <v>4</v>
      </c>
      <c r="O601" s="23">
        <v>12</v>
      </c>
      <c r="P601" s="23">
        <v>24</v>
      </c>
      <c r="Q601" s="23">
        <v>33</v>
      </c>
      <c r="R601" s="23">
        <v>38</v>
      </c>
      <c r="S601" s="23">
        <v>45</v>
      </c>
      <c r="T601" s="23">
        <v>22</v>
      </c>
      <c r="U601" s="23">
        <f t="shared" si="528"/>
        <v>156</v>
      </c>
      <c r="W601" s="22" t="str">
        <f t="shared" si="529"/>
        <v>짝수</v>
      </c>
      <c r="X601" s="22" t="str">
        <f t="shared" si="530"/>
        <v>짝수</v>
      </c>
      <c r="Y601" s="22" t="str">
        <f t="shared" si="531"/>
        <v>짝수</v>
      </c>
      <c r="Z601" s="22" t="str">
        <f t="shared" si="532"/>
        <v>홀수</v>
      </c>
      <c r="AA601" s="23" t="str">
        <f t="shared" si="533"/>
        <v>짝수</v>
      </c>
      <c r="AB601" s="23" t="str">
        <f t="shared" si="534"/>
        <v>홀수</v>
      </c>
      <c r="AC601" s="22" t="str">
        <f t="shared" si="535"/>
        <v>2 : 4</v>
      </c>
      <c r="AD601" s="22">
        <f t="shared" si="536"/>
        <v>2</v>
      </c>
      <c r="AE601" s="22">
        <f t="shared" si="537"/>
        <v>4</v>
      </c>
      <c r="AF601" s="22" t="str">
        <f t="shared" si="538"/>
        <v>저수</v>
      </c>
      <c r="AG601" s="22" t="str">
        <f t="shared" si="539"/>
        <v>저수</v>
      </c>
      <c r="AH601" s="22" t="str">
        <f t="shared" si="540"/>
        <v>고수</v>
      </c>
      <c r="AI601" s="22" t="str">
        <f t="shared" si="541"/>
        <v>고수</v>
      </c>
      <c r="AJ601" s="22" t="str">
        <f t="shared" si="542"/>
        <v>고수</v>
      </c>
      <c r="AK601" s="22" t="str">
        <f t="shared" si="543"/>
        <v>고수</v>
      </c>
      <c r="AL601" s="22" t="str">
        <f t="shared" si="544"/>
        <v>2 : 4</v>
      </c>
      <c r="AM601" s="22">
        <f t="shared" si="545"/>
        <v>2</v>
      </c>
      <c r="AN601" s="22">
        <f t="shared" si="546"/>
        <v>4</v>
      </c>
      <c r="AO601" s="22">
        <f t="shared" si="547"/>
        <v>26</v>
      </c>
      <c r="AP601" s="22" t="str">
        <f t="shared" si="548"/>
        <v>X</v>
      </c>
      <c r="AQ601" s="22" t="str">
        <f t="shared" si="549"/>
        <v>X</v>
      </c>
      <c r="AR601" s="22" t="str">
        <f t="shared" si="550"/>
        <v>X</v>
      </c>
      <c r="AS601" s="22" t="str">
        <f t="shared" si="551"/>
        <v>X</v>
      </c>
      <c r="AT601" s="22" t="str">
        <f t="shared" si="552"/>
        <v>X</v>
      </c>
      <c r="AU601" s="22" t="str">
        <f t="shared" si="553"/>
        <v>X</v>
      </c>
      <c r="AV601" s="22" t="str">
        <f t="shared" si="554"/>
        <v>X</v>
      </c>
      <c r="AW601" s="22" t="str">
        <f t="shared" si="555"/>
        <v>X</v>
      </c>
      <c r="AX601" s="22" t="str">
        <f t="shared" si="556"/>
        <v>X</v>
      </c>
      <c r="AY601" s="22" t="str">
        <f t="shared" si="557"/>
        <v>X</v>
      </c>
      <c r="AZ601" s="22" t="str">
        <f t="shared" si="558"/>
        <v>X</v>
      </c>
      <c r="BA601" s="22" t="str">
        <f t="shared" si="559"/>
        <v>X</v>
      </c>
      <c r="BB601" s="22">
        <f t="shared" si="560"/>
        <v>0</v>
      </c>
      <c r="BC601" s="22" t="str">
        <f t="shared" si="561"/>
        <v>1G</v>
      </c>
      <c r="BD601" s="22" t="str">
        <f t="shared" si="562"/>
        <v>1G</v>
      </c>
      <c r="BE601" s="22" t="str">
        <f t="shared" si="563"/>
        <v>2G</v>
      </c>
      <c r="BF601" s="22" t="str">
        <f t="shared" si="564"/>
        <v>3G</v>
      </c>
      <c r="BG601" s="22" t="str">
        <f t="shared" si="565"/>
        <v>3G</v>
      </c>
      <c r="BH601" s="22" t="str">
        <f t="shared" si="566"/>
        <v>3G</v>
      </c>
      <c r="BI601" s="22">
        <f t="shared" si="568"/>
        <v>2</v>
      </c>
      <c r="BJ601" s="22">
        <f t="shared" si="569"/>
        <v>1</v>
      </c>
      <c r="BK601" s="22">
        <f t="shared" si="570"/>
        <v>3</v>
      </c>
      <c r="BL601" s="22" t="str">
        <f t="shared" si="567"/>
        <v>213</v>
      </c>
      <c r="BS601"/>
    </row>
    <row r="602" spans="2:71" ht="17" hidden="1">
      <c r="B602" s="16">
        <v>599</v>
      </c>
      <c r="C602" s="119" t="s">
        <v>939</v>
      </c>
      <c r="D602"/>
      <c r="E602"/>
      <c r="F602"/>
      <c r="G602"/>
      <c r="H602"/>
      <c r="I602"/>
      <c r="J602"/>
      <c r="K602"/>
      <c r="L602"/>
      <c r="M602"/>
      <c r="N602" s="23">
        <v>5</v>
      </c>
      <c r="O602" s="23">
        <v>12</v>
      </c>
      <c r="P602" s="23">
        <v>17</v>
      </c>
      <c r="Q602" s="23">
        <v>29</v>
      </c>
      <c r="R602" s="23">
        <v>34</v>
      </c>
      <c r="S602" s="23">
        <v>35</v>
      </c>
      <c r="T602" s="23">
        <v>27</v>
      </c>
      <c r="U602" s="23">
        <f t="shared" si="528"/>
        <v>132</v>
      </c>
      <c r="W602" s="22" t="str">
        <f t="shared" si="529"/>
        <v>홀수</v>
      </c>
      <c r="X602" s="22" t="str">
        <f t="shared" si="530"/>
        <v>짝수</v>
      </c>
      <c r="Y602" s="22" t="str">
        <f t="shared" si="531"/>
        <v>홀수</v>
      </c>
      <c r="Z602" s="22" t="str">
        <f t="shared" si="532"/>
        <v>홀수</v>
      </c>
      <c r="AA602" s="23" t="str">
        <f t="shared" si="533"/>
        <v>짝수</v>
      </c>
      <c r="AB602" s="23" t="str">
        <f t="shared" si="534"/>
        <v>홀수</v>
      </c>
      <c r="AC602" s="22" t="str">
        <f t="shared" si="535"/>
        <v>4 : 2</v>
      </c>
      <c r="AD602" s="22">
        <f t="shared" si="536"/>
        <v>4</v>
      </c>
      <c r="AE602" s="22">
        <f t="shared" si="537"/>
        <v>2</v>
      </c>
      <c r="AF602" s="22" t="str">
        <f t="shared" si="538"/>
        <v>저수</v>
      </c>
      <c r="AG602" s="22" t="str">
        <f t="shared" si="539"/>
        <v>저수</v>
      </c>
      <c r="AH602" s="22" t="str">
        <f t="shared" si="540"/>
        <v>저수</v>
      </c>
      <c r="AI602" s="22" t="str">
        <f t="shared" si="541"/>
        <v>고수</v>
      </c>
      <c r="AJ602" s="22" t="str">
        <f t="shared" si="542"/>
        <v>고수</v>
      </c>
      <c r="AK602" s="22" t="str">
        <f t="shared" si="543"/>
        <v>고수</v>
      </c>
      <c r="AL602" s="22" t="str">
        <f t="shared" si="544"/>
        <v>3 : 3</v>
      </c>
      <c r="AM602" s="22">
        <f t="shared" si="545"/>
        <v>3</v>
      </c>
      <c r="AN602" s="22">
        <f t="shared" si="546"/>
        <v>3</v>
      </c>
      <c r="AO602" s="22">
        <f t="shared" si="547"/>
        <v>32</v>
      </c>
      <c r="AP602" s="22" t="str">
        <f t="shared" si="548"/>
        <v>O</v>
      </c>
      <c r="AQ602" s="22" t="str">
        <f t="shared" si="549"/>
        <v>X</v>
      </c>
      <c r="AR602" s="22" t="str">
        <f t="shared" si="550"/>
        <v>O</v>
      </c>
      <c r="AS602" s="22" t="str">
        <f t="shared" si="551"/>
        <v>X</v>
      </c>
      <c r="AT602" s="22" t="str">
        <f t="shared" si="552"/>
        <v>X</v>
      </c>
      <c r="AU602" s="22" t="str">
        <f t="shared" si="553"/>
        <v>X</v>
      </c>
      <c r="AV602" s="22" t="str">
        <f t="shared" si="554"/>
        <v>X</v>
      </c>
      <c r="AW602" s="22" t="str">
        <f t="shared" si="555"/>
        <v>X</v>
      </c>
      <c r="AX602" s="22" t="str">
        <f t="shared" si="556"/>
        <v>X</v>
      </c>
      <c r="AY602" s="22" t="str">
        <f t="shared" si="557"/>
        <v>O</v>
      </c>
      <c r="AZ602" s="22" t="str">
        <f t="shared" si="558"/>
        <v>X</v>
      </c>
      <c r="BA602" s="22" t="str">
        <f t="shared" si="559"/>
        <v>X</v>
      </c>
      <c r="BB602" s="22">
        <f t="shared" si="560"/>
        <v>3</v>
      </c>
      <c r="BC602" s="22" t="str">
        <f t="shared" si="561"/>
        <v>1G</v>
      </c>
      <c r="BD602" s="22" t="str">
        <f t="shared" si="562"/>
        <v>1G</v>
      </c>
      <c r="BE602" s="22" t="str">
        <f t="shared" si="563"/>
        <v>2G</v>
      </c>
      <c r="BF602" s="22" t="str">
        <f t="shared" si="564"/>
        <v>2G</v>
      </c>
      <c r="BG602" s="22" t="str">
        <f t="shared" si="565"/>
        <v>3G</v>
      </c>
      <c r="BH602" s="22" t="str">
        <f t="shared" si="566"/>
        <v>3G</v>
      </c>
      <c r="BI602" s="22">
        <f t="shared" si="568"/>
        <v>2</v>
      </c>
      <c r="BJ602" s="22">
        <f t="shared" si="569"/>
        <v>2</v>
      </c>
      <c r="BK602" s="22">
        <f t="shared" si="570"/>
        <v>2</v>
      </c>
      <c r="BL602" s="22" t="str">
        <f t="shared" si="567"/>
        <v>222</v>
      </c>
      <c r="BS602"/>
    </row>
    <row r="603" spans="2:71" ht="17" hidden="1">
      <c r="B603" s="16">
        <v>600</v>
      </c>
      <c r="C603" s="119" t="s">
        <v>938</v>
      </c>
      <c r="D603"/>
      <c r="E603"/>
      <c r="F603"/>
      <c r="G603"/>
      <c r="H603"/>
      <c r="I603"/>
      <c r="J603"/>
      <c r="K603"/>
      <c r="L603"/>
      <c r="M603"/>
      <c r="N603" s="23">
        <v>5</v>
      </c>
      <c r="O603" s="23">
        <v>11</v>
      </c>
      <c r="P603" s="23">
        <v>14</v>
      </c>
      <c r="Q603" s="23">
        <v>27</v>
      </c>
      <c r="R603" s="23">
        <v>29</v>
      </c>
      <c r="S603" s="23">
        <v>36</v>
      </c>
      <c r="T603" s="23">
        <v>44</v>
      </c>
      <c r="U603" s="23">
        <f t="shared" si="528"/>
        <v>122</v>
      </c>
      <c r="W603" s="22" t="str">
        <f t="shared" si="529"/>
        <v>홀수</v>
      </c>
      <c r="X603" s="22" t="str">
        <f t="shared" si="530"/>
        <v>홀수</v>
      </c>
      <c r="Y603" s="22" t="str">
        <f t="shared" si="531"/>
        <v>짝수</v>
      </c>
      <c r="Z603" s="22" t="str">
        <f t="shared" si="532"/>
        <v>홀수</v>
      </c>
      <c r="AA603" s="23" t="str">
        <f t="shared" si="533"/>
        <v>홀수</v>
      </c>
      <c r="AB603" s="23" t="str">
        <f t="shared" si="534"/>
        <v>짝수</v>
      </c>
      <c r="AC603" s="22" t="str">
        <f t="shared" si="535"/>
        <v>4 : 2</v>
      </c>
      <c r="AD603" s="22">
        <f t="shared" si="536"/>
        <v>4</v>
      </c>
      <c r="AE603" s="22">
        <f t="shared" si="537"/>
        <v>2</v>
      </c>
      <c r="AF603" s="22" t="str">
        <f t="shared" si="538"/>
        <v>저수</v>
      </c>
      <c r="AG603" s="22" t="str">
        <f t="shared" si="539"/>
        <v>저수</v>
      </c>
      <c r="AH603" s="22" t="str">
        <f t="shared" si="540"/>
        <v>저수</v>
      </c>
      <c r="AI603" s="22" t="str">
        <f t="shared" si="541"/>
        <v>고수</v>
      </c>
      <c r="AJ603" s="22" t="str">
        <f t="shared" si="542"/>
        <v>고수</v>
      </c>
      <c r="AK603" s="22" t="str">
        <f t="shared" si="543"/>
        <v>고수</v>
      </c>
      <c r="AL603" s="22" t="str">
        <f t="shared" si="544"/>
        <v>3 : 3</v>
      </c>
      <c r="AM603" s="22">
        <f t="shared" si="545"/>
        <v>3</v>
      </c>
      <c r="AN603" s="22">
        <f t="shared" si="546"/>
        <v>3</v>
      </c>
      <c r="AO603" s="22">
        <f t="shared" si="547"/>
        <v>32</v>
      </c>
      <c r="AP603" s="22" t="str">
        <f t="shared" si="548"/>
        <v>O</v>
      </c>
      <c r="AQ603" s="22" t="str">
        <f t="shared" si="549"/>
        <v>O</v>
      </c>
      <c r="AR603" s="22" t="str">
        <f t="shared" si="550"/>
        <v>X</v>
      </c>
      <c r="AS603" s="22" t="str">
        <f t="shared" si="551"/>
        <v>X</v>
      </c>
      <c r="AT603" s="22" t="str">
        <f t="shared" si="552"/>
        <v>X</v>
      </c>
      <c r="AU603" s="22" t="str">
        <f t="shared" si="553"/>
        <v>X</v>
      </c>
      <c r="AV603" s="22" t="str">
        <f t="shared" si="554"/>
        <v>X</v>
      </c>
      <c r="AW603" s="22" t="str">
        <f t="shared" si="555"/>
        <v>X</v>
      </c>
      <c r="AX603" s="22" t="str">
        <f t="shared" si="556"/>
        <v>X</v>
      </c>
      <c r="AY603" s="22" t="str">
        <f t="shared" si="557"/>
        <v>X</v>
      </c>
      <c r="AZ603" s="22" t="str">
        <f t="shared" si="558"/>
        <v>O</v>
      </c>
      <c r="BA603" s="22" t="str">
        <f t="shared" si="559"/>
        <v>X</v>
      </c>
      <c r="BB603" s="22">
        <f t="shared" si="560"/>
        <v>3</v>
      </c>
      <c r="BC603" s="22" t="str">
        <f t="shared" si="561"/>
        <v>1G</v>
      </c>
      <c r="BD603" s="22" t="str">
        <f t="shared" si="562"/>
        <v>1G</v>
      </c>
      <c r="BE603" s="22" t="str">
        <f t="shared" si="563"/>
        <v>1G</v>
      </c>
      <c r="BF603" s="22" t="str">
        <f t="shared" si="564"/>
        <v>2G</v>
      </c>
      <c r="BG603" s="22" t="str">
        <f t="shared" si="565"/>
        <v>2G</v>
      </c>
      <c r="BH603" s="22" t="str">
        <f t="shared" si="566"/>
        <v>3G</v>
      </c>
      <c r="BI603" s="22">
        <f t="shared" si="568"/>
        <v>3</v>
      </c>
      <c r="BJ603" s="22">
        <f t="shared" si="569"/>
        <v>2</v>
      </c>
      <c r="BK603" s="22">
        <f t="shared" si="570"/>
        <v>1</v>
      </c>
      <c r="BL603" s="22" t="str">
        <f t="shared" si="567"/>
        <v>321</v>
      </c>
      <c r="BS603"/>
    </row>
    <row r="604" spans="2:71" ht="17" hidden="1">
      <c r="B604" s="16">
        <v>601</v>
      </c>
      <c r="C604" s="119" t="s">
        <v>937</v>
      </c>
      <c r="D604"/>
      <c r="E604"/>
      <c r="F604"/>
      <c r="G604"/>
      <c r="H604"/>
      <c r="I604"/>
      <c r="J604"/>
      <c r="K604"/>
      <c r="L604"/>
      <c r="M604"/>
      <c r="N604" s="23">
        <v>2</v>
      </c>
      <c r="O604" s="23">
        <v>16</v>
      </c>
      <c r="P604" s="23">
        <v>19</v>
      </c>
      <c r="Q604" s="23">
        <v>31</v>
      </c>
      <c r="R604" s="23">
        <v>34</v>
      </c>
      <c r="S604" s="23">
        <v>35</v>
      </c>
      <c r="T604" s="23">
        <v>37</v>
      </c>
      <c r="U604" s="23">
        <f t="shared" si="528"/>
        <v>137</v>
      </c>
      <c r="W604" s="22" t="str">
        <f t="shared" si="529"/>
        <v>짝수</v>
      </c>
      <c r="X604" s="22" t="str">
        <f t="shared" si="530"/>
        <v>짝수</v>
      </c>
      <c r="Y604" s="22" t="str">
        <f t="shared" si="531"/>
        <v>홀수</v>
      </c>
      <c r="Z604" s="22" t="str">
        <f t="shared" si="532"/>
        <v>홀수</v>
      </c>
      <c r="AA604" s="23" t="str">
        <f t="shared" si="533"/>
        <v>짝수</v>
      </c>
      <c r="AB604" s="23" t="str">
        <f t="shared" si="534"/>
        <v>홀수</v>
      </c>
      <c r="AC604" s="22" t="str">
        <f t="shared" si="535"/>
        <v>3 : 3</v>
      </c>
      <c r="AD604" s="22">
        <f t="shared" si="536"/>
        <v>3</v>
      </c>
      <c r="AE604" s="22">
        <f t="shared" si="537"/>
        <v>3</v>
      </c>
      <c r="AF604" s="22" t="str">
        <f t="shared" si="538"/>
        <v>저수</v>
      </c>
      <c r="AG604" s="22" t="str">
        <f t="shared" si="539"/>
        <v>저수</v>
      </c>
      <c r="AH604" s="22" t="str">
        <f t="shared" si="540"/>
        <v>저수</v>
      </c>
      <c r="AI604" s="22" t="str">
        <f t="shared" si="541"/>
        <v>고수</v>
      </c>
      <c r="AJ604" s="22" t="str">
        <f t="shared" si="542"/>
        <v>고수</v>
      </c>
      <c r="AK604" s="22" t="str">
        <f t="shared" si="543"/>
        <v>고수</v>
      </c>
      <c r="AL604" s="22" t="str">
        <f t="shared" si="544"/>
        <v>3 : 3</v>
      </c>
      <c r="AM604" s="22">
        <f t="shared" si="545"/>
        <v>3</v>
      </c>
      <c r="AN604" s="22">
        <f t="shared" si="546"/>
        <v>3</v>
      </c>
      <c r="AO604" s="22">
        <f t="shared" si="547"/>
        <v>27</v>
      </c>
      <c r="AP604" s="22" t="str">
        <f t="shared" si="548"/>
        <v>O</v>
      </c>
      <c r="AQ604" s="22" t="str">
        <f t="shared" si="549"/>
        <v>X</v>
      </c>
      <c r="AR604" s="22" t="str">
        <f t="shared" si="550"/>
        <v>O</v>
      </c>
      <c r="AS604" s="22" t="str">
        <f t="shared" si="551"/>
        <v>X</v>
      </c>
      <c r="AT604" s="22" t="str">
        <f t="shared" si="552"/>
        <v>X</v>
      </c>
      <c r="AU604" s="22" t="str">
        <f t="shared" si="553"/>
        <v>X</v>
      </c>
      <c r="AV604" s="22" t="str">
        <f t="shared" si="554"/>
        <v>X</v>
      </c>
      <c r="AW604" s="22" t="str">
        <f t="shared" si="555"/>
        <v>X</v>
      </c>
      <c r="AX604" s="22" t="str">
        <f t="shared" si="556"/>
        <v>X</v>
      </c>
      <c r="AY604" s="22" t="str">
        <f t="shared" si="557"/>
        <v>O</v>
      </c>
      <c r="AZ604" s="22" t="str">
        <f t="shared" si="558"/>
        <v>X</v>
      </c>
      <c r="BA604" s="22" t="str">
        <f t="shared" si="559"/>
        <v>X</v>
      </c>
      <c r="BB604" s="22">
        <f t="shared" si="560"/>
        <v>3</v>
      </c>
      <c r="BC604" s="22" t="str">
        <f t="shared" si="561"/>
        <v>1G</v>
      </c>
      <c r="BD604" s="22" t="str">
        <f t="shared" si="562"/>
        <v>2G</v>
      </c>
      <c r="BE604" s="22" t="str">
        <f t="shared" si="563"/>
        <v>2G</v>
      </c>
      <c r="BF604" s="22" t="str">
        <f t="shared" si="564"/>
        <v>3G</v>
      </c>
      <c r="BG604" s="22" t="str">
        <f t="shared" si="565"/>
        <v>3G</v>
      </c>
      <c r="BH604" s="22" t="str">
        <f t="shared" si="566"/>
        <v>3G</v>
      </c>
      <c r="BI604" s="22">
        <f t="shared" si="568"/>
        <v>1</v>
      </c>
      <c r="BJ604" s="22">
        <f t="shared" si="569"/>
        <v>2</v>
      </c>
      <c r="BK604" s="22">
        <f t="shared" si="570"/>
        <v>3</v>
      </c>
      <c r="BL604" s="22" t="str">
        <f t="shared" si="567"/>
        <v>123</v>
      </c>
      <c r="BS604"/>
    </row>
    <row r="605" spans="2:71" ht="17" hidden="1">
      <c r="B605" s="16">
        <v>602</v>
      </c>
      <c r="C605" s="119" t="s">
        <v>936</v>
      </c>
      <c r="D605"/>
      <c r="E605"/>
      <c r="F605"/>
      <c r="G605"/>
      <c r="H605"/>
      <c r="I605"/>
      <c r="J605"/>
      <c r="K605"/>
      <c r="L605"/>
      <c r="M605"/>
      <c r="N605" s="23">
        <v>13</v>
      </c>
      <c r="O605" s="23">
        <v>14</v>
      </c>
      <c r="P605" s="23">
        <v>22</v>
      </c>
      <c r="Q605" s="23">
        <v>27</v>
      </c>
      <c r="R605" s="23">
        <v>30</v>
      </c>
      <c r="S605" s="23">
        <v>38</v>
      </c>
      <c r="T605" s="23">
        <v>2</v>
      </c>
      <c r="U605" s="23">
        <f t="shared" si="528"/>
        <v>144</v>
      </c>
      <c r="W605" s="22" t="str">
        <f t="shared" si="529"/>
        <v>홀수</v>
      </c>
      <c r="X605" s="22" t="str">
        <f t="shared" si="530"/>
        <v>짝수</v>
      </c>
      <c r="Y605" s="22" t="str">
        <f t="shared" si="531"/>
        <v>짝수</v>
      </c>
      <c r="Z605" s="22" t="str">
        <f t="shared" si="532"/>
        <v>홀수</v>
      </c>
      <c r="AA605" s="23" t="str">
        <f t="shared" si="533"/>
        <v>짝수</v>
      </c>
      <c r="AB605" s="23" t="str">
        <f t="shared" si="534"/>
        <v>짝수</v>
      </c>
      <c r="AC605" s="22" t="str">
        <f t="shared" si="535"/>
        <v>2 : 4</v>
      </c>
      <c r="AD605" s="22">
        <f t="shared" si="536"/>
        <v>2</v>
      </c>
      <c r="AE605" s="22">
        <f t="shared" si="537"/>
        <v>4</v>
      </c>
      <c r="AF605" s="22" t="str">
        <f t="shared" si="538"/>
        <v>저수</v>
      </c>
      <c r="AG605" s="22" t="str">
        <f t="shared" si="539"/>
        <v>저수</v>
      </c>
      <c r="AH605" s="22" t="str">
        <f t="shared" si="540"/>
        <v>저수</v>
      </c>
      <c r="AI605" s="22" t="str">
        <f t="shared" si="541"/>
        <v>고수</v>
      </c>
      <c r="AJ605" s="22" t="str">
        <f t="shared" si="542"/>
        <v>고수</v>
      </c>
      <c r="AK605" s="22" t="str">
        <f t="shared" si="543"/>
        <v>고수</v>
      </c>
      <c r="AL605" s="22" t="str">
        <f t="shared" si="544"/>
        <v>3 : 3</v>
      </c>
      <c r="AM605" s="22">
        <f t="shared" si="545"/>
        <v>3</v>
      </c>
      <c r="AN605" s="22">
        <f t="shared" si="546"/>
        <v>3</v>
      </c>
      <c r="AO605" s="22">
        <f t="shared" si="547"/>
        <v>24</v>
      </c>
      <c r="AP605" s="22" t="str">
        <f t="shared" si="548"/>
        <v>O</v>
      </c>
      <c r="AQ605" s="22" t="str">
        <f t="shared" si="549"/>
        <v>X</v>
      </c>
      <c r="AR605" s="22" t="str">
        <f t="shared" si="550"/>
        <v>X</v>
      </c>
      <c r="AS605" s="22" t="str">
        <f t="shared" si="551"/>
        <v>X</v>
      </c>
      <c r="AT605" s="22" t="str">
        <f t="shared" si="552"/>
        <v>X</v>
      </c>
      <c r="AU605" s="22" t="str">
        <f t="shared" si="553"/>
        <v>X</v>
      </c>
      <c r="AV605" s="22" t="str">
        <f t="shared" si="554"/>
        <v>X</v>
      </c>
      <c r="AW605" s="22" t="str">
        <f t="shared" si="555"/>
        <v>X</v>
      </c>
      <c r="AX605" s="22" t="str">
        <f t="shared" si="556"/>
        <v>X</v>
      </c>
      <c r="AY605" s="22" t="str">
        <f t="shared" si="557"/>
        <v>X</v>
      </c>
      <c r="AZ605" s="22" t="str">
        <f t="shared" si="558"/>
        <v>X</v>
      </c>
      <c r="BA605" s="22" t="str">
        <f t="shared" si="559"/>
        <v>X</v>
      </c>
      <c r="BB605" s="22">
        <f t="shared" si="560"/>
        <v>1</v>
      </c>
      <c r="BC605" s="22" t="str">
        <f t="shared" si="561"/>
        <v>1G</v>
      </c>
      <c r="BD605" s="22" t="str">
        <f t="shared" si="562"/>
        <v>1G</v>
      </c>
      <c r="BE605" s="22" t="str">
        <f t="shared" si="563"/>
        <v>2G</v>
      </c>
      <c r="BF605" s="22" t="str">
        <f t="shared" si="564"/>
        <v>2G</v>
      </c>
      <c r="BG605" s="22" t="str">
        <f t="shared" si="565"/>
        <v>2G</v>
      </c>
      <c r="BH605" s="22" t="str">
        <f t="shared" si="566"/>
        <v>3G</v>
      </c>
      <c r="BI605" s="22">
        <f t="shared" si="568"/>
        <v>2</v>
      </c>
      <c r="BJ605" s="22">
        <f t="shared" si="569"/>
        <v>3</v>
      </c>
      <c r="BK605" s="22">
        <f t="shared" si="570"/>
        <v>1</v>
      </c>
      <c r="BL605" s="22" t="str">
        <f t="shared" si="567"/>
        <v>231</v>
      </c>
      <c r="BS605"/>
    </row>
    <row r="606" spans="2:71" ht="17" hidden="1">
      <c r="B606" s="16">
        <v>603</v>
      </c>
      <c r="C606" s="119" t="s">
        <v>935</v>
      </c>
      <c r="D606"/>
      <c r="E606"/>
      <c r="F606"/>
      <c r="G606"/>
      <c r="H606"/>
      <c r="I606"/>
      <c r="J606"/>
      <c r="K606"/>
      <c r="L606"/>
      <c r="M606"/>
      <c r="N606" s="23">
        <v>2</v>
      </c>
      <c r="O606" s="23">
        <v>19</v>
      </c>
      <c r="P606" s="23">
        <v>25</v>
      </c>
      <c r="Q606" s="23">
        <v>26</v>
      </c>
      <c r="R606" s="23">
        <v>27</v>
      </c>
      <c r="S606" s="23">
        <v>43</v>
      </c>
      <c r="T606" s="23">
        <v>28</v>
      </c>
      <c r="U606" s="23">
        <f t="shared" si="528"/>
        <v>142</v>
      </c>
      <c r="W606" s="22" t="str">
        <f t="shared" si="529"/>
        <v>짝수</v>
      </c>
      <c r="X606" s="22" t="str">
        <f t="shared" si="530"/>
        <v>홀수</v>
      </c>
      <c r="Y606" s="22" t="str">
        <f t="shared" si="531"/>
        <v>홀수</v>
      </c>
      <c r="Z606" s="22" t="str">
        <f t="shared" si="532"/>
        <v>짝수</v>
      </c>
      <c r="AA606" s="23" t="str">
        <f t="shared" si="533"/>
        <v>홀수</v>
      </c>
      <c r="AB606" s="23" t="str">
        <f t="shared" si="534"/>
        <v>홀수</v>
      </c>
      <c r="AC606" s="22" t="str">
        <f t="shared" si="535"/>
        <v>4 : 2</v>
      </c>
      <c r="AD606" s="22">
        <f t="shared" si="536"/>
        <v>4</v>
      </c>
      <c r="AE606" s="22">
        <f t="shared" si="537"/>
        <v>2</v>
      </c>
      <c r="AF606" s="22" t="str">
        <f t="shared" si="538"/>
        <v>저수</v>
      </c>
      <c r="AG606" s="22" t="str">
        <f t="shared" si="539"/>
        <v>저수</v>
      </c>
      <c r="AH606" s="22" t="str">
        <f t="shared" si="540"/>
        <v>고수</v>
      </c>
      <c r="AI606" s="22" t="str">
        <f t="shared" si="541"/>
        <v>고수</v>
      </c>
      <c r="AJ606" s="22" t="str">
        <f t="shared" si="542"/>
        <v>고수</v>
      </c>
      <c r="AK606" s="22" t="str">
        <f t="shared" si="543"/>
        <v>고수</v>
      </c>
      <c r="AL606" s="22" t="str">
        <f t="shared" si="544"/>
        <v>2 : 4</v>
      </c>
      <c r="AM606" s="22">
        <f t="shared" si="545"/>
        <v>2</v>
      </c>
      <c r="AN606" s="22">
        <f t="shared" si="546"/>
        <v>4</v>
      </c>
      <c r="AO606" s="22">
        <f t="shared" si="547"/>
        <v>32</v>
      </c>
      <c r="AP606" s="22" t="str">
        <f t="shared" si="548"/>
        <v>O</v>
      </c>
      <c r="AQ606" s="22" t="str">
        <f t="shared" si="549"/>
        <v>O</v>
      </c>
      <c r="AR606" s="22" t="str">
        <f t="shared" si="550"/>
        <v>X</v>
      </c>
      <c r="AS606" s="22" t="str">
        <f t="shared" si="551"/>
        <v>X</v>
      </c>
      <c r="AT606" s="22" t="str">
        <f t="shared" si="552"/>
        <v>X</v>
      </c>
      <c r="AU606" s="22" t="str">
        <f t="shared" si="553"/>
        <v>X</v>
      </c>
      <c r="AV606" s="22" t="str">
        <f t="shared" si="554"/>
        <v>X</v>
      </c>
      <c r="AW606" s="22" t="str">
        <f t="shared" si="555"/>
        <v>X</v>
      </c>
      <c r="AX606" s="22" t="str">
        <f t="shared" si="556"/>
        <v>X</v>
      </c>
      <c r="AY606" s="22" t="str">
        <f t="shared" si="557"/>
        <v>X</v>
      </c>
      <c r="AZ606" s="22" t="str">
        <f t="shared" si="558"/>
        <v>X</v>
      </c>
      <c r="BA606" s="22" t="str">
        <f t="shared" si="559"/>
        <v>O</v>
      </c>
      <c r="BB606" s="22">
        <f t="shared" si="560"/>
        <v>3</v>
      </c>
      <c r="BC606" s="22" t="str">
        <f t="shared" si="561"/>
        <v>1G</v>
      </c>
      <c r="BD606" s="22" t="str">
        <f t="shared" si="562"/>
        <v>2G</v>
      </c>
      <c r="BE606" s="22" t="str">
        <f t="shared" si="563"/>
        <v>2G</v>
      </c>
      <c r="BF606" s="22" t="str">
        <f t="shared" si="564"/>
        <v>2G</v>
      </c>
      <c r="BG606" s="22" t="str">
        <f t="shared" si="565"/>
        <v>2G</v>
      </c>
      <c r="BH606" s="22" t="str">
        <f t="shared" si="566"/>
        <v>3G</v>
      </c>
      <c r="BI606" s="22">
        <f t="shared" si="568"/>
        <v>1</v>
      </c>
      <c r="BJ606" s="22">
        <f t="shared" si="569"/>
        <v>4</v>
      </c>
      <c r="BK606" s="22">
        <f t="shared" si="570"/>
        <v>1</v>
      </c>
      <c r="BL606" s="22" t="str">
        <f t="shared" si="567"/>
        <v>141</v>
      </c>
      <c r="BS606"/>
    </row>
    <row r="607" spans="2:71" ht="17" hidden="1">
      <c r="B607" s="16">
        <v>604</v>
      </c>
      <c r="C607" s="23" t="s">
        <v>958</v>
      </c>
      <c r="N607" s="23">
        <v>2</v>
      </c>
      <c r="O607" s="23">
        <v>6</v>
      </c>
      <c r="P607" s="23">
        <v>18</v>
      </c>
      <c r="Q607" s="23">
        <v>21</v>
      </c>
      <c r="R607" s="23">
        <v>33</v>
      </c>
      <c r="S607" s="23">
        <v>34</v>
      </c>
      <c r="T607" s="23">
        <v>30</v>
      </c>
      <c r="U607" s="23">
        <f t="shared" si="528"/>
        <v>114</v>
      </c>
      <c r="W607" s="22" t="str">
        <f t="shared" si="529"/>
        <v>짝수</v>
      </c>
      <c r="X607" s="22" t="str">
        <f t="shared" si="530"/>
        <v>짝수</v>
      </c>
      <c r="Y607" s="22" t="str">
        <f t="shared" si="531"/>
        <v>짝수</v>
      </c>
      <c r="Z607" s="22" t="str">
        <f t="shared" si="532"/>
        <v>홀수</v>
      </c>
      <c r="AA607" s="23" t="str">
        <f t="shared" si="533"/>
        <v>홀수</v>
      </c>
      <c r="AB607" s="23" t="str">
        <f t="shared" si="534"/>
        <v>짝수</v>
      </c>
      <c r="AC607" s="22" t="str">
        <f t="shared" si="535"/>
        <v>2 : 4</v>
      </c>
      <c r="AD607" s="22">
        <f t="shared" si="536"/>
        <v>2</v>
      </c>
      <c r="AE607" s="22">
        <f t="shared" si="537"/>
        <v>4</v>
      </c>
      <c r="AF607" s="22" t="str">
        <f t="shared" si="538"/>
        <v>저수</v>
      </c>
      <c r="AG607" s="22" t="str">
        <f t="shared" si="539"/>
        <v>저수</v>
      </c>
      <c r="AH607" s="22" t="str">
        <f t="shared" si="540"/>
        <v>저수</v>
      </c>
      <c r="AI607" s="22" t="str">
        <f t="shared" si="541"/>
        <v>저수</v>
      </c>
      <c r="AJ607" s="22" t="str">
        <f t="shared" si="542"/>
        <v>고수</v>
      </c>
      <c r="AK607" s="22" t="str">
        <f t="shared" si="543"/>
        <v>고수</v>
      </c>
      <c r="AL607" s="22" t="str">
        <f t="shared" si="544"/>
        <v>4 : 2</v>
      </c>
      <c r="AM607" s="22">
        <f t="shared" si="545"/>
        <v>4</v>
      </c>
      <c r="AN607" s="22">
        <f t="shared" si="546"/>
        <v>2</v>
      </c>
      <c r="AO607" s="22">
        <f t="shared" si="547"/>
        <v>24</v>
      </c>
      <c r="AP607" s="22" t="str">
        <f t="shared" si="548"/>
        <v>O</v>
      </c>
      <c r="AQ607" s="22" t="str">
        <f t="shared" si="549"/>
        <v>X</v>
      </c>
      <c r="AR607" s="22" t="str">
        <f t="shared" si="550"/>
        <v>X</v>
      </c>
      <c r="AS607" s="22" t="str">
        <f t="shared" si="551"/>
        <v>X</v>
      </c>
      <c r="AT607" s="22" t="str">
        <f t="shared" si="552"/>
        <v>X</v>
      </c>
      <c r="AU607" s="22" t="str">
        <f t="shared" si="553"/>
        <v>X</v>
      </c>
      <c r="AV607" s="22" t="str">
        <f t="shared" si="554"/>
        <v>X</v>
      </c>
      <c r="AW607" s="22" t="str">
        <f t="shared" si="555"/>
        <v>X</v>
      </c>
      <c r="AX607" s="22" t="str">
        <f t="shared" si="556"/>
        <v>X</v>
      </c>
      <c r="AY607" s="22" t="str">
        <f t="shared" si="557"/>
        <v>X</v>
      </c>
      <c r="AZ607" s="22" t="str">
        <f t="shared" si="558"/>
        <v>X</v>
      </c>
      <c r="BA607" s="22" t="str">
        <f t="shared" si="559"/>
        <v>X</v>
      </c>
      <c r="BB607" s="22">
        <f t="shared" si="560"/>
        <v>1</v>
      </c>
      <c r="BC607" s="22" t="str">
        <f t="shared" ref="BC607:BC624" si="571">VLOOKUP(N607,삼그룹,6,FALSE)</f>
        <v>1G</v>
      </c>
      <c r="BD607" s="22" t="str">
        <f t="shared" ref="BD607:BD624" si="572">VLOOKUP(O607,삼그룹,6,FALSE)</f>
        <v>1G</v>
      </c>
      <c r="BE607" s="22" t="str">
        <f t="shared" ref="BE607:BE624" si="573">VLOOKUP(P607,삼그룹,6,FALSE)</f>
        <v>2G</v>
      </c>
      <c r="BF607" s="22" t="str">
        <f t="shared" ref="BF607:BF624" si="574">VLOOKUP(Q607,삼그룹,6,FALSE)</f>
        <v>2G</v>
      </c>
      <c r="BG607" s="22" t="str">
        <f t="shared" ref="BG607:BG624" si="575">VLOOKUP(R607,삼그룹,6,FALSE)</f>
        <v>3G</v>
      </c>
      <c r="BH607" s="22" t="str">
        <f t="shared" ref="BH607:BH624" si="576">VLOOKUP(S607,삼그룹,6,FALSE)</f>
        <v>3G</v>
      </c>
      <c r="BI607" s="22">
        <f t="shared" si="568"/>
        <v>2</v>
      </c>
      <c r="BJ607" s="22">
        <f t="shared" si="569"/>
        <v>2</v>
      </c>
      <c r="BK607" s="22">
        <f t="shared" si="570"/>
        <v>2</v>
      </c>
      <c r="BL607" s="22" t="str">
        <f t="shared" ref="BL607:BL624" si="577">BI607&amp;BJ607&amp;BK607</f>
        <v>222</v>
      </c>
      <c r="BS607"/>
    </row>
    <row r="608" spans="2:71" ht="17" hidden="1">
      <c r="B608" s="16">
        <v>605</v>
      </c>
      <c r="C608" s="23" t="s">
        <v>959</v>
      </c>
      <c r="N608" s="23">
        <v>1</v>
      </c>
      <c r="O608" s="23">
        <v>2</v>
      </c>
      <c r="P608" s="23">
        <v>7</v>
      </c>
      <c r="Q608" s="23">
        <v>9</v>
      </c>
      <c r="R608" s="23">
        <v>10</v>
      </c>
      <c r="S608" s="23">
        <v>38</v>
      </c>
      <c r="T608" s="23">
        <v>42</v>
      </c>
      <c r="U608" s="23">
        <f t="shared" si="528"/>
        <v>67</v>
      </c>
      <c r="W608" s="22" t="str">
        <f t="shared" si="529"/>
        <v>홀수</v>
      </c>
      <c r="X608" s="22" t="str">
        <f t="shared" si="530"/>
        <v>짝수</v>
      </c>
      <c r="Y608" s="22" t="str">
        <f t="shared" si="531"/>
        <v>홀수</v>
      </c>
      <c r="Z608" s="22" t="str">
        <f t="shared" si="532"/>
        <v>홀수</v>
      </c>
      <c r="AA608" s="23" t="str">
        <f t="shared" si="533"/>
        <v>짝수</v>
      </c>
      <c r="AB608" s="23" t="str">
        <f t="shared" si="534"/>
        <v>짝수</v>
      </c>
      <c r="AC608" s="22" t="str">
        <f t="shared" si="535"/>
        <v>3 : 3</v>
      </c>
      <c r="AD608" s="22">
        <f t="shared" si="536"/>
        <v>3</v>
      </c>
      <c r="AE608" s="22">
        <f t="shared" si="537"/>
        <v>3</v>
      </c>
      <c r="AF608" s="22" t="str">
        <f t="shared" si="538"/>
        <v>저수</v>
      </c>
      <c r="AG608" s="22" t="str">
        <f t="shared" si="539"/>
        <v>저수</v>
      </c>
      <c r="AH608" s="22" t="str">
        <f t="shared" si="540"/>
        <v>저수</v>
      </c>
      <c r="AI608" s="22" t="str">
        <f t="shared" si="541"/>
        <v>저수</v>
      </c>
      <c r="AJ608" s="22" t="str">
        <f t="shared" si="542"/>
        <v>저수</v>
      </c>
      <c r="AK608" s="22" t="str">
        <f t="shared" si="543"/>
        <v>고수</v>
      </c>
      <c r="AL608" s="22" t="str">
        <f t="shared" si="544"/>
        <v>5 : 1</v>
      </c>
      <c r="AM608" s="22">
        <f t="shared" si="545"/>
        <v>5</v>
      </c>
      <c r="AN608" s="22">
        <f t="shared" si="546"/>
        <v>1</v>
      </c>
      <c r="AO608" s="22">
        <f t="shared" si="547"/>
        <v>27</v>
      </c>
      <c r="AP608" s="22" t="str">
        <f t="shared" si="548"/>
        <v>X</v>
      </c>
      <c r="AQ608" s="22" t="str">
        <f t="shared" si="549"/>
        <v>O</v>
      </c>
      <c r="AR608" s="22" t="str">
        <f t="shared" si="550"/>
        <v>O</v>
      </c>
      <c r="AS608" s="22" t="str">
        <f t="shared" si="551"/>
        <v>X</v>
      </c>
      <c r="AT608" s="22" t="str">
        <f t="shared" si="552"/>
        <v>X</v>
      </c>
      <c r="AU608" s="22" t="str">
        <f t="shared" si="553"/>
        <v>X</v>
      </c>
      <c r="AV608" s="22" t="str">
        <f t="shared" si="554"/>
        <v>X</v>
      </c>
      <c r="AW608" s="22" t="str">
        <f t="shared" si="555"/>
        <v>X</v>
      </c>
      <c r="AX608" s="22" t="str">
        <f t="shared" si="556"/>
        <v>X</v>
      </c>
      <c r="AY608" s="22" t="str">
        <f t="shared" si="557"/>
        <v>X</v>
      </c>
      <c r="AZ608" s="22" t="str">
        <f t="shared" si="558"/>
        <v>X</v>
      </c>
      <c r="BA608" s="22" t="str">
        <f t="shared" si="559"/>
        <v>X</v>
      </c>
      <c r="BB608" s="22">
        <f t="shared" si="560"/>
        <v>2</v>
      </c>
      <c r="BC608" s="22" t="str">
        <f t="shared" si="571"/>
        <v>1G</v>
      </c>
      <c r="BD608" s="22" t="str">
        <f t="shared" si="572"/>
        <v>1G</v>
      </c>
      <c r="BE608" s="22" t="str">
        <f t="shared" si="573"/>
        <v>1G</v>
      </c>
      <c r="BF608" s="22" t="str">
        <f t="shared" si="574"/>
        <v>1G</v>
      </c>
      <c r="BG608" s="22" t="str">
        <f t="shared" si="575"/>
        <v>1G</v>
      </c>
      <c r="BH608" s="22" t="str">
        <f t="shared" si="576"/>
        <v>3G</v>
      </c>
      <c r="BI608" s="22">
        <f t="shared" si="568"/>
        <v>5</v>
      </c>
      <c r="BJ608" s="22">
        <f t="shared" si="569"/>
        <v>0</v>
      </c>
      <c r="BK608" s="22">
        <f t="shared" si="570"/>
        <v>1</v>
      </c>
      <c r="BL608" s="22" t="str">
        <f t="shared" si="577"/>
        <v>501</v>
      </c>
      <c r="BS608"/>
    </row>
    <row r="609" spans="2:71" ht="17" hidden="1">
      <c r="B609" s="16">
        <v>606</v>
      </c>
      <c r="C609" s="23" t="s">
        <v>960</v>
      </c>
      <c r="N609" s="23">
        <v>1</v>
      </c>
      <c r="O609" s="23">
        <v>5</v>
      </c>
      <c r="P609" s="23">
        <v>6</v>
      </c>
      <c r="Q609" s="23">
        <v>14</v>
      </c>
      <c r="R609" s="23">
        <v>20</v>
      </c>
      <c r="S609" s="23">
        <v>39</v>
      </c>
      <c r="T609" s="23">
        <v>22</v>
      </c>
      <c r="U609" s="23">
        <f t="shared" si="528"/>
        <v>85</v>
      </c>
      <c r="W609" s="22" t="str">
        <f t="shared" si="529"/>
        <v>홀수</v>
      </c>
      <c r="X609" s="22" t="str">
        <f t="shared" si="530"/>
        <v>홀수</v>
      </c>
      <c r="Y609" s="22" t="str">
        <f t="shared" si="531"/>
        <v>짝수</v>
      </c>
      <c r="Z609" s="22" t="str">
        <f t="shared" si="532"/>
        <v>짝수</v>
      </c>
      <c r="AA609" s="23" t="str">
        <f t="shared" si="533"/>
        <v>짝수</v>
      </c>
      <c r="AB609" s="23" t="str">
        <f t="shared" si="534"/>
        <v>홀수</v>
      </c>
      <c r="AC609" s="22" t="str">
        <f t="shared" si="535"/>
        <v>3 : 3</v>
      </c>
      <c r="AD609" s="22">
        <f t="shared" si="536"/>
        <v>3</v>
      </c>
      <c r="AE609" s="22">
        <f t="shared" si="537"/>
        <v>3</v>
      </c>
      <c r="AF609" s="22" t="str">
        <f t="shared" si="538"/>
        <v>저수</v>
      </c>
      <c r="AG609" s="22" t="str">
        <f t="shared" si="539"/>
        <v>저수</v>
      </c>
      <c r="AH609" s="22" t="str">
        <f t="shared" si="540"/>
        <v>저수</v>
      </c>
      <c r="AI609" s="22" t="str">
        <f t="shared" si="541"/>
        <v>저수</v>
      </c>
      <c r="AJ609" s="22" t="str">
        <f t="shared" si="542"/>
        <v>저수</v>
      </c>
      <c r="AK609" s="22" t="str">
        <f t="shared" si="543"/>
        <v>고수</v>
      </c>
      <c r="AL609" s="22" t="str">
        <f t="shared" si="544"/>
        <v>5 : 1</v>
      </c>
      <c r="AM609" s="22">
        <f t="shared" si="545"/>
        <v>5</v>
      </c>
      <c r="AN609" s="22">
        <f t="shared" si="546"/>
        <v>1</v>
      </c>
      <c r="AO609" s="22">
        <f t="shared" si="547"/>
        <v>25</v>
      </c>
      <c r="AP609" s="22" t="str">
        <f t="shared" si="548"/>
        <v>X</v>
      </c>
      <c r="AQ609" s="22" t="str">
        <f t="shared" si="549"/>
        <v>O</v>
      </c>
      <c r="AR609" s="22" t="str">
        <f t="shared" si="550"/>
        <v>X</v>
      </c>
      <c r="AS609" s="22" t="str">
        <f t="shared" si="551"/>
        <v>X</v>
      </c>
      <c r="AT609" s="22" t="str">
        <f t="shared" si="552"/>
        <v>X</v>
      </c>
      <c r="AU609" s="22" t="str">
        <f t="shared" si="553"/>
        <v>X</v>
      </c>
      <c r="AV609" s="22" t="str">
        <f t="shared" si="554"/>
        <v>X</v>
      </c>
      <c r="AW609" s="22" t="str">
        <f t="shared" si="555"/>
        <v>X</v>
      </c>
      <c r="AX609" s="22" t="str">
        <f t="shared" si="556"/>
        <v>X</v>
      </c>
      <c r="AY609" s="22" t="str">
        <f t="shared" si="557"/>
        <v>X</v>
      </c>
      <c r="AZ609" s="22" t="str">
        <f t="shared" si="558"/>
        <v>X</v>
      </c>
      <c r="BA609" s="22" t="str">
        <f t="shared" si="559"/>
        <v>X</v>
      </c>
      <c r="BB609" s="22">
        <f t="shared" si="560"/>
        <v>1</v>
      </c>
      <c r="BC609" s="22" t="str">
        <f t="shared" si="571"/>
        <v>1G</v>
      </c>
      <c r="BD609" s="22" t="str">
        <f t="shared" si="572"/>
        <v>1G</v>
      </c>
      <c r="BE609" s="22" t="str">
        <f t="shared" si="573"/>
        <v>1G</v>
      </c>
      <c r="BF609" s="22" t="str">
        <f t="shared" si="574"/>
        <v>1G</v>
      </c>
      <c r="BG609" s="22" t="str">
        <f t="shared" si="575"/>
        <v>2G</v>
      </c>
      <c r="BH609" s="22" t="str">
        <f t="shared" si="576"/>
        <v>3G</v>
      </c>
      <c r="BI609" s="22">
        <f t="shared" si="568"/>
        <v>4</v>
      </c>
      <c r="BJ609" s="22">
        <f t="shared" si="569"/>
        <v>1</v>
      </c>
      <c r="BK609" s="22">
        <f t="shared" si="570"/>
        <v>1</v>
      </c>
      <c r="BL609" s="22" t="str">
        <f t="shared" si="577"/>
        <v>411</v>
      </c>
      <c r="BS609"/>
    </row>
    <row r="610" spans="2:71" ht="17" hidden="1">
      <c r="B610" s="16">
        <v>607</v>
      </c>
      <c r="C610" s="23" t="s">
        <v>961</v>
      </c>
      <c r="N610" s="23">
        <v>8</v>
      </c>
      <c r="O610" s="23">
        <v>14</v>
      </c>
      <c r="P610" s="23">
        <v>23</v>
      </c>
      <c r="Q610" s="23">
        <v>36</v>
      </c>
      <c r="R610" s="23">
        <v>38</v>
      </c>
      <c r="S610" s="23">
        <v>39</v>
      </c>
      <c r="T610" s="23">
        <v>13</v>
      </c>
      <c r="U610" s="23">
        <f t="shared" si="528"/>
        <v>158</v>
      </c>
      <c r="W610" s="22" t="str">
        <f t="shared" si="529"/>
        <v>짝수</v>
      </c>
      <c r="X610" s="22" t="str">
        <f t="shared" si="530"/>
        <v>짝수</v>
      </c>
      <c r="Y610" s="22" t="str">
        <f t="shared" si="531"/>
        <v>홀수</v>
      </c>
      <c r="Z610" s="22" t="str">
        <f t="shared" si="532"/>
        <v>짝수</v>
      </c>
      <c r="AA610" s="23" t="str">
        <f t="shared" si="533"/>
        <v>짝수</v>
      </c>
      <c r="AB610" s="23" t="str">
        <f t="shared" si="534"/>
        <v>홀수</v>
      </c>
      <c r="AC610" s="22" t="str">
        <f t="shared" si="535"/>
        <v>2 : 4</v>
      </c>
      <c r="AD610" s="22">
        <f t="shared" si="536"/>
        <v>2</v>
      </c>
      <c r="AE610" s="22">
        <f t="shared" si="537"/>
        <v>4</v>
      </c>
      <c r="AF610" s="22" t="str">
        <f t="shared" si="538"/>
        <v>저수</v>
      </c>
      <c r="AG610" s="22" t="str">
        <f t="shared" si="539"/>
        <v>저수</v>
      </c>
      <c r="AH610" s="22" t="str">
        <f t="shared" si="540"/>
        <v>고수</v>
      </c>
      <c r="AI610" s="22" t="str">
        <f t="shared" si="541"/>
        <v>고수</v>
      </c>
      <c r="AJ610" s="22" t="str">
        <f t="shared" si="542"/>
        <v>고수</v>
      </c>
      <c r="AK610" s="22" t="str">
        <f t="shared" si="543"/>
        <v>고수</v>
      </c>
      <c r="AL610" s="22" t="str">
        <f t="shared" si="544"/>
        <v>2 : 4</v>
      </c>
      <c r="AM610" s="22">
        <f t="shared" si="545"/>
        <v>2</v>
      </c>
      <c r="AN610" s="22">
        <f t="shared" si="546"/>
        <v>4</v>
      </c>
      <c r="AO610" s="22">
        <f t="shared" si="547"/>
        <v>38</v>
      </c>
      <c r="AP610" s="22" t="str">
        <f t="shared" si="548"/>
        <v>X</v>
      </c>
      <c r="AQ610" s="22" t="str">
        <f t="shared" si="549"/>
        <v>X</v>
      </c>
      <c r="AR610" s="22" t="str">
        <f t="shared" si="550"/>
        <v>X</v>
      </c>
      <c r="AS610" s="22" t="str">
        <f t="shared" si="551"/>
        <v>X</v>
      </c>
      <c r="AT610" s="22" t="str">
        <f t="shared" si="552"/>
        <v>X</v>
      </c>
      <c r="AU610" s="22" t="str">
        <f t="shared" si="553"/>
        <v>X</v>
      </c>
      <c r="AV610" s="22" t="str">
        <f t="shared" si="554"/>
        <v>X</v>
      </c>
      <c r="AW610" s="22" t="str">
        <f t="shared" si="555"/>
        <v>X</v>
      </c>
      <c r="AX610" s="22" t="str">
        <f t="shared" si="556"/>
        <v>O</v>
      </c>
      <c r="AY610" s="22" t="str">
        <f t="shared" si="557"/>
        <v>X</v>
      </c>
      <c r="AZ610" s="22" t="str">
        <f t="shared" si="558"/>
        <v>X</v>
      </c>
      <c r="BA610" s="22" t="str">
        <f t="shared" si="559"/>
        <v>X</v>
      </c>
      <c r="BB610" s="22">
        <f t="shared" si="560"/>
        <v>1</v>
      </c>
      <c r="BC610" s="22" t="str">
        <f t="shared" si="571"/>
        <v>1G</v>
      </c>
      <c r="BD610" s="22" t="str">
        <f t="shared" si="572"/>
        <v>1G</v>
      </c>
      <c r="BE610" s="22" t="str">
        <f t="shared" si="573"/>
        <v>2G</v>
      </c>
      <c r="BF610" s="22" t="str">
        <f t="shared" si="574"/>
        <v>3G</v>
      </c>
      <c r="BG610" s="22" t="str">
        <f t="shared" si="575"/>
        <v>3G</v>
      </c>
      <c r="BH610" s="22" t="str">
        <f t="shared" si="576"/>
        <v>3G</v>
      </c>
      <c r="BI610" s="22">
        <f t="shared" si="568"/>
        <v>2</v>
      </c>
      <c r="BJ610" s="22">
        <f t="shared" si="569"/>
        <v>1</v>
      </c>
      <c r="BK610" s="22">
        <f t="shared" si="570"/>
        <v>3</v>
      </c>
      <c r="BL610" s="22" t="str">
        <f t="shared" si="577"/>
        <v>213</v>
      </c>
      <c r="BS610"/>
    </row>
    <row r="611" spans="2:71" ht="17" hidden="1">
      <c r="B611" s="16">
        <v>608</v>
      </c>
      <c r="C611" s="23" t="s">
        <v>962</v>
      </c>
      <c r="N611" s="23">
        <v>4</v>
      </c>
      <c r="O611" s="23">
        <v>8</v>
      </c>
      <c r="P611" s="23">
        <v>18</v>
      </c>
      <c r="Q611" s="23">
        <v>19</v>
      </c>
      <c r="R611" s="23">
        <v>39</v>
      </c>
      <c r="S611" s="23">
        <v>44</v>
      </c>
      <c r="T611" s="23">
        <v>41</v>
      </c>
      <c r="U611" s="23">
        <f t="shared" si="528"/>
        <v>132</v>
      </c>
      <c r="W611" s="22" t="str">
        <f t="shared" si="529"/>
        <v>짝수</v>
      </c>
      <c r="X611" s="22" t="str">
        <f t="shared" si="530"/>
        <v>짝수</v>
      </c>
      <c r="Y611" s="22" t="str">
        <f t="shared" si="531"/>
        <v>짝수</v>
      </c>
      <c r="Z611" s="22" t="str">
        <f t="shared" si="532"/>
        <v>홀수</v>
      </c>
      <c r="AA611" s="23" t="str">
        <f t="shared" si="533"/>
        <v>홀수</v>
      </c>
      <c r="AB611" s="23" t="str">
        <f t="shared" si="534"/>
        <v>짝수</v>
      </c>
      <c r="AC611" s="22" t="str">
        <f t="shared" si="535"/>
        <v>2 : 4</v>
      </c>
      <c r="AD611" s="22">
        <f t="shared" si="536"/>
        <v>2</v>
      </c>
      <c r="AE611" s="22">
        <f t="shared" si="537"/>
        <v>4</v>
      </c>
      <c r="AF611" s="22" t="str">
        <f t="shared" si="538"/>
        <v>저수</v>
      </c>
      <c r="AG611" s="22" t="str">
        <f t="shared" si="539"/>
        <v>저수</v>
      </c>
      <c r="AH611" s="22" t="str">
        <f t="shared" si="540"/>
        <v>저수</v>
      </c>
      <c r="AI611" s="22" t="str">
        <f t="shared" si="541"/>
        <v>저수</v>
      </c>
      <c r="AJ611" s="22" t="str">
        <f t="shared" si="542"/>
        <v>고수</v>
      </c>
      <c r="AK611" s="22" t="str">
        <f t="shared" si="543"/>
        <v>고수</v>
      </c>
      <c r="AL611" s="22" t="str">
        <f t="shared" si="544"/>
        <v>4 : 2</v>
      </c>
      <c r="AM611" s="22">
        <f t="shared" si="545"/>
        <v>4</v>
      </c>
      <c r="AN611" s="22">
        <f t="shared" si="546"/>
        <v>2</v>
      </c>
      <c r="AO611" s="22">
        <f t="shared" si="547"/>
        <v>42</v>
      </c>
      <c r="AP611" s="22" t="str">
        <f t="shared" si="548"/>
        <v>X</v>
      </c>
      <c r="AQ611" s="22" t="str">
        <f t="shared" si="549"/>
        <v>X</v>
      </c>
      <c r="AR611" s="22" t="str">
        <f t="shared" si="550"/>
        <v>X</v>
      </c>
      <c r="AS611" s="22" t="str">
        <f t="shared" si="551"/>
        <v>O</v>
      </c>
      <c r="AT611" s="22" t="str">
        <f t="shared" si="552"/>
        <v>X</v>
      </c>
      <c r="AU611" s="22" t="str">
        <f t="shared" si="553"/>
        <v>X</v>
      </c>
      <c r="AV611" s="22" t="str">
        <f t="shared" si="554"/>
        <v>X</v>
      </c>
      <c r="AW611" s="22" t="str">
        <f t="shared" si="555"/>
        <v>X</v>
      </c>
      <c r="AX611" s="22" t="str">
        <f t="shared" si="556"/>
        <v>X</v>
      </c>
      <c r="AY611" s="22" t="str">
        <f t="shared" si="557"/>
        <v>X</v>
      </c>
      <c r="AZ611" s="22" t="str">
        <f t="shared" si="558"/>
        <v>X</v>
      </c>
      <c r="BA611" s="22" t="str">
        <f t="shared" si="559"/>
        <v>X</v>
      </c>
      <c r="BB611" s="22">
        <f t="shared" si="560"/>
        <v>1</v>
      </c>
      <c r="BC611" s="22" t="str">
        <f t="shared" si="571"/>
        <v>1G</v>
      </c>
      <c r="BD611" s="22" t="str">
        <f t="shared" si="572"/>
        <v>1G</v>
      </c>
      <c r="BE611" s="22" t="str">
        <f t="shared" si="573"/>
        <v>2G</v>
      </c>
      <c r="BF611" s="22" t="str">
        <f t="shared" si="574"/>
        <v>2G</v>
      </c>
      <c r="BG611" s="22" t="str">
        <f t="shared" si="575"/>
        <v>3G</v>
      </c>
      <c r="BH611" s="22" t="str">
        <f t="shared" si="576"/>
        <v>3G</v>
      </c>
      <c r="BI611" s="22">
        <f t="shared" si="568"/>
        <v>2</v>
      </c>
      <c r="BJ611" s="22">
        <f t="shared" si="569"/>
        <v>2</v>
      </c>
      <c r="BK611" s="22">
        <f t="shared" si="570"/>
        <v>2</v>
      </c>
      <c r="BL611" s="22" t="str">
        <f t="shared" si="577"/>
        <v>222</v>
      </c>
      <c r="BS611"/>
    </row>
    <row r="612" spans="2:71" ht="17" hidden="1">
      <c r="B612" s="16">
        <v>609</v>
      </c>
      <c r="C612" s="23" t="s">
        <v>963</v>
      </c>
      <c r="N612" s="23">
        <v>4</v>
      </c>
      <c r="O612" s="23">
        <v>8</v>
      </c>
      <c r="P612" s="23">
        <v>27</v>
      </c>
      <c r="Q612" s="23">
        <v>34</v>
      </c>
      <c r="R612" s="23">
        <v>39</v>
      </c>
      <c r="S612" s="23">
        <v>40</v>
      </c>
      <c r="T612" s="23">
        <v>13</v>
      </c>
      <c r="U612" s="23">
        <f t="shared" si="528"/>
        <v>152</v>
      </c>
      <c r="W612" s="22" t="str">
        <f t="shared" si="529"/>
        <v>짝수</v>
      </c>
      <c r="X612" s="22" t="str">
        <f t="shared" si="530"/>
        <v>짝수</v>
      </c>
      <c r="Y612" s="22" t="str">
        <f t="shared" si="531"/>
        <v>홀수</v>
      </c>
      <c r="Z612" s="22" t="str">
        <f t="shared" si="532"/>
        <v>짝수</v>
      </c>
      <c r="AA612" s="23" t="str">
        <f t="shared" si="533"/>
        <v>홀수</v>
      </c>
      <c r="AB612" s="23" t="str">
        <f t="shared" si="534"/>
        <v>짝수</v>
      </c>
      <c r="AC612" s="22" t="str">
        <f t="shared" si="535"/>
        <v>2 : 4</v>
      </c>
      <c r="AD612" s="22">
        <f t="shared" si="536"/>
        <v>2</v>
      </c>
      <c r="AE612" s="22">
        <f t="shared" si="537"/>
        <v>4</v>
      </c>
      <c r="AF612" s="22" t="str">
        <f t="shared" si="538"/>
        <v>저수</v>
      </c>
      <c r="AG612" s="22" t="str">
        <f t="shared" si="539"/>
        <v>저수</v>
      </c>
      <c r="AH612" s="22" t="str">
        <f t="shared" si="540"/>
        <v>고수</v>
      </c>
      <c r="AI612" s="22" t="str">
        <f t="shared" si="541"/>
        <v>고수</v>
      </c>
      <c r="AJ612" s="22" t="str">
        <f t="shared" si="542"/>
        <v>고수</v>
      </c>
      <c r="AK612" s="22" t="str">
        <f t="shared" si="543"/>
        <v>고수</v>
      </c>
      <c r="AL612" s="22" t="str">
        <f t="shared" si="544"/>
        <v>2 : 4</v>
      </c>
      <c r="AM612" s="22">
        <f t="shared" si="545"/>
        <v>2</v>
      </c>
      <c r="AN612" s="22">
        <f t="shared" si="546"/>
        <v>4</v>
      </c>
      <c r="AO612" s="22">
        <f t="shared" si="547"/>
        <v>32</v>
      </c>
      <c r="AP612" s="22" t="str">
        <f t="shared" si="548"/>
        <v>X</v>
      </c>
      <c r="AQ612" s="22" t="str">
        <f t="shared" si="549"/>
        <v>X</v>
      </c>
      <c r="AR612" s="22" t="str">
        <f t="shared" si="550"/>
        <v>X</v>
      </c>
      <c r="AS612" s="22" t="str">
        <f t="shared" si="551"/>
        <v>X</v>
      </c>
      <c r="AT612" s="22" t="str">
        <f t="shared" si="552"/>
        <v>X</v>
      </c>
      <c r="AU612" s="22" t="str">
        <f t="shared" si="553"/>
        <v>X</v>
      </c>
      <c r="AV612" s="22" t="str">
        <f t="shared" si="554"/>
        <v>X</v>
      </c>
      <c r="AW612" s="22" t="str">
        <f t="shared" si="555"/>
        <v>X</v>
      </c>
      <c r="AX612" s="22" t="str">
        <f t="shared" si="556"/>
        <v>X</v>
      </c>
      <c r="AY612" s="22" t="str">
        <f t="shared" si="557"/>
        <v>X</v>
      </c>
      <c r="AZ612" s="22" t="str">
        <f t="shared" si="558"/>
        <v>X</v>
      </c>
      <c r="BA612" s="22" t="str">
        <f t="shared" si="559"/>
        <v>X</v>
      </c>
      <c r="BB612" s="22">
        <f t="shared" si="560"/>
        <v>0</v>
      </c>
      <c r="BC612" s="22" t="str">
        <f t="shared" si="571"/>
        <v>1G</v>
      </c>
      <c r="BD612" s="22" t="str">
        <f t="shared" si="572"/>
        <v>1G</v>
      </c>
      <c r="BE612" s="22" t="str">
        <f t="shared" si="573"/>
        <v>2G</v>
      </c>
      <c r="BF612" s="22" t="str">
        <f t="shared" si="574"/>
        <v>3G</v>
      </c>
      <c r="BG612" s="22" t="str">
        <f t="shared" si="575"/>
        <v>3G</v>
      </c>
      <c r="BH612" s="22" t="str">
        <f t="shared" si="576"/>
        <v>3G</v>
      </c>
      <c r="BI612" s="22">
        <f t="shared" si="568"/>
        <v>2</v>
      </c>
      <c r="BJ612" s="22">
        <f t="shared" si="569"/>
        <v>1</v>
      </c>
      <c r="BK612" s="22">
        <f t="shared" si="570"/>
        <v>3</v>
      </c>
      <c r="BL612" s="22" t="str">
        <f t="shared" si="577"/>
        <v>213</v>
      </c>
      <c r="BS612"/>
    </row>
    <row r="613" spans="2:71" ht="17" hidden="1">
      <c r="B613" s="16">
        <v>610</v>
      </c>
      <c r="C613" s="23" t="s">
        <v>964</v>
      </c>
      <c r="N613" s="23">
        <v>14</v>
      </c>
      <c r="O613" s="23">
        <v>18</v>
      </c>
      <c r="P613" s="23">
        <v>20</v>
      </c>
      <c r="Q613" s="23">
        <v>23</v>
      </c>
      <c r="R613" s="23">
        <v>28</v>
      </c>
      <c r="S613" s="23">
        <v>36</v>
      </c>
      <c r="T613" s="23">
        <v>33</v>
      </c>
      <c r="U613" s="23">
        <f t="shared" si="528"/>
        <v>139</v>
      </c>
      <c r="W613" s="22" t="str">
        <f t="shared" si="529"/>
        <v>짝수</v>
      </c>
      <c r="X613" s="22" t="str">
        <f t="shared" si="530"/>
        <v>짝수</v>
      </c>
      <c r="Y613" s="22" t="str">
        <f t="shared" si="531"/>
        <v>짝수</v>
      </c>
      <c r="Z613" s="22" t="str">
        <f t="shared" si="532"/>
        <v>홀수</v>
      </c>
      <c r="AA613" s="23" t="str">
        <f t="shared" si="533"/>
        <v>짝수</v>
      </c>
      <c r="AB613" s="23" t="str">
        <f t="shared" si="534"/>
        <v>짝수</v>
      </c>
      <c r="AC613" s="22" t="str">
        <f t="shared" si="535"/>
        <v>1 : 5</v>
      </c>
      <c r="AD613" s="22">
        <f t="shared" si="536"/>
        <v>1</v>
      </c>
      <c r="AE613" s="22">
        <f t="shared" si="537"/>
        <v>5</v>
      </c>
      <c r="AF613" s="22" t="str">
        <f t="shared" si="538"/>
        <v>저수</v>
      </c>
      <c r="AG613" s="22" t="str">
        <f t="shared" si="539"/>
        <v>저수</v>
      </c>
      <c r="AH613" s="22" t="str">
        <f t="shared" si="540"/>
        <v>저수</v>
      </c>
      <c r="AI613" s="22" t="str">
        <f t="shared" si="541"/>
        <v>고수</v>
      </c>
      <c r="AJ613" s="22" t="str">
        <f t="shared" si="542"/>
        <v>고수</v>
      </c>
      <c r="AK613" s="22" t="str">
        <f t="shared" si="543"/>
        <v>고수</v>
      </c>
      <c r="AL613" s="22" t="str">
        <f t="shared" si="544"/>
        <v>3 : 3</v>
      </c>
      <c r="AM613" s="22">
        <f t="shared" si="545"/>
        <v>3</v>
      </c>
      <c r="AN613" s="22">
        <f t="shared" si="546"/>
        <v>3</v>
      </c>
      <c r="AO613" s="22">
        <f t="shared" si="547"/>
        <v>29</v>
      </c>
      <c r="AP613" s="22" t="str">
        <f t="shared" si="548"/>
        <v>X</v>
      </c>
      <c r="AQ613" s="22" t="str">
        <f t="shared" si="549"/>
        <v>X</v>
      </c>
      <c r="AR613" s="22" t="str">
        <f t="shared" si="550"/>
        <v>X</v>
      </c>
      <c r="AS613" s="22" t="str">
        <f t="shared" si="551"/>
        <v>X</v>
      </c>
      <c r="AT613" s="22" t="str">
        <f t="shared" si="552"/>
        <v>X</v>
      </c>
      <c r="AU613" s="22" t="str">
        <f t="shared" si="553"/>
        <v>X</v>
      </c>
      <c r="AV613" s="22" t="str">
        <f t="shared" si="554"/>
        <v>X</v>
      </c>
      <c r="AW613" s="22" t="str">
        <f t="shared" si="555"/>
        <v>X</v>
      </c>
      <c r="AX613" s="22" t="str">
        <f t="shared" si="556"/>
        <v>X</v>
      </c>
      <c r="AY613" s="22" t="str">
        <f t="shared" si="557"/>
        <v>O</v>
      </c>
      <c r="AZ613" s="22" t="str">
        <f t="shared" si="558"/>
        <v>X</v>
      </c>
      <c r="BA613" s="22" t="str">
        <f t="shared" si="559"/>
        <v>X</v>
      </c>
      <c r="BB613" s="22">
        <f t="shared" si="560"/>
        <v>1</v>
      </c>
      <c r="BC613" s="22" t="str">
        <f t="shared" si="571"/>
        <v>1G</v>
      </c>
      <c r="BD613" s="22" t="str">
        <f t="shared" si="572"/>
        <v>2G</v>
      </c>
      <c r="BE613" s="22" t="str">
        <f t="shared" si="573"/>
        <v>2G</v>
      </c>
      <c r="BF613" s="22" t="str">
        <f t="shared" si="574"/>
        <v>2G</v>
      </c>
      <c r="BG613" s="22" t="str">
        <f t="shared" si="575"/>
        <v>2G</v>
      </c>
      <c r="BH613" s="22" t="str">
        <f t="shared" si="576"/>
        <v>3G</v>
      </c>
      <c r="BI613" s="22">
        <f t="shared" si="568"/>
        <v>1</v>
      </c>
      <c r="BJ613" s="22">
        <f t="shared" si="569"/>
        <v>4</v>
      </c>
      <c r="BK613" s="22">
        <f t="shared" si="570"/>
        <v>1</v>
      </c>
      <c r="BL613" s="22" t="str">
        <f t="shared" si="577"/>
        <v>141</v>
      </c>
      <c r="BS613"/>
    </row>
    <row r="614" spans="2:71" ht="17" hidden="1">
      <c r="B614" s="16">
        <v>611</v>
      </c>
      <c r="C614" s="23" t="s">
        <v>965</v>
      </c>
      <c r="N614" s="23">
        <v>2</v>
      </c>
      <c r="O614" s="23">
        <v>22</v>
      </c>
      <c r="P614" s="23">
        <v>27</v>
      </c>
      <c r="Q614" s="23">
        <v>33</v>
      </c>
      <c r="R614" s="23">
        <v>36</v>
      </c>
      <c r="S614" s="23">
        <v>37</v>
      </c>
      <c r="T614" s="23">
        <v>14</v>
      </c>
      <c r="U614" s="23">
        <f t="shared" si="528"/>
        <v>157</v>
      </c>
      <c r="W614" s="22" t="str">
        <f t="shared" si="529"/>
        <v>짝수</v>
      </c>
      <c r="X614" s="22" t="str">
        <f t="shared" si="530"/>
        <v>짝수</v>
      </c>
      <c r="Y614" s="22" t="str">
        <f t="shared" si="531"/>
        <v>홀수</v>
      </c>
      <c r="Z614" s="22" t="str">
        <f t="shared" si="532"/>
        <v>홀수</v>
      </c>
      <c r="AA614" s="23" t="str">
        <f t="shared" si="533"/>
        <v>짝수</v>
      </c>
      <c r="AB614" s="23" t="str">
        <f t="shared" si="534"/>
        <v>홀수</v>
      </c>
      <c r="AC614" s="22" t="str">
        <f t="shared" si="535"/>
        <v>3 : 3</v>
      </c>
      <c r="AD614" s="22">
        <f t="shared" si="536"/>
        <v>3</v>
      </c>
      <c r="AE614" s="22">
        <f t="shared" si="537"/>
        <v>3</v>
      </c>
      <c r="AF614" s="22" t="str">
        <f t="shared" si="538"/>
        <v>저수</v>
      </c>
      <c r="AG614" s="22" t="str">
        <f t="shared" si="539"/>
        <v>저수</v>
      </c>
      <c r="AH614" s="22" t="str">
        <f t="shared" si="540"/>
        <v>고수</v>
      </c>
      <c r="AI614" s="22" t="str">
        <f t="shared" si="541"/>
        <v>고수</v>
      </c>
      <c r="AJ614" s="22" t="str">
        <f t="shared" si="542"/>
        <v>고수</v>
      </c>
      <c r="AK614" s="22" t="str">
        <f t="shared" si="543"/>
        <v>고수</v>
      </c>
      <c r="AL614" s="22" t="str">
        <f t="shared" si="544"/>
        <v>2 : 4</v>
      </c>
      <c r="AM614" s="22">
        <f t="shared" si="545"/>
        <v>2</v>
      </c>
      <c r="AN614" s="22">
        <f t="shared" si="546"/>
        <v>4</v>
      </c>
      <c r="AO614" s="22">
        <f t="shared" si="547"/>
        <v>27</v>
      </c>
      <c r="AP614" s="22" t="str">
        <f t="shared" si="548"/>
        <v>O</v>
      </c>
      <c r="AQ614" s="22" t="str">
        <f t="shared" si="549"/>
        <v>X</v>
      </c>
      <c r="AR614" s="22" t="str">
        <f t="shared" si="550"/>
        <v>X</v>
      </c>
      <c r="AS614" s="22" t="str">
        <f t="shared" si="551"/>
        <v>X</v>
      </c>
      <c r="AT614" s="22" t="str">
        <f t="shared" si="552"/>
        <v>X</v>
      </c>
      <c r="AU614" s="22" t="str">
        <f t="shared" si="553"/>
        <v>X</v>
      </c>
      <c r="AV614" s="22" t="str">
        <f t="shared" si="554"/>
        <v>X</v>
      </c>
      <c r="AW614" s="22" t="str">
        <f t="shared" si="555"/>
        <v>X</v>
      </c>
      <c r="AX614" s="22" t="str">
        <f t="shared" si="556"/>
        <v>X</v>
      </c>
      <c r="AY614" s="22" t="str">
        <f t="shared" si="557"/>
        <v>X</v>
      </c>
      <c r="AZ614" s="22" t="str">
        <f t="shared" si="558"/>
        <v>X</v>
      </c>
      <c r="BA614" s="22" t="str">
        <f t="shared" si="559"/>
        <v>O</v>
      </c>
      <c r="BB614" s="22">
        <f t="shared" si="560"/>
        <v>2</v>
      </c>
      <c r="BC614" s="22" t="str">
        <f t="shared" si="571"/>
        <v>1G</v>
      </c>
      <c r="BD614" s="22" t="str">
        <f t="shared" si="572"/>
        <v>2G</v>
      </c>
      <c r="BE614" s="22" t="str">
        <f t="shared" si="573"/>
        <v>2G</v>
      </c>
      <c r="BF614" s="22" t="str">
        <f t="shared" si="574"/>
        <v>3G</v>
      </c>
      <c r="BG614" s="22" t="str">
        <f t="shared" si="575"/>
        <v>3G</v>
      </c>
      <c r="BH614" s="22" t="str">
        <f t="shared" si="576"/>
        <v>3G</v>
      </c>
      <c r="BI614" s="22">
        <f t="shared" si="568"/>
        <v>1</v>
      </c>
      <c r="BJ614" s="22">
        <f t="shared" si="569"/>
        <v>2</v>
      </c>
      <c r="BK614" s="22">
        <f t="shared" si="570"/>
        <v>3</v>
      </c>
      <c r="BL614" s="22" t="str">
        <f t="shared" si="577"/>
        <v>123</v>
      </c>
      <c r="BS614"/>
    </row>
    <row r="615" spans="2:71" ht="17" hidden="1">
      <c r="B615" s="16">
        <v>612</v>
      </c>
      <c r="C615" s="23" t="s">
        <v>966</v>
      </c>
      <c r="N615" s="23">
        <v>6</v>
      </c>
      <c r="O615" s="23">
        <v>9</v>
      </c>
      <c r="P615" s="23">
        <v>18</v>
      </c>
      <c r="Q615" s="23">
        <v>19</v>
      </c>
      <c r="R615" s="23">
        <v>25</v>
      </c>
      <c r="S615" s="23">
        <v>33</v>
      </c>
      <c r="T615" s="23">
        <v>40</v>
      </c>
      <c r="U615" s="23">
        <f t="shared" si="528"/>
        <v>110</v>
      </c>
      <c r="W615" s="22" t="str">
        <f t="shared" si="529"/>
        <v>짝수</v>
      </c>
      <c r="X615" s="22" t="str">
        <f t="shared" si="530"/>
        <v>홀수</v>
      </c>
      <c r="Y615" s="22" t="str">
        <f t="shared" si="531"/>
        <v>짝수</v>
      </c>
      <c r="Z615" s="22" t="str">
        <f t="shared" si="532"/>
        <v>홀수</v>
      </c>
      <c r="AA615" s="23" t="str">
        <f t="shared" si="533"/>
        <v>홀수</v>
      </c>
      <c r="AB615" s="23" t="str">
        <f t="shared" si="534"/>
        <v>홀수</v>
      </c>
      <c r="AC615" s="22" t="str">
        <f t="shared" si="535"/>
        <v>4 : 2</v>
      </c>
      <c r="AD615" s="22">
        <f t="shared" si="536"/>
        <v>4</v>
      </c>
      <c r="AE615" s="22">
        <f t="shared" si="537"/>
        <v>2</v>
      </c>
      <c r="AF615" s="22" t="str">
        <f t="shared" si="538"/>
        <v>저수</v>
      </c>
      <c r="AG615" s="22" t="str">
        <f t="shared" si="539"/>
        <v>저수</v>
      </c>
      <c r="AH615" s="22" t="str">
        <f t="shared" si="540"/>
        <v>저수</v>
      </c>
      <c r="AI615" s="22" t="str">
        <f t="shared" si="541"/>
        <v>저수</v>
      </c>
      <c r="AJ615" s="22" t="str">
        <f t="shared" si="542"/>
        <v>고수</v>
      </c>
      <c r="AK615" s="22" t="str">
        <f t="shared" si="543"/>
        <v>고수</v>
      </c>
      <c r="AL615" s="22" t="str">
        <f t="shared" si="544"/>
        <v>4 : 2</v>
      </c>
      <c r="AM615" s="22">
        <f t="shared" si="545"/>
        <v>4</v>
      </c>
      <c r="AN615" s="22">
        <f t="shared" si="546"/>
        <v>2</v>
      </c>
      <c r="AO615" s="22">
        <f t="shared" si="547"/>
        <v>40</v>
      </c>
      <c r="AP615" s="22" t="str">
        <f t="shared" si="548"/>
        <v>X</v>
      </c>
      <c r="AQ615" s="22" t="str">
        <f t="shared" si="549"/>
        <v>X</v>
      </c>
      <c r="AR615" s="22" t="str">
        <f t="shared" si="550"/>
        <v>X</v>
      </c>
      <c r="AS615" s="22" t="str">
        <f t="shared" si="551"/>
        <v>O</v>
      </c>
      <c r="AT615" s="22" t="str">
        <f t="shared" si="552"/>
        <v>X</v>
      </c>
      <c r="AU615" s="22" t="str">
        <f t="shared" si="553"/>
        <v>X</v>
      </c>
      <c r="AV615" s="22" t="str">
        <f t="shared" si="554"/>
        <v>X</v>
      </c>
      <c r="AW615" s="22" t="str">
        <f t="shared" si="555"/>
        <v>X</v>
      </c>
      <c r="AX615" s="22" t="str">
        <f t="shared" si="556"/>
        <v>X</v>
      </c>
      <c r="AY615" s="22" t="str">
        <f t="shared" si="557"/>
        <v>X</v>
      </c>
      <c r="AZ615" s="22" t="str">
        <f t="shared" si="558"/>
        <v>X</v>
      </c>
      <c r="BA615" s="22" t="str">
        <f t="shared" si="559"/>
        <v>X</v>
      </c>
      <c r="BB615" s="22">
        <f t="shared" si="560"/>
        <v>1</v>
      </c>
      <c r="BC615" s="22" t="str">
        <f t="shared" si="571"/>
        <v>1G</v>
      </c>
      <c r="BD615" s="22" t="str">
        <f t="shared" si="572"/>
        <v>1G</v>
      </c>
      <c r="BE615" s="22" t="str">
        <f t="shared" si="573"/>
        <v>2G</v>
      </c>
      <c r="BF615" s="22" t="str">
        <f t="shared" si="574"/>
        <v>2G</v>
      </c>
      <c r="BG615" s="22" t="str">
        <f t="shared" si="575"/>
        <v>2G</v>
      </c>
      <c r="BH615" s="22" t="str">
        <f t="shared" si="576"/>
        <v>3G</v>
      </c>
      <c r="BI615" s="22">
        <f t="shared" si="568"/>
        <v>2</v>
      </c>
      <c r="BJ615" s="22">
        <f t="shared" si="569"/>
        <v>3</v>
      </c>
      <c r="BK615" s="22">
        <f t="shared" si="570"/>
        <v>1</v>
      </c>
      <c r="BL615" s="22" t="str">
        <f t="shared" si="577"/>
        <v>231</v>
      </c>
      <c r="BS615"/>
    </row>
    <row r="616" spans="2:71" ht="17" hidden="1">
      <c r="B616" s="16">
        <v>613</v>
      </c>
      <c r="C616" s="23" t="s">
        <v>967</v>
      </c>
      <c r="N616" s="23">
        <v>7</v>
      </c>
      <c r="O616" s="23">
        <v>8</v>
      </c>
      <c r="P616" s="23">
        <v>11</v>
      </c>
      <c r="Q616" s="23">
        <v>16</v>
      </c>
      <c r="R616" s="23">
        <v>41</v>
      </c>
      <c r="S616" s="23">
        <v>44</v>
      </c>
      <c r="T616" s="23">
        <v>35</v>
      </c>
      <c r="U616" s="23">
        <f t="shared" si="528"/>
        <v>127</v>
      </c>
      <c r="W616" s="22" t="str">
        <f t="shared" si="529"/>
        <v>홀수</v>
      </c>
      <c r="X616" s="22" t="str">
        <f t="shared" si="530"/>
        <v>짝수</v>
      </c>
      <c r="Y616" s="22" t="str">
        <f t="shared" si="531"/>
        <v>홀수</v>
      </c>
      <c r="Z616" s="22" t="str">
        <f t="shared" si="532"/>
        <v>짝수</v>
      </c>
      <c r="AA616" s="23" t="str">
        <f t="shared" si="533"/>
        <v>홀수</v>
      </c>
      <c r="AB616" s="23" t="str">
        <f t="shared" si="534"/>
        <v>짝수</v>
      </c>
      <c r="AC616" s="22" t="str">
        <f t="shared" si="535"/>
        <v>3 : 3</v>
      </c>
      <c r="AD616" s="22">
        <f t="shared" si="536"/>
        <v>3</v>
      </c>
      <c r="AE616" s="22">
        <f t="shared" si="537"/>
        <v>3</v>
      </c>
      <c r="AF616" s="22" t="str">
        <f t="shared" si="538"/>
        <v>저수</v>
      </c>
      <c r="AG616" s="22" t="str">
        <f t="shared" si="539"/>
        <v>저수</v>
      </c>
      <c r="AH616" s="22" t="str">
        <f t="shared" si="540"/>
        <v>저수</v>
      </c>
      <c r="AI616" s="22" t="str">
        <f t="shared" si="541"/>
        <v>저수</v>
      </c>
      <c r="AJ616" s="22" t="str">
        <f t="shared" si="542"/>
        <v>고수</v>
      </c>
      <c r="AK616" s="22" t="str">
        <f t="shared" si="543"/>
        <v>고수</v>
      </c>
      <c r="AL616" s="22" t="str">
        <f t="shared" si="544"/>
        <v>4 : 2</v>
      </c>
      <c r="AM616" s="22">
        <f t="shared" si="545"/>
        <v>4</v>
      </c>
      <c r="AN616" s="22">
        <f t="shared" si="546"/>
        <v>2</v>
      </c>
      <c r="AO616" s="22">
        <f t="shared" si="547"/>
        <v>27</v>
      </c>
      <c r="AP616" s="22" t="str">
        <f t="shared" si="548"/>
        <v>O</v>
      </c>
      <c r="AQ616" s="22" t="str">
        <f t="shared" si="549"/>
        <v>X</v>
      </c>
      <c r="AR616" s="22" t="str">
        <f t="shared" si="550"/>
        <v>O</v>
      </c>
      <c r="AS616" s="22" t="str">
        <f t="shared" si="551"/>
        <v>X</v>
      </c>
      <c r="AT616" s="22" t="str">
        <f t="shared" si="552"/>
        <v>X</v>
      </c>
      <c r="AU616" s="22" t="str">
        <f t="shared" si="553"/>
        <v>X</v>
      </c>
      <c r="AV616" s="22" t="str">
        <f t="shared" si="554"/>
        <v>X</v>
      </c>
      <c r="AW616" s="22" t="str">
        <f t="shared" si="555"/>
        <v>X</v>
      </c>
      <c r="AX616" s="22" t="str">
        <f t="shared" si="556"/>
        <v>X</v>
      </c>
      <c r="AY616" s="22" t="str">
        <f t="shared" si="557"/>
        <v>X</v>
      </c>
      <c r="AZ616" s="22" t="str">
        <f t="shared" si="558"/>
        <v>O</v>
      </c>
      <c r="BA616" s="22" t="str">
        <f t="shared" si="559"/>
        <v>X</v>
      </c>
      <c r="BB616" s="22">
        <f t="shared" si="560"/>
        <v>3</v>
      </c>
      <c r="BC616" s="22" t="str">
        <f t="shared" si="571"/>
        <v>1G</v>
      </c>
      <c r="BD616" s="22" t="str">
        <f t="shared" si="572"/>
        <v>1G</v>
      </c>
      <c r="BE616" s="22" t="str">
        <f t="shared" si="573"/>
        <v>1G</v>
      </c>
      <c r="BF616" s="22" t="str">
        <f t="shared" si="574"/>
        <v>2G</v>
      </c>
      <c r="BG616" s="22" t="str">
        <f t="shared" si="575"/>
        <v>3G</v>
      </c>
      <c r="BH616" s="22" t="str">
        <f t="shared" si="576"/>
        <v>3G</v>
      </c>
      <c r="BI616" s="22">
        <f t="shared" si="568"/>
        <v>3</v>
      </c>
      <c r="BJ616" s="22">
        <f t="shared" si="569"/>
        <v>1</v>
      </c>
      <c r="BK616" s="22">
        <f t="shared" si="570"/>
        <v>2</v>
      </c>
      <c r="BL616" s="22" t="str">
        <f t="shared" si="577"/>
        <v>312</v>
      </c>
      <c r="BS616"/>
    </row>
    <row r="617" spans="2:71" ht="17" hidden="1">
      <c r="B617" s="16">
        <v>614</v>
      </c>
      <c r="C617" s="23" t="s">
        <v>968</v>
      </c>
      <c r="N617" s="23">
        <v>8</v>
      </c>
      <c r="O617" s="23">
        <v>21</v>
      </c>
      <c r="P617" s="23">
        <v>25</v>
      </c>
      <c r="Q617" s="23">
        <v>39</v>
      </c>
      <c r="R617" s="23">
        <v>40</v>
      </c>
      <c r="S617" s="23">
        <v>44</v>
      </c>
      <c r="T617" s="23">
        <v>18</v>
      </c>
      <c r="U617" s="23">
        <f t="shared" si="528"/>
        <v>177</v>
      </c>
      <c r="W617" s="22" t="str">
        <f t="shared" si="529"/>
        <v>짝수</v>
      </c>
      <c r="X617" s="22" t="str">
        <f t="shared" si="530"/>
        <v>홀수</v>
      </c>
      <c r="Y617" s="22" t="str">
        <f t="shared" si="531"/>
        <v>홀수</v>
      </c>
      <c r="Z617" s="22" t="str">
        <f t="shared" si="532"/>
        <v>홀수</v>
      </c>
      <c r="AA617" s="23" t="str">
        <f t="shared" si="533"/>
        <v>짝수</v>
      </c>
      <c r="AB617" s="23" t="str">
        <f t="shared" si="534"/>
        <v>짝수</v>
      </c>
      <c r="AC617" s="22" t="str">
        <f t="shared" si="535"/>
        <v>3 : 3</v>
      </c>
      <c r="AD617" s="22">
        <f t="shared" si="536"/>
        <v>3</v>
      </c>
      <c r="AE617" s="22">
        <f t="shared" si="537"/>
        <v>3</v>
      </c>
      <c r="AF617" s="22" t="str">
        <f t="shared" si="538"/>
        <v>저수</v>
      </c>
      <c r="AG617" s="22" t="str">
        <f t="shared" si="539"/>
        <v>저수</v>
      </c>
      <c r="AH617" s="22" t="str">
        <f t="shared" si="540"/>
        <v>고수</v>
      </c>
      <c r="AI617" s="22" t="str">
        <f t="shared" si="541"/>
        <v>고수</v>
      </c>
      <c r="AJ617" s="22" t="str">
        <f t="shared" si="542"/>
        <v>고수</v>
      </c>
      <c r="AK617" s="22" t="str">
        <f t="shared" si="543"/>
        <v>고수</v>
      </c>
      <c r="AL617" s="22" t="str">
        <f t="shared" si="544"/>
        <v>2 : 4</v>
      </c>
      <c r="AM617" s="22">
        <f t="shared" si="545"/>
        <v>2</v>
      </c>
      <c r="AN617" s="22">
        <f t="shared" si="546"/>
        <v>4</v>
      </c>
      <c r="AO617" s="22">
        <f t="shared" si="547"/>
        <v>27</v>
      </c>
      <c r="AP617" s="22" t="str">
        <f t="shared" si="548"/>
        <v>X</v>
      </c>
      <c r="AQ617" s="22" t="str">
        <f t="shared" si="549"/>
        <v>X</v>
      </c>
      <c r="AR617" s="22" t="str">
        <f t="shared" si="550"/>
        <v>X</v>
      </c>
      <c r="AS617" s="22" t="str">
        <f t="shared" si="551"/>
        <v>X</v>
      </c>
      <c r="AT617" s="22" t="str">
        <f t="shared" si="552"/>
        <v>X</v>
      </c>
      <c r="AU617" s="22" t="str">
        <f t="shared" si="553"/>
        <v>X</v>
      </c>
      <c r="AV617" s="22" t="str">
        <f t="shared" si="554"/>
        <v>X</v>
      </c>
      <c r="AW617" s="22" t="str">
        <f t="shared" si="555"/>
        <v>X</v>
      </c>
      <c r="AX617" s="22" t="str">
        <f t="shared" si="556"/>
        <v>X</v>
      </c>
      <c r="AY617" s="22" t="str">
        <f t="shared" si="557"/>
        <v>X</v>
      </c>
      <c r="AZ617" s="22" t="str">
        <f t="shared" si="558"/>
        <v>X</v>
      </c>
      <c r="BA617" s="22" t="str">
        <f t="shared" si="559"/>
        <v>X</v>
      </c>
      <c r="BB617" s="22">
        <f t="shared" si="560"/>
        <v>0</v>
      </c>
      <c r="BC617" s="22" t="str">
        <f t="shared" si="571"/>
        <v>1G</v>
      </c>
      <c r="BD617" s="22" t="str">
        <f t="shared" si="572"/>
        <v>2G</v>
      </c>
      <c r="BE617" s="22" t="str">
        <f t="shared" si="573"/>
        <v>2G</v>
      </c>
      <c r="BF617" s="22" t="str">
        <f t="shared" si="574"/>
        <v>3G</v>
      </c>
      <c r="BG617" s="22" t="str">
        <f t="shared" si="575"/>
        <v>3G</v>
      </c>
      <c r="BH617" s="22" t="str">
        <f t="shared" si="576"/>
        <v>3G</v>
      </c>
      <c r="BI617" s="22">
        <f t="shared" si="568"/>
        <v>1</v>
      </c>
      <c r="BJ617" s="22">
        <f t="shared" si="569"/>
        <v>2</v>
      </c>
      <c r="BK617" s="22">
        <f t="shared" si="570"/>
        <v>3</v>
      </c>
      <c r="BL617" s="22" t="str">
        <f t="shared" si="577"/>
        <v>123</v>
      </c>
      <c r="BS617"/>
    </row>
    <row r="618" spans="2:71" ht="17" hidden="1">
      <c r="B618" s="16">
        <v>615</v>
      </c>
      <c r="C618" s="23" t="s">
        <v>969</v>
      </c>
      <c r="N618" s="23">
        <v>10</v>
      </c>
      <c r="O618" s="23">
        <v>17</v>
      </c>
      <c r="P618" s="23">
        <v>18</v>
      </c>
      <c r="Q618" s="23">
        <v>19</v>
      </c>
      <c r="R618" s="23">
        <v>23</v>
      </c>
      <c r="S618" s="23">
        <v>27</v>
      </c>
      <c r="T618" s="23">
        <v>35</v>
      </c>
      <c r="U618" s="23">
        <f t="shared" si="528"/>
        <v>114</v>
      </c>
      <c r="W618" s="22" t="str">
        <f t="shared" si="529"/>
        <v>짝수</v>
      </c>
      <c r="X618" s="22" t="str">
        <f t="shared" si="530"/>
        <v>홀수</v>
      </c>
      <c r="Y618" s="22" t="str">
        <f t="shared" si="531"/>
        <v>짝수</v>
      </c>
      <c r="Z618" s="22" t="str">
        <f t="shared" si="532"/>
        <v>홀수</v>
      </c>
      <c r="AA618" s="23" t="str">
        <f t="shared" si="533"/>
        <v>홀수</v>
      </c>
      <c r="AB618" s="23" t="str">
        <f t="shared" si="534"/>
        <v>홀수</v>
      </c>
      <c r="AC618" s="22" t="str">
        <f t="shared" si="535"/>
        <v>4 : 2</v>
      </c>
      <c r="AD618" s="22">
        <f t="shared" si="536"/>
        <v>4</v>
      </c>
      <c r="AE618" s="22">
        <f t="shared" si="537"/>
        <v>2</v>
      </c>
      <c r="AF618" s="22" t="str">
        <f t="shared" si="538"/>
        <v>저수</v>
      </c>
      <c r="AG618" s="22" t="str">
        <f t="shared" si="539"/>
        <v>저수</v>
      </c>
      <c r="AH618" s="22" t="str">
        <f t="shared" si="540"/>
        <v>저수</v>
      </c>
      <c r="AI618" s="22" t="str">
        <f t="shared" si="541"/>
        <v>저수</v>
      </c>
      <c r="AJ618" s="22" t="str">
        <f t="shared" si="542"/>
        <v>고수</v>
      </c>
      <c r="AK618" s="22" t="str">
        <f t="shared" si="543"/>
        <v>고수</v>
      </c>
      <c r="AL618" s="22" t="str">
        <f t="shared" si="544"/>
        <v>4 : 2</v>
      </c>
      <c r="AM618" s="22">
        <f t="shared" si="545"/>
        <v>4</v>
      </c>
      <c r="AN618" s="22">
        <f t="shared" si="546"/>
        <v>2</v>
      </c>
      <c r="AO618" s="22">
        <f t="shared" si="547"/>
        <v>34</v>
      </c>
      <c r="AP618" s="22" t="str">
        <f t="shared" si="548"/>
        <v>X</v>
      </c>
      <c r="AQ618" s="22" t="str">
        <f t="shared" si="549"/>
        <v>O</v>
      </c>
      <c r="AR618" s="22" t="str">
        <f t="shared" si="550"/>
        <v>X</v>
      </c>
      <c r="AS618" s="22" t="str">
        <f t="shared" si="551"/>
        <v>O</v>
      </c>
      <c r="AT618" s="22" t="str">
        <f t="shared" si="552"/>
        <v>X</v>
      </c>
      <c r="AU618" s="22" t="str">
        <f t="shared" si="553"/>
        <v>X</v>
      </c>
      <c r="AV618" s="22" t="str">
        <f t="shared" si="554"/>
        <v>X</v>
      </c>
      <c r="AW618" s="22" t="str">
        <f t="shared" si="555"/>
        <v>X</v>
      </c>
      <c r="AX618" s="22" t="str">
        <f t="shared" si="556"/>
        <v>X</v>
      </c>
      <c r="AY618" s="22" t="str">
        <f t="shared" si="557"/>
        <v>X</v>
      </c>
      <c r="AZ618" s="22" t="str">
        <f t="shared" si="558"/>
        <v>O</v>
      </c>
      <c r="BA618" s="22" t="str">
        <f t="shared" si="559"/>
        <v>X</v>
      </c>
      <c r="BB618" s="22">
        <f t="shared" si="560"/>
        <v>3</v>
      </c>
      <c r="BC618" s="22" t="str">
        <f t="shared" si="571"/>
        <v>1G</v>
      </c>
      <c r="BD618" s="22" t="str">
        <f t="shared" si="572"/>
        <v>2G</v>
      </c>
      <c r="BE618" s="22" t="str">
        <f t="shared" si="573"/>
        <v>2G</v>
      </c>
      <c r="BF618" s="22" t="str">
        <f t="shared" si="574"/>
        <v>2G</v>
      </c>
      <c r="BG618" s="22" t="str">
        <f t="shared" si="575"/>
        <v>2G</v>
      </c>
      <c r="BH618" s="22" t="str">
        <f t="shared" si="576"/>
        <v>2G</v>
      </c>
      <c r="BI618" s="22">
        <f t="shared" si="568"/>
        <v>1</v>
      </c>
      <c r="BJ618" s="22">
        <f t="shared" si="569"/>
        <v>5</v>
      </c>
      <c r="BK618" s="22">
        <f t="shared" si="570"/>
        <v>0</v>
      </c>
      <c r="BL618" s="22" t="str">
        <f t="shared" si="577"/>
        <v>150</v>
      </c>
      <c r="BS618"/>
    </row>
    <row r="619" spans="2:71" ht="17" hidden="1">
      <c r="B619" s="16">
        <v>616</v>
      </c>
      <c r="C619" s="23" t="s">
        <v>970</v>
      </c>
      <c r="N619" s="23">
        <v>5</v>
      </c>
      <c r="O619" s="23">
        <v>13</v>
      </c>
      <c r="P619" s="23">
        <v>18</v>
      </c>
      <c r="Q619" s="23">
        <v>23</v>
      </c>
      <c r="R619" s="23">
        <v>40</v>
      </c>
      <c r="S619" s="23">
        <v>45</v>
      </c>
      <c r="T619" s="23">
        <v>3</v>
      </c>
      <c r="U619" s="23">
        <f t="shared" si="528"/>
        <v>144</v>
      </c>
      <c r="W619" s="22" t="str">
        <f t="shared" si="529"/>
        <v>홀수</v>
      </c>
      <c r="X619" s="22" t="str">
        <f t="shared" si="530"/>
        <v>홀수</v>
      </c>
      <c r="Y619" s="22" t="str">
        <f t="shared" si="531"/>
        <v>짝수</v>
      </c>
      <c r="Z619" s="22" t="str">
        <f t="shared" si="532"/>
        <v>홀수</v>
      </c>
      <c r="AA619" s="23" t="str">
        <f t="shared" si="533"/>
        <v>짝수</v>
      </c>
      <c r="AB619" s="23" t="str">
        <f t="shared" si="534"/>
        <v>홀수</v>
      </c>
      <c r="AC619" s="22" t="str">
        <f t="shared" si="535"/>
        <v>4 : 2</v>
      </c>
      <c r="AD619" s="22">
        <f t="shared" si="536"/>
        <v>4</v>
      </c>
      <c r="AE619" s="22">
        <f t="shared" si="537"/>
        <v>2</v>
      </c>
      <c r="AF619" s="22" t="str">
        <f t="shared" si="538"/>
        <v>저수</v>
      </c>
      <c r="AG619" s="22" t="str">
        <f t="shared" si="539"/>
        <v>저수</v>
      </c>
      <c r="AH619" s="22" t="str">
        <f t="shared" si="540"/>
        <v>저수</v>
      </c>
      <c r="AI619" s="22" t="str">
        <f t="shared" si="541"/>
        <v>고수</v>
      </c>
      <c r="AJ619" s="22" t="str">
        <f t="shared" si="542"/>
        <v>고수</v>
      </c>
      <c r="AK619" s="22" t="str">
        <f t="shared" si="543"/>
        <v>고수</v>
      </c>
      <c r="AL619" s="22" t="str">
        <f t="shared" si="544"/>
        <v>3 : 3</v>
      </c>
      <c r="AM619" s="22">
        <f t="shared" si="545"/>
        <v>3</v>
      </c>
      <c r="AN619" s="22">
        <f t="shared" si="546"/>
        <v>3</v>
      </c>
      <c r="AO619" s="22">
        <f t="shared" si="547"/>
        <v>24</v>
      </c>
      <c r="AP619" s="22" t="str">
        <f t="shared" si="548"/>
        <v>O</v>
      </c>
      <c r="AQ619" s="22" t="str">
        <f t="shared" si="549"/>
        <v>O</v>
      </c>
      <c r="AR619" s="22" t="str">
        <f t="shared" si="550"/>
        <v>X</v>
      </c>
      <c r="AS619" s="22" t="str">
        <f t="shared" si="551"/>
        <v>X</v>
      </c>
      <c r="AT619" s="22" t="str">
        <f t="shared" si="552"/>
        <v>X</v>
      </c>
      <c r="AU619" s="22" t="str">
        <f t="shared" si="553"/>
        <v>X</v>
      </c>
      <c r="AV619" s="22" t="str">
        <f t="shared" si="554"/>
        <v>X</v>
      </c>
      <c r="AW619" s="22" t="str">
        <f t="shared" si="555"/>
        <v>X</v>
      </c>
      <c r="AX619" s="22" t="str">
        <f t="shared" si="556"/>
        <v>X</v>
      </c>
      <c r="AY619" s="22" t="str">
        <f t="shared" si="557"/>
        <v>O</v>
      </c>
      <c r="AZ619" s="22" t="str">
        <f t="shared" si="558"/>
        <v>X</v>
      </c>
      <c r="BA619" s="22" t="str">
        <f t="shared" si="559"/>
        <v>X</v>
      </c>
      <c r="BB619" s="22">
        <f t="shared" si="560"/>
        <v>3</v>
      </c>
      <c r="BC619" s="22" t="str">
        <f t="shared" si="571"/>
        <v>1G</v>
      </c>
      <c r="BD619" s="22" t="str">
        <f t="shared" si="572"/>
        <v>1G</v>
      </c>
      <c r="BE619" s="22" t="str">
        <f t="shared" si="573"/>
        <v>2G</v>
      </c>
      <c r="BF619" s="22" t="str">
        <f t="shared" si="574"/>
        <v>2G</v>
      </c>
      <c r="BG619" s="22" t="str">
        <f t="shared" si="575"/>
        <v>3G</v>
      </c>
      <c r="BH619" s="22" t="str">
        <f t="shared" si="576"/>
        <v>3G</v>
      </c>
      <c r="BI619" s="22">
        <f t="shared" si="568"/>
        <v>2</v>
      </c>
      <c r="BJ619" s="22">
        <f t="shared" si="569"/>
        <v>2</v>
      </c>
      <c r="BK619" s="22">
        <f t="shared" si="570"/>
        <v>2</v>
      </c>
      <c r="BL619" s="22" t="str">
        <f t="shared" si="577"/>
        <v>222</v>
      </c>
      <c r="BS619"/>
    </row>
    <row r="620" spans="2:71" ht="17" hidden="1">
      <c r="B620" s="16">
        <v>617</v>
      </c>
      <c r="C620" s="23" t="s">
        <v>971</v>
      </c>
      <c r="N620" s="23">
        <v>4</v>
      </c>
      <c r="O620" s="23">
        <v>5</v>
      </c>
      <c r="P620" s="23">
        <v>11</v>
      </c>
      <c r="Q620" s="23">
        <v>12</v>
      </c>
      <c r="R620" s="23">
        <v>24</v>
      </c>
      <c r="S620" s="23">
        <v>27</v>
      </c>
      <c r="T620" s="23">
        <v>28</v>
      </c>
      <c r="U620" s="23">
        <f t="shared" si="528"/>
        <v>83</v>
      </c>
      <c r="W620" s="22" t="str">
        <f t="shared" si="529"/>
        <v>짝수</v>
      </c>
      <c r="X620" s="22" t="str">
        <f t="shared" si="530"/>
        <v>홀수</v>
      </c>
      <c r="Y620" s="22" t="str">
        <f t="shared" si="531"/>
        <v>홀수</v>
      </c>
      <c r="Z620" s="22" t="str">
        <f t="shared" si="532"/>
        <v>짝수</v>
      </c>
      <c r="AA620" s="23" t="str">
        <f t="shared" si="533"/>
        <v>짝수</v>
      </c>
      <c r="AB620" s="23" t="str">
        <f t="shared" si="534"/>
        <v>홀수</v>
      </c>
      <c r="AC620" s="22" t="str">
        <f t="shared" si="535"/>
        <v>3 : 3</v>
      </c>
      <c r="AD620" s="22">
        <f t="shared" si="536"/>
        <v>3</v>
      </c>
      <c r="AE620" s="22">
        <f t="shared" si="537"/>
        <v>3</v>
      </c>
      <c r="AF620" s="22" t="str">
        <f t="shared" si="538"/>
        <v>저수</v>
      </c>
      <c r="AG620" s="22" t="str">
        <f t="shared" si="539"/>
        <v>저수</v>
      </c>
      <c r="AH620" s="22" t="str">
        <f t="shared" si="540"/>
        <v>저수</v>
      </c>
      <c r="AI620" s="22" t="str">
        <f t="shared" si="541"/>
        <v>저수</v>
      </c>
      <c r="AJ620" s="22" t="str">
        <f t="shared" si="542"/>
        <v>고수</v>
      </c>
      <c r="AK620" s="22" t="str">
        <f t="shared" si="543"/>
        <v>고수</v>
      </c>
      <c r="AL620" s="22" t="str">
        <f t="shared" si="544"/>
        <v>4 : 2</v>
      </c>
      <c r="AM620" s="22">
        <f t="shared" si="545"/>
        <v>4</v>
      </c>
      <c r="AN620" s="22">
        <f t="shared" si="546"/>
        <v>2</v>
      </c>
      <c r="AO620" s="22">
        <f t="shared" si="547"/>
        <v>23</v>
      </c>
      <c r="AP620" s="22" t="str">
        <f t="shared" si="548"/>
        <v>X</v>
      </c>
      <c r="AQ620" s="22" t="str">
        <f t="shared" si="549"/>
        <v>O</v>
      </c>
      <c r="AR620" s="22" t="str">
        <f t="shared" si="550"/>
        <v>O</v>
      </c>
      <c r="AS620" s="22" t="str">
        <f t="shared" si="551"/>
        <v>X</v>
      </c>
      <c r="AT620" s="22" t="str">
        <f t="shared" si="552"/>
        <v>X</v>
      </c>
      <c r="AU620" s="22" t="str">
        <f t="shared" si="553"/>
        <v>X</v>
      </c>
      <c r="AV620" s="22" t="str">
        <f t="shared" si="554"/>
        <v>X</v>
      </c>
      <c r="AW620" s="22" t="str">
        <f t="shared" si="555"/>
        <v>X</v>
      </c>
      <c r="AX620" s="22" t="str">
        <f t="shared" si="556"/>
        <v>X</v>
      </c>
      <c r="AY620" s="22" t="str">
        <f t="shared" si="557"/>
        <v>X</v>
      </c>
      <c r="AZ620" s="22" t="str">
        <f t="shared" si="558"/>
        <v>X</v>
      </c>
      <c r="BA620" s="22" t="str">
        <f t="shared" si="559"/>
        <v>X</v>
      </c>
      <c r="BB620" s="22">
        <f t="shared" si="560"/>
        <v>2</v>
      </c>
      <c r="BC620" s="22" t="str">
        <f t="shared" si="571"/>
        <v>1G</v>
      </c>
      <c r="BD620" s="22" t="str">
        <f t="shared" si="572"/>
        <v>1G</v>
      </c>
      <c r="BE620" s="22" t="str">
        <f t="shared" si="573"/>
        <v>1G</v>
      </c>
      <c r="BF620" s="22" t="str">
        <f t="shared" si="574"/>
        <v>1G</v>
      </c>
      <c r="BG620" s="22" t="str">
        <f t="shared" si="575"/>
        <v>2G</v>
      </c>
      <c r="BH620" s="22" t="str">
        <f t="shared" si="576"/>
        <v>2G</v>
      </c>
      <c r="BI620" s="22">
        <f t="shared" si="568"/>
        <v>4</v>
      </c>
      <c r="BJ620" s="22">
        <f t="shared" si="569"/>
        <v>2</v>
      </c>
      <c r="BK620" s="22">
        <f t="shared" si="570"/>
        <v>0</v>
      </c>
      <c r="BL620" s="22" t="str">
        <f t="shared" si="577"/>
        <v>420</v>
      </c>
      <c r="BS620"/>
    </row>
    <row r="621" spans="2:71" ht="17" hidden="1">
      <c r="B621" s="16">
        <v>618</v>
      </c>
      <c r="C621" s="23" t="s">
        <v>972</v>
      </c>
      <c r="N621" s="23">
        <v>8</v>
      </c>
      <c r="O621" s="23">
        <v>16</v>
      </c>
      <c r="P621" s="23">
        <v>25</v>
      </c>
      <c r="Q621" s="23">
        <v>30</v>
      </c>
      <c r="R621" s="23">
        <v>42</v>
      </c>
      <c r="S621" s="23">
        <v>43</v>
      </c>
      <c r="T621" s="23">
        <v>15</v>
      </c>
      <c r="U621" s="23">
        <f t="shared" si="528"/>
        <v>164</v>
      </c>
      <c r="W621" s="22" t="str">
        <f t="shared" si="529"/>
        <v>짝수</v>
      </c>
      <c r="X621" s="22" t="str">
        <f t="shared" si="530"/>
        <v>짝수</v>
      </c>
      <c r="Y621" s="22" t="str">
        <f t="shared" si="531"/>
        <v>홀수</v>
      </c>
      <c r="Z621" s="22" t="str">
        <f t="shared" si="532"/>
        <v>짝수</v>
      </c>
      <c r="AA621" s="23" t="str">
        <f t="shared" si="533"/>
        <v>짝수</v>
      </c>
      <c r="AB621" s="23" t="str">
        <f t="shared" si="534"/>
        <v>홀수</v>
      </c>
      <c r="AC621" s="22" t="str">
        <f t="shared" si="535"/>
        <v>2 : 4</v>
      </c>
      <c r="AD621" s="22">
        <f t="shared" si="536"/>
        <v>2</v>
      </c>
      <c r="AE621" s="22">
        <f t="shared" si="537"/>
        <v>4</v>
      </c>
      <c r="AF621" s="22" t="str">
        <f t="shared" si="538"/>
        <v>저수</v>
      </c>
      <c r="AG621" s="22" t="str">
        <f t="shared" si="539"/>
        <v>저수</v>
      </c>
      <c r="AH621" s="22" t="str">
        <f t="shared" si="540"/>
        <v>고수</v>
      </c>
      <c r="AI621" s="22" t="str">
        <f t="shared" si="541"/>
        <v>고수</v>
      </c>
      <c r="AJ621" s="22" t="str">
        <f t="shared" si="542"/>
        <v>고수</v>
      </c>
      <c r="AK621" s="22" t="str">
        <f t="shared" si="543"/>
        <v>고수</v>
      </c>
      <c r="AL621" s="22" t="str">
        <f t="shared" si="544"/>
        <v>2 : 4</v>
      </c>
      <c r="AM621" s="22">
        <f t="shared" si="545"/>
        <v>2</v>
      </c>
      <c r="AN621" s="22">
        <f t="shared" si="546"/>
        <v>4</v>
      </c>
      <c r="AO621" s="22">
        <f t="shared" si="547"/>
        <v>24</v>
      </c>
      <c r="AP621" s="22" t="str">
        <f t="shared" si="548"/>
        <v>X</v>
      </c>
      <c r="AQ621" s="22" t="str">
        <f t="shared" si="549"/>
        <v>X</v>
      </c>
      <c r="AR621" s="22" t="str">
        <f t="shared" si="550"/>
        <v>X</v>
      </c>
      <c r="AS621" s="22" t="str">
        <f t="shared" si="551"/>
        <v>X</v>
      </c>
      <c r="AT621" s="22" t="str">
        <f t="shared" si="552"/>
        <v>X</v>
      </c>
      <c r="AU621" s="22" t="str">
        <f t="shared" si="553"/>
        <v>X</v>
      </c>
      <c r="AV621" s="22" t="str">
        <f t="shared" si="554"/>
        <v>X</v>
      </c>
      <c r="AW621" s="22" t="str">
        <f t="shared" si="555"/>
        <v>X</v>
      </c>
      <c r="AX621" s="22" t="str">
        <f t="shared" si="556"/>
        <v>X</v>
      </c>
      <c r="AY621" s="22" t="str">
        <f t="shared" si="557"/>
        <v>X</v>
      </c>
      <c r="AZ621" s="22" t="str">
        <f t="shared" si="558"/>
        <v>X</v>
      </c>
      <c r="BA621" s="22" t="str">
        <f t="shared" si="559"/>
        <v>O</v>
      </c>
      <c r="BB621" s="22">
        <f t="shared" si="560"/>
        <v>1</v>
      </c>
      <c r="BC621" s="22" t="str">
        <f t="shared" si="571"/>
        <v>1G</v>
      </c>
      <c r="BD621" s="22" t="str">
        <f t="shared" si="572"/>
        <v>2G</v>
      </c>
      <c r="BE621" s="22" t="str">
        <f t="shared" si="573"/>
        <v>2G</v>
      </c>
      <c r="BF621" s="22" t="str">
        <f t="shared" si="574"/>
        <v>2G</v>
      </c>
      <c r="BG621" s="22" t="str">
        <f t="shared" si="575"/>
        <v>3G</v>
      </c>
      <c r="BH621" s="22" t="str">
        <f t="shared" si="576"/>
        <v>3G</v>
      </c>
      <c r="BI621" s="22">
        <f t="shared" si="568"/>
        <v>1</v>
      </c>
      <c r="BJ621" s="22">
        <f t="shared" si="569"/>
        <v>3</v>
      </c>
      <c r="BK621" s="22">
        <f t="shared" si="570"/>
        <v>2</v>
      </c>
      <c r="BL621" s="22" t="str">
        <f t="shared" si="577"/>
        <v>132</v>
      </c>
      <c r="BS621"/>
    </row>
    <row r="622" spans="2:71" ht="17" hidden="1">
      <c r="B622" s="16">
        <v>619</v>
      </c>
      <c r="C622" s="23" t="s">
        <v>973</v>
      </c>
      <c r="N622" s="23">
        <v>6</v>
      </c>
      <c r="O622" s="23">
        <v>8</v>
      </c>
      <c r="P622" s="23">
        <v>13</v>
      </c>
      <c r="Q622" s="23">
        <v>30</v>
      </c>
      <c r="R622" s="23">
        <v>35</v>
      </c>
      <c r="S622" s="23">
        <v>40</v>
      </c>
      <c r="T622" s="23">
        <v>21</v>
      </c>
      <c r="U622" s="23">
        <f t="shared" si="528"/>
        <v>132</v>
      </c>
      <c r="W622" s="22" t="str">
        <f t="shared" si="529"/>
        <v>짝수</v>
      </c>
      <c r="X622" s="22" t="str">
        <f t="shared" si="530"/>
        <v>짝수</v>
      </c>
      <c r="Y622" s="22" t="str">
        <f t="shared" si="531"/>
        <v>홀수</v>
      </c>
      <c r="Z622" s="22" t="str">
        <f t="shared" si="532"/>
        <v>짝수</v>
      </c>
      <c r="AA622" s="23" t="str">
        <f t="shared" si="533"/>
        <v>홀수</v>
      </c>
      <c r="AB622" s="23" t="str">
        <f t="shared" si="534"/>
        <v>짝수</v>
      </c>
      <c r="AC622" s="22" t="str">
        <f t="shared" si="535"/>
        <v>2 : 4</v>
      </c>
      <c r="AD622" s="22">
        <f t="shared" si="536"/>
        <v>2</v>
      </c>
      <c r="AE622" s="22">
        <f t="shared" si="537"/>
        <v>4</v>
      </c>
      <c r="AF622" s="22" t="str">
        <f t="shared" si="538"/>
        <v>저수</v>
      </c>
      <c r="AG622" s="22" t="str">
        <f t="shared" si="539"/>
        <v>저수</v>
      </c>
      <c r="AH622" s="22" t="str">
        <f t="shared" si="540"/>
        <v>저수</v>
      </c>
      <c r="AI622" s="22" t="str">
        <f t="shared" si="541"/>
        <v>고수</v>
      </c>
      <c r="AJ622" s="22" t="str">
        <f t="shared" si="542"/>
        <v>고수</v>
      </c>
      <c r="AK622" s="22" t="str">
        <f t="shared" si="543"/>
        <v>고수</v>
      </c>
      <c r="AL622" s="22" t="str">
        <f t="shared" si="544"/>
        <v>3 : 3</v>
      </c>
      <c r="AM622" s="22">
        <f t="shared" si="545"/>
        <v>3</v>
      </c>
      <c r="AN622" s="22">
        <f t="shared" si="546"/>
        <v>3</v>
      </c>
      <c r="AO622" s="22">
        <f t="shared" si="547"/>
        <v>22</v>
      </c>
      <c r="AP622" s="22" t="str">
        <f t="shared" si="548"/>
        <v>X</v>
      </c>
      <c r="AQ622" s="22" t="str">
        <f t="shared" si="549"/>
        <v>X</v>
      </c>
      <c r="AR622" s="22" t="str">
        <f t="shared" si="550"/>
        <v>O</v>
      </c>
      <c r="AS622" s="22" t="str">
        <f t="shared" si="551"/>
        <v>X</v>
      </c>
      <c r="AT622" s="22" t="str">
        <f t="shared" si="552"/>
        <v>X</v>
      </c>
      <c r="AU622" s="22" t="str">
        <f t="shared" si="553"/>
        <v>X</v>
      </c>
      <c r="AV622" s="22" t="str">
        <f t="shared" si="554"/>
        <v>X</v>
      </c>
      <c r="AW622" s="22" t="str">
        <f t="shared" si="555"/>
        <v>X</v>
      </c>
      <c r="AX622" s="22" t="str">
        <f t="shared" si="556"/>
        <v>X</v>
      </c>
      <c r="AY622" s="22" t="str">
        <f t="shared" si="557"/>
        <v>X</v>
      </c>
      <c r="AZ622" s="22" t="str">
        <f t="shared" si="558"/>
        <v>X</v>
      </c>
      <c r="BA622" s="22" t="str">
        <f t="shared" si="559"/>
        <v>X</v>
      </c>
      <c r="BB622" s="22">
        <f t="shared" si="560"/>
        <v>1</v>
      </c>
      <c r="BC622" s="22" t="str">
        <f t="shared" si="571"/>
        <v>1G</v>
      </c>
      <c r="BD622" s="22" t="str">
        <f t="shared" si="572"/>
        <v>1G</v>
      </c>
      <c r="BE622" s="22" t="str">
        <f t="shared" si="573"/>
        <v>1G</v>
      </c>
      <c r="BF622" s="22" t="str">
        <f t="shared" si="574"/>
        <v>2G</v>
      </c>
      <c r="BG622" s="22" t="str">
        <f t="shared" si="575"/>
        <v>3G</v>
      </c>
      <c r="BH622" s="22" t="str">
        <f t="shared" si="576"/>
        <v>3G</v>
      </c>
      <c r="BI622" s="22">
        <f t="shared" si="568"/>
        <v>3</v>
      </c>
      <c r="BJ622" s="22">
        <f t="shared" si="569"/>
        <v>1</v>
      </c>
      <c r="BK622" s="22">
        <f t="shared" si="570"/>
        <v>2</v>
      </c>
      <c r="BL622" s="22" t="str">
        <f t="shared" si="577"/>
        <v>312</v>
      </c>
      <c r="BS622"/>
    </row>
    <row r="623" spans="2:71" ht="17" hidden="1">
      <c r="B623" s="16">
        <v>620</v>
      </c>
      <c r="C623" s="23" t="s">
        <v>974</v>
      </c>
      <c r="N623" s="23">
        <v>2</v>
      </c>
      <c r="O623" s="23">
        <v>16</v>
      </c>
      <c r="P623" s="23">
        <v>17</v>
      </c>
      <c r="Q623" s="23">
        <v>32</v>
      </c>
      <c r="R623" s="23">
        <v>39</v>
      </c>
      <c r="S623" s="23">
        <v>45</v>
      </c>
      <c r="T623" s="23">
        <v>40</v>
      </c>
      <c r="U623" s="23">
        <f t="shared" si="528"/>
        <v>151</v>
      </c>
      <c r="W623" s="22" t="str">
        <f t="shared" si="529"/>
        <v>짝수</v>
      </c>
      <c r="X623" s="22" t="str">
        <f t="shared" si="530"/>
        <v>짝수</v>
      </c>
      <c r="Y623" s="22" t="str">
        <f t="shared" si="531"/>
        <v>홀수</v>
      </c>
      <c r="Z623" s="22" t="str">
        <f t="shared" si="532"/>
        <v>짝수</v>
      </c>
      <c r="AA623" s="23" t="str">
        <f t="shared" si="533"/>
        <v>홀수</v>
      </c>
      <c r="AB623" s="23" t="str">
        <f t="shared" si="534"/>
        <v>홀수</v>
      </c>
      <c r="AC623" s="22" t="str">
        <f t="shared" si="535"/>
        <v>3 : 3</v>
      </c>
      <c r="AD623" s="22">
        <f t="shared" si="536"/>
        <v>3</v>
      </c>
      <c r="AE623" s="22">
        <f t="shared" si="537"/>
        <v>3</v>
      </c>
      <c r="AF623" s="22" t="str">
        <f t="shared" si="538"/>
        <v>저수</v>
      </c>
      <c r="AG623" s="22" t="str">
        <f t="shared" si="539"/>
        <v>저수</v>
      </c>
      <c r="AH623" s="22" t="str">
        <f t="shared" si="540"/>
        <v>저수</v>
      </c>
      <c r="AI623" s="22" t="str">
        <f t="shared" si="541"/>
        <v>고수</v>
      </c>
      <c r="AJ623" s="22" t="str">
        <f t="shared" si="542"/>
        <v>고수</v>
      </c>
      <c r="AK623" s="22" t="str">
        <f t="shared" si="543"/>
        <v>고수</v>
      </c>
      <c r="AL623" s="22" t="str">
        <f t="shared" si="544"/>
        <v>3 : 3</v>
      </c>
      <c r="AM623" s="22">
        <f t="shared" si="545"/>
        <v>3</v>
      </c>
      <c r="AN623" s="22">
        <f t="shared" si="546"/>
        <v>3</v>
      </c>
      <c r="AO623" s="22">
        <f t="shared" si="547"/>
        <v>31</v>
      </c>
      <c r="AP623" s="22" t="str">
        <f t="shared" si="548"/>
        <v>O</v>
      </c>
      <c r="AQ623" s="22" t="str">
        <f t="shared" si="549"/>
        <v>X</v>
      </c>
      <c r="AR623" s="22" t="str">
        <f t="shared" si="550"/>
        <v>O</v>
      </c>
      <c r="AS623" s="22" t="str">
        <f t="shared" si="551"/>
        <v>X</v>
      </c>
      <c r="AT623" s="22" t="str">
        <f t="shared" si="552"/>
        <v>X</v>
      </c>
      <c r="AU623" s="22" t="str">
        <f t="shared" si="553"/>
        <v>X</v>
      </c>
      <c r="AV623" s="22" t="str">
        <f t="shared" si="554"/>
        <v>X</v>
      </c>
      <c r="AW623" s="22" t="str">
        <f t="shared" si="555"/>
        <v>X</v>
      </c>
      <c r="AX623" s="22" t="str">
        <f t="shared" si="556"/>
        <v>X</v>
      </c>
      <c r="AY623" s="22" t="str">
        <f t="shared" si="557"/>
        <v>X</v>
      </c>
      <c r="AZ623" s="22" t="str">
        <f t="shared" si="558"/>
        <v>X</v>
      </c>
      <c r="BA623" s="22" t="str">
        <f t="shared" si="559"/>
        <v>X</v>
      </c>
      <c r="BB623" s="22">
        <f t="shared" si="560"/>
        <v>2</v>
      </c>
      <c r="BC623" s="22" t="str">
        <f t="shared" si="571"/>
        <v>1G</v>
      </c>
      <c r="BD623" s="22" t="str">
        <f t="shared" si="572"/>
        <v>2G</v>
      </c>
      <c r="BE623" s="22" t="str">
        <f t="shared" si="573"/>
        <v>2G</v>
      </c>
      <c r="BF623" s="22" t="str">
        <f t="shared" si="574"/>
        <v>3G</v>
      </c>
      <c r="BG623" s="22" t="str">
        <f t="shared" si="575"/>
        <v>3G</v>
      </c>
      <c r="BH623" s="22" t="str">
        <f t="shared" si="576"/>
        <v>3G</v>
      </c>
      <c r="BI623" s="22">
        <f t="shared" si="568"/>
        <v>1</v>
      </c>
      <c r="BJ623" s="22">
        <f t="shared" si="569"/>
        <v>2</v>
      </c>
      <c r="BK623" s="22">
        <f t="shared" si="570"/>
        <v>3</v>
      </c>
      <c r="BL623" s="22" t="str">
        <f t="shared" si="577"/>
        <v>123</v>
      </c>
      <c r="BS623"/>
    </row>
    <row r="624" spans="2:71" ht="17" hidden="1">
      <c r="B624" s="16">
        <v>621</v>
      </c>
      <c r="C624" s="23" t="s">
        <v>975</v>
      </c>
      <c r="N624" s="23">
        <v>1</v>
      </c>
      <c r="O624" s="23">
        <v>2</v>
      </c>
      <c r="P624" s="23">
        <v>6</v>
      </c>
      <c r="Q624" s="23">
        <v>16</v>
      </c>
      <c r="R624" s="23">
        <v>19</v>
      </c>
      <c r="S624" s="23">
        <v>42</v>
      </c>
      <c r="T624" s="23">
        <v>9</v>
      </c>
      <c r="U624" s="23">
        <f t="shared" si="528"/>
        <v>86</v>
      </c>
      <c r="W624" s="22" t="str">
        <f t="shared" si="529"/>
        <v>홀수</v>
      </c>
      <c r="X624" s="22" t="str">
        <f t="shared" si="530"/>
        <v>짝수</v>
      </c>
      <c r="Y624" s="22" t="str">
        <f t="shared" si="531"/>
        <v>짝수</v>
      </c>
      <c r="Z624" s="22" t="str">
        <f t="shared" si="532"/>
        <v>짝수</v>
      </c>
      <c r="AA624" s="23" t="str">
        <f t="shared" si="533"/>
        <v>홀수</v>
      </c>
      <c r="AB624" s="23" t="str">
        <f t="shared" si="534"/>
        <v>짝수</v>
      </c>
      <c r="AC624" s="22" t="str">
        <f t="shared" si="535"/>
        <v>2 : 4</v>
      </c>
      <c r="AD624" s="22">
        <f t="shared" si="536"/>
        <v>2</v>
      </c>
      <c r="AE624" s="22">
        <f t="shared" si="537"/>
        <v>4</v>
      </c>
      <c r="AF624" s="22" t="str">
        <f t="shared" si="538"/>
        <v>저수</v>
      </c>
      <c r="AG624" s="22" t="str">
        <f t="shared" si="539"/>
        <v>저수</v>
      </c>
      <c r="AH624" s="22" t="str">
        <f t="shared" si="540"/>
        <v>저수</v>
      </c>
      <c r="AI624" s="22" t="str">
        <f t="shared" si="541"/>
        <v>저수</v>
      </c>
      <c r="AJ624" s="22" t="str">
        <f t="shared" si="542"/>
        <v>저수</v>
      </c>
      <c r="AK624" s="22" t="str">
        <f t="shared" si="543"/>
        <v>고수</v>
      </c>
      <c r="AL624" s="22" t="str">
        <f t="shared" si="544"/>
        <v>5 : 1</v>
      </c>
      <c r="AM624" s="22">
        <f t="shared" si="545"/>
        <v>5</v>
      </c>
      <c r="AN624" s="22">
        <f t="shared" si="546"/>
        <v>1</v>
      </c>
      <c r="AO624" s="22">
        <f t="shared" si="547"/>
        <v>26</v>
      </c>
      <c r="AP624" s="22" t="str">
        <f t="shared" si="548"/>
        <v>X</v>
      </c>
      <c r="AQ624" s="22" t="str">
        <f t="shared" si="549"/>
        <v>O</v>
      </c>
      <c r="AR624" s="22" t="str">
        <f t="shared" si="550"/>
        <v>X</v>
      </c>
      <c r="AS624" s="22" t="str">
        <f t="shared" si="551"/>
        <v>X</v>
      </c>
      <c r="AT624" s="22" t="str">
        <f t="shared" si="552"/>
        <v>O</v>
      </c>
      <c r="AU624" s="22" t="str">
        <f t="shared" si="553"/>
        <v>X</v>
      </c>
      <c r="AV624" s="22" t="str">
        <f t="shared" si="554"/>
        <v>X</v>
      </c>
      <c r="AW624" s="22" t="str">
        <f t="shared" si="555"/>
        <v>X</v>
      </c>
      <c r="AX624" s="22" t="str">
        <f t="shared" si="556"/>
        <v>X</v>
      </c>
      <c r="AY624" s="22" t="str">
        <f t="shared" si="557"/>
        <v>X</v>
      </c>
      <c r="AZ624" s="22" t="str">
        <f t="shared" si="558"/>
        <v>X</v>
      </c>
      <c r="BA624" s="22" t="str">
        <f t="shared" si="559"/>
        <v>X</v>
      </c>
      <c r="BB624" s="22">
        <f t="shared" si="560"/>
        <v>2</v>
      </c>
      <c r="BC624" s="22" t="str">
        <f t="shared" si="571"/>
        <v>1G</v>
      </c>
      <c r="BD624" s="22" t="str">
        <f t="shared" si="572"/>
        <v>1G</v>
      </c>
      <c r="BE624" s="22" t="str">
        <f t="shared" si="573"/>
        <v>1G</v>
      </c>
      <c r="BF624" s="22" t="str">
        <f t="shared" si="574"/>
        <v>2G</v>
      </c>
      <c r="BG624" s="22" t="str">
        <f t="shared" si="575"/>
        <v>2G</v>
      </c>
      <c r="BH624" s="22" t="str">
        <f t="shared" si="576"/>
        <v>3G</v>
      </c>
      <c r="BI624" s="22">
        <f t="shared" si="568"/>
        <v>3</v>
      </c>
      <c r="BJ624" s="22">
        <f t="shared" si="569"/>
        <v>2</v>
      </c>
      <c r="BK624" s="22">
        <f t="shared" si="570"/>
        <v>1</v>
      </c>
      <c r="BL624" s="22" t="str">
        <f t="shared" si="577"/>
        <v>321</v>
      </c>
      <c r="BS624"/>
    </row>
    <row r="625" spans="2:71" ht="17" hidden="1">
      <c r="B625" s="16">
        <v>622</v>
      </c>
      <c r="C625" s="23" t="s">
        <v>976</v>
      </c>
      <c r="N625" s="23">
        <v>9</v>
      </c>
      <c r="O625" s="23">
        <v>15</v>
      </c>
      <c r="P625" s="23">
        <v>16</v>
      </c>
      <c r="Q625" s="23">
        <v>21</v>
      </c>
      <c r="R625" s="23">
        <v>28</v>
      </c>
      <c r="S625" s="23">
        <v>34</v>
      </c>
      <c r="T625" s="23">
        <v>24</v>
      </c>
      <c r="U625" s="23">
        <f t="shared" si="528"/>
        <v>123</v>
      </c>
      <c r="W625" s="22" t="str">
        <f t="shared" si="529"/>
        <v>홀수</v>
      </c>
      <c r="X625" s="22" t="str">
        <f t="shared" si="530"/>
        <v>홀수</v>
      </c>
      <c r="Y625" s="22" t="str">
        <f t="shared" si="531"/>
        <v>짝수</v>
      </c>
      <c r="Z625" s="22" t="str">
        <f t="shared" si="532"/>
        <v>홀수</v>
      </c>
      <c r="AA625" s="23" t="str">
        <f t="shared" si="533"/>
        <v>짝수</v>
      </c>
      <c r="AB625" s="23" t="str">
        <f t="shared" si="534"/>
        <v>짝수</v>
      </c>
      <c r="AC625" s="22" t="str">
        <f t="shared" si="535"/>
        <v>3 : 3</v>
      </c>
      <c r="AD625" s="22">
        <f t="shared" si="536"/>
        <v>3</v>
      </c>
      <c r="AE625" s="22">
        <f t="shared" si="537"/>
        <v>3</v>
      </c>
      <c r="AF625" s="22" t="str">
        <f t="shared" si="538"/>
        <v>저수</v>
      </c>
      <c r="AG625" s="22" t="str">
        <f t="shared" si="539"/>
        <v>저수</v>
      </c>
      <c r="AH625" s="22" t="str">
        <f t="shared" si="540"/>
        <v>저수</v>
      </c>
      <c r="AI625" s="22" t="str">
        <f t="shared" si="541"/>
        <v>저수</v>
      </c>
      <c r="AJ625" s="22" t="str">
        <f t="shared" si="542"/>
        <v>고수</v>
      </c>
      <c r="AK625" s="22" t="str">
        <f t="shared" si="543"/>
        <v>고수</v>
      </c>
      <c r="AL625" s="22" t="str">
        <f t="shared" si="544"/>
        <v>4 : 2</v>
      </c>
      <c r="AM625" s="22">
        <f t="shared" si="545"/>
        <v>4</v>
      </c>
      <c r="AN625" s="22">
        <f t="shared" si="546"/>
        <v>2</v>
      </c>
      <c r="AO625" s="22">
        <f t="shared" si="547"/>
        <v>33</v>
      </c>
      <c r="AP625" s="22" t="str">
        <f t="shared" si="548"/>
        <v>X</v>
      </c>
      <c r="AQ625" s="22" t="str">
        <f t="shared" si="549"/>
        <v>X</v>
      </c>
      <c r="AR625" s="22" t="str">
        <f t="shared" si="550"/>
        <v>X</v>
      </c>
      <c r="AS625" s="22" t="str">
        <f t="shared" si="551"/>
        <v>X</v>
      </c>
      <c r="AT625" s="22" t="str">
        <f t="shared" si="552"/>
        <v>X</v>
      </c>
      <c r="AU625" s="22" t="str">
        <f t="shared" si="553"/>
        <v>X</v>
      </c>
      <c r="AV625" s="22" t="str">
        <f t="shared" si="554"/>
        <v>X</v>
      </c>
      <c r="AW625" s="22" t="str">
        <f t="shared" si="555"/>
        <v>X</v>
      </c>
      <c r="AX625" s="22" t="str">
        <f t="shared" si="556"/>
        <v>X</v>
      </c>
      <c r="AY625" s="22" t="str">
        <f t="shared" si="557"/>
        <v>X</v>
      </c>
      <c r="AZ625" s="22" t="str">
        <f t="shared" si="558"/>
        <v>X</v>
      </c>
      <c r="BA625" s="22" t="str">
        <f t="shared" si="559"/>
        <v>X</v>
      </c>
      <c r="BB625" s="22">
        <f t="shared" si="560"/>
        <v>0</v>
      </c>
      <c r="BC625" s="22" t="str">
        <f t="shared" ref="BC625" si="578">VLOOKUP(N625,삼그룹,6,FALSE)</f>
        <v>1G</v>
      </c>
      <c r="BD625" s="22" t="str">
        <f t="shared" ref="BD625" si="579">VLOOKUP(O625,삼그룹,6,FALSE)</f>
        <v>1G</v>
      </c>
      <c r="BE625" s="22" t="str">
        <f t="shared" ref="BE625" si="580">VLOOKUP(P625,삼그룹,6,FALSE)</f>
        <v>2G</v>
      </c>
      <c r="BF625" s="22" t="str">
        <f t="shared" ref="BF625" si="581">VLOOKUP(Q625,삼그룹,6,FALSE)</f>
        <v>2G</v>
      </c>
      <c r="BG625" s="22" t="str">
        <f t="shared" ref="BG625" si="582">VLOOKUP(R625,삼그룹,6,FALSE)</f>
        <v>2G</v>
      </c>
      <c r="BH625" s="22" t="str">
        <f t="shared" ref="BH625" si="583">VLOOKUP(S625,삼그룹,6,FALSE)</f>
        <v>3G</v>
      </c>
      <c r="BI625" s="22">
        <f t="shared" si="568"/>
        <v>2</v>
      </c>
      <c r="BJ625" s="22">
        <f t="shared" si="569"/>
        <v>3</v>
      </c>
      <c r="BK625" s="22">
        <f t="shared" si="570"/>
        <v>1</v>
      </c>
      <c r="BL625" s="22" t="str">
        <f t="shared" ref="BL625" si="584">BI625&amp;BJ625&amp;BK625</f>
        <v>231</v>
      </c>
      <c r="BS625"/>
    </row>
    <row r="626" spans="2:71" ht="17" hidden="1">
      <c r="B626" s="16">
        <v>623</v>
      </c>
      <c r="C626" s="23" t="s">
        <v>987</v>
      </c>
      <c r="N626" s="23">
        <v>7</v>
      </c>
      <c r="O626" s="23">
        <v>13</v>
      </c>
      <c r="P626" s="23">
        <v>30</v>
      </c>
      <c r="Q626" s="23">
        <v>39</v>
      </c>
      <c r="R626" s="23">
        <v>41</v>
      </c>
      <c r="S626" s="23">
        <v>45</v>
      </c>
      <c r="T626" s="23">
        <v>25</v>
      </c>
      <c r="U626" s="23">
        <f t="shared" si="528"/>
        <v>175</v>
      </c>
      <c r="W626" s="22" t="str">
        <f t="shared" si="529"/>
        <v>홀수</v>
      </c>
      <c r="X626" s="22" t="str">
        <f t="shared" si="530"/>
        <v>홀수</v>
      </c>
      <c r="Y626" s="22" t="str">
        <f t="shared" si="531"/>
        <v>짝수</v>
      </c>
      <c r="Z626" s="22" t="str">
        <f t="shared" si="532"/>
        <v>홀수</v>
      </c>
      <c r="AA626" s="23" t="str">
        <f t="shared" si="533"/>
        <v>홀수</v>
      </c>
      <c r="AB626" s="23" t="str">
        <f t="shared" si="534"/>
        <v>홀수</v>
      </c>
      <c r="AC626" s="22" t="str">
        <f t="shared" si="535"/>
        <v>5 : 1</v>
      </c>
      <c r="AD626" s="22">
        <f t="shared" si="536"/>
        <v>5</v>
      </c>
      <c r="AE626" s="22">
        <f t="shared" si="537"/>
        <v>1</v>
      </c>
      <c r="AF626" s="22" t="str">
        <f t="shared" si="538"/>
        <v>저수</v>
      </c>
      <c r="AG626" s="22" t="str">
        <f t="shared" si="539"/>
        <v>저수</v>
      </c>
      <c r="AH626" s="22" t="str">
        <f t="shared" si="540"/>
        <v>고수</v>
      </c>
      <c r="AI626" s="22" t="str">
        <f t="shared" si="541"/>
        <v>고수</v>
      </c>
      <c r="AJ626" s="22" t="str">
        <f t="shared" si="542"/>
        <v>고수</v>
      </c>
      <c r="AK626" s="22" t="str">
        <f t="shared" si="543"/>
        <v>고수</v>
      </c>
      <c r="AL626" s="22" t="str">
        <f t="shared" si="544"/>
        <v>2 : 4</v>
      </c>
      <c r="AM626" s="22">
        <f t="shared" si="545"/>
        <v>2</v>
      </c>
      <c r="AN626" s="22">
        <f t="shared" si="546"/>
        <v>4</v>
      </c>
      <c r="AO626" s="22">
        <f t="shared" si="547"/>
        <v>25</v>
      </c>
      <c r="AP626" s="22" t="str">
        <f t="shared" si="548"/>
        <v>O</v>
      </c>
      <c r="AQ626" s="22" t="str">
        <f t="shared" si="549"/>
        <v>O</v>
      </c>
      <c r="AR626" s="22" t="str">
        <f t="shared" si="550"/>
        <v>X</v>
      </c>
      <c r="AS626" s="22" t="str">
        <f t="shared" si="551"/>
        <v>X</v>
      </c>
      <c r="AT626" s="22" t="str">
        <f t="shared" si="552"/>
        <v>X</v>
      </c>
      <c r="AU626" s="22" t="str">
        <f t="shared" si="553"/>
        <v>X</v>
      </c>
      <c r="AV626" s="22" t="str">
        <f t="shared" si="554"/>
        <v>X</v>
      </c>
      <c r="AW626" s="22" t="str">
        <f t="shared" si="555"/>
        <v>X</v>
      </c>
      <c r="AX626" s="22" t="str">
        <f t="shared" si="556"/>
        <v>X</v>
      </c>
      <c r="AY626" s="22" t="str">
        <f t="shared" si="557"/>
        <v>X</v>
      </c>
      <c r="AZ626" s="22" t="str">
        <f t="shared" si="558"/>
        <v>O</v>
      </c>
      <c r="BA626" s="22" t="str">
        <f t="shared" si="559"/>
        <v>X</v>
      </c>
      <c r="BB626" s="22">
        <f t="shared" si="560"/>
        <v>3</v>
      </c>
      <c r="BC626" s="22" t="str">
        <f t="shared" ref="BC626" si="585">VLOOKUP(N626,삼그룹,6,FALSE)</f>
        <v>1G</v>
      </c>
      <c r="BD626" s="22" t="str">
        <f t="shared" ref="BD626" si="586">VLOOKUP(O626,삼그룹,6,FALSE)</f>
        <v>1G</v>
      </c>
      <c r="BE626" s="22" t="str">
        <f t="shared" ref="BE626" si="587">VLOOKUP(P626,삼그룹,6,FALSE)</f>
        <v>2G</v>
      </c>
      <c r="BF626" s="22" t="str">
        <f t="shared" ref="BF626" si="588">VLOOKUP(Q626,삼그룹,6,FALSE)</f>
        <v>3G</v>
      </c>
      <c r="BG626" s="22" t="str">
        <f t="shared" ref="BG626" si="589">VLOOKUP(R626,삼그룹,6,FALSE)</f>
        <v>3G</v>
      </c>
      <c r="BH626" s="22" t="str">
        <f t="shared" ref="BH626" si="590">VLOOKUP(S626,삼그룹,6,FALSE)</f>
        <v>3G</v>
      </c>
      <c r="BI626" s="22">
        <f t="shared" si="568"/>
        <v>2</v>
      </c>
      <c r="BJ626" s="22">
        <f t="shared" si="569"/>
        <v>1</v>
      </c>
      <c r="BK626" s="22">
        <f t="shared" si="570"/>
        <v>3</v>
      </c>
      <c r="BL626" s="22" t="str">
        <f t="shared" ref="BL626" si="591">BI626&amp;BJ626&amp;BK626</f>
        <v>213</v>
      </c>
      <c r="BS626"/>
    </row>
    <row r="627" spans="2:71" ht="17" hidden="1">
      <c r="B627" s="16">
        <v>624</v>
      </c>
      <c r="C627" s="23" t="s">
        <v>988</v>
      </c>
      <c r="N627" s="23">
        <v>1</v>
      </c>
      <c r="O627" s="23">
        <v>7</v>
      </c>
      <c r="P627" s="23">
        <v>19</v>
      </c>
      <c r="Q627" s="23">
        <v>26</v>
      </c>
      <c r="R627" s="23">
        <v>27</v>
      </c>
      <c r="S627" s="23">
        <v>35</v>
      </c>
      <c r="T627" s="23">
        <v>16</v>
      </c>
      <c r="U627" s="23">
        <f t="shared" si="528"/>
        <v>115</v>
      </c>
      <c r="W627" s="22" t="str">
        <f t="shared" si="529"/>
        <v>홀수</v>
      </c>
      <c r="X627" s="22" t="str">
        <f t="shared" si="530"/>
        <v>홀수</v>
      </c>
      <c r="Y627" s="22" t="str">
        <f t="shared" si="531"/>
        <v>홀수</v>
      </c>
      <c r="Z627" s="22" t="str">
        <f t="shared" si="532"/>
        <v>짝수</v>
      </c>
      <c r="AA627" s="23" t="str">
        <f t="shared" si="533"/>
        <v>홀수</v>
      </c>
      <c r="AB627" s="23" t="str">
        <f t="shared" si="534"/>
        <v>홀수</v>
      </c>
      <c r="AC627" s="22" t="str">
        <f t="shared" si="535"/>
        <v>5 : 1</v>
      </c>
      <c r="AD627" s="22">
        <f t="shared" si="536"/>
        <v>5</v>
      </c>
      <c r="AE627" s="22">
        <f t="shared" si="537"/>
        <v>1</v>
      </c>
      <c r="AF627" s="22" t="str">
        <f t="shared" si="538"/>
        <v>저수</v>
      </c>
      <c r="AG627" s="22" t="str">
        <f t="shared" si="539"/>
        <v>저수</v>
      </c>
      <c r="AH627" s="22" t="str">
        <f t="shared" si="540"/>
        <v>저수</v>
      </c>
      <c r="AI627" s="22" t="str">
        <f t="shared" si="541"/>
        <v>고수</v>
      </c>
      <c r="AJ627" s="22" t="str">
        <f t="shared" si="542"/>
        <v>고수</v>
      </c>
      <c r="AK627" s="22" t="str">
        <f t="shared" si="543"/>
        <v>고수</v>
      </c>
      <c r="AL627" s="22" t="str">
        <f t="shared" si="544"/>
        <v>3 : 3</v>
      </c>
      <c r="AM627" s="22">
        <f t="shared" si="545"/>
        <v>3</v>
      </c>
      <c r="AN627" s="22">
        <f t="shared" si="546"/>
        <v>3</v>
      </c>
      <c r="AO627" s="22">
        <f t="shared" si="547"/>
        <v>35</v>
      </c>
      <c r="AP627" s="22" t="str">
        <f t="shared" si="548"/>
        <v>X</v>
      </c>
      <c r="AQ627" s="22" t="str">
        <f t="shared" si="549"/>
        <v>O</v>
      </c>
      <c r="AR627" s="22" t="str">
        <f t="shared" si="550"/>
        <v>O</v>
      </c>
      <c r="AS627" s="22" t="str">
        <f t="shared" si="551"/>
        <v>X</v>
      </c>
      <c r="AT627" s="22" t="str">
        <f t="shared" si="552"/>
        <v>X</v>
      </c>
      <c r="AU627" s="22" t="str">
        <f t="shared" si="553"/>
        <v>X</v>
      </c>
      <c r="AV627" s="22" t="str">
        <f t="shared" si="554"/>
        <v>X</v>
      </c>
      <c r="AW627" s="22" t="str">
        <f t="shared" si="555"/>
        <v>X</v>
      </c>
      <c r="AX627" s="22" t="str">
        <f t="shared" si="556"/>
        <v>X</v>
      </c>
      <c r="AY627" s="22" t="str">
        <f t="shared" si="557"/>
        <v>X</v>
      </c>
      <c r="AZ627" s="22" t="str">
        <f t="shared" si="558"/>
        <v>X</v>
      </c>
      <c r="BA627" s="22" t="str">
        <f t="shared" si="559"/>
        <v>X</v>
      </c>
      <c r="BB627" s="22">
        <f t="shared" si="560"/>
        <v>2</v>
      </c>
      <c r="BC627" s="22" t="str">
        <f t="shared" ref="BC627" si="592">VLOOKUP(N627,삼그룹,6,FALSE)</f>
        <v>1G</v>
      </c>
      <c r="BD627" s="22" t="str">
        <f t="shared" ref="BD627" si="593">VLOOKUP(O627,삼그룹,6,FALSE)</f>
        <v>1G</v>
      </c>
      <c r="BE627" s="22" t="str">
        <f t="shared" ref="BE627" si="594">VLOOKUP(P627,삼그룹,6,FALSE)</f>
        <v>2G</v>
      </c>
      <c r="BF627" s="22" t="str">
        <f t="shared" ref="BF627" si="595">VLOOKUP(Q627,삼그룹,6,FALSE)</f>
        <v>2G</v>
      </c>
      <c r="BG627" s="22" t="str">
        <f t="shared" ref="BG627" si="596">VLOOKUP(R627,삼그룹,6,FALSE)</f>
        <v>2G</v>
      </c>
      <c r="BH627" s="22" t="str">
        <f t="shared" ref="BH627" si="597">VLOOKUP(S627,삼그룹,6,FALSE)</f>
        <v>3G</v>
      </c>
      <c r="BI627" s="22">
        <f t="shared" si="568"/>
        <v>2</v>
      </c>
      <c r="BJ627" s="22">
        <f t="shared" si="569"/>
        <v>3</v>
      </c>
      <c r="BK627" s="22">
        <f t="shared" si="570"/>
        <v>1</v>
      </c>
      <c r="BL627" s="22" t="str">
        <f t="shared" ref="BL627" si="598">BI627&amp;BJ627&amp;BK627</f>
        <v>231</v>
      </c>
      <c r="BS627"/>
    </row>
    <row r="628" spans="2:71" ht="17" hidden="1">
      <c r="B628" s="16">
        <v>625</v>
      </c>
      <c r="C628" s="23" t="s">
        <v>989</v>
      </c>
      <c r="N628" s="23">
        <v>3</v>
      </c>
      <c r="O628" s="23">
        <v>6</v>
      </c>
      <c r="P628" s="23">
        <v>7</v>
      </c>
      <c r="Q628" s="23">
        <v>20</v>
      </c>
      <c r="R628" s="23">
        <v>21</v>
      </c>
      <c r="S628" s="23">
        <v>39</v>
      </c>
      <c r="T628" s="23">
        <v>13</v>
      </c>
      <c r="U628" s="23">
        <f t="shared" si="528"/>
        <v>96</v>
      </c>
      <c r="W628" s="22" t="str">
        <f t="shared" si="529"/>
        <v>홀수</v>
      </c>
      <c r="X628" s="22" t="str">
        <f t="shared" si="530"/>
        <v>짝수</v>
      </c>
      <c r="Y628" s="22" t="str">
        <f t="shared" si="531"/>
        <v>홀수</v>
      </c>
      <c r="Z628" s="22" t="str">
        <f t="shared" si="532"/>
        <v>짝수</v>
      </c>
      <c r="AA628" s="23" t="str">
        <f t="shared" si="533"/>
        <v>홀수</v>
      </c>
      <c r="AB628" s="23" t="str">
        <f t="shared" si="534"/>
        <v>홀수</v>
      </c>
      <c r="AC628" s="22" t="str">
        <f t="shared" si="535"/>
        <v>4 : 2</v>
      </c>
      <c r="AD628" s="22">
        <f t="shared" si="536"/>
        <v>4</v>
      </c>
      <c r="AE628" s="22">
        <f t="shared" si="537"/>
        <v>2</v>
      </c>
      <c r="AF628" s="22" t="str">
        <f t="shared" si="538"/>
        <v>저수</v>
      </c>
      <c r="AG628" s="22" t="str">
        <f t="shared" si="539"/>
        <v>저수</v>
      </c>
      <c r="AH628" s="22" t="str">
        <f t="shared" si="540"/>
        <v>저수</v>
      </c>
      <c r="AI628" s="22" t="str">
        <f t="shared" si="541"/>
        <v>저수</v>
      </c>
      <c r="AJ628" s="22" t="str">
        <f t="shared" si="542"/>
        <v>저수</v>
      </c>
      <c r="AK628" s="22" t="str">
        <f t="shared" si="543"/>
        <v>고수</v>
      </c>
      <c r="AL628" s="22" t="str">
        <f t="shared" si="544"/>
        <v>5 : 1</v>
      </c>
      <c r="AM628" s="22">
        <f t="shared" si="545"/>
        <v>5</v>
      </c>
      <c r="AN628" s="22">
        <f t="shared" si="546"/>
        <v>1</v>
      </c>
      <c r="AO628" s="22">
        <f t="shared" si="547"/>
        <v>26</v>
      </c>
      <c r="AP628" s="22" t="str">
        <f t="shared" si="548"/>
        <v>O</v>
      </c>
      <c r="AQ628" s="22" t="str">
        <f t="shared" si="549"/>
        <v>X</v>
      </c>
      <c r="AR628" s="22" t="str">
        <f t="shared" si="550"/>
        <v>O</v>
      </c>
      <c r="AS628" s="22" t="str">
        <f t="shared" si="551"/>
        <v>X</v>
      </c>
      <c r="AT628" s="22" t="str">
        <f t="shared" si="552"/>
        <v>X</v>
      </c>
      <c r="AU628" s="22" t="str">
        <f t="shared" si="553"/>
        <v>X</v>
      </c>
      <c r="AV628" s="22" t="str">
        <f t="shared" si="554"/>
        <v>X</v>
      </c>
      <c r="AW628" s="22" t="str">
        <f t="shared" si="555"/>
        <v>X</v>
      </c>
      <c r="AX628" s="22" t="str">
        <f t="shared" si="556"/>
        <v>X</v>
      </c>
      <c r="AY628" s="22" t="str">
        <f t="shared" si="557"/>
        <v>X</v>
      </c>
      <c r="AZ628" s="22" t="str">
        <f t="shared" si="558"/>
        <v>X</v>
      </c>
      <c r="BA628" s="22" t="str">
        <f t="shared" si="559"/>
        <v>X</v>
      </c>
      <c r="BB628" s="22">
        <f t="shared" si="560"/>
        <v>2</v>
      </c>
      <c r="BC628" s="22" t="str">
        <f t="shared" ref="BC628" si="599">VLOOKUP(N628,삼그룹,6,FALSE)</f>
        <v>1G</v>
      </c>
      <c r="BD628" s="22" t="str">
        <f t="shared" ref="BD628" si="600">VLOOKUP(O628,삼그룹,6,FALSE)</f>
        <v>1G</v>
      </c>
      <c r="BE628" s="22" t="str">
        <f t="shared" ref="BE628" si="601">VLOOKUP(P628,삼그룹,6,FALSE)</f>
        <v>1G</v>
      </c>
      <c r="BF628" s="22" t="str">
        <f t="shared" ref="BF628" si="602">VLOOKUP(Q628,삼그룹,6,FALSE)</f>
        <v>2G</v>
      </c>
      <c r="BG628" s="22" t="str">
        <f t="shared" ref="BG628" si="603">VLOOKUP(R628,삼그룹,6,FALSE)</f>
        <v>2G</v>
      </c>
      <c r="BH628" s="22" t="str">
        <f t="shared" ref="BH628" si="604">VLOOKUP(S628,삼그룹,6,FALSE)</f>
        <v>3G</v>
      </c>
      <c r="BI628" s="22">
        <f t="shared" si="568"/>
        <v>3</v>
      </c>
      <c r="BJ628" s="22">
        <f t="shared" si="569"/>
        <v>2</v>
      </c>
      <c r="BK628" s="22">
        <f t="shared" si="570"/>
        <v>1</v>
      </c>
      <c r="BL628" s="22" t="str">
        <f t="shared" ref="BL628" si="605">BI628&amp;BJ628&amp;BK628</f>
        <v>321</v>
      </c>
      <c r="BS628"/>
    </row>
    <row r="629" spans="2:71" ht="17" hidden="1">
      <c r="B629" s="16">
        <v>626</v>
      </c>
      <c r="C629" s="23" t="s">
        <v>991</v>
      </c>
      <c r="N629" s="23">
        <v>13</v>
      </c>
      <c r="O629" s="23">
        <v>14</v>
      </c>
      <c r="P629" s="23">
        <v>26</v>
      </c>
      <c r="Q629" s="23">
        <v>33</v>
      </c>
      <c r="R629" s="23">
        <v>40</v>
      </c>
      <c r="S629" s="23">
        <v>43</v>
      </c>
      <c r="T629" s="23">
        <v>15</v>
      </c>
      <c r="U629" s="23">
        <f t="shared" si="528"/>
        <v>169</v>
      </c>
      <c r="W629" s="22" t="str">
        <f t="shared" si="529"/>
        <v>홀수</v>
      </c>
      <c r="X629" s="22" t="str">
        <f t="shared" si="530"/>
        <v>짝수</v>
      </c>
      <c r="Y629" s="22" t="str">
        <f t="shared" si="531"/>
        <v>짝수</v>
      </c>
      <c r="Z629" s="22" t="str">
        <f t="shared" si="532"/>
        <v>홀수</v>
      </c>
      <c r="AA629" s="23" t="str">
        <f t="shared" si="533"/>
        <v>짝수</v>
      </c>
      <c r="AB629" s="23" t="str">
        <f t="shared" si="534"/>
        <v>홀수</v>
      </c>
      <c r="AC629" s="22" t="str">
        <f t="shared" si="535"/>
        <v>3 : 3</v>
      </c>
      <c r="AD629" s="22">
        <f t="shared" si="536"/>
        <v>3</v>
      </c>
      <c r="AE629" s="22">
        <f t="shared" si="537"/>
        <v>3</v>
      </c>
      <c r="AF629" s="22" t="str">
        <f t="shared" si="538"/>
        <v>저수</v>
      </c>
      <c r="AG629" s="22" t="str">
        <f t="shared" si="539"/>
        <v>저수</v>
      </c>
      <c r="AH629" s="22" t="str">
        <f t="shared" si="540"/>
        <v>고수</v>
      </c>
      <c r="AI629" s="22" t="str">
        <f t="shared" si="541"/>
        <v>고수</v>
      </c>
      <c r="AJ629" s="22" t="str">
        <f t="shared" si="542"/>
        <v>고수</v>
      </c>
      <c r="AK629" s="22" t="str">
        <f t="shared" si="543"/>
        <v>고수</v>
      </c>
      <c r="AL629" s="22" t="str">
        <f t="shared" si="544"/>
        <v>2 : 4</v>
      </c>
      <c r="AM629" s="22">
        <f t="shared" si="545"/>
        <v>2</v>
      </c>
      <c r="AN629" s="22">
        <f t="shared" si="546"/>
        <v>4</v>
      </c>
      <c r="AO629" s="22">
        <f t="shared" si="547"/>
        <v>19</v>
      </c>
      <c r="AP629" s="22" t="str">
        <f t="shared" si="548"/>
        <v>O</v>
      </c>
      <c r="AQ629" s="22" t="str">
        <f t="shared" si="549"/>
        <v>X</v>
      </c>
      <c r="AR629" s="22" t="str">
        <f t="shared" si="550"/>
        <v>X</v>
      </c>
      <c r="AS629" s="22" t="str">
        <f t="shared" si="551"/>
        <v>X</v>
      </c>
      <c r="AT629" s="22" t="str">
        <f t="shared" si="552"/>
        <v>X</v>
      </c>
      <c r="AU629" s="22" t="str">
        <f t="shared" si="553"/>
        <v>X</v>
      </c>
      <c r="AV629" s="22" t="str">
        <f t="shared" si="554"/>
        <v>X</v>
      </c>
      <c r="AW629" s="22" t="str">
        <f t="shared" si="555"/>
        <v>X</v>
      </c>
      <c r="AX629" s="22" t="str">
        <f t="shared" si="556"/>
        <v>X</v>
      </c>
      <c r="AY629" s="22" t="str">
        <f t="shared" si="557"/>
        <v>X</v>
      </c>
      <c r="AZ629" s="22" t="str">
        <f t="shared" si="558"/>
        <v>X</v>
      </c>
      <c r="BA629" s="22" t="str">
        <f t="shared" si="559"/>
        <v>O</v>
      </c>
      <c r="BB629" s="22">
        <f t="shared" si="560"/>
        <v>2</v>
      </c>
      <c r="BC629" s="22" t="str">
        <f t="shared" ref="BC629" si="606">VLOOKUP(N629,삼그룹,6,FALSE)</f>
        <v>1G</v>
      </c>
      <c r="BD629" s="22" t="str">
        <f t="shared" ref="BD629" si="607">VLOOKUP(O629,삼그룹,6,FALSE)</f>
        <v>1G</v>
      </c>
      <c r="BE629" s="22" t="str">
        <f t="shared" ref="BE629" si="608">VLOOKUP(P629,삼그룹,6,FALSE)</f>
        <v>2G</v>
      </c>
      <c r="BF629" s="22" t="str">
        <f t="shared" ref="BF629" si="609">VLOOKUP(Q629,삼그룹,6,FALSE)</f>
        <v>3G</v>
      </c>
      <c r="BG629" s="22" t="str">
        <f t="shared" ref="BG629" si="610">VLOOKUP(R629,삼그룹,6,FALSE)</f>
        <v>3G</v>
      </c>
      <c r="BH629" s="22" t="str">
        <f t="shared" ref="BH629" si="611">VLOOKUP(S629,삼그룹,6,FALSE)</f>
        <v>3G</v>
      </c>
      <c r="BI629" s="22">
        <f t="shared" si="568"/>
        <v>2</v>
      </c>
      <c r="BJ629" s="22">
        <f t="shared" si="569"/>
        <v>1</v>
      </c>
      <c r="BK629" s="22">
        <f t="shared" si="570"/>
        <v>3</v>
      </c>
      <c r="BL629" s="22" t="str">
        <f t="shared" ref="BL629" si="612">BI629&amp;BJ629&amp;BK629</f>
        <v>213</v>
      </c>
      <c r="BS629"/>
    </row>
    <row r="630" spans="2:71" ht="17" hidden="1">
      <c r="B630" s="16">
        <v>627</v>
      </c>
      <c r="C630" s="23" t="s">
        <v>992</v>
      </c>
      <c r="N630" s="23">
        <v>2</v>
      </c>
      <c r="O630" s="23">
        <v>9</v>
      </c>
      <c r="P630" s="23">
        <v>22</v>
      </c>
      <c r="Q630" s="23">
        <v>25</v>
      </c>
      <c r="R630" s="23">
        <v>31</v>
      </c>
      <c r="S630" s="23">
        <v>45</v>
      </c>
      <c r="T630" s="23">
        <v>12</v>
      </c>
      <c r="U630" s="23">
        <f t="shared" si="528"/>
        <v>134</v>
      </c>
      <c r="W630" s="22" t="str">
        <f t="shared" si="529"/>
        <v>짝수</v>
      </c>
      <c r="X630" s="22" t="str">
        <f t="shared" si="530"/>
        <v>홀수</v>
      </c>
      <c r="Y630" s="22" t="str">
        <f t="shared" si="531"/>
        <v>짝수</v>
      </c>
      <c r="Z630" s="22" t="str">
        <f t="shared" si="532"/>
        <v>홀수</v>
      </c>
      <c r="AA630" s="23" t="str">
        <f t="shared" si="533"/>
        <v>홀수</v>
      </c>
      <c r="AB630" s="23" t="str">
        <f t="shared" si="534"/>
        <v>홀수</v>
      </c>
      <c r="AC630" s="22" t="str">
        <f t="shared" si="535"/>
        <v>4 : 2</v>
      </c>
      <c r="AD630" s="22">
        <f t="shared" si="536"/>
        <v>4</v>
      </c>
      <c r="AE630" s="22">
        <f t="shared" si="537"/>
        <v>2</v>
      </c>
      <c r="AF630" s="22" t="str">
        <f t="shared" si="538"/>
        <v>저수</v>
      </c>
      <c r="AG630" s="22" t="str">
        <f t="shared" si="539"/>
        <v>저수</v>
      </c>
      <c r="AH630" s="22" t="str">
        <f t="shared" si="540"/>
        <v>저수</v>
      </c>
      <c r="AI630" s="22" t="str">
        <f t="shared" si="541"/>
        <v>고수</v>
      </c>
      <c r="AJ630" s="22" t="str">
        <f t="shared" si="542"/>
        <v>고수</v>
      </c>
      <c r="AK630" s="22" t="str">
        <f t="shared" si="543"/>
        <v>고수</v>
      </c>
      <c r="AL630" s="22" t="str">
        <f t="shared" si="544"/>
        <v>3 : 3</v>
      </c>
      <c r="AM630" s="22">
        <f t="shared" si="545"/>
        <v>3</v>
      </c>
      <c r="AN630" s="22">
        <f t="shared" si="546"/>
        <v>3</v>
      </c>
      <c r="AO630" s="22">
        <f t="shared" si="547"/>
        <v>24</v>
      </c>
      <c r="AP630" s="22" t="str">
        <f t="shared" si="548"/>
        <v>O</v>
      </c>
      <c r="AQ630" s="22" t="str">
        <f t="shared" si="549"/>
        <v>X</v>
      </c>
      <c r="AR630" s="22" t="str">
        <f t="shared" si="550"/>
        <v>X</v>
      </c>
      <c r="AS630" s="22" t="str">
        <f t="shared" si="551"/>
        <v>X</v>
      </c>
      <c r="AT630" s="22" t="str">
        <f t="shared" si="552"/>
        <v>X</v>
      </c>
      <c r="AU630" s="22" t="str">
        <f t="shared" si="553"/>
        <v>X</v>
      </c>
      <c r="AV630" s="22" t="str">
        <f t="shared" si="554"/>
        <v>X</v>
      </c>
      <c r="AW630" s="22" t="str">
        <f t="shared" si="555"/>
        <v>X</v>
      </c>
      <c r="AX630" s="22" t="str">
        <f t="shared" si="556"/>
        <v>X</v>
      </c>
      <c r="AY630" s="22" t="str">
        <f t="shared" si="557"/>
        <v>X</v>
      </c>
      <c r="AZ630" s="22" t="str">
        <f t="shared" si="558"/>
        <v>O</v>
      </c>
      <c r="BA630" s="22" t="str">
        <f t="shared" si="559"/>
        <v>X</v>
      </c>
      <c r="BB630" s="22">
        <f t="shared" si="560"/>
        <v>2</v>
      </c>
      <c r="BC630" s="22" t="str">
        <f t="shared" ref="BC630" si="613">VLOOKUP(N630,삼그룹,6,FALSE)</f>
        <v>1G</v>
      </c>
      <c r="BD630" s="22" t="str">
        <f t="shared" ref="BD630" si="614">VLOOKUP(O630,삼그룹,6,FALSE)</f>
        <v>1G</v>
      </c>
      <c r="BE630" s="22" t="str">
        <f t="shared" ref="BE630" si="615">VLOOKUP(P630,삼그룹,6,FALSE)</f>
        <v>2G</v>
      </c>
      <c r="BF630" s="22" t="str">
        <f t="shared" ref="BF630" si="616">VLOOKUP(Q630,삼그룹,6,FALSE)</f>
        <v>2G</v>
      </c>
      <c r="BG630" s="22" t="str">
        <f t="shared" ref="BG630" si="617">VLOOKUP(R630,삼그룹,6,FALSE)</f>
        <v>3G</v>
      </c>
      <c r="BH630" s="22" t="str">
        <f t="shared" ref="BH630" si="618">VLOOKUP(S630,삼그룹,6,FALSE)</f>
        <v>3G</v>
      </c>
      <c r="BI630" s="22">
        <f t="shared" si="568"/>
        <v>2</v>
      </c>
      <c r="BJ630" s="22">
        <f t="shared" si="569"/>
        <v>2</v>
      </c>
      <c r="BK630" s="22">
        <f t="shared" si="570"/>
        <v>2</v>
      </c>
      <c r="BL630" s="22" t="str">
        <f t="shared" ref="BL630" si="619">BI630&amp;BJ630&amp;BK630</f>
        <v>222</v>
      </c>
      <c r="BS630"/>
    </row>
    <row r="631" spans="2:71" ht="17" hidden="1">
      <c r="B631" s="16">
        <v>628</v>
      </c>
      <c r="C631" s="23" t="s">
        <v>993</v>
      </c>
      <c r="N631" s="23">
        <v>1</v>
      </c>
      <c r="O631" s="23">
        <v>7</v>
      </c>
      <c r="P631" s="23">
        <v>12</v>
      </c>
      <c r="Q631" s="23">
        <v>15</v>
      </c>
      <c r="R631" s="23">
        <v>23</v>
      </c>
      <c r="S631" s="23">
        <v>42</v>
      </c>
      <c r="T631" s="23">
        <v>11</v>
      </c>
      <c r="U631" s="23">
        <f t="shared" si="528"/>
        <v>100</v>
      </c>
      <c r="W631" s="22" t="str">
        <f t="shared" si="529"/>
        <v>홀수</v>
      </c>
      <c r="X631" s="22" t="str">
        <f t="shared" si="530"/>
        <v>홀수</v>
      </c>
      <c r="Y631" s="22" t="str">
        <f t="shared" si="531"/>
        <v>짝수</v>
      </c>
      <c r="Z631" s="22" t="str">
        <f t="shared" si="532"/>
        <v>홀수</v>
      </c>
      <c r="AA631" s="23" t="str">
        <f t="shared" si="533"/>
        <v>홀수</v>
      </c>
      <c r="AB631" s="23" t="str">
        <f t="shared" si="534"/>
        <v>짝수</v>
      </c>
      <c r="AC631" s="22" t="str">
        <f t="shared" si="535"/>
        <v>4 : 2</v>
      </c>
      <c r="AD631" s="22">
        <f t="shared" si="536"/>
        <v>4</v>
      </c>
      <c r="AE631" s="22">
        <f t="shared" si="537"/>
        <v>2</v>
      </c>
      <c r="AF631" s="22" t="str">
        <f t="shared" si="538"/>
        <v>저수</v>
      </c>
      <c r="AG631" s="22" t="str">
        <f t="shared" si="539"/>
        <v>저수</v>
      </c>
      <c r="AH631" s="22" t="str">
        <f t="shared" si="540"/>
        <v>저수</v>
      </c>
      <c r="AI631" s="22" t="str">
        <f t="shared" si="541"/>
        <v>저수</v>
      </c>
      <c r="AJ631" s="22" t="str">
        <f t="shared" si="542"/>
        <v>고수</v>
      </c>
      <c r="AK631" s="22" t="str">
        <f t="shared" si="543"/>
        <v>고수</v>
      </c>
      <c r="AL631" s="22" t="str">
        <f t="shared" si="544"/>
        <v>4 : 2</v>
      </c>
      <c r="AM631" s="22">
        <f t="shared" si="545"/>
        <v>4</v>
      </c>
      <c r="AN631" s="22">
        <f t="shared" si="546"/>
        <v>2</v>
      </c>
      <c r="AO631" s="22">
        <f t="shared" si="547"/>
        <v>20</v>
      </c>
      <c r="AP631" s="22" t="str">
        <f t="shared" si="548"/>
        <v>X</v>
      </c>
      <c r="AQ631" s="22" t="str">
        <f t="shared" si="549"/>
        <v>O</v>
      </c>
      <c r="AR631" s="22" t="str">
        <f t="shared" si="550"/>
        <v>X</v>
      </c>
      <c r="AS631" s="22" t="str">
        <f t="shared" si="551"/>
        <v>X</v>
      </c>
      <c r="AT631" s="22" t="str">
        <f t="shared" si="552"/>
        <v>X</v>
      </c>
      <c r="AU631" s="22" t="str">
        <f t="shared" si="553"/>
        <v>X</v>
      </c>
      <c r="AV631" s="22" t="str">
        <f t="shared" si="554"/>
        <v>X</v>
      </c>
      <c r="AW631" s="22" t="str">
        <f t="shared" si="555"/>
        <v>X</v>
      </c>
      <c r="AX631" s="22" t="str">
        <f t="shared" si="556"/>
        <v>X</v>
      </c>
      <c r="AY631" s="22" t="str">
        <f t="shared" si="557"/>
        <v>X</v>
      </c>
      <c r="AZ631" s="22" t="str">
        <f t="shared" si="558"/>
        <v>O</v>
      </c>
      <c r="BA631" s="22" t="str">
        <f t="shared" si="559"/>
        <v>X</v>
      </c>
      <c r="BB631" s="22">
        <f t="shared" si="560"/>
        <v>2</v>
      </c>
      <c r="BC631" s="22" t="str">
        <f t="shared" ref="BC631" si="620">VLOOKUP(N631,삼그룹,6,FALSE)</f>
        <v>1G</v>
      </c>
      <c r="BD631" s="22" t="str">
        <f t="shared" ref="BD631" si="621">VLOOKUP(O631,삼그룹,6,FALSE)</f>
        <v>1G</v>
      </c>
      <c r="BE631" s="22" t="str">
        <f t="shared" ref="BE631" si="622">VLOOKUP(P631,삼그룹,6,FALSE)</f>
        <v>1G</v>
      </c>
      <c r="BF631" s="22" t="str">
        <f t="shared" ref="BF631" si="623">VLOOKUP(Q631,삼그룹,6,FALSE)</f>
        <v>1G</v>
      </c>
      <c r="BG631" s="22" t="str">
        <f t="shared" ref="BG631" si="624">VLOOKUP(R631,삼그룹,6,FALSE)</f>
        <v>2G</v>
      </c>
      <c r="BH631" s="22" t="str">
        <f t="shared" ref="BH631" si="625">VLOOKUP(S631,삼그룹,6,FALSE)</f>
        <v>3G</v>
      </c>
      <c r="BI631" s="22">
        <f t="shared" si="568"/>
        <v>4</v>
      </c>
      <c r="BJ631" s="22">
        <f t="shared" si="569"/>
        <v>1</v>
      </c>
      <c r="BK631" s="22">
        <f t="shared" si="570"/>
        <v>1</v>
      </c>
      <c r="BL631" s="22" t="str">
        <f t="shared" ref="BL631" si="626">BI631&amp;BJ631&amp;BK631</f>
        <v>411</v>
      </c>
      <c r="BS631"/>
    </row>
    <row r="632" spans="2:71" ht="17" hidden="1">
      <c r="B632" s="16">
        <v>629</v>
      </c>
      <c r="C632" s="23" t="s">
        <v>994</v>
      </c>
      <c r="N632" s="23">
        <v>19</v>
      </c>
      <c r="O632" s="23">
        <v>28</v>
      </c>
      <c r="P632" s="23">
        <v>31</v>
      </c>
      <c r="Q632" s="23">
        <v>38</v>
      </c>
      <c r="R632" s="23">
        <v>43</v>
      </c>
      <c r="S632" s="23">
        <v>44</v>
      </c>
      <c r="T632" s="23">
        <v>1</v>
      </c>
      <c r="U632" s="23">
        <f t="shared" si="528"/>
        <v>203</v>
      </c>
      <c r="W632" s="22" t="str">
        <f t="shared" si="529"/>
        <v>홀수</v>
      </c>
      <c r="X632" s="22" t="str">
        <f t="shared" si="530"/>
        <v>짝수</v>
      </c>
      <c r="Y632" s="22" t="str">
        <f t="shared" si="531"/>
        <v>홀수</v>
      </c>
      <c r="Z632" s="22" t="str">
        <f t="shared" si="532"/>
        <v>짝수</v>
      </c>
      <c r="AA632" s="23" t="str">
        <f t="shared" si="533"/>
        <v>홀수</v>
      </c>
      <c r="AB632" s="23" t="str">
        <f t="shared" si="534"/>
        <v>짝수</v>
      </c>
      <c r="AC632" s="22" t="str">
        <f t="shared" si="535"/>
        <v>3 : 3</v>
      </c>
      <c r="AD632" s="22">
        <f t="shared" si="536"/>
        <v>3</v>
      </c>
      <c r="AE632" s="22">
        <f t="shared" si="537"/>
        <v>3</v>
      </c>
      <c r="AF632" s="22" t="str">
        <f t="shared" si="538"/>
        <v>저수</v>
      </c>
      <c r="AG632" s="22" t="str">
        <f t="shared" si="539"/>
        <v>고수</v>
      </c>
      <c r="AH632" s="22" t="str">
        <f t="shared" si="540"/>
        <v>고수</v>
      </c>
      <c r="AI632" s="22" t="str">
        <f t="shared" si="541"/>
        <v>고수</v>
      </c>
      <c r="AJ632" s="22" t="str">
        <f t="shared" si="542"/>
        <v>고수</v>
      </c>
      <c r="AK632" s="22" t="str">
        <f t="shared" si="543"/>
        <v>고수</v>
      </c>
      <c r="AL632" s="22" t="str">
        <f t="shared" si="544"/>
        <v>1 : 5</v>
      </c>
      <c r="AM632" s="22">
        <f t="shared" si="545"/>
        <v>1</v>
      </c>
      <c r="AN632" s="22">
        <f t="shared" si="546"/>
        <v>5</v>
      </c>
      <c r="AO632" s="22">
        <f t="shared" si="547"/>
        <v>33</v>
      </c>
      <c r="AP632" s="22" t="str">
        <f t="shared" si="548"/>
        <v>O</v>
      </c>
      <c r="AQ632" s="22" t="str">
        <f t="shared" si="549"/>
        <v>X</v>
      </c>
      <c r="AR632" s="22" t="str">
        <f t="shared" si="550"/>
        <v>X</v>
      </c>
      <c r="AS632" s="22" t="str">
        <f t="shared" si="551"/>
        <v>X</v>
      </c>
      <c r="AT632" s="22" t="str">
        <f t="shared" si="552"/>
        <v>X</v>
      </c>
      <c r="AU632" s="22" t="str">
        <f t="shared" si="553"/>
        <v>X</v>
      </c>
      <c r="AV632" s="22" t="str">
        <f t="shared" si="554"/>
        <v>X</v>
      </c>
      <c r="AW632" s="22" t="str">
        <f t="shared" si="555"/>
        <v>X</v>
      </c>
      <c r="AX632" s="22" t="str">
        <f t="shared" si="556"/>
        <v>O</v>
      </c>
      <c r="AY632" s="22" t="str">
        <f t="shared" si="557"/>
        <v>X</v>
      </c>
      <c r="AZ632" s="22" t="str">
        <f t="shared" si="558"/>
        <v>O</v>
      </c>
      <c r="BA632" s="22" t="str">
        <f t="shared" si="559"/>
        <v>X</v>
      </c>
      <c r="BB632" s="22">
        <f t="shared" si="560"/>
        <v>3</v>
      </c>
      <c r="BC632" s="22" t="str">
        <f t="shared" ref="BC632" si="627">VLOOKUP(N632,삼그룹,6,FALSE)</f>
        <v>2G</v>
      </c>
      <c r="BD632" s="22" t="str">
        <f t="shared" ref="BD632" si="628">VLOOKUP(O632,삼그룹,6,FALSE)</f>
        <v>2G</v>
      </c>
      <c r="BE632" s="22" t="str">
        <f t="shared" ref="BE632" si="629">VLOOKUP(P632,삼그룹,6,FALSE)</f>
        <v>3G</v>
      </c>
      <c r="BF632" s="22" t="str">
        <f t="shared" ref="BF632" si="630">VLOOKUP(Q632,삼그룹,6,FALSE)</f>
        <v>3G</v>
      </c>
      <c r="BG632" s="22" t="str">
        <f t="shared" ref="BG632" si="631">VLOOKUP(R632,삼그룹,6,FALSE)</f>
        <v>3G</v>
      </c>
      <c r="BH632" s="22" t="str">
        <f t="shared" ref="BH632" si="632">VLOOKUP(S632,삼그룹,6,FALSE)</f>
        <v>3G</v>
      </c>
      <c r="BI632" s="22">
        <f t="shared" si="568"/>
        <v>0</v>
      </c>
      <c r="BJ632" s="22">
        <f t="shared" si="569"/>
        <v>2</v>
      </c>
      <c r="BK632" s="22">
        <f t="shared" si="570"/>
        <v>4</v>
      </c>
      <c r="BL632" s="22" t="str">
        <f t="shared" ref="BL632" si="633">BI632&amp;BJ632&amp;BK632</f>
        <v>024</v>
      </c>
      <c r="BS632"/>
    </row>
    <row r="633" spans="2:71" ht="17" hidden="1">
      <c r="B633" s="16">
        <v>630</v>
      </c>
      <c r="C633" s="23" t="s">
        <v>995</v>
      </c>
      <c r="N633" s="23">
        <v>8</v>
      </c>
      <c r="O633" s="23">
        <v>17</v>
      </c>
      <c r="P633" s="23">
        <v>21</v>
      </c>
      <c r="Q633" s="23">
        <v>24</v>
      </c>
      <c r="R633" s="23">
        <v>27</v>
      </c>
      <c r="S633" s="23">
        <v>31</v>
      </c>
      <c r="T633" s="23">
        <v>15</v>
      </c>
      <c r="U633" s="23">
        <f t="shared" si="528"/>
        <v>128</v>
      </c>
      <c r="W633" s="22" t="str">
        <f t="shared" si="529"/>
        <v>짝수</v>
      </c>
      <c r="X633" s="22" t="str">
        <f t="shared" si="530"/>
        <v>홀수</v>
      </c>
      <c r="Y633" s="22" t="str">
        <f t="shared" si="531"/>
        <v>홀수</v>
      </c>
      <c r="Z633" s="22" t="str">
        <f t="shared" si="532"/>
        <v>짝수</v>
      </c>
      <c r="AA633" s="23" t="str">
        <f t="shared" si="533"/>
        <v>홀수</v>
      </c>
      <c r="AB633" s="23" t="str">
        <f t="shared" si="534"/>
        <v>홀수</v>
      </c>
      <c r="AC633" s="22" t="str">
        <f t="shared" si="535"/>
        <v>4 : 2</v>
      </c>
      <c r="AD633" s="22">
        <f t="shared" si="536"/>
        <v>4</v>
      </c>
      <c r="AE633" s="22">
        <f t="shared" si="537"/>
        <v>2</v>
      </c>
      <c r="AF633" s="22" t="str">
        <f t="shared" si="538"/>
        <v>저수</v>
      </c>
      <c r="AG633" s="22" t="str">
        <f t="shared" si="539"/>
        <v>저수</v>
      </c>
      <c r="AH633" s="22" t="str">
        <f t="shared" si="540"/>
        <v>저수</v>
      </c>
      <c r="AI633" s="22" t="str">
        <f t="shared" si="541"/>
        <v>고수</v>
      </c>
      <c r="AJ633" s="22" t="str">
        <f t="shared" si="542"/>
        <v>고수</v>
      </c>
      <c r="AK633" s="22" t="str">
        <f t="shared" si="543"/>
        <v>고수</v>
      </c>
      <c r="AL633" s="22" t="str">
        <f t="shared" si="544"/>
        <v>3 : 3</v>
      </c>
      <c r="AM633" s="22">
        <f t="shared" si="545"/>
        <v>3</v>
      </c>
      <c r="AN633" s="22">
        <f t="shared" si="546"/>
        <v>3</v>
      </c>
      <c r="AO633" s="22">
        <f t="shared" si="547"/>
        <v>28</v>
      </c>
      <c r="AP633" s="22" t="str">
        <f t="shared" si="548"/>
        <v>X</v>
      </c>
      <c r="AQ633" s="22" t="str">
        <f t="shared" si="549"/>
        <v>O</v>
      </c>
      <c r="AR633" s="22" t="str">
        <f t="shared" si="550"/>
        <v>X</v>
      </c>
      <c r="AS633" s="22" t="str">
        <f t="shared" si="551"/>
        <v>X</v>
      </c>
      <c r="AT633" s="22" t="str">
        <f t="shared" si="552"/>
        <v>X</v>
      </c>
      <c r="AU633" s="22" t="str">
        <f t="shared" si="553"/>
        <v>X</v>
      </c>
      <c r="AV633" s="22" t="str">
        <f t="shared" si="554"/>
        <v>X</v>
      </c>
      <c r="AW633" s="22" t="str">
        <f t="shared" si="555"/>
        <v>X</v>
      </c>
      <c r="AX633" s="22" t="str">
        <f t="shared" si="556"/>
        <v>X</v>
      </c>
      <c r="AY633" s="22" t="str">
        <f t="shared" si="557"/>
        <v>X</v>
      </c>
      <c r="AZ633" s="22" t="str">
        <f t="shared" si="558"/>
        <v>X</v>
      </c>
      <c r="BA633" s="22" t="str">
        <f t="shared" si="559"/>
        <v>O</v>
      </c>
      <c r="BB633" s="22">
        <f t="shared" si="560"/>
        <v>2</v>
      </c>
      <c r="BC633" s="22" t="str">
        <f t="shared" ref="BC633" si="634">VLOOKUP(N633,삼그룹,6,FALSE)</f>
        <v>1G</v>
      </c>
      <c r="BD633" s="22" t="str">
        <f t="shared" ref="BD633" si="635">VLOOKUP(O633,삼그룹,6,FALSE)</f>
        <v>2G</v>
      </c>
      <c r="BE633" s="22" t="str">
        <f t="shared" ref="BE633" si="636">VLOOKUP(P633,삼그룹,6,FALSE)</f>
        <v>2G</v>
      </c>
      <c r="BF633" s="22" t="str">
        <f t="shared" ref="BF633" si="637">VLOOKUP(Q633,삼그룹,6,FALSE)</f>
        <v>2G</v>
      </c>
      <c r="BG633" s="22" t="str">
        <f t="shared" ref="BG633" si="638">VLOOKUP(R633,삼그룹,6,FALSE)</f>
        <v>2G</v>
      </c>
      <c r="BH633" s="22" t="str">
        <f t="shared" ref="BH633" si="639">VLOOKUP(S633,삼그룹,6,FALSE)</f>
        <v>3G</v>
      </c>
      <c r="BI633" s="22">
        <f t="shared" si="568"/>
        <v>1</v>
      </c>
      <c r="BJ633" s="22">
        <f t="shared" si="569"/>
        <v>4</v>
      </c>
      <c r="BK633" s="22">
        <f t="shared" si="570"/>
        <v>1</v>
      </c>
      <c r="BL633" s="22" t="str">
        <f t="shared" ref="BL633" si="640">BI633&amp;BJ633&amp;BK633</f>
        <v>141</v>
      </c>
      <c r="BS633"/>
    </row>
    <row r="634" spans="2:71" ht="17" hidden="1">
      <c r="B634" s="16">
        <v>631</v>
      </c>
      <c r="C634" s="23" t="s">
        <v>996</v>
      </c>
      <c r="N634" s="23">
        <v>1</v>
      </c>
      <c r="O634" s="23">
        <v>2</v>
      </c>
      <c r="P634" s="23">
        <v>4</v>
      </c>
      <c r="Q634" s="23">
        <v>23</v>
      </c>
      <c r="R634" s="23">
        <v>31</v>
      </c>
      <c r="S634" s="23">
        <v>34</v>
      </c>
      <c r="T634" s="23">
        <v>8</v>
      </c>
      <c r="U634" s="23">
        <f t="shared" si="528"/>
        <v>95</v>
      </c>
      <c r="W634" s="22" t="str">
        <f t="shared" si="529"/>
        <v>홀수</v>
      </c>
      <c r="X634" s="22" t="str">
        <f t="shared" si="530"/>
        <v>짝수</v>
      </c>
      <c r="Y634" s="22" t="str">
        <f t="shared" si="531"/>
        <v>짝수</v>
      </c>
      <c r="Z634" s="22" t="str">
        <f t="shared" si="532"/>
        <v>홀수</v>
      </c>
      <c r="AA634" s="23" t="str">
        <f t="shared" si="533"/>
        <v>홀수</v>
      </c>
      <c r="AB634" s="23" t="str">
        <f t="shared" si="534"/>
        <v>짝수</v>
      </c>
      <c r="AC634" s="22" t="str">
        <f t="shared" si="535"/>
        <v>3 : 3</v>
      </c>
      <c r="AD634" s="22">
        <f t="shared" si="536"/>
        <v>3</v>
      </c>
      <c r="AE634" s="22">
        <f t="shared" si="537"/>
        <v>3</v>
      </c>
      <c r="AF634" s="22" t="str">
        <f t="shared" si="538"/>
        <v>저수</v>
      </c>
      <c r="AG634" s="22" t="str">
        <f t="shared" si="539"/>
        <v>저수</v>
      </c>
      <c r="AH634" s="22" t="str">
        <f t="shared" si="540"/>
        <v>저수</v>
      </c>
      <c r="AI634" s="22" t="str">
        <f t="shared" si="541"/>
        <v>고수</v>
      </c>
      <c r="AJ634" s="22" t="str">
        <f t="shared" si="542"/>
        <v>고수</v>
      </c>
      <c r="AK634" s="22" t="str">
        <f t="shared" si="543"/>
        <v>고수</v>
      </c>
      <c r="AL634" s="22" t="str">
        <f t="shared" si="544"/>
        <v>3 : 3</v>
      </c>
      <c r="AM634" s="22">
        <f t="shared" si="545"/>
        <v>3</v>
      </c>
      <c r="AN634" s="22">
        <f t="shared" si="546"/>
        <v>3</v>
      </c>
      <c r="AO634" s="22">
        <f t="shared" si="547"/>
        <v>15</v>
      </c>
      <c r="AP634" s="22" t="str">
        <f t="shared" si="548"/>
        <v>X</v>
      </c>
      <c r="AQ634" s="22" t="str">
        <f t="shared" si="549"/>
        <v>O</v>
      </c>
      <c r="AR634" s="22" t="str">
        <f t="shared" si="550"/>
        <v>X</v>
      </c>
      <c r="AS634" s="22" t="str">
        <f t="shared" si="551"/>
        <v>X</v>
      </c>
      <c r="AT634" s="22" t="str">
        <f t="shared" si="552"/>
        <v>X</v>
      </c>
      <c r="AU634" s="22" t="str">
        <f t="shared" si="553"/>
        <v>X</v>
      </c>
      <c r="AV634" s="22" t="str">
        <f t="shared" si="554"/>
        <v>X</v>
      </c>
      <c r="AW634" s="22" t="str">
        <f t="shared" si="555"/>
        <v>X</v>
      </c>
      <c r="AX634" s="22" t="str">
        <f t="shared" si="556"/>
        <v>X</v>
      </c>
      <c r="AY634" s="22" t="str">
        <f t="shared" si="557"/>
        <v>O</v>
      </c>
      <c r="AZ634" s="22" t="str">
        <f t="shared" si="558"/>
        <v>O</v>
      </c>
      <c r="BA634" s="22" t="str">
        <f t="shared" si="559"/>
        <v>X</v>
      </c>
      <c r="BB634" s="22">
        <f t="shared" si="560"/>
        <v>3</v>
      </c>
      <c r="BC634" s="22" t="str">
        <f t="shared" ref="BC634" si="641">VLOOKUP(N634,삼그룹,6,FALSE)</f>
        <v>1G</v>
      </c>
      <c r="BD634" s="22" t="str">
        <f t="shared" ref="BD634" si="642">VLOOKUP(O634,삼그룹,6,FALSE)</f>
        <v>1G</v>
      </c>
      <c r="BE634" s="22" t="str">
        <f t="shared" ref="BE634" si="643">VLOOKUP(P634,삼그룹,6,FALSE)</f>
        <v>1G</v>
      </c>
      <c r="BF634" s="22" t="str">
        <f t="shared" ref="BF634" si="644">VLOOKUP(Q634,삼그룹,6,FALSE)</f>
        <v>2G</v>
      </c>
      <c r="BG634" s="22" t="str">
        <f t="shared" ref="BG634" si="645">VLOOKUP(R634,삼그룹,6,FALSE)</f>
        <v>3G</v>
      </c>
      <c r="BH634" s="22" t="str">
        <f t="shared" ref="BH634" si="646">VLOOKUP(S634,삼그룹,6,FALSE)</f>
        <v>3G</v>
      </c>
      <c r="BI634" s="22">
        <f t="shared" si="568"/>
        <v>3</v>
      </c>
      <c r="BJ634" s="22">
        <f t="shared" si="569"/>
        <v>1</v>
      </c>
      <c r="BK634" s="22">
        <f t="shared" si="570"/>
        <v>2</v>
      </c>
      <c r="BL634" s="22" t="str">
        <f t="shared" ref="BL634" si="647">BI634&amp;BJ634&amp;BK634</f>
        <v>312</v>
      </c>
      <c r="BS634"/>
    </row>
    <row r="635" spans="2:71" ht="17" hidden="1">
      <c r="B635" s="16">
        <v>632</v>
      </c>
      <c r="C635" s="23" t="s">
        <v>997</v>
      </c>
      <c r="N635" s="23">
        <v>15</v>
      </c>
      <c r="O635" s="23">
        <v>18</v>
      </c>
      <c r="P635" s="23">
        <v>21</v>
      </c>
      <c r="Q635" s="23">
        <v>32</v>
      </c>
      <c r="R635" s="23">
        <v>35</v>
      </c>
      <c r="S635" s="23">
        <v>44</v>
      </c>
      <c r="T635" s="23">
        <v>6</v>
      </c>
      <c r="U635" s="23">
        <f t="shared" si="528"/>
        <v>165</v>
      </c>
      <c r="W635" s="22" t="str">
        <f t="shared" si="529"/>
        <v>홀수</v>
      </c>
      <c r="X635" s="22" t="str">
        <f t="shared" si="530"/>
        <v>짝수</v>
      </c>
      <c r="Y635" s="22" t="str">
        <f t="shared" si="531"/>
        <v>홀수</v>
      </c>
      <c r="Z635" s="22" t="str">
        <f t="shared" si="532"/>
        <v>짝수</v>
      </c>
      <c r="AA635" s="23" t="str">
        <f t="shared" si="533"/>
        <v>홀수</v>
      </c>
      <c r="AB635" s="23" t="str">
        <f t="shared" si="534"/>
        <v>짝수</v>
      </c>
      <c r="AC635" s="22" t="str">
        <f t="shared" si="535"/>
        <v>3 : 3</v>
      </c>
      <c r="AD635" s="22">
        <f t="shared" si="536"/>
        <v>3</v>
      </c>
      <c r="AE635" s="22">
        <f t="shared" si="537"/>
        <v>3</v>
      </c>
      <c r="AF635" s="22" t="str">
        <f t="shared" si="538"/>
        <v>저수</v>
      </c>
      <c r="AG635" s="22" t="str">
        <f t="shared" si="539"/>
        <v>저수</v>
      </c>
      <c r="AH635" s="22" t="str">
        <f t="shared" si="540"/>
        <v>저수</v>
      </c>
      <c r="AI635" s="22" t="str">
        <f t="shared" si="541"/>
        <v>고수</v>
      </c>
      <c r="AJ635" s="22" t="str">
        <f t="shared" si="542"/>
        <v>고수</v>
      </c>
      <c r="AK635" s="22" t="str">
        <f t="shared" si="543"/>
        <v>고수</v>
      </c>
      <c r="AL635" s="22" t="str">
        <f t="shared" si="544"/>
        <v>3 : 3</v>
      </c>
      <c r="AM635" s="22">
        <f t="shared" si="545"/>
        <v>3</v>
      </c>
      <c r="AN635" s="22">
        <f t="shared" si="546"/>
        <v>3</v>
      </c>
      <c r="AO635" s="22">
        <f t="shared" si="547"/>
        <v>25</v>
      </c>
      <c r="AP635" s="22" t="str">
        <f t="shared" si="548"/>
        <v>X</v>
      </c>
      <c r="AQ635" s="22" t="str">
        <f t="shared" si="549"/>
        <v>X</v>
      </c>
      <c r="AR635" s="22" t="str">
        <f t="shared" si="550"/>
        <v>X</v>
      </c>
      <c r="AS635" s="22" t="str">
        <f t="shared" si="551"/>
        <v>X</v>
      </c>
      <c r="AT635" s="22" t="str">
        <f t="shared" si="552"/>
        <v>X</v>
      </c>
      <c r="AU635" s="22" t="str">
        <f t="shared" si="553"/>
        <v>X</v>
      </c>
      <c r="AV635" s="22" t="str">
        <f t="shared" si="554"/>
        <v>X</v>
      </c>
      <c r="AW635" s="22" t="str">
        <f t="shared" si="555"/>
        <v>X</v>
      </c>
      <c r="AX635" s="22" t="str">
        <f t="shared" si="556"/>
        <v>X</v>
      </c>
      <c r="AY635" s="22" t="str">
        <f t="shared" si="557"/>
        <v>X</v>
      </c>
      <c r="AZ635" s="22" t="str">
        <f t="shared" si="558"/>
        <v>X</v>
      </c>
      <c r="BA635" s="22" t="str">
        <f t="shared" si="559"/>
        <v>X</v>
      </c>
      <c r="BB635" s="22">
        <f t="shared" si="560"/>
        <v>0</v>
      </c>
      <c r="BC635" s="22" t="str">
        <f t="shared" ref="BC635" si="648">VLOOKUP(N635,삼그룹,6,FALSE)</f>
        <v>1G</v>
      </c>
      <c r="BD635" s="22" t="str">
        <f t="shared" ref="BD635" si="649">VLOOKUP(O635,삼그룹,6,FALSE)</f>
        <v>2G</v>
      </c>
      <c r="BE635" s="22" t="str">
        <f t="shared" ref="BE635" si="650">VLOOKUP(P635,삼그룹,6,FALSE)</f>
        <v>2G</v>
      </c>
      <c r="BF635" s="22" t="str">
        <f t="shared" ref="BF635" si="651">VLOOKUP(Q635,삼그룹,6,FALSE)</f>
        <v>3G</v>
      </c>
      <c r="BG635" s="22" t="str">
        <f t="shared" ref="BG635" si="652">VLOOKUP(R635,삼그룹,6,FALSE)</f>
        <v>3G</v>
      </c>
      <c r="BH635" s="22" t="str">
        <f t="shared" ref="BH635" si="653">VLOOKUP(S635,삼그룹,6,FALSE)</f>
        <v>3G</v>
      </c>
      <c r="BI635" s="22">
        <f t="shared" si="568"/>
        <v>1</v>
      </c>
      <c r="BJ635" s="22">
        <f t="shared" si="569"/>
        <v>2</v>
      </c>
      <c r="BK635" s="22">
        <f t="shared" si="570"/>
        <v>3</v>
      </c>
      <c r="BL635" s="22" t="str">
        <f t="shared" ref="BL635" si="654">BI635&amp;BJ635&amp;BK635</f>
        <v>123</v>
      </c>
      <c r="BS635"/>
    </row>
    <row r="636" spans="2:71" ht="17" hidden="1">
      <c r="B636" s="16">
        <v>633</v>
      </c>
      <c r="C636" s="23" t="s">
        <v>998</v>
      </c>
      <c r="N636" s="23">
        <v>9</v>
      </c>
      <c r="O636" s="23">
        <v>12</v>
      </c>
      <c r="P636" s="23">
        <v>19</v>
      </c>
      <c r="Q636" s="23">
        <v>20</v>
      </c>
      <c r="R636" s="23">
        <v>39</v>
      </c>
      <c r="S636" s="23">
        <v>41</v>
      </c>
      <c r="T636" s="23">
        <v>13</v>
      </c>
      <c r="U636" s="23">
        <f t="shared" si="528"/>
        <v>140</v>
      </c>
      <c r="W636" s="22" t="str">
        <f t="shared" si="529"/>
        <v>홀수</v>
      </c>
      <c r="X636" s="22" t="str">
        <f t="shared" si="530"/>
        <v>짝수</v>
      </c>
      <c r="Y636" s="22" t="str">
        <f t="shared" si="531"/>
        <v>홀수</v>
      </c>
      <c r="Z636" s="22" t="str">
        <f t="shared" si="532"/>
        <v>짝수</v>
      </c>
      <c r="AA636" s="23" t="str">
        <f t="shared" si="533"/>
        <v>홀수</v>
      </c>
      <c r="AB636" s="23" t="str">
        <f t="shared" si="534"/>
        <v>홀수</v>
      </c>
      <c r="AC636" s="22" t="str">
        <f t="shared" si="535"/>
        <v>4 : 2</v>
      </c>
      <c r="AD636" s="22">
        <f t="shared" si="536"/>
        <v>4</v>
      </c>
      <c r="AE636" s="22">
        <f t="shared" si="537"/>
        <v>2</v>
      </c>
      <c r="AF636" s="22" t="str">
        <f t="shared" si="538"/>
        <v>저수</v>
      </c>
      <c r="AG636" s="22" t="str">
        <f t="shared" si="539"/>
        <v>저수</v>
      </c>
      <c r="AH636" s="22" t="str">
        <f t="shared" si="540"/>
        <v>저수</v>
      </c>
      <c r="AI636" s="22" t="str">
        <f t="shared" si="541"/>
        <v>저수</v>
      </c>
      <c r="AJ636" s="22" t="str">
        <f t="shared" si="542"/>
        <v>고수</v>
      </c>
      <c r="AK636" s="22" t="str">
        <f t="shared" si="543"/>
        <v>고수</v>
      </c>
      <c r="AL636" s="22" t="str">
        <f t="shared" si="544"/>
        <v>4 : 2</v>
      </c>
      <c r="AM636" s="22">
        <f t="shared" si="545"/>
        <v>4</v>
      </c>
      <c r="AN636" s="22">
        <f t="shared" si="546"/>
        <v>2</v>
      </c>
      <c r="AO636" s="22">
        <f t="shared" si="547"/>
        <v>30</v>
      </c>
      <c r="AP636" s="22" t="str">
        <f t="shared" si="548"/>
        <v>X</v>
      </c>
      <c r="AQ636" s="22" t="str">
        <f t="shared" si="549"/>
        <v>X</v>
      </c>
      <c r="AR636" s="22" t="str">
        <f t="shared" si="550"/>
        <v>O</v>
      </c>
      <c r="AS636" s="22" t="str">
        <f t="shared" si="551"/>
        <v>X</v>
      </c>
      <c r="AT636" s="22" t="str">
        <f t="shared" si="552"/>
        <v>X</v>
      </c>
      <c r="AU636" s="22" t="str">
        <f t="shared" si="553"/>
        <v>X</v>
      </c>
      <c r="AV636" s="22" t="str">
        <f t="shared" si="554"/>
        <v>X</v>
      </c>
      <c r="AW636" s="22" t="str">
        <f t="shared" si="555"/>
        <v>X</v>
      </c>
      <c r="AX636" s="22" t="str">
        <f t="shared" si="556"/>
        <v>X</v>
      </c>
      <c r="AY636" s="22" t="str">
        <f t="shared" si="557"/>
        <v>X</v>
      </c>
      <c r="AZ636" s="22" t="str">
        <f t="shared" si="558"/>
        <v>X</v>
      </c>
      <c r="BA636" s="22" t="str">
        <f t="shared" si="559"/>
        <v>O</v>
      </c>
      <c r="BB636" s="22">
        <f t="shared" si="560"/>
        <v>2</v>
      </c>
      <c r="BC636" s="22" t="str">
        <f t="shared" ref="BC636" si="655">VLOOKUP(N636,삼그룹,6,FALSE)</f>
        <v>1G</v>
      </c>
      <c r="BD636" s="22" t="str">
        <f t="shared" ref="BD636" si="656">VLOOKUP(O636,삼그룹,6,FALSE)</f>
        <v>1G</v>
      </c>
      <c r="BE636" s="22" t="str">
        <f t="shared" ref="BE636" si="657">VLOOKUP(P636,삼그룹,6,FALSE)</f>
        <v>2G</v>
      </c>
      <c r="BF636" s="22" t="str">
        <f t="shared" ref="BF636" si="658">VLOOKUP(Q636,삼그룹,6,FALSE)</f>
        <v>2G</v>
      </c>
      <c r="BG636" s="22" t="str">
        <f t="shared" ref="BG636" si="659">VLOOKUP(R636,삼그룹,6,FALSE)</f>
        <v>3G</v>
      </c>
      <c r="BH636" s="22" t="str">
        <f t="shared" ref="BH636" si="660">VLOOKUP(S636,삼그룹,6,FALSE)</f>
        <v>3G</v>
      </c>
      <c r="BI636" s="22">
        <f t="shared" si="568"/>
        <v>2</v>
      </c>
      <c r="BJ636" s="22">
        <f t="shared" si="569"/>
        <v>2</v>
      </c>
      <c r="BK636" s="22">
        <f t="shared" si="570"/>
        <v>2</v>
      </c>
      <c r="BL636" s="22" t="str">
        <f t="shared" ref="BL636" si="661">BI636&amp;BJ636&amp;BK636</f>
        <v>222</v>
      </c>
      <c r="BS636"/>
    </row>
    <row r="637" spans="2:71" ht="17" hidden="1">
      <c r="B637" s="16">
        <v>634</v>
      </c>
      <c r="C637" s="23" t="s">
        <v>999</v>
      </c>
      <c r="N637" s="23">
        <v>4</v>
      </c>
      <c r="O637" s="23">
        <v>10</v>
      </c>
      <c r="P637" s="23">
        <v>11</v>
      </c>
      <c r="Q637" s="23">
        <v>12</v>
      </c>
      <c r="R637" s="23">
        <v>20</v>
      </c>
      <c r="S637" s="23">
        <v>27</v>
      </c>
      <c r="T637" s="23">
        <v>38</v>
      </c>
      <c r="U637" s="23">
        <f t="shared" si="528"/>
        <v>84</v>
      </c>
      <c r="W637" s="22" t="str">
        <f t="shared" si="529"/>
        <v>짝수</v>
      </c>
      <c r="X637" s="22" t="str">
        <f t="shared" si="530"/>
        <v>짝수</v>
      </c>
      <c r="Y637" s="22" t="str">
        <f t="shared" si="531"/>
        <v>홀수</v>
      </c>
      <c r="Z637" s="22" t="str">
        <f t="shared" si="532"/>
        <v>짝수</v>
      </c>
      <c r="AA637" s="23" t="str">
        <f t="shared" si="533"/>
        <v>짝수</v>
      </c>
      <c r="AB637" s="23" t="str">
        <f t="shared" si="534"/>
        <v>홀수</v>
      </c>
      <c r="AC637" s="22" t="str">
        <f t="shared" si="535"/>
        <v>2 : 4</v>
      </c>
      <c r="AD637" s="22">
        <f t="shared" si="536"/>
        <v>2</v>
      </c>
      <c r="AE637" s="22">
        <f t="shared" si="537"/>
        <v>4</v>
      </c>
      <c r="AF637" s="22" t="str">
        <f t="shared" si="538"/>
        <v>저수</v>
      </c>
      <c r="AG637" s="22" t="str">
        <f t="shared" si="539"/>
        <v>저수</v>
      </c>
      <c r="AH637" s="22" t="str">
        <f t="shared" si="540"/>
        <v>저수</v>
      </c>
      <c r="AI637" s="22" t="str">
        <f t="shared" si="541"/>
        <v>저수</v>
      </c>
      <c r="AJ637" s="22" t="str">
        <f t="shared" si="542"/>
        <v>저수</v>
      </c>
      <c r="AK637" s="22" t="str">
        <f t="shared" si="543"/>
        <v>고수</v>
      </c>
      <c r="AL637" s="22" t="str">
        <f t="shared" si="544"/>
        <v>5 : 1</v>
      </c>
      <c r="AM637" s="22">
        <f t="shared" si="545"/>
        <v>5</v>
      </c>
      <c r="AN637" s="22">
        <f t="shared" si="546"/>
        <v>1</v>
      </c>
      <c r="AO637" s="22">
        <f t="shared" si="547"/>
        <v>14</v>
      </c>
      <c r="AP637" s="22" t="str">
        <f t="shared" si="548"/>
        <v>X</v>
      </c>
      <c r="AQ637" s="22" t="str">
        <f t="shared" si="549"/>
        <v>X</v>
      </c>
      <c r="AR637" s="22" t="str">
        <f t="shared" si="550"/>
        <v>O</v>
      </c>
      <c r="AS637" s="22" t="str">
        <f t="shared" si="551"/>
        <v>X</v>
      </c>
      <c r="AT637" s="22" t="str">
        <f t="shared" si="552"/>
        <v>X</v>
      </c>
      <c r="AU637" s="22" t="str">
        <f t="shared" si="553"/>
        <v>X</v>
      </c>
      <c r="AV637" s="22" t="str">
        <f t="shared" si="554"/>
        <v>X</v>
      </c>
      <c r="AW637" s="22" t="str">
        <f t="shared" si="555"/>
        <v>X</v>
      </c>
      <c r="AX637" s="22" t="str">
        <f t="shared" si="556"/>
        <v>X</v>
      </c>
      <c r="AY637" s="22" t="str">
        <f t="shared" si="557"/>
        <v>X</v>
      </c>
      <c r="AZ637" s="22" t="str">
        <f t="shared" si="558"/>
        <v>X</v>
      </c>
      <c r="BA637" s="22" t="str">
        <f t="shared" si="559"/>
        <v>X</v>
      </c>
      <c r="BB637" s="22">
        <f t="shared" si="560"/>
        <v>1</v>
      </c>
      <c r="BC637" s="22" t="str">
        <f t="shared" ref="BC637" si="662">VLOOKUP(N637,삼그룹,6,FALSE)</f>
        <v>1G</v>
      </c>
      <c r="BD637" s="22" t="str">
        <f t="shared" ref="BD637" si="663">VLOOKUP(O637,삼그룹,6,FALSE)</f>
        <v>1G</v>
      </c>
      <c r="BE637" s="22" t="str">
        <f t="shared" ref="BE637" si="664">VLOOKUP(P637,삼그룹,6,FALSE)</f>
        <v>1G</v>
      </c>
      <c r="BF637" s="22" t="str">
        <f t="shared" ref="BF637" si="665">VLOOKUP(Q637,삼그룹,6,FALSE)</f>
        <v>1G</v>
      </c>
      <c r="BG637" s="22" t="str">
        <f t="shared" ref="BG637" si="666">VLOOKUP(R637,삼그룹,6,FALSE)</f>
        <v>2G</v>
      </c>
      <c r="BH637" s="22" t="str">
        <f t="shared" ref="BH637" si="667">VLOOKUP(S637,삼그룹,6,FALSE)</f>
        <v>2G</v>
      </c>
      <c r="BI637" s="22">
        <f t="shared" si="568"/>
        <v>4</v>
      </c>
      <c r="BJ637" s="22">
        <f t="shared" si="569"/>
        <v>2</v>
      </c>
      <c r="BK637" s="22">
        <f t="shared" si="570"/>
        <v>0</v>
      </c>
      <c r="BL637" s="22" t="str">
        <f t="shared" ref="BL637" si="668">BI637&amp;BJ637&amp;BK637</f>
        <v>420</v>
      </c>
      <c r="BS637"/>
    </row>
    <row r="638" spans="2:71" ht="17" hidden="1">
      <c r="B638" s="16">
        <v>635</v>
      </c>
      <c r="C638" s="23" t="s">
        <v>1000</v>
      </c>
      <c r="N638" s="23">
        <v>11</v>
      </c>
      <c r="O638" s="23">
        <v>13</v>
      </c>
      <c r="P638" s="23">
        <v>25</v>
      </c>
      <c r="Q638" s="23">
        <v>26</v>
      </c>
      <c r="R638" s="23">
        <v>29</v>
      </c>
      <c r="S638" s="23">
        <v>33</v>
      </c>
      <c r="T638" s="23">
        <v>32</v>
      </c>
      <c r="U638" s="23">
        <f t="shared" si="528"/>
        <v>137</v>
      </c>
      <c r="W638" s="22" t="str">
        <f t="shared" si="529"/>
        <v>홀수</v>
      </c>
      <c r="X638" s="22" t="str">
        <f t="shared" si="530"/>
        <v>홀수</v>
      </c>
      <c r="Y638" s="22" t="str">
        <f t="shared" si="531"/>
        <v>홀수</v>
      </c>
      <c r="Z638" s="22" t="str">
        <f t="shared" si="532"/>
        <v>짝수</v>
      </c>
      <c r="AA638" s="23" t="str">
        <f t="shared" si="533"/>
        <v>홀수</v>
      </c>
      <c r="AB638" s="23" t="str">
        <f t="shared" si="534"/>
        <v>홀수</v>
      </c>
      <c r="AC638" s="22" t="str">
        <f t="shared" si="535"/>
        <v>5 : 1</v>
      </c>
      <c r="AD638" s="22">
        <f t="shared" si="536"/>
        <v>5</v>
      </c>
      <c r="AE638" s="22">
        <f t="shared" si="537"/>
        <v>1</v>
      </c>
      <c r="AF638" s="22" t="str">
        <f t="shared" si="538"/>
        <v>저수</v>
      </c>
      <c r="AG638" s="22" t="str">
        <f t="shared" si="539"/>
        <v>저수</v>
      </c>
      <c r="AH638" s="22" t="str">
        <f t="shared" si="540"/>
        <v>고수</v>
      </c>
      <c r="AI638" s="22" t="str">
        <f t="shared" si="541"/>
        <v>고수</v>
      </c>
      <c r="AJ638" s="22" t="str">
        <f t="shared" si="542"/>
        <v>고수</v>
      </c>
      <c r="AK638" s="22" t="str">
        <f t="shared" si="543"/>
        <v>고수</v>
      </c>
      <c r="AL638" s="22" t="str">
        <f t="shared" si="544"/>
        <v>2 : 4</v>
      </c>
      <c r="AM638" s="22">
        <f t="shared" si="545"/>
        <v>2</v>
      </c>
      <c r="AN638" s="22">
        <f t="shared" si="546"/>
        <v>4</v>
      </c>
      <c r="AO638" s="22">
        <f t="shared" si="547"/>
        <v>27</v>
      </c>
      <c r="AP638" s="22" t="str">
        <f t="shared" si="548"/>
        <v>O</v>
      </c>
      <c r="AQ638" s="22" t="str">
        <f t="shared" si="549"/>
        <v>O</v>
      </c>
      <c r="AR638" s="22" t="str">
        <f t="shared" si="550"/>
        <v>X</v>
      </c>
      <c r="AS638" s="22" t="str">
        <f t="shared" si="551"/>
        <v>X</v>
      </c>
      <c r="AT638" s="22" t="str">
        <f t="shared" si="552"/>
        <v>X</v>
      </c>
      <c r="AU638" s="22" t="str">
        <f t="shared" si="553"/>
        <v>X</v>
      </c>
      <c r="AV638" s="22" t="str">
        <f t="shared" si="554"/>
        <v>X</v>
      </c>
      <c r="AW638" s="22" t="str">
        <f t="shared" si="555"/>
        <v>X</v>
      </c>
      <c r="AX638" s="22" t="str">
        <f t="shared" si="556"/>
        <v>X</v>
      </c>
      <c r="AY638" s="22" t="str">
        <f t="shared" si="557"/>
        <v>X</v>
      </c>
      <c r="AZ638" s="22" t="str">
        <f t="shared" si="558"/>
        <v>O</v>
      </c>
      <c r="BA638" s="22" t="str">
        <f t="shared" si="559"/>
        <v>X</v>
      </c>
      <c r="BB638" s="22">
        <f t="shared" si="560"/>
        <v>3</v>
      </c>
      <c r="BC638" s="22" t="str">
        <f t="shared" ref="BC638" si="669">VLOOKUP(N638,삼그룹,6,FALSE)</f>
        <v>1G</v>
      </c>
      <c r="BD638" s="22" t="str">
        <f t="shared" ref="BD638" si="670">VLOOKUP(O638,삼그룹,6,FALSE)</f>
        <v>1G</v>
      </c>
      <c r="BE638" s="22" t="str">
        <f t="shared" ref="BE638" si="671">VLOOKUP(P638,삼그룹,6,FALSE)</f>
        <v>2G</v>
      </c>
      <c r="BF638" s="22" t="str">
        <f t="shared" ref="BF638" si="672">VLOOKUP(Q638,삼그룹,6,FALSE)</f>
        <v>2G</v>
      </c>
      <c r="BG638" s="22" t="str">
        <f t="shared" ref="BG638" si="673">VLOOKUP(R638,삼그룹,6,FALSE)</f>
        <v>2G</v>
      </c>
      <c r="BH638" s="22" t="str">
        <f t="shared" ref="BH638" si="674">VLOOKUP(S638,삼그룹,6,FALSE)</f>
        <v>3G</v>
      </c>
      <c r="BI638" s="22">
        <f t="shared" si="568"/>
        <v>2</v>
      </c>
      <c r="BJ638" s="22">
        <f t="shared" si="569"/>
        <v>3</v>
      </c>
      <c r="BK638" s="22">
        <f t="shared" si="570"/>
        <v>1</v>
      </c>
      <c r="BL638" s="22" t="str">
        <f t="shared" ref="BL638" si="675">BI638&amp;BJ638&amp;BK638</f>
        <v>231</v>
      </c>
      <c r="BS638"/>
    </row>
    <row r="639" spans="2:71" ht="17" hidden="1">
      <c r="B639" s="16">
        <v>636</v>
      </c>
      <c r="C639" s="23" t="s">
        <v>1001</v>
      </c>
      <c r="N639" s="23">
        <v>6</v>
      </c>
      <c r="O639" s="23">
        <v>7</v>
      </c>
      <c r="P639" s="23">
        <v>15</v>
      </c>
      <c r="Q639" s="23">
        <v>16</v>
      </c>
      <c r="R639" s="23">
        <v>20</v>
      </c>
      <c r="S639" s="23">
        <v>31</v>
      </c>
      <c r="T639" s="23">
        <v>26</v>
      </c>
      <c r="U639" s="23">
        <f t="shared" si="528"/>
        <v>95</v>
      </c>
      <c r="W639" s="22" t="str">
        <f t="shared" si="529"/>
        <v>짝수</v>
      </c>
      <c r="X639" s="22" t="str">
        <f t="shared" si="530"/>
        <v>홀수</v>
      </c>
      <c r="Y639" s="22" t="str">
        <f t="shared" si="531"/>
        <v>홀수</v>
      </c>
      <c r="Z639" s="22" t="str">
        <f t="shared" si="532"/>
        <v>짝수</v>
      </c>
      <c r="AA639" s="23" t="str">
        <f t="shared" si="533"/>
        <v>짝수</v>
      </c>
      <c r="AB639" s="23" t="str">
        <f t="shared" si="534"/>
        <v>홀수</v>
      </c>
      <c r="AC639" s="22" t="str">
        <f t="shared" si="535"/>
        <v>3 : 3</v>
      </c>
      <c r="AD639" s="22">
        <f t="shared" si="536"/>
        <v>3</v>
      </c>
      <c r="AE639" s="22">
        <f t="shared" si="537"/>
        <v>3</v>
      </c>
      <c r="AF639" s="22" t="str">
        <f t="shared" si="538"/>
        <v>저수</v>
      </c>
      <c r="AG639" s="22" t="str">
        <f t="shared" si="539"/>
        <v>저수</v>
      </c>
      <c r="AH639" s="22" t="str">
        <f t="shared" si="540"/>
        <v>저수</v>
      </c>
      <c r="AI639" s="22" t="str">
        <f t="shared" si="541"/>
        <v>저수</v>
      </c>
      <c r="AJ639" s="22" t="str">
        <f t="shared" si="542"/>
        <v>저수</v>
      </c>
      <c r="AK639" s="22" t="str">
        <f t="shared" si="543"/>
        <v>고수</v>
      </c>
      <c r="AL639" s="22" t="str">
        <f t="shared" si="544"/>
        <v>5 : 1</v>
      </c>
      <c r="AM639" s="22">
        <f t="shared" si="545"/>
        <v>5</v>
      </c>
      <c r="AN639" s="22">
        <f t="shared" si="546"/>
        <v>1</v>
      </c>
      <c r="AO639" s="22">
        <f t="shared" si="547"/>
        <v>25</v>
      </c>
      <c r="AP639" s="22" t="str">
        <f t="shared" si="548"/>
        <v>X</v>
      </c>
      <c r="AQ639" s="22" t="str">
        <f t="shared" si="549"/>
        <v>O</v>
      </c>
      <c r="AR639" s="22" t="str">
        <f t="shared" si="550"/>
        <v>X</v>
      </c>
      <c r="AS639" s="22" t="str">
        <f t="shared" si="551"/>
        <v>X</v>
      </c>
      <c r="AT639" s="22" t="str">
        <f t="shared" si="552"/>
        <v>X</v>
      </c>
      <c r="AU639" s="22" t="str">
        <f t="shared" si="553"/>
        <v>X</v>
      </c>
      <c r="AV639" s="22" t="str">
        <f t="shared" si="554"/>
        <v>X</v>
      </c>
      <c r="AW639" s="22" t="str">
        <f t="shared" si="555"/>
        <v>X</v>
      </c>
      <c r="AX639" s="22" t="str">
        <f t="shared" si="556"/>
        <v>X</v>
      </c>
      <c r="AY639" s="22" t="str">
        <f t="shared" si="557"/>
        <v>X</v>
      </c>
      <c r="AZ639" s="22" t="str">
        <f t="shared" si="558"/>
        <v>X</v>
      </c>
      <c r="BA639" s="22" t="str">
        <f t="shared" si="559"/>
        <v>O</v>
      </c>
      <c r="BB639" s="22">
        <f t="shared" si="560"/>
        <v>2</v>
      </c>
      <c r="BC639" s="22" t="str">
        <f t="shared" ref="BC639" si="676">VLOOKUP(N639,삼그룹,6,FALSE)</f>
        <v>1G</v>
      </c>
      <c r="BD639" s="22" t="str">
        <f t="shared" ref="BD639" si="677">VLOOKUP(O639,삼그룹,6,FALSE)</f>
        <v>1G</v>
      </c>
      <c r="BE639" s="22" t="str">
        <f t="shared" ref="BE639" si="678">VLOOKUP(P639,삼그룹,6,FALSE)</f>
        <v>1G</v>
      </c>
      <c r="BF639" s="22" t="str">
        <f t="shared" ref="BF639" si="679">VLOOKUP(Q639,삼그룹,6,FALSE)</f>
        <v>2G</v>
      </c>
      <c r="BG639" s="22" t="str">
        <f t="shared" ref="BG639" si="680">VLOOKUP(R639,삼그룹,6,FALSE)</f>
        <v>2G</v>
      </c>
      <c r="BH639" s="22" t="str">
        <f t="shared" ref="BH639" si="681">VLOOKUP(S639,삼그룹,6,FALSE)</f>
        <v>3G</v>
      </c>
      <c r="BI639" s="22">
        <f t="shared" si="568"/>
        <v>3</v>
      </c>
      <c r="BJ639" s="22">
        <f t="shared" si="569"/>
        <v>2</v>
      </c>
      <c r="BK639" s="22">
        <f t="shared" si="570"/>
        <v>1</v>
      </c>
      <c r="BL639" s="22" t="str">
        <f t="shared" ref="BL639" si="682">BI639&amp;BJ639&amp;BK639</f>
        <v>321</v>
      </c>
      <c r="BS639"/>
    </row>
    <row r="640" spans="2:71" ht="17" hidden="1">
      <c r="B640" s="16">
        <v>637</v>
      </c>
      <c r="C640" s="23" t="s">
        <v>1002</v>
      </c>
      <c r="N640" s="23">
        <v>3</v>
      </c>
      <c r="O640" s="23">
        <v>16</v>
      </c>
      <c r="P640" s="23">
        <v>22</v>
      </c>
      <c r="Q640" s="23">
        <v>37</v>
      </c>
      <c r="R640" s="23">
        <v>38</v>
      </c>
      <c r="S640" s="23">
        <v>44</v>
      </c>
      <c r="T640" s="23">
        <v>23</v>
      </c>
      <c r="U640" s="23">
        <f t="shared" si="528"/>
        <v>160</v>
      </c>
      <c r="W640" s="22" t="str">
        <f t="shared" si="529"/>
        <v>홀수</v>
      </c>
      <c r="X640" s="22" t="str">
        <f t="shared" si="530"/>
        <v>짝수</v>
      </c>
      <c r="Y640" s="22" t="str">
        <f t="shared" si="531"/>
        <v>짝수</v>
      </c>
      <c r="Z640" s="22" t="str">
        <f t="shared" si="532"/>
        <v>홀수</v>
      </c>
      <c r="AA640" s="23" t="str">
        <f t="shared" si="533"/>
        <v>짝수</v>
      </c>
      <c r="AB640" s="23" t="str">
        <f t="shared" si="534"/>
        <v>짝수</v>
      </c>
      <c r="AC640" s="22" t="str">
        <f t="shared" si="535"/>
        <v>2 : 4</v>
      </c>
      <c r="AD640" s="22">
        <f t="shared" si="536"/>
        <v>2</v>
      </c>
      <c r="AE640" s="22">
        <f t="shared" si="537"/>
        <v>4</v>
      </c>
      <c r="AF640" s="22" t="str">
        <f t="shared" si="538"/>
        <v>저수</v>
      </c>
      <c r="AG640" s="22" t="str">
        <f t="shared" si="539"/>
        <v>저수</v>
      </c>
      <c r="AH640" s="22" t="str">
        <f t="shared" si="540"/>
        <v>저수</v>
      </c>
      <c r="AI640" s="22" t="str">
        <f t="shared" si="541"/>
        <v>고수</v>
      </c>
      <c r="AJ640" s="22" t="str">
        <f t="shared" si="542"/>
        <v>고수</v>
      </c>
      <c r="AK640" s="22" t="str">
        <f t="shared" si="543"/>
        <v>고수</v>
      </c>
      <c r="AL640" s="22" t="str">
        <f t="shared" si="544"/>
        <v>3 : 3</v>
      </c>
      <c r="AM640" s="22">
        <f t="shared" si="545"/>
        <v>3</v>
      </c>
      <c r="AN640" s="22">
        <f t="shared" si="546"/>
        <v>3</v>
      </c>
      <c r="AO640" s="22">
        <f t="shared" si="547"/>
        <v>30</v>
      </c>
      <c r="AP640" s="22" t="str">
        <f t="shared" si="548"/>
        <v>O</v>
      </c>
      <c r="AQ640" s="22" t="str">
        <f t="shared" si="549"/>
        <v>X</v>
      </c>
      <c r="AR640" s="22" t="str">
        <f t="shared" si="550"/>
        <v>X</v>
      </c>
      <c r="AS640" s="22" t="str">
        <f t="shared" si="551"/>
        <v>X</v>
      </c>
      <c r="AT640" s="22" t="str">
        <f t="shared" si="552"/>
        <v>X</v>
      </c>
      <c r="AU640" s="22" t="str">
        <f t="shared" si="553"/>
        <v>X</v>
      </c>
      <c r="AV640" s="22" t="str">
        <f t="shared" si="554"/>
        <v>X</v>
      </c>
      <c r="AW640" s="22" t="str">
        <f t="shared" si="555"/>
        <v>X</v>
      </c>
      <c r="AX640" s="22" t="str">
        <f t="shared" si="556"/>
        <v>X</v>
      </c>
      <c r="AY640" s="22" t="str">
        <f t="shared" si="557"/>
        <v>O</v>
      </c>
      <c r="AZ640" s="22" t="str">
        <f t="shared" si="558"/>
        <v>X</v>
      </c>
      <c r="BA640" s="22" t="str">
        <f t="shared" si="559"/>
        <v>X</v>
      </c>
      <c r="BB640" s="22">
        <f t="shared" si="560"/>
        <v>2</v>
      </c>
      <c r="BC640" s="22" t="str">
        <f t="shared" ref="BC640" si="683">VLOOKUP(N640,삼그룹,6,FALSE)</f>
        <v>1G</v>
      </c>
      <c r="BD640" s="22" t="str">
        <f t="shared" ref="BD640" si="684">VLOOKUP(O640,삼그룹,6,FALSE)</f>
        <v>2G</v>
      </c>
      <c r="BE640" s="22" t="str">
        <f t="shared" ref="BE640" si="685">VLOOKUP(P640,삼그룹,6,FALSE)</f>
        <v>2G</v>
      </c>
      <c r="BF640" s="22" t="str">
        <f t="shared" ref="BF640" si="686">VLOOKUP(Q640,삼그룹,6,FALSE)</f>
        <v>3G</v>
      </c>
      <c r="BG640" s="22" t="str">
        <f t="shared" ref="BG640" si="687">VLOOKUP(R640,삼그룹,6,FALSE)</f>
        <v>3G</v>
      </c>
      <c r="BH640" s="22" t="str">
        <f t="shared" ref="BH640" si="688">VLOOKUP(S640,삼그룹,6,FALSE)</f>
        <v>3G</v>
      </c>
      <c r="BI640" s="22">
        <f t="shared" si="568"/>
        <v>1</v>
      </c>
      <c r="BJ640" s="22">
        <f t="shared" si="569"/>
        <v>2</v>
      </c>
      <c r="BK640" s="22">
        <f t="shared" si="570"/>
        <v>3</v>
      </c>
      <c r="BL640" s="22" t="str">
        <f t="shared" ref="BL640" si="689">BI640&amp;BJ640&amp;BK640</f>
        <v>123</v>
      </c>
      <c r="BS640"/>
    </row>
    <row r="641" spans="2:71" ht="17" hidden="1">
      <c r="B641" s="16">
        <v>638</v>
      </c>
      <c r="C641" s="23" t="s">
        <v>1003</v>
      </c>
      <c r="N641" s="23">
        <v>7</v>
      </c>
      <c r="O641" s="23">
        <v>18</v>
      </c>
      <c r="P641" s="23">
        <v>22</v>
      </c>
      <c r="Q641" s="23">
        <v>24</v>
      </c>
      <c r="R641" s="23">
        <v>31</v>
      </c>
      <c r="S641" s="23">
        <v>34</v>
      </c>
      <c r="T641" s="23">
        <v>6</v>
      </c>
      <c r="U641" s="23">
        <f t="shared" si="528"/>
        <v>136</v>
      </c>
      <c r="W641" s="22" t="str">
        <f t="shared" si="529"/>
        <v>홀수</v>
      </c>
      <c r="X641" s="22" t="str">
        <f t="shared" si="530"/>
        <v>짝수</v>
      </c>
      <c r="Y641" s="22" t="str">
        <f t="shared" si="531"/>
        <v>짝수</v>
      </c>
      <c r="Z641" s="22" t="str">
        <f t="shared" si="532"/>
        <v>짝수</v>
      </c>
      <c r="AA641" s="23" t="str">
        <f t="shared" si="533"/>
        <v>홀수</v>
      </c>
      <c r="AB641" s="23" t="str">
        <f t="shared" si="534"/>
        <v>짝수</v>
      </c>
      <c r="AC641" s="22" t="str">
        <f t="shared" si="535"/>
        <v>2 : 4</v>
      </c>
      <c r="AD641" s="22">
        <f t="shared" si="536"/>
        <v>2</v>
      </c>
      <c r="AE641" s="22">
        <f t="shared" si="537"/>
        <v>4</v>
      </c>
      <c r="AF641" s="22" t="str">
        <f t="shared" si="538"/>
        <v>저수</v>
      </c>
      <c r="AG641" s="22" t="str">
        <f t="shared" si="539"/>
        <v>저수</v>
      </c>
      <c r="AH641" s="22" t="str">
        <f t="shared" si="540"/>
        <v>저수</v>
      </c>
      <c r="AI641" s="22" t="str">
        <f t="shared" si="541"/>
        <v>고수</v>
      </c>
      <c r="AJ641" s="22" t="str">
        <f t="shared" si="542"/>
        <v>고수</v>
      </c>
      <c r="AK641" s="22" t="str">
        <f t="shared" si="543"/>
        <v>고수</v>
      </c>
      <c r="AL641" s="22" t="str">
        <f t="shared" si="544"/>
        <v>3 : 3</v>
      </c>
      <c r="AM641" s="22">
        <f t="shared" si="545"/>
        <v>3</v>
      </c>
      <c r="AN641" s="22">
        <f t="shared" si="546"/>
        <v>3</v>
      </c>
      <c r="AO641" s="22">
        <f t="shared" si="547"/>
        <v>26</v>
      </c>
      <c r="AP641" s="22" t="str">
        <f t="shared" si="548"/>
        <v>O</v>
      </c>
      <c r="AQ641" s="22" t="str">
        <f t="shared" si="549"/>
        <v>X</v>
      </c>
      <c r="AR641" s="22" t="str">
        <f t="shared" si="550"/>
        <v>X</v>
      </c>
      <c r="AS641" s="22" t="str">
        <f t="shared" si="551"/>
        <v>X</v>
      </c>
      <c r="AT641" s="22" t="str">
        <f t="shared" si="552"/>
        <v>X</v>
      </c>
      <c r="AU641" s="22" t="str">
        <f t="shared" si="553"/>
        <v>X</v>
      </c>
      <c r="AV641" s="22" t="str">
        <f t="shared" si="554"/>
        <v>X</v>
      </c>
      <c r="AW641" s="22" t="str">
        <f t="shared" si="555"/>
        <v>X</v>
      </c>
      <c r="AX641" s="22" t="str">
        <f t="shared" si="556"/>
        <v>X</v>
      </c>
      <c r="AY641" s="22" t="str">
        <f t="shared" si="557"/>
        <v>X</v>
      </c>
      <c r="AZ641" s="22" t="str">
        <f t="shared" si="558"/>
        <v>O</v>
      </c>
      <c r="BA641" s="22" t="str">
        <f t="shared" si="559"/>
        <v>X</v>
      </c>
      <c r="BB641" s="22">
        <f t="shared" si="560"/>
        <v>2</v>
      </c>
      <c r="BC641" s="22" t="str">
        <f t="shared" ref="BC641" si="690">VLOOKUP(N641,삼그룹,6,FALSE)</f>
        <v>1G</v>
      </c>
      <c r="BD641" s="22" t="str">
        <f t="shared" ref="BD641" si="691">VLOOKUP(O641,삼그룹,6,FALSE)</f>
        <v>2G</v>
      </c>
      <c r="BE641" s="22" t="str">
        <f t="shared" ref="BE641" si="692">VLOOKUP(P641,삼그룹,6,FALSE)</f>
        <v>2G</v>
      </c>
      <c r="BF641" s="22" t="str">
        <f t="shared" ref="BF641" si="693">VLOOKUP(Q641,삼그룹,6,FALSE)</f>
        <v>2G</v>
      </c>
      <c r="BG641" s="22" t="str">
        <f t="shared" ref="BG641" si="694">VLOOKUP(R641,삼그룹,6,FALSE)</f>
        <v>3G</v>
      </c>
      <c r="BH641" s="22" t="str">
        <f t="shared" ref="BH641" si="695">VLOOKUP(S641,삼그룹,6,FALSE)</f>
        <v>3G</v>
      </c>
      <c r="BI641" s="22">
        <f t="shared" si="568"/>
        <v>1</v>
      </c>
      <c r="BJ641" s="22">
        <f t="shared" si="569"/>
        <v>3</v>
      </c>
      <c r="BK641" s="22">
        <f t="shared" si="570"/>
        <v>2</v>
      </c>
      <c r="BL641" s="22" t="str">
        <f t="shared" ref="BL641" si="696">BI641&amp;BJ641&amp;BK641</f>
        <v>132</v>
      </c>
      <c r="BS641"/>
    </row>
    <row r="642" spans="2:71" ht="17" hidden="1">
      <c r="B642" s="16">
        <v>639</v>
      </c>
      <c r="C642" s="23" t="s">
        <v>1004</v>
      </c>
      <c r="N642" s="23">
        <v>6</v>
      </c>
      <c r="O642" s="23">
        <v>15</v>
      </c>
      <c r="P642" s="23">
        <v>22</v>
      </c>
      <c r="Q642" s="23">
        <v>23</v>
      </c>
      <c r="R642" s="23">
        <v>25</v>
      </c>
      <c r="S642" s="23">
        <v>32</v>
      </c>
      <c r="T642" s="23">
        <v>40</v>
      </c>
      <c r="U642" s="23">
        <f t="shared" si="528"/>
        <v>123</v>
      </c>
      <c r="W642" s="22" t="str">
        <f t="shared" si="529"/>
        <v>짝수</v>
      </c>
      <c r="X642" s="22" t="str">
        <f t="shared" si="530"/>
        <v>홀수</v>
      </c>
      <c r="Y642" s="22" t="str">
        <f t="shared" si="531"/>
        <v>짝수</v>
      </c>
      <c r="Z642" s="22" t="str">
        <f t="shared" si="532"/>
        <v>홀수</v>
      </c>
      <c r="AA642" s="23" t="str">
        <f t="shared" si="533"/>
        <v>홀수</v>
      </c>
      <c r="AB642" s="23" t="str">
        <f t="shared" si="534"/>
        <v>짝수</v>
      </c>
      <c r="AC642" s="22" t="str">
        <f t="shared" si="535"/>
        <v>3 : 3</v>
      </c>
      <c r="AD642" s="22">
        <f t="shared" si="536"/>
        <v>3</v>
      </c>
      <c r="AE642" s="22">
        <f t="shared" si="537"/>
        <v>3</v>
      </c>
      <c r="AF642" s="22" t="str">
        <f t="shared" si="538"/>
        <v>저수</v>
      </c>
      <c r="AG642" s="22" t="str">
        <f t="shared" si="539"/>
        <v>저수</v>
      </c>
      <c r="AH642" s="22" t="str">
        <f t="shared" si="540"/>
        <v>저수</v>
      </c>
      <c r="AI642" s="22" t="str">
        <f t="shared" si="541"/>
        <v>고수</v>
      </c>
      <c r="AJ642" s="22" t="str">
        <f t="shared" si="542"/>
        <v>고수</v>
      </c>
      <c r="AK642" s="22" t="str">
        <f t="shared" si="543"/>
        <v>고수</v>
      </c>
      <c r="AL642" s="22" t="str">
        <f t="shared" si="544"/>
        <v>3 : 3</v>
      </c>
      <c r="AM642" s="22">
        <f t="shared" si="545"/>
        <v>3</v>
      </c>
      <c r="AN642" s="22">
        <f t="shared" si="546"/>
        <v>3</v>
      </c>
      <c r="AO642" s="22">
        <f t="shared" si="547"/>
        <v>23</v>
      </c>
      <c r="AP642" s="22" t="str">
        <f t="shared" si="548"/>
        <v>X</v>
      </c>
      <c r="AQ642" s="22" t="str">
        <f t="shared" si="549"/>
        <v>X</v>
      </c>
      <c r="AR642" s="22" t="str">
        <f t="shared" si="550"/>
        <v>X</v>
      </c>
      <c r="AS642" s="22" t="str">
        <f t="shared" si="551"/>
        <v>X</v>
      </c>
      <c r="AT642" s="22" t="str">
        <f t="shared" si="552"/>
        <v>X</v>
      </c>
      <c r="AU642" s="22" t="str">
        <f t="shared" si="553"/>
        <v>X</v>
      </c>
      <c r="AV642" s="22" t="str">
        <f t="shared" si="554"/>
        <v>X</v>
      </c>
      <c r="AW642" s="22" t="str">
        <f t="shared" si="555"/>
        <v>X</v>
      </c>
      <c r="AX642" s="22" t="str">
        <f t="shared" si="556"/>
        <v>X</v>
      </c>
      <c r="AY642" s="22" t="str">
        <f t="shared" si="557"/>
        <v>O</v>
      </c>
      <c r="AZ642" s="22" t="str">
        <f t="shared" si="558"/>
        <v>X</v>
      </c>
      <c r="BA642" s="22" t="str">
        <f t="shared" si="559"/>
        <v>X</v>
      </c>
      <c r="BB642" s="22">
        <f t="shared" si="560"/>
        <v>1</v>
      </c>
      <c r="BC642" s="22" t="str">
        <f t="shared" ref="BC642" si="697">VLOOKUP(N642,삼그룹,6,FALSE)</f>
        <v>1G</v>
      </c>
      <c r="BD642" s="22" t="str">
        <f t="shared" ref="BD642" si="698">VLOOKUP(O642,삼그룹,6,FALSE)</f>
        <v>1G</v>
      </c>
      <c r="BE642" s="22" t="str">
        <f t="shared" ref="BE642" si="699">VLOOKUP(P642,삼그룹,6,FALSE)</f>
        <v>2G</v>
      </c>
      <c r="BF642" s="22" t="str">
        <f t="shared" ref="BF642" si="700">VLOOKUP(Q642,삼그룹,6,FALSE)</f>
        <v>2G</v>
      </c>
      <c r="BG642" s="22" t="str">
        <f t="shared" ref="BG642" si="701">VLOOKUP(R642,삼그룹,6,FALSE)</f>
        <v>2G</v>
      </c>
      <c r="BH642" s="22" t="str">
        <f t="shared" ref="BH642" si="702">VLOOKUP(S642,삼그룹,6,FALSE)</f>
        <v>3G</v>
      </c>
      <c r="BI642" s="22">
        <f t="shared" si="568"/>
        <v>2</v>
      </c>
      <c r="BJ642" s="22">
        <f t="shared" si="569"/>
        <v>3</v>
      </c>
      <c r="BK642" s="22">
        <f t="shared" si="570"/>
        <v>1</v>
      </c>
      <c r="BL642" s="22" t="str">
        <f t="shared" ref="BL642" si="703">BI642&amp;BJ642&amp;BK642</f>
        <v>231</v>
      </c>
      <c r="BS642"/>
    </row>
    <row r="643" spans="2:71" ht="17" hidden="1">
      <c r="B643" s="16">
        <v>640</v>
      </c>
      <c r="C643" s="23" t="s">
        <v>1005</v>
      </c>
      <c r="N643" s="23">
        <v>14</v>
      </c>
      <c r="O643" s="23">
        <v>15</v>
      </c>
      <c r="P643" s="23">
        <v>18</v>
      </c>
      <c r="Q643" s="23">
        <v>21</v>
      </c>
      <c r="R643" s="23">
        <v>26</v>
      </c>
      <c r="S643" s="23">
        <v>35</v>
      </c>
      <c r="T643" s="23">
        <v>23</v>
      </c>
      <c r="U643" s="23">
        <f t="shared" si="528"/>
        <v>129</v>
      </c>
      <c r="W643" s="22" t="str">
        <f t="shared" si="529"/>
        <v>짝수</v>
      </c>
      <c r="X643" s="22" t="str">
        <f t="shared" si="530"/>
        <v>홀수</v>
      </c>
      <c r="Y643" s="22" t="str">
        <f t="shared" si="531"/>
        <v>짝수</v>
      </c>
      <c r="Z643" s="22" t="str">
        <f t="shared" si="532"/>
        <v>홀수</v>
      </c>
      <c r="AA643" s="23" t="str">
        <f t="shared" si="533"/>
        <v>짝수</v>
      </c>
      <c r="AB643" s="23" t="str">
        <f t="shared" si="534"/>
        <v>홀수</v>
      </c>
      <c r="AC643" s="22" t="str">
        <f t="shared" si="535"/>
        <v>3 : 3</v>
      </c>
      <c r="AD643" s="22">
        <f t="shared" si="536"/>
        <v>3</v>
      </c>
      <c r="AE643" s="22">
        <f t="shared" si="537"/>
        <v>3</v>
      </c>
      <c r="AF643" s="22" t="str">
        <f t="shared" si="538"/>
        <v>저수</v>
      </c>
      <c r="AG643" s="22" t="str">
        <f t="shared" si="539"/>
        <v>저수</v>
      </c>
      <c r="AH643" s="22" t="str">
        <f t="shared" si="540"/>
        <v>저수</v>
      </c>
      <c r="AI643" s="22" t="str">
        <f t="shared" si="541"/>
        <v>저수</v>
      </c>
      <c r="AJ643" s="22" t="str">
        <f t="shared" si="542"/>
        <v>고수</v>
      </c>
      <c r="AK643" s="22" t="str">
        <f t="shared" si="543"/>
        <v>고수</v>
      </c>
      <c r="AL643" s="22" t="str">
        <f t="shared" si="544"/>
        <v>4 : 2</v>
      </c>
      <c r="AM643" s="22">
        <f t="shared" si="545"/>
        <v>4</v>
      </c>
      <c r="AN643" s="22">
        <f t="shared" si="546"/>
        <v>2</v>
      </c>
      <c r="AO643" s="22">
        <f t="shared" si="547"/>
        <v>29</v>
      </c>
      <c r="AP643" s="22" t="str">
        <f t="shared" si="548"/>
        <v>X</v>
      </c>
      <c r="AQ643" s="22" t="str">
        <f t="shared" si="549"/>
        <v>X</v>
      </c>
      <c r="AR643" s="22" t="str">
        <f t="shared" si="550"/>
        <v>X</v>
      </c>
      <c r="AS643" s="22" t="str">
        <f t="shared" si="551"/>
        <v>X</v>
      </c>
      <c r="AT643" s="22" t="str">
        <f t="shared" si="552"/>
        <v>X</v>
      </c>
      <c r="AU643" s="22" t="str">
        <f t="shared" si="553"/>
        <v>X</v>
      </c>
      <c r="AV643" s="22" t="str">
        <f t="shared" si="554"/>
        <v>X</v>
      </c>
      <c r="AW643" s="22" t="str">
        <f t="shared" si="555"/>
        <v>X</v>
      </c>
      <c r="AX643" s="22" t="str">
        <f t="shared" si="556"/>
        <v>X</v>
      </c>
      <c r="AY643" s="22" t="str">
        <f t="shared" si="557"/>
        <v>X</v>
      </c>
      <c r="AZ643" s="22" t="str">
        <f t="shared" si="558"/>
        <v>X</v>
      </c>
      <c r="BA643" s="22" t="str">
        <f t="shared" si="559"/>
        <v>X</v>
      </c>
      <c r="BB643" s="22">
        <f t="shared" si="560"/>
        <v>0</v>
      </c>
      <c r="BC643" s="22" t="str">
        <f t="shared" ref="BC643" si="704">VLOOKUP(N643,삼그룹,6,FALSE)</f>
        <v>1G</v>
      </c>
      <c r="BD643" s="22" t="str">
        <f t="shared" ref="BD643" si="705">VLOOKUP(O643,삼그룹,6,FALSE)</f>
        <v>1G</v>
      </c>
      <c r="BE643" s="22" t="str">
        <f t="shared" ref="BE643" si="706">VLOOKUP(P643,삼그룹,6,FALSE)</f>
        <v>2G</v>
      </c>
      <c r="BF643" s="22" t="str">
        <f t="shared" ref="BF643" si="707">VLOOKUP(Q643,삼그룹,6,FALSE)</f>
        <v>2G</v>
      </c>
      <c r="BG643" s="22" t="str">
        <f t="shared" ref="BG643" si="708">VLOOKUP(R643,삼그룹,6,FALSE)</f>
        <v>2G</v>
      </c>
      <c r="BH643" s="22" t="str">
        <f t="shared" ref="BH643" si="709">VLOOKUP(S643,삼그룹,6,FALSE)</f>
        <v>3G</v>
      </c>
      <c r="BI643" s="22">
        <f t="shared" si="568"/>
        <v>2</v>
      </c>
      <c r="BJ643" s="22">
        <f t="shared" si="569"/>
        <v>3</v>
      </c>
      <c r="BK643" s="22">
        <f t="shared" si="570"/>
        <v>1</v>
      </c>
      <c r="BL643" s="22" t="str">
        <f t="shared" ref="BL643" si="710">BI643&amp;BJ643&amp;BK643</f>
        <v>231</v>
      </c>
      <c r="BS643"/>
    </row>
    <row r="644" spans="2:71" ht="17" hidden="1">
      <c r="B644" s="16">
        <v>641</v>
      </c>
      <c r="C644" s="23" t="s">
        <v>1006</v>
      </c>
      <c r="N644" s="23">
        <v>11</v>
      </c>
      <c r="O644" s="23">
        <v>18</v>
      </c>
      <c r="P644" s="23">
        <v>21</v>
      </c>
      <c r="Q644" s="23">
        <v>36</v>
      </c>
      <c r="R644" s="23">
        <v>37</v>
      </c>
      <c r="S644" s="23">
        <v>43</v>
      </c>
      <c r="T644" s="23">
        <v>12</v>
      </c>
      <c r="U644" s="23">
        <f t="shared" si="528"/>
        <v>166</v>
      </c>
      <c r="W644" s="22" t="str">
        <f t="shared" si="529"/>
        <v>홀수</v>
      </c>
      <c r="X644" s="22" t="str">
        <f t="shared" si="530"/>
        <v>짝수</v>
      </c>
      <c r="Y644" s="22" t="str">
        <f t="shared" si="531"/>
        <v>홀수</v>
      </c>
      <c r="Z644" s="22" t="str">
        <f t="shared" si="532"/>
        <v>짝수</v>
      </c>
      <c r="AA644" s="23" t="str">
        <f t="shared" si="533"/>
        <v>홀수</v>
      </c>
      <c r="AB644" s="23" t="str">
        <f t="shared" si="534"/>
        <v>홀수</v>
      </c>
      <c r="AC644" s="22" t="str">
        <f t="shared" si="535"/>
        <v>4 : 2</v>
      </c>
      <c r="AD644" s="22">
        <f t="shared" si="536"/>
        <v>4</v>
      </c>
      <c r="AE644" s="22">
        <f t="shared" si="537"/>
        <v>2</v>
      </c>
      <c r="AF644" s="22" t="str">
        <f t="shared" si="538"/>
        <v>저수</v>
      </c>
      <c r="AG644" s="22" t="str">
        <f t="shared" si="539"/>
        <v>저수</v>
      </c>
      <c r="AH644" s="22" t="str">
        <f t="shared" si="540"/>
        <v>저수</v>
      </c>
      <c r="AI644" s="22" t="str">
        <f t="shared" si="541"/>
        <v>고수</v>
      </c>
      <c r="AJ644" s="22" t="str">
        <f t="shared" si="542"/>
        <v>고수</v>
      </c>
      <c r="AK644" s="22" t="str">
        <f t="shared" si="543"/>
        <v>고수</v>
      </c>
      <c r="AL644" s="22" t="str">
        <f t="shared" si="544"/>
        <v>3 : 3</v>
      </c>
      <c r="AM644" s="22">
        <f t="shared" si="545"/>
        <v>3</v>
      </c>
      <c r="AN644" s="22">
        <f t="shared" si="546"/>
        <v>3</v>
      </c>
      <c r="AO644" s="22">
        <f t="shared" si="547"/>
        <v>26</v>
      </c>
      <c r="AP644" s="22" t="str">
        <f t="shared" si="548"/>
        <v>O</v>
      </c>
      <c r="AQ644" s="22" t="str">
        <f t="shared" si="549"/>
        <v>X</v>
      </c>
      <c r="AR644" s="22" t="str">
        <f t="shared" si="550"/>
        <v>X</v>
      </c>
      <c r="AS644" s="22" t="str">
        <f t="shared" si="551"/>
        <v>X</v>
      </c>
      <c r="AT644" s="22" t="str">
        <f t="shared" si="552"/>
        <v>X</v>
      </c>
      <c r="AU644" s="22" t="str">
        <f t="shared" si="553"/>
        <v>X</v>
      </c>
      <c r="AV644" s="22" t="str">
        <f t="shared" si="554"/>
        <v>X</v>
      </c>
      <c r="AW644" s="22" t="str">
        <f t="shared" si="555"/>
        <v>X</v>
      </c>
      <c r="AX644" s="22" t="str">
        <f t="shared" si="556"/>
        <v>X</v>
      </c>
      <c r="AY644" s="22" t="str">
        <f t="shared" si="557"/>
        <v>X</v>
      </c>
      <c r="AZ644" s="22" t="str">
        <f t="shared" si="558"/>
        <v>O</v>
      </c>
      <c r="BA644" s="22" t="str">
        <f t="shared" si="559"/>
        <v>O</v>
      </c>
      <c r="BB644" s="22">
        <f t="shared" si="560"/>
        <v>3</v>
      </c>
      <c r="BC644" s="22" t="str">
        <f t="shared" ref="BC644" si="711">VLOOKUP(N644,삼그룹,6,FALSE)</f>
        <v>1G</v>
      </c>
      <c r="BD644" s="22" t="str">
        <f t="shared" ref="BD644" si="712">VLOOKUP(O644,삼그룹,6,FALSE)</f>
        <v>2G</v>
      </c>
      <c r="BE644" s="22" t="str">
        <f t="shared" ref="BE644" si="713">VLOOKUP(P644,삼그룹,6,FALSE)</f>
        <v>2G</v>
      </c>
      <c r="BF644" s="22" t="str">
        <f t="shared" ref="BF644" si="714">VLOOKUP(Q644,삼그룹,6,FALSE)</f>
        <v>3G</v>
      </c>
      <c r="BG644" s="22" t="str">
        <f t="shared" ref="BG644" si="715">VLOOKUP(R644,삼그룹,6,FALSE)</f>
        <v>3G</v>
      </c>
      <c r="BH644" s="22" t="str">
        <f t="shared" ref="BH644" si="716">VLOOKUP(S644,삼그룹,6,FALSE)</f>
        <v>3G</v>
      </c>
      <c r="BI644" s="22">
        <f t="shared" si="568"/>
        <v>1</v>
      </c>
      <c r="BJ644" s="22">
        <f t="shared" si="569"/>
        <v>2</v>
      </c>
      <c r="BK644" s="22">
        <f t="shared" si="570"/>
        <v>3</v>
      </c>
      <c r="BL644" s="22" t="str">
        <f t="shared" ref="BL644" si="717">BI644&amp;BJ644&amp;BK644</f>
        <v>123</v>
      </c>
      <c r="BS644"/>
    </row>
    <row r="645" spans="2:71" ht="17" hidden="1">
      <c r="B645" s="16">
        <v>642</v>
      </c>
      <c r="C645" s="23" t="s">
        <v>1007</v>
      </c>
      <c r="N645" s="23">
        <v>8</v>
      </c>
      <c r="O645" s="23">
        <v>17</v>
      </c>
      <c r="P645" s="23">
        <v>18</v>
      </c>
      <c r="Q645" s="23">
        <v>24</v>
      </c>
      <c r="R645" s="23">
        <v>39</v>
      </c>
      <c r="S645" s="23">
        <v>45</v>
      </c>
      <c r="T645" s="23">
        <v>32</v>
      </c>
      <c r="U645" s="23">
        <f t="shared" si="528"/>
        <v>151</v>
      </c>
      <c r="W645" s="22" t="str">
        <f t="shared" si="529"/>
        <v>짝수</v>
      </c>
      <c r="X645" s="22" t="str">
        <f t="shared" si="530"/>
        <v>홀수</v>
      </c>
      <c r="Y645" s="22" t="str">
        <f t="shared" si="531"/>
        <v>짝수</v>
      </c>
      <c r="Z645" s="22" t="str">
        <f t="shared" si="532"/>
        <v>짝수</v>
      </c>
      <c r="AA645" s="23" t="str">
        <f t="shared" si="533"/>
        <v>홀수</v>
      </c>
      <c r="AB645" s="23" t="str">
        <f t="shared" si="534"/>
        <v>홀수</v>
      </c>
      <c r="AC645" s="22" t="str">
        <f t="shared" si="535"/>
        <v>3 : 3</v>
      </c>
      <c r="AD645" s="22">
        <f t="shared" si="536"/>
        <v>3</v>
      </c>
      <c r="AE645" s="22">
        <f t="shared" si="537"/>
        <v>3</v>
      </c>
      <c r="AF645" s="22" t="str">
        <f t="shared" si="538"/>
        <v>저수</v>
      </c>
      <c r="AG645" s="22" t="str">
        <f t="shared" si="539"/>
        <v>저수</v>
      </c>
      <c r="AH645" s="22" t="str">
        <f t="shared" si="540"/>
        <v>저수</v>
      </c>
      <c r="AI645" s="22" t="str">
        <f t="shared" si="541"/>
        <v>고수</v>
      </c>
      <c r="AJ645" s="22" t="str">
        <f t="shared" si="542"/>
        <v>고수</v>
      </c>
      <c r="AK645" s="22" t="str">
        <f t="shared" si="543"/>
        <v>고수</v>
      </c>
      <c r="AL645" s="22" t="str">
        <f t="shared" si="544"/>
        <v>3 : 3</v>
      </c>
      <c r="AM645" s="22">
        <f t="shared" si="545"/>
        <v>3</v>
      </c>
      <c r="AN645" s="22">
        <f t="shared" si="546"/>
        <v>3</v>
      </c>
      <c r="AO645" s="22">
        <f t="shared" si="547"/>
        <v>41</v>
      </c>
      <c r="AP645" s="22" t="str">
        <f t="shared" si="548"/>
        <v>X</v>
      </c>
      <c r="AQ645" s="22" t="str">
        <f t="shared" si="549"/>
        <v>O</v>
      </c>
      <c r="AR645" s="22" t="str">
        <f t="shared" si="550"/>
        <v>X</v>
      </c>
      <c r="AS645" s="22" t="str">
        <f t="shared" si="551"/>
        <v>X</v>
      </c>
      <c r="AT645" s="22" t="str">
        <f t="shared" si="552"/>
        <v>X</v>
      </c>
      <c r="AU645" s="22" t="str">
        <f t="shared" si="553"/>
        <v>X</v>
      </c>
      <c r="AV645" s="22" t="str">
        <f t="shared" si="554"/>
        <v>X</v>
      </c>
      <c r="AW645" s="22" t="str">
        <f t="shared" si="555"/>
        <v>X</v>
      </c>
      <c r="AX645" s="22" t="str">
        <f t="shared" si="556"/>
        <v>X</v>
      </c>
      <c r="AY645" s="22" t="str">
        <f t="shared" si="557"/>
        <v>X</v>
      </c>
      <c r="AZ645" s="22" t="str">
        <f t="shared" si="558"/>
        <v>X</v>
      </c>
      <c r="BA645" s="22" t="str">
        <f t="shared" si="559"/>
        <v>X</v>
      </c>
      <c r="BB645" s="22">
        <f t="shared" si="560"/>
        <v>1</v>
      </c>
      <c r="BC645" s="22" t="str">
        <f t="shared" ref="BC645" si="718">VLOOKUP(N645,삼그룹,6,FALSE)</f>
        <v>1G</v>
      </c>
      <c r="BD645" s="22" t="str">
        <f t="shared" ref="BD645" si="719">VLOOKUP(O645,삼그룹,6,FALSE)</f>
        <v>2G</v>
      </c>
      <c r="BE645" s="22" t="str">
        <f t="shared" ref="BE645" si="720">VLOOKUP(P645,삼그룹,6,FALSE)</f>
        <v>2G</v>
      </c>
      <c r="BF645" s="22" t="str">
        <f t="shared" ref="BF645" si="721">VLOOKUP(Q645,삼그룹,6,FALSE)</f>
        <v>2G</v>
      </c>
      <c r="BG645" s="22" t="str">
        <f t="shared" ref="BG645" si="722">VLOOKUP(R645,삼그룹,6,FALSE)</f>
        <v>3G</v>
      </c>
      <c r="BH645" s="22" t="str">
        <f t="shared" ref="BH645" si="723">VLOOKUP(S645,삼그룹,6,FALSE)</f>
        <v>3G</v>
      </c>
      <c r="BI645" s="22">
        <f t="shared" si="568"/>
        <v>1</v>
      </c>
      <c r="BJ645" s="22">
        <f t="shared" si="569"/>
        <v>3</v>
      </c>
      <c r="BK645" s="22">
        <f t="shared" si="570"/>
        <v>2</v>
      </c>
      <c r="BL645" s="22" t="str">
        <f t="shared" ref="BL645" si="724">BI645&amp;BJ645&amp;BK645</f>
        <v>132</v>
      </c>
      <c r="BS645"/>
    </row>
    <row r="646" spans="2:71" ht="17" hidden="1">
      <c r="B646" s="16">
        <v>643</v>
      </c>
      <c r="C646" s="23" t="s">
        <v>1008</v>
      </c>
      <c r="N646" s="23">
        <v>15</v>
      </c>
      <c r="O646" s="23">
        <v>24</v>
      </c>
      <c r="P646" s="23">
        <v>31</v>
      </c>
      <c r="Q646" s="23">
        <v>32</v>
      </c>
      <c r="R646" s="23">
        <v>33</v>
      </c>
      <c r="S646" s="23">
        <v>40</v>
      </c>
      <c r="T646" s="23">
        <v>13</v>
      </c>
      <c r="U646" s="23">
        <f t="shared" si="528"/>
        <v>175</v>
      </c>
      <c r="W646" s="22" t="str">
        <f t="shared" si="529"/>
        <v>홀수</v>
      </c>
      <c r="X646" s="22" t="str">
        <f t="shared" si="530"/>
        <v>짝수</v>
      </c>
      <c r="Y646" s="22" t="str">
        <f t="shared" si="531"/>
        <v>홀수</v>
      </c>
      <c r="Z646" s="22" t="str">
        <f t="shared" si="532"/>
        <v>짝수</v>
      </c>
      <c r="AA646" s="23" t="str">
        <f t="shared" si="533"/>
        <v>홀수</v>
      </c>
      <c r="AB646" s="23" t="str">
        <f t="shared" si="534"/>
        <v>짝수</v>
      </c>
      <c r="AC646" s="22" t="str">
        <f t="shared" si="535"/>
        <v>3 : 3</v>
      </c>
      <c r="AD646" s="22">
        <f t="shared" si="536"/>
        <v>3</v>
      </c>
      <c r="AE646" s="22">
        <f t="shared" si="537"/>
        <v>3</v>
      </c>
      <c r="AF646" s="22" t="str">
        <f t="shared" si="538"/>
        <v>저수</v>
      </c>
      <c r="AG646" s="22" t="str">
        <f t="shared" si="539"/>
        <v>고수</v>
      </c>
      <c r="AH646" s="22" t="str">
        <f t="shared" si="540"/>
        <v>고수</v>
      </c>
      <c r="AI646" s="22" t="str">
        <f t="shared" si="541"/>
        <v>고수</v>
      </c>
      <c r="AJ646" s="22" t="str">
        <f t="shared" si="542"/>
        <v>고수</v>
      </c>
      <c r="AK646" s="22" t="str">
        <f t="shared" si="543"/>
        <v>고수</v>
      </c>
      <c r="AL646" s="22" t="str">
        <f t="shared" si="544"/>
        <v>1 : 5</v>
      </c>
      <c r="AM646" s="22">
        <f t="shared" si="545"/>
        <v>1</v>
      </c>
      <c r="AN646" s="22">
        <f t="shared" si="546"/>
        <v>5</v>
      </c>
      <c r="AO646" s="22">
        <f t="shared" si="547"/>
        <v>15</v>
      </c>
      <c r="AP646" s="22" t="str">
        <f t="shared" si="548"/>
        <v>X</v>
      </c>
      <c r="AQ646" s="22" t="str">
        <f t="shared" si="549"/>
        <v>X</v>
      </c>
      <c r="AR646" s="22" t="str">
        <f t="shared" si="550"/>
        <v>X</v>
      </c>
      <c r="AS646" s="22" t="str">
        <f t="shared" si="551"/>
        <v>X</v>
      </c>
      <c r="AT646" s="22" t="str">
        <f t="shared" si="552"/>
        <v>X</v>
      </c>
      <c r="AU646" s="22" t="str">
        <f t="shared" si="553"/>
        <v>X</v>
      </c>
      <c r="AV646" s="22" t="str">
        <f t="shared" si="554"/>
        <v>X</v>
      </c>
      <c r="AW646" s="22" t="str">
        <f t="shared" si="555"/>
        <v>X</v>
      </c>
      <c r="AX646" s="22" t="str">
        <f t="shared" si="556"/>
        <v>O</v>
      </c>
      <c r="AY646" s="22" t="str">
        <f t="shared" si="557"/>
        <v>X</v>
      </c>
      <c r="AZ646" s="22" t="str">
        <f t="shared" si="558"/>
        <v>X</v>
      </c>
      <c r="BA646" s="22" t="str">
        <f t="shared" si="559"/>
        <v>X</v>
      </c>
      <c r="BB646" s="22">
        <f t="shared" si="560"/>
        <v>1</v>
      </c>
      <c r="BC646" s="22" t="str">
        <f t="shared" ref="BC646" si="725">VLOOKUP(N646,삼그룹,6,FALSE)</f>
        <v>1G</v>
      </c>
      <c r="BD646" s="22" t="str">
        <f t="shared" ref="BD646" si="726">VLOOKUP(O646,삼그룹,6,FALSE)</f>
        <v>2G</v>
      </c>
      <c r="BE646" s="22" t="str">
        <f t="shared" ref="BE646" si="727">VLOOKUP(P646,삼그룹,6,FALSE)</f>
        <v>3G</v>
      </c>
      <c r="BF646" s="22" t="str">
        <f t="shared" ref="BF646" si="728">VLOOKUP(Q646,삼그룹,6,FALSE)</f>
        <v>3G</v>
      </c>
      <c r="BG646" s="22" t="str">
        <f t="shared" ref="BG646" si="729">VLOOKUP(R646,삼그룹,6,FALSE)</f>
        <v>3G</v>
      </c>
      <c r="BH646" s="22" t="str">
        <f t="shared" ref="BH646" si="730">VLOOKUP(S646,삼그룹,6,FALSE)</f>
        <v>3G</v>
      </c>
      <c r="BI646" s="22">
        <f t="shared" si="568"/>
        <v>1</v>
      </c>
      <c r="BJ646" s="22">
        <f t="shared" si="569"/>
        <v>1</v>
      </c>
      <c r="BK646" s="22">
        <f t="shared" si="570"/>
        <v>4</v>
      </c>
      <c r="BL646" s="22" t="str">
        <f t="shared" ref="BL646" si="731">BI646&amp;BJ646&amp;BK646</f>
        <v>114</v>
      </c>
      <c r="BS646"/>
    </row>
    <row r="647" spans="2:71" ht="17" hidden="1">
      <c r="B647" s="16">
        <v>644</v>
      </c>
      <c r="C647" s="23" t="s">
        <v>1009</v>
      </c>
      <c r="N647" s="23">
        <v>5</v>
      </c>
      <c r="O647" s="23">
        <v>13</v>
      </c>
      <c r="P647" s="23">
        <v>17</v>
      </c>
      <c r="Q647" s="23">
        <v>23</v>
      </c>
      <c r="R647" s="23">
        <v>28</v>
      </c>
      <c r="S647" s="23">
        <v>36</v>
      </c>
      <c r="T647" s="23">
        <v>8</v>
      </c>
      <c r="U647" s="23">
        <f t="shared" si="528"/>
        <v>122</v>
      </c>
      <c r="W647" s="22" t="str">
        <f t="shared" si="529"/>
        <v>홀수</v>
      </c>
      <c r="X647" s="22" t="str">
        <f t="shared" si="530"/>
        <v>홀수</v>
      </c>
      <c r="Y647" s="22" t="str">
        <f t="shared" si="531"/>
        <v>홀수</v>
      </c>
      <c r="Z647" s="22" t="str">
        <f t="shared" si="532"/>
        <v>홀수</v>
      </c>
      <c r="AA647" s="23" t="str">
        <f t="shared" si="533"/>
        <v>짝수</v>
      </c>
      <c r="AB647" s="23" t="str">
        <f t="shared" si="534"/>
        <v>짝수</v>
      </c>
      <c r="AC647" s="22" t="str">
        <f t="shared" si="535"/>
        <v>4 : 2</v>
      </c>
      <c r="AD647" s="22">
        <f t="shared" si="536"/>
        <v>4</v>
      </c>
      <c r="AE647" s="22">
        <f t="shared" si="537"/>
        <v>2</v>
      </c>
      <c r="AF647" s="22" t="str">
        <f t="shared" si="538"/>
        <v>저수</v>
      </c>
      <c r="AG647" s="22" t="str">
        <f t="shared" si="539"/>
        <v>저수</v>
      </c>
      <c r="AH647" s="22" t="str">
        <f t="shared" si="540"/>
        <v>저수</v>
      </c>
      <c r="AI647" s="22" t="str">
        <f t="shared" si="541"/>
        <v>고수</v>
      </c>
      <c r="AJ647" s="22" t="str">
        <f t="shared" si="542"/>
        <v>고수</v>
      </c>
      <c r="AK647" s="22" t="str">
        <f t="shared" si="543"/>
        <v>고수</v>
      </c>
      <c r="AL647" s="22" t="str">
        <f t="shared" si="544"/>
        <v>3 : 3</v>
      </c>
      <c r="AM647" s="22">
        <f t="shared" si="545"/>
        <v>3</v>
      </c>
      <c r="AN647" s="22">
        <f t="shared" si="546"/>
        <v>3</v>
      </c>
      <c r="AO647" s="22">
        <f t="shared" si="547"/>
        <v>32</v>
      </c>
      <c r="AP647" s="22" t="str">
        <f t="shared" si="548"/>
        <v>O</v>
      </c>
      <c r="AQ647" s="22" t="str">
        <f t="shared" si="549"/>
        <v>O</v>
      </c>
      <c r="AR647" s="22" t="str">
        <f t="shared" si="550"/>
        <v>O</v>
      </c>
      <c r="AS647" s="22" t="str">
        <f t="shared" si="551"/>
        <v>X</v>
      </c>
      <c r="AT647" s="22" t="str">
        <f t="shared" si="552"/>
        <v>X</v>
      </c>
      <c r="AU647" s="22" t="str">
        <f t="shared" si="553"/>
        <v>X</v>
      </c>
      <c r="AV647" s="22" t="str">
        <f t="shared" si="554"/>
        <v>X</v>
      </c>
      <c r="AW647" s="22" t="str">
        <f t="shared" si="555"/>
        <v>X</v>
      </c>
      <c r="AX647" s="22" t="str">
        <f t="shared" si="556"/>
        <v>X</v>
      </c>
      <c r="AY647" s="22" t="str">
        <f t="shared" si="557"/>
        <v>O</v>
      </c>
      <c r="AZ647" s="22" t="str">
        <f t="shared" si="558"/>
        <v>X</v>
      </c>
      <c r="BA647" s="22" t="str">
        <f t="shared" si="559"/>
        <v>X</v>
      </c>
      <c r="BB647" s="22">
        <f t="shared" si="560"/>
        <v>4</v>
      </c>
      <c r="BC647" s="22" t="str">
        <f t="shared" ref="BC647" si="732">VLOOKUP(N647,삼그룹,6,FALSE)</f>
        <v>1G</v>
      </c>
      <c r="BD647" s="22" t="str">
        <f t="shared" ref="BD647" si="733">VLOOKUP(O647,삼그룹,6,FALSE)</f>
        <v>1G</v>
      </c>
      <c r="BE647" s="22" t="str">
        <f t="shared" ref="BE647" si="734">VLOOKUP(P647,삼그룹,6,FALSE)</f>
        <v>2G</v>
      </c>
      <c r="BF647" s="22" t="str">
        <f t="shared" ref="BF647" si="735">VLOOKUP(Q647,삼그룹,6,FALSE)</f>
        <v>2G</v>
      </c>
      <c r="BG647" s="22" t="str">
        <f t="shared" ref="BG647" si="736">VLOOKUP(R647,삼그룹,6,FALSE)</f>
        <v>2G</v>
      </c>
      <c r="BH647" s="22" t="str">
        <f t="shared" ref="BH647" si="737">VLOOKUP(S647,삼그룹,6,FALSE)</f>
        <v>3G</v>
      </c>
      <c r="BI647" s="22">
        <f t="shared" si="568"/>
        <v>2</v>
      </c>
      <c r="BJ647" s="22">
        <f t="shared" si="569"/>
        <v>3</v>
      </c>
      <c r="BK647" s="22">
        <f t="shared" si="570"/>
        <v>1</v>
      </c>
      <c r="BL647" s="22" t="str">
        <f t="shared" ref="BL647" si="738">BI647&amp;BJ647&amp;BK647</f>
        <v>231</v>
      </c>
      <c r="BS647"/>
    </row>
    <row r="648" spans="2:71" ht="17" hidden="1">
      <c r="B648" s="16">
        <v>645</v>
      </c>
      <c r="C648" s="23" t="s">
        <v>1010</v>
      </c>
      <c r="N648" s="23">
        <v>1</v>
      </c>
      <c r="O648" s="23">
        <v>4</v>
      </c>
      <c r="P648" s="23">
        <v>16</v>
      </c>
      <c r="Q648" s="23">
        <v>26</v>
      </c>
      <c r="R648" s="23">
        <v>40</v>
      </c>
      <c r="S648" s="23">
        <v>41</v>
      </c>
      <c r="T648" s="23">
        <v>31</v>
      </c>
      <c r="U648" s="23">
        <f t="shared" si="528"/>
        <v>128</v>
      </c>
      <c r="W648" s="22" t="str">
        <f t="shared" si="529"/>
        <v>홀수</v>
      </c>
      <c r="X648" s="22" t="str">
        <f t="shared" si="530"/>
        <v>짝수</v>
      </c>
      <c r="Y648" s="22" t="str">
        <f t="shared" si="531"/>
        <v>짝수</v>
      </c>
      <c r="Z648" s="22" t="str">
        <f t="shared" si="532"/>
        <v>짝수</v>
      </c>
      <c r="AA648" s="23" t="str">
        <f t="shared" si="533"/>
        <v>짝수</v>
      </c>
      <c r="AB648" s="23" t="str">
        <f t="shared" si="534"/>
        <v>홀수</v>
      </c>
      <c r="AC648" s="22" t="str">
        <f t="shared" si="535"/>
        <v>2 : 4</v>
      </c>
      <c r="AD648" s="22">
        <f t="shared" si="536"/>
        <v>2</v>
      </c>
      <c r="AE648" s="22">
        <f t="shared" si="537"/>
        <v>4</v>
      </c>
      <c r="AF648" s="22" t="str">
        <f t="shared" si="538"/>
        <v>저수</v>
      </c>
      <c r="AG648" s="22" t="str">
        <f t="shared" si="539"/>
        <v>저수</v>
      </c>
      <c r="AH648" s="22" t="str">
        <f t="shared" si="540"/>
        <v>저수</v>
      </c>
      <c r="AI648" s="22" t="str">
        <f t="shared" si="541"/>
        <v>고수</v>
      </c>
      <c r="AJ648" s="22" t="str">
        <f t="shared" si="542"/>
        <v>고수</v>
      </c>
      <c r="AK648" s="22" t="str">
        <f t="shared" si="543"/>
        <v>고수</v>
      </c>
      <c r="AL648" s="22" t="str">
        <f t="shared" si="544"/>
        <v>3 : 3</v>
      </c>
      <c r="AM648" s="22">
        <f t="shared" si="545"/>
        <v>3</v>
      </c>
      <c r="AN648" s="22">
        <f t="shared" si="546"/>
        <v>3</v>
      </c>
      <c r="AO648" s="22">
        <f t="shared" si="547"/>
        <v>18</v>
      </c>
      <c r="AP648" s="22" t="str">
        <f t="shared" si="548"/>
        <v>X</v>
      </c>
      <c r="AQ648" s="22" t="str">
        <f t="shared" si="549"/>
        <v>X</v>
      </c>
      <c r="AR648" s="22" t="str">
        <f t="shared" si="550"/>
        <v>X</v>
      </c>
      <c r="AS648" s="22" t="str">
        <f t="shared" si="551"/>
        <v>X</v>
      </c>
      <c r="AT648" s="22" t="str">
        <f t="shared" si="552"/>
        <v>X</v>
      </c>
      <c r="AU648" s="22" t="str">
        <f t="shared" si="553"/>
        <v>X</v>
      </c>
      <c r="AV648" s="22" t="str">
        <f t="shared" si="554"/>
        <v>X</v>
      </c>
      <c r="AW648" s="22" t="str">
        <f t="shared" si="555"/>
        <v>X</v>
      </c>
      <c r="AX648" s="22" t="str">
        <f t="shared" si="556"/>
        <v>X</v>
      </c>
      <c r="AY648" s="22" t="str">
        <f t="shared" si="557"/>
        <v>X</v>
      </c>
      <c r="AZ648" s="22" t="str">
        <f t="shared" si="558"/>
        <v>X</v>
      </c>
      <c r="BA648" s="22" t="str">
        <f t="shared" si="559"/>
        <v>O</v>
      </c>
      <c r="BB648" s="22">
        <f t="shared" si="560"/>
        <v>1</v>
      </c>
      <c r="BC648" s="22" t="str">
        <f t="shared" ref="BC648" si="739">VLOOKUP(N648,삼그룹,6,FALSE)</f>
        <v>1G</v>
      </c>
      <c r="BD648" s="22" t="str">
        <f t="shared" ref="BD648" si="740">VLOOKUP(O648,삼그룹,6,FALSE)</f>
        <v>1G</v>
      </c>
      <c r="BE648" s="22" t="str">
        <f t="shared" ref="BE648" si="741">VLOOKUP(P648,삼그룹,6,FALSE)</f>
        <v>2G</v>
      </c>
      <c r="BF648" s="22" t="str">
        <f t="shared" ref="BF648" si="742">VLOOKUP(Q648,삼그룹,6,FALSE)</f>
        <v>2G</v>
      </c>
      <c r="BG648" s="22" t="str">
        <f t="shared" ref="BG648" si="743">VLOOKUP(R648,삼그룹,6,FALSE)</f>
        <v>3G</v>
      </c>
      <c r="BH648" s="22" t="str">
        <f t="shared" ref="BH648" si="744">VLOOKUP(S648,삼그룹,6,FALSE)</f>
        <v>3G</v>
      </c>
      <c r="BI648" s="22">
        <f t="shared" si="568"/>
        <v>2</v>
      </c>
      <c r="BJ648" s="22">
        <f t="shared" si="569"/>
        <v>2</v>
      </c>
      <c r="BK648" s="22">
        <f t="shared" si="570"/>
        <v>2</v>
      </c>
      <c r="BL648" s="22" t="str">
        <f t="shared" ref="BL648" si="745">BI648&amp;BJ648&amp;BK648</f>
        <v>222</v>
      </c>
      <c r="BS648"/>
    </row>
    <row r="649" spans="2:71" ht="17" hidden="1">
      <c r="B649" s="16">
        <v>646</v>
      </c>
      <c r="C649" s="23" t="s">
        <v>1011</v>
      </c>
      <c r="N649" s="23">
        <v>2</v>
      </c>
      <c r="O649" s="23">
        <v>9</v>
      </c>
      <c r="P649" s="23">
        <v>24</v>
      </c>
      <c r="Q649" s="23">
        <v>41</v>
      </c>
      <c r="R649" s="23">
        <v>43</v>
      </c>
      <c r="S649" s="23">
        <v>45</v>
      </c>
      <c r="T649" s="23">
        <v>30</v>
      </c>
      <c r="U649" s="23">
        <f t="shared" si="528"/>
        <v>164</v>
      </c>
      <c r="W649" s="22" t="str">
        <f t="shared" si="529"/>
        <v>짝수</v>
      </c>
      <c r="X649" s="22" t="str">
        <f t="shared" si="530"/>
        <v>홀수</v>
      </c>
      <c r="Y649" s="22" t="str">
        <f t="shared" si="531"/>
        <v>짝수</v>
      </c>
      <c r="Z649" s="22" t="str">
        <f t="shared" si="532"/>
        <v>홀수</v>
      </c>
      <c r="AA649" s="23" t="str">
        <f t="shared" si="533"/>
        <v>홀수</v>
      </c>
      <c r="AB649" s="23" t="str">
        <f t="shared" si="534"/>
        <v>홀수</v>
      </c>
      <c r="AC649" s="22" t="str">
        <f t="shared" si="535"/>
        <v>4 : 2</v>
      </c>
      <c r="AD649" s="22">
        <f t="shared" si="536"/>
        <v>4</v>
      </c>
      <c r="AE649" s="22">
        <f t="shared" si="537"/>
        <v>2</v>
      </c>
      <c r="AF649" s="22" t="str">
        <f t="shared" si="538"/>
        <v>저수</v>
      </c>
      <c r="AG649" s="22" t="str">
        <f t="shared" si="539"/>
        <v>저수</v>
      </c>
      <c r="AH649" s="22" t="str">
        <f t="shared" si="540"/>
        <v>고수</v>
      </c>
      <c r="AI649" s="22" t="str">
        <f t="shared" si="541"/>
        <v>고수</v>
      </c>
      <c r="AJ649" s="22" t="str">
        <f t="shared" si="542"/>
        <v>고수</v>
      </c>
      <c r="AK649" s="22" t="str">
        <f t="shared" si="543"/>
        <v>고수</v>
      </c>
      <c r="AL649" s="22" t="str">
        <f t="shared" si="544"/>
        <v>2 : 4</v>
      </c>
      <c r="AM649" s="22">
        <f t="shared" si="545"/>
        <v>2</v>
      </c>
      <c r="AN649" s="22">
        <f t="shared" si="546"/>
        <v>4</v>
      </c>
      <c r="AO649" s="22">
        <f t="shared" si="547"/>
        <v>24</v>
      </c>
      <c r="AP649" s="22" t="str">
        <f t="shared" si="548"/>
        <v>O</v>
      </c>
      <c r="AQ649" s="22" t="str">
        <f t="shared" si="549"/>
        <v>X</v>
      </c>
      <c r="AR649" s="22" t="str">
        <f t="shared" si="550"/>
        <v>X</v>
      </c>
      <c r="AS649" s="22" t="str">
        <f t="shared" si="551"/>
        <v>X</v>
      </c>
      <c r="AT649" s="22" t="str">
        <f t="shared" si="552"/>
        <v>X</v>
      </c>
      <c r="AU649" s="22" t="str">
        <f t="shared" si="553"/>
        <v>X</v>
      </c>
      <c r="AV649" s="22" t="str">
        <f t="shared" si="554"/>
        <v>X</v>
      </c>
      <c r="AW649" s="22" t="str">
        <f t="shared" si="555"/>
        <v>X</v>
      </c>
      <c r="AX649" s="22" t="str">
        <f t="shared" si="556"/>
        <v>X</v>
      </c>
      <c r="AY649" s="22" t="str">
        <f t="shared" si="557"/>
        <v>O</v>
      </c>
      <c r="AZ649" s="22" t="str">
        <f t="shared" si="558"/>
        <v>O</v>
      </c>
      <c r="BA649" s="22" t="str">
        <f t="shared" si="559"/>
        <v>X</v>
      </c>
      <c r="BB649" s="22">
        <f t="shared" si="560"/>
        <v>3</v>
      </c>
      <c r="BC649" s="22" t="str">
        <f t="shared" ref="BC649" si="746">VLOOKUP(N649,삼그룹,6,FALSE)</f>
        <v>1G</v>
      </c>
      <c r="BD649" s="22" t="str">
        <f t="shared" ref="BD649" si="747">VLOOKUP(O649,삼그룹,6,FALSE)</f>
        <v>1G</v>
      </c>
      <c r="BE649" s="22" t="str">
        <f t="shared" ref="BE649" si="748">VLOOKUP(P649,삼그룹,6,FALSE)</f>
        <v>2G</v>
      </c>
      <c r="BF649" s="22" t="str">
        <f t="shared" ref="BF649" si="749">VLOOKUP(Q649,삼그룹,6,FALSE)</f>
        <v>3G</v>
      </c>
      <c r="BG649" s="22" t="str">
        <f t="shared" ref="BG649" si="750">VLOOKUP(R649,삼그룹,6,FALSE)</f>
        <v>3G</v>
      </c>
      <c r="BH649" s="22" t="str">
        <f t="shared" ref="BH649" si="751">VLOOKUP(S649,삼그룹,6,FALSE)</f>
        <v>3G</v>
      </c>
      <c r="BI649" s="22">
        <f t="shared" si="568"/>
        <v>2</v>
      </c>
      <c r="BJ649" s="22">
        <f t="shared" si="569"/>
        <v>1</v>
      </c>
      <c r="BK649" s="22">
        <f t="shared" si="570"/>
        <v>3</v>
      </c>
      <c r="BL649" s="22" t="str">
        <f t="shared" ref="BL649" si="752">BI649&amp;BJ649&amp;BK649</f>
        <v>213</v>
      </c>
      <c r="BS649"/>
    </row>
    <row r="650" spans="2:71" ht="17" hidden="1">
      <c r="B650" s="16">
        <v>647</v>
      </c>
      <c r="C650" s="23" t="s">
        <v>1012</v>
      </c>
      <c r="N650" s="23">
        <v>5</v>
      </c>
      <c r="O650" s="23">
        <v>16</v>
      </c>
      <c r="P650" s="23">
        <v>21</v>
      </c>
      <c r="Q650" s="23">
        <v>23</v>
      </c>
      <c r="R650" s="23">
        <v>24</v>
      </c>
      <c r="S650" s="23">
        <v>30</v>
      </c>
      <c r="T650" s="23">
        <v>29</v>
      </c>
      <c r="U650" s="23">
        <f t="shared" si="528"/>
        <v>119</v>
      </c>
      <c r="W650" s="22" t="str">
        <f t="shared" si="529"/>
        <v>홀수</v>
      </c>
      <c r="X650" s="22" t="str">
        <f t="shared" si="530"/>
        <v>짝수</v>
      </c>
      <c r="Y650" s="22" t="str">
        <f t="shared" si="531"/>
        <v>홀수</v>
      </c>
      <c r="Z650" s="22" t="str">
        <f t="shared" si="532"/>
        <v>홀수</v>
      </c>
      <c r="AA650" s="23" t="str">
        <f t="shared" si="533"/>
        <v>짝수</v>
      </c>
      <c r="AB650" s="23" t="str">
        <f t="shared" si="534"/>
        <v>짝수</v>
      </c>
      <c r="AC650" s="22" t="str">
        <f t="shared" si="535"/>
        <v>3 : 3</v>
      </c>
      <c r="AD650" s="22">
        <f t="shared" si="536"/>
        <v>3</v>
      </c>
      <c r="AE650" s="22">
        <f t="shared" si="537"/>
        <v>3</v>
      </c>
      <c r="AF650" s="22" t="str">
        <f t="shared" si="538"/>
        <v>저수</v>
      </c>
      <c r="AG650" s="22" t="str">
        <f t="shared" si="539"/>
        <v>저수</v>
      </c>
      <c r="AH650" s="22" t="str">
        <f t="shared" si="540"/>
        <v>저수</v>
      </c>
      <c r="AI650" s="22" t="str">
        <f t="shared" si="541"/>
        <v>고수</v>
      </c>
      <c r="AJ650" s="22" t="str">
        <f t="shared" si="542"/>
        <v>고수</v>
      </c>
      <c r="AK650" s="22" t="str">
        <f t="shared" si="543"/>
        <v>고수</v>
      </c>
      <c r="AL650" s="22" t="str">
        <f t="shared" si="544"/>
        <v>3 : 3</v>
      </c>
      <c r="AM650" s="22">
        <f t="shared" si="545"/>
        <v>3</v>
      </c>
      <c r="AN650" s="22">
        <f t="shared" si="546"/>
        <v>3</v>
      </c>
      <c r="AO650" s="22">
        <f t="shared" si="547"/>
        <v>19</v>
      </c>
      <c r="AP650" s="22" t="str">
        <f t="shared" si="548"/>
        <v>O</v>
      </c>
      <c r="AQ650" s="22" t="str">
        <f t="shared" si="549"/>
        <v>X</v>
      </c>
      <c r="AR650" s="22" t="str">
        <f t="shared" si="550"/>
        <v>X</v>
      </c>
      <c r="AS650" s="22" t="str">
        <f t="shared" si="551"/>
        <v>X</v>
      </c>
      <c r="AT650" s="22" t="str">
        <f t="shared" si="552"/>
        <v>X</v>
      </c>
      <c r="AU650" s="22" t="str">
        <f t="shared" si="553"/>
        <v>X</v>
      </c>
      <c r="AV650" s="22" t="str">
        <f t="shared" si="554"/>
        <v>X</v>
      </c>
      <c r="AW650" s="22" t="str">
        <f t="shared" si="555"/>
        <v>X</v>
      </c>
      <c r="AX650" s="22" t="str">
        <f t="shared" si="556"/>
        <v>X</v>
      </c>
      <c r="AY650" s="22" t="str">
        <f t="shared" si="557"/>
        <v>O</v>
      </c>
      <c r="AZ650" s="22" t="str">
        <f t="shared" si="558"/>
        <v>X</v>
      </c>
      <c r="BA650" s="22" t="str">
        <f t="shared" si="559"/>
        <v>X</v>
      </c>
      <c r="BB650" s="22">
        <f t="shared" si="560"/>
        <v>2</v>
      </c>
      <c r="BC650" s="22" t="str">
        <f t="shared" ref="BC650" si="753">VLOOKUP(N650,삼그룹,6,FALSE)</f>
        <v>1G</v>
      </c>
      <c r="BD650" s="22" t="str">
        <f t="shared" ref="BD650" si="754">VLOOKUP(O650,삼그룹,6,FALSE)</f>
        <v>2G</v>
      </c>
      <c r="BE650" s="22" t="str">
        <f t="shared" ref="BE650" si="755">VLOOKUP(P650,삼그룹,6,FALSE)</f>
        <v>2G</v>
      </c>
      <c r="BF650" s="22" t="str">
        <f t="shared" ref="BF650" si="756">VLOOKUP(Q650,삼그룹,6,FALSE)</f>
        <v>2G</v>
      </c>
      <c r="BG650" s="22" t="str">
        <f t="shared" ref="BG650" si="757">VLOOKUP(R650,삼그룹,6,FALSE)</f>
        <v>2G</v>
      </c>
      <c r="BH650" s="22" t="str">
        <f t="shared" ref="BH650" si="758">VLOOKUP(S650,삼그룹,6,FALSE)</f>
        <v>2G</v>
      </c>
      <c r="BI650" s="22">
        <f t="shared" si="568"/>
        <v>1</v>
      </c>
      <c r="BJ650" s="22">
        <f t="shared" si="569"/>
        <v>5</v>
      </c>
      <c r="BK650" s="22">
        <f t="shared" si="570"/>
        <v>0</v>
      </c>
      <c r="BL650" s="22" t="str">
        <f t="shared" ref="BL650" si="759">BI650&amp;BJ650&amp;BK650</f>
        <v>150</v>
      </c>
      <c r="BS650"/>
    </row>
    <row r="651" spans="2:71" ht="17" hidden="1">
      <c r="B651" s="16">
        <v>648</v>
      </c>
      <c r="C651" s="23" t="s">
        <v>1013</v>
      </c>
      <c r="N651" s="23">
        <v>13</v>
      </c>
      <c r="O651" s="23">
        <v>19</v>
      </c>
      <c r="P651" s="23">
        <v>28</v>
      </c>
      <c r="Q651" s="23">
        <v>37</v>
      </c>
      <c r="R651" s="23">
        <v>38</v>
      </c>
      <c r="S651" s="23">
        <v>43</v>
      </c>
      <c r="T651" s="23">
        <v>4</v>
      </c>
      <c r="U651" s="23">
        <f t="shared" si="528"/>
        <v>178</v>
      </c>
      <c r="W651" s="22" t="str">
        <f t="shared" si="529"/>
        <v>홀수</v>
      </c>
      <c r="X651" s="22" t="str">
        <f t="shared" si="530"/>
        <v>홀수</v>
      </c>
      <c r="Y651" s="22" t="str">
        <f t="shared" si="531"/>
        <v>짝수</v>
      </c>
      <c r="Z651" s="22" t="str">
        <f t="shared" si="532"/>
        <v>홀수</v>
      </c>
      <c r="AA651" s="23" t="str">
        <f t="shared" si="533"/>
        <v>짝수</v>
      </c>
      <c r="AB651" s="23" t="str">
        <f t="shared" si="534"/>
        <v>홀수</v>
      </c>
      <c r="AC651" s="22" t="str">
        <f t="shared" si="535"/>
        <v>4 : 2</v>
      </c>
      <c r="AD651" s="22">
        <f t="shared" si="536"/>
        <v>4</v>
      </c>
      <c r="AE651" s="22">
        <f t="shared" si="537"/>
        <v>2</v>
      </c>
      <c r="AF651" s="22" t="str">
        <f t="shared" si="538"/>
        <v>저수</v>
      </c>
      <c r="AG651" s="22" t="str">
        <f t="shared" si="539"/>
        <v>저수</v>
      </c>
      <c r="AH651" s="22" t="str">
        <f t="shared" si="540"/>
        <v>고수</v>
      </c>
      <c r="AI651" s="22" t="str">
        <f t="shared" si="541"/>
        <v>고수</v>
      </c>
      <c r="AJ651" s="22" t="str">
        <f t="shared" si="542"/>
        <v>고수</v>
      </c>
      <c r="AK651" s="22" t="str">
        <f t="shared" si="543"/>
        <v>고수</v>
      </c>
      <c r="AL651" s="22" t="str">
        <f t="shared" si="544"/>
        <v>2 : 4</v>
      </c>
      <c r="AM651" s="22">
        <f t="shared" si="545"/>
        <v>2</v>
      </c>
      <c r="AN651" s="22">
        <f t="shared" si="546"/>
        <v>4</v>
      </c>
      <c r="AO651" s="22">
        <f t="shared" si="547"/>
        <v>38</v>
      </c>
      <c r="AP651" s="22" t="str">
        <f t="shared" si="548"/>
        <v>O</v>
      </c>
      <c r="AQ651" s="22" t="str">
        <f t="shared" si="549"/>
        <v>O</v>
      </c>
      <c r="AR651" s="22" t="str">
        <f t="shared" si="550"/>
        <v>X</v>
      </c>
      <c r="AS651" s="22" t="str">
        <f t="shared" si="551"/>
        <v>X</v>
      </c>
      <c r="AT651" s="22" t="str">
        <f t="shared" si="552"/>
        <v>X</v>
      </c>
      <c r="AU651" s="22" t="str">
        <f t="shared" si="553"/>
        <v>X</v>
      </c>
      <c r="AV651" s="22" t="str">
        <f t="shared" si="554"/>
        <v>X</v>
      </c>
      <c r="AW651" s="22" t="str">
        <f t="shared" si="555"/>
        <v>X</v>
      </c>
      <c r="AX651" s="22" t="str">
        <f t="shared" si="556"/>
        <v>X</v>
      </c>
      <c r="AY651" s="22" t="str">
        <f t="shared" si="557"/>
        <v>O</v>
      </c>
      <c r="AZ651" s="22" t="str">
        <f t="shared" si="558"/>
        <v>X</v>
      </c>
      <c r="BA651" s="22" t="str">
        <f t="shared" si="559"/>
        <v>O</v>
      </c>
      <c r="BB651" s="22">
        <f t="shared" si="560"/>
        <v>4</v>
      </c>
      <c r="BC651" s="22" t="str">
        <f t="shared" ref="BC651" si="760">VLOOKUP(N651,삼그룹,6,FALSE)</f>
        <v>1G</v>
      </c>
      <c r="BD651" s="22" t="str">
        <f t="shared" ref="BD651" si="761">VLOOKUP(O651,삼그룹,6,FALSE)</f>
        <v>2G</v>
      </c>
      <c r="BE651" s="22" t="str">
        <f t="shared" ref="BE651" si="762">VLOOKUP(P651,삼그룹,6,FALSE)</f>
        <v>2G</v>
      </c>
      <c r="BF651" s="22" t="str">
        <f t="shared" ref="BF651" si="763">VLOOKUP(Q651,삼그룹,6,FALSE)</f>
        <v>3G</v>
      </c>
      <c r="BG651" s="22" t="str">
        <f t="shared" ref="BG651" si="764">VLOOKUP(R651,삼그룹,6,FALSE)</f>
        <v>3G</v>
      </c>
      <c r="BH651" s="22" t="str">
        <f t="shared" ref="BH651" si="765">VLOOKUP(S651,삼그룹,6,FALSE)</f>
        <v>3G</v>
      </c>
      <c r="BI651" s="22">
        <f t="shared" si="568"/>
        <v>1</v>
      </c>
      <c r="BJ651" s="22">
        <f t="shared" si="569"/>
        <v>2</v>
      </c>
      <c r="BK651" s="22">
        <f t="shared" si="570"/>
        <v>3</v>
      </c>
      <c r="BL651" s="22" t="str">
        <f t="shared" ref="BL651" si="766">BI651&amp;BJ651&amp;BK651</f>
        <v>123</v>
      </c>
      <c r="BS651"/>
    </row>
    <row r="652" spans="2:71" ht="17" hidden="1">
      <c r="B652" s="16">
        <v>649</v>
      </c>
      <c r="C652" s="23" t="s">
        <v>1014</v>
      </c>
      <c r="N652" s="23">
        <v>3</v>
      </c>
      <c r="O652" s="23">
        <v>21</v>
      </c>
      <c r="P652" s="23">
        <v>22</v>
      </c>
      <c r="Q652" s="23">
        <v>33</v>
      </c>
      <c r="R652" s="23">
        <v>41</v>
      </c>
      <c r="S652" s="23">
        <v>42</v>
      </c>
      <c r="T652" s="23">
        <v>20</v>
      </c>
      <c r="U652" s="23">
        <f t="shared" si="528"/>
        <v>162</v>
      </c>
      <c r="W652" s="22" t="str">
        <f t="shared" si="529"/>
        <v>홀수</v>
      </c>
      <c r="X652" s="22" t="str">
        <f t="shared" si="530"/>
        <v>홀수</v>
      </c>
      <c r="Y652" s="22" t="str">
        <f t="shared" si="531"/>
        <v>짝수</v>
      </c>
      <c r="Z652" s="22" t="str">
        <f t="shared" si="532"/>
        <v>홀수</v>
      </c>
      <c r="AA652" s="23" t="str">
        <f t="shared" si="533"/>
        <v>홀수</v>
      </c>
      <c r="AB652" s="23" t="str">
        <f t="shared" si="534"/>
        <v>짝수</v>
      </c>
      <c r="AC652" s="22" t="str">
        <f t="shared" si="535"/>
        <v>4 : 2</v>
      </c>
      <c r="AD652" s="22">
        <f t="shared" si="536"/>
        <v>4</v>
      </c>
      <c r="AE652" s="22">
        <f t="shared" si="537"/>
        <v>2</v>
      </c>
      <c r="AF652" s="22" t="str">
        <f t="shared" si="538"/>
        <v>저수</v>
      </c>
      <c r="AG652" s="22" t="str">
        <f t="shared" si="539"/>
        <v>저수</v>
      </c>
      <c r="AH652" s="22" t="str">
        <f t="shared" si="540"/>
        <v>저수</v>
      </c>
      <c r="AI652" s="22" t="str">
        <f t="shared" si="541"/>
        <v>고수</v>
      </c>
      <c r="AJ652" s="22" t="str">
        <f t="shared" si="542"/>
        <v>고수</v>
      </c>
      <c r="AK652" s="22" t="str">
        <f t="shared" si="543"/>
        <v>고수</v>
      </c>
      <c r="AL652" s="22" t="str">
        <f t="shared" si="544"/>
        <v>3 : 3</v>
      </c>
      <c r="AM652" s="22">
        <f t="shared" si="545"/>
        <v>3</v>
      </c>
      <c r="AN652" s="22">
        <f t="shared" si="546"/>
        <v>3</v>
      </c>
      <c r="AO652" s="22">
        <f t="shared" si="547"/>
        <v>12</v>
      </c>
      <c r="AP652" s="22" t="str">
        <f t="shared" si="548"/>
        <v>O</v>
      </c>
      <c r="AQ652" s="22" t="str">
        <f t="shared" si="549"/>
        <v>X</v>
      </c>
      <c r="AR652" s="22" t="str">
        <f t="shared" si="550"/>
        <v>X</v>
      </c>
      <c r="AS652" s="22" t="str">
        <f t="shared" si="551"/>
        <v>X</v>
      </c>
      <c r="AT652" s="22" t="str">
        <f t="shared" si="552"/>
        <v>X</v>
      </c>
      <c r="AU652" s="22" t="str">
        <f t="shared" si="553"/>
        <v>X</v>
      </c>
      <c r="AV652" s="22" t="str">
        <f t="shared" si="554"/>
        <v>X</v>
      </c>
      <c r="AW652" s="22" t="str">
        <f t="shared" si="555"/>
        <v>X</v>
      </c>
      <c r="AX652" s="22" t="str">
        <f t="shared" si="556"/>
        <v>X</v>
      </c>
      <c r="AY652" s="22" t="str">
        <f t="shared" si="557"/>
        <v>X</v>
      </c>
      <c r="AZ652" s="22" t="str">
        <f t="shared" si="558"/>
        <v>O</v>
      </c>
      <c r="BA652" s="22" t="str">
        <f t="shared" si="559"/>
        <v>X</v>
      </c>
      <c r="BB652" s="22">
        <f t="shared" si="560"/>
        <v>2</v>
      </c>
      <c r="BC652" s="22" t="str">
        <f t="shared" ref="BC652" si="767">VLOOKUP(N652,삼그룹,6,FALSE)</f>
        <v>1G</v>
      </c>
      <c r="BD652" s="22" t="str">
        <f t="shared" ref="BD652" si="768">VLOOKUP(O652,삼그룹,6,FALSE)</f>
        <v>2G</v>
      </c>
      <c r="BE652" s="22" t="str">
        <f t="shared" ref="BE652" si="769">VLOOKUP(P652,삼그룹,6,FALSE)</f>
        <v>2G</v>
      </c>
      <c r="BF652" s="22" t="str">
        <f t="shared" ref="BF652" si="770">VLOOKUP(Q652,삼그룹,6,FALSE)</f>
        <v>3G</v>
      </c>
      <c r="BG652" s="22" t="str">
        <f t="shared" ref="BG652" si="771">VLOOKUP(R652,삼그룹,6,FALSE)</f>
        <v>3G</v>
      </c>
      <c r="BH652" s="22" t="str">
        <f t="shared" ref="BH652" si="772">VLOOKUP(S652,삼그룹,6,FALSE)</f>
        <v>3G</v>
      </c>
      <c r="BI652" s="22">
        <f t="shared" si="568"/>
        <v>1</v>
      </c>
      <c r="BJ652" s="22">
        <f t="shared" si="569"/>
        <v>2</v>
      </c>
      <c r="BK652" s="22">
        <f t="shared" si="570"/>
        <v>3</v>
      </c>
      <c r="BL652" s="22" t="str">
        <f t="shared" ref="BL652" si="773">BI652&amp;BJ652&amp;BK652</f>
        <v>123</v>
      </c>
      <c r="BS652"/>
    </row>
    <row r="653" spans="2:71" ht="17">
      <c r="B653" s="16">
        <v>650</v>
      </c>
      <c r="C653" s="23" t="s">
        <v>1015</v>
      </c>
      <c r="N653" s="23">
        <v>3</v>
      </c>
      <c r="O653" s="23">
        <v>4</v>
      </c>
      <c r="P653" s="23">
        <v>7</v>
      </c>
      <c r="Q653" s="23">
        <v>11</v>
      </c>
      <c r="R653" s="23">
        <v>31</v>
      </c>
      <c r="S653" s="23">
        <v>41</v>
      </c>
      <c r="T653" s="23">
        <v>35</v>
      </c>
      <c r="U653" s="23">
        <f t="shared" si="528"/>
        <v>97</v>
      </c>
      <c r="W653" s="22" t="str">
        <f t="shared" si="529"/>
        <v>홀수</v>
      </c>
      <c r="X653" s="22" t="str">
        <f t="shared" si="530"/>
        <v>짝수</v>
      </c>
      <c r="Y653" s="22" t="str">
        <f t="shared" si="531"/>
        <v>홀수</v>
      </c>
      <c r="Z653" s="22" t="str">
        <f t="shared" si="532"/>
        <v>홀수</v>
      </c>
      <c r="AA653" s="23" t="str">
        <f t="shared" si="533"/>
        <v>홀수</v>
      </c>
      <c r="AB653" s="23" t="str">
        <f t="shared" si="534"/>
        <v>홀수</v>
      </c>
      <c r="AC653" s="22" t="str">
        <f t="shared" si="535"/>
        <v>5 : 1</v>
      </c>
      <c r="AD653" s="22">
        <f t="shared" si="536"/>
        <v>5</v>
      </c>
      <c r="AE653" s="22">
        <f t="shared" si="537"/>
        <v>1</v>
      </c>
      <c r="AF653" s="22" t="str">
        <f t="shared" si="538"/>
        <v>저수</v>
      </c>
      <c r="AG653" s="22" t="str">
        <f t="shared" si="539"/>
        <v>저수</v>
      </c>
      <c r="AH653" s="22" t="str">
        <f t="shared" si="540"/>
        <v>저수</v>
      </c>
      <c r="AI653" s="22" t="str">
        <f t="shared" si="541"/>
        <v>저수</v>
      </c>
      <c r="AJ653" s="22" t="str">
        <f t="shared" si="542"/>
        <v>고수</v>
      </c>
      <c r="AK653" s="22" t="str">
        <f t="shared" si="543"/>
        <v>고수</v>
      </c>
      <c r="AL653" s="22" t="str">
        <f t="shared" si="544"/>
        <v>4 : 2</v>
      </c>
      <c r="AM653" s="22">
        <f t="shared" si="545"/>
        <v>4</v>
      </c>
      <c r="AN653" s="22">
        <f t="shared" si="546"/>
        <v>2</v>
      </c>
      <c r="AO653" s="22">
        <f t="shared" si="547"/>
        <v>17</v>
      </c>
      <c r="AP653" s="22" t="str">
        <f t="shared" si="548"/>
        <v>O</v>
      </c>
      <c r="AQ653" s="22" t="str">
        <f t="shared" si="549"/>
        <v>X</v>
      </c>
      <c r="AR653" s="22" t="str">
        <f t="shared" si="550"/>
        <v>O</v>
      </c>
      <c r="AS653" s="22" t="str">
        <f t="shared" si="551"/>
        <v>O</v>
      </c>
      <c r="AT653" s="22" t="str">
        <f t="shared" si="552"/>
        <v>X</v>
      </c>
      <c r="AU653" s="22" t="str">
        <f t="shared" si="553"/>
        <v>X</v>
      </c>
      <c r="AV653" s="22" t="str">
        <f t="shared" si="554"/>
        <v>X</v>
      </c>
      <c r="AW653" s="22" t="str">
        <f t="shared" si="555"/>
        <v>X</v>
      </c>
      <c r="AX653" s="22" t="str">
        <f t="shared" si="556"/>
        <v>X</v>
      </c>
      <c r="AY653" s="22" t="str">
        <f t="shared" si="557"/>
        <v>X</v>
      </c>
      <c r="AZ653" s="22" t="str">
        <f t="shared" si="558"/>
        <v>O</v>
      </c>
      <c r="BA653" s="22" t="str">
        <f t="shared" si="559"/>
        <v>O</v>
      </c>
      <c r="BB653" s="22">
        <f t="shared" si="560"/>
        <v>5</v>
      </c>
      <c r="BC653" s="22" t="str">
        <f t="shared" ref="BC653" si="774">VLOOKUP(N653,삼그룹,6,FALSE)</f>
        <v>1G</v>
      </c>
      <c r="BD653" s="22" t="str">
        <f t="shared" ref="BD653" si="775">VLOOKUP(O653,삼그룹,6,FALSE)</f>
        <v>1G</v>
      </c>
      <c r="BE653" s="22" t="str">
        <f t="shared" ref="BE653" si="776">VLOOKUP(P653,삼그룹,6,FALSE)</f>
        <v>1G</v>
      </c>
      <c r="BF653" s="22" t="str">
        <f t="shared" ref="BF653" si="777">VLOOKUP(Q653,삼그룹,6,FALSE)</f>
        <v>1G</v>
      </c>
      <c r="BG653" s="22" t="str">
        <f t="shared" ref="BG653" si="778">VLOOKUP(R653,삼그룹,6,FALSE)</f>
        <v>3G</v>
      </c>
      <c r="BH653" s="22" t="str">
        <f t="shared" ref="BH653" si="779">VLOOKUP(S653,삼그룹,6,FALSE)</f>
        <v>3G</v>
      </c>
      <c r="BI653" s="22">
        <f t="shared" si="568"/>
        <v>4</v>
      </c>
      <c r="BJ653" s="22">
        <f t="shared" si="569"/>
        <v>0</v>
      </c>
      <c r="BK653" s="22">
        <f t="shared" si="570"/>
        <v>2</v>
      </c>
      <c r="BL653" s="22" t="str">
        <f t="shared" ref="BL653" si="780">BI653&amp;BJ653&amp;BK653</f>
        <v>402</v>
      </c>
      <c r="BS653"/>
    </row>
    <row r="654" spans="2:71" ht="17">
      <c r="B654" s="16">
        <v>651</v>
      </c>
      <c r="C654" s="23" t="s">
        <v>1016</v>
      </c>
      <c r="N654" s="23">
        <v>11</v>
      </c>
      <c r="O654" s="23">
        <v>12</v>
      </c>
      <c r="P654" s="23">
        <v>16</v>
      </c>
      <c r="Q654" s="23">
        <v>26</v>
      </c>
      <c r="R654" s="23">
        <v>29</v>
      </c>
      <c r="S654" s="23">
        <v>44</v>
      </c>
      <c r="T654" s="23">
        <v>18</v>
      </c>
      <c r="U654" s="23">
        <f t="shared" si="528"/>
        <v>138</v>
      </c>
      <c r="W654" s="22" t="str">
        <f t="shared" si="529"/>
        <v>홀수</v>
      </c>
      <c r="X654" s="22" t="str">
        <f t="shared" si="530"/>
        <v>짝수</v>
      </c>
      <c r="Y654" s="22" t="str">
        <f t="shared" si="531"/>
        <v>짝수</v>
      </c>
      <c r="Z654" s="22" t="str">
        <f t="shared" si="532"/>
        <v>짝수</v>
      </c>
      <c r="AA654" s="23" t="str">
        <f t="shared" si="533"/>
        <v>홀수</v>
      </c>
      <c r="AB654" s="23" t="str">
        <f t="shared" si="534"/>
        <v>짝수</v>
      </c>
      <c r="AC654" s="22" t="str">
        <f t="shared" si="535"/>
        <v>2 : 4</v>
      </c>
      <c r="AD654" s="22">
        <f t="shared" si="536"/>
        <v>2</v>
      </c>
      <c r="AE654" s="22">
        <f t="shared" si="537"/>
        <v>4</v>
      </c>
      <c r="AF654" s="22" t="str">
        <f t="shared" si="538"/>
        <v>저수</v>
      </c>
      <c r="AG654" s="22" t="str">
        <f t="shared" si="539"/>
        <v>저수</v>
      </c>
      <c r="AH654" s="22" t="str">
        <f t="shared" si="540"/>
        <v>저수</v>
      </c>
      <c r="AI654" s="22" t="str">
        <f t="shared" si="541"/>
        <v>고수</v>
      </c>
      <c r="AJ654" s="22" t="str">
        <f t="shared" si="542"/>
        <v>고수</v>
      </c>
      <c r="AK654" s="22" t="str">
        <f t="shared" si="543"/>
        <v>고수</v>
      </c>
      <c r="AL654" s="22" t="str">
        <f t="shared" si="544"/>
        <v>3 : 3</v>
      </c>
      <c r="AM654" s="22">
        <f t="shared" si="545"/>
        <v>3</v>
      </c>
      <c r="AN654" s="22">
        <f t="shared" si="546"/>
        <v>3</v>
      </c>
      <c r="AO654" s="22">
        <f t="shared" si="547"/>
        <v>28</v>
      </c>
      <c r="AP654" s="22" t="str">
        <f t="shared" si="548"/>
        <v>O</v>
      </c>
      <c r="AQ654" s="22" t="str">
        <f t="shared" si="549"/>
        <v>X</v>
      </c>
      <c r="AR654" s="22" t="str">
        <f t="shared" si="550"/>
        <v>X</v>
      </c>
      <c r="AS654" s="22" t="str">
        <f t="shared" si="551"/>
        <v>X</v>
      </c>
      <c r="AT654" s="22" t="str">
        <f t="shared" si="552"/>
        <v>X</v>
      </c>
      <c r="AU654" s="22" t="str">
        <f t="shared" si="553"/>
        <v>X</v>
      </c>
      <c r="AV654" s="22" t="str">
        <f t="shared" si="554"/>
        <v>X</v>
      </c>
      <c r="AW654" s="22" t="str">
        <f t="shared" si="555"/>
        <v>X</v>
      </c>
      <c r="AX654" s="22" t="str">
        <f t="shared" si="556"/>
        <v>X</v>
      </c>
      <c r="AY654" s="22" t="str">
        <f t="shared" si="557"/>
        <v>X</v>
      </c>
      <c r="AZ654" s="22" t="str">
        <f t="shared" si="558"/>
        <v>O</v>
      </c>
      <c r="BA654" s="22" t="str">
        <f t="shared" si="559"/>
        <v>X</v>
      </c>
      <c r="BB654" s="22">
        <f t="shared" si="560"/>
        <v>2</v>
      </c>
      <c r="BC654" s="22" t="str">
        <f t="shared" ref="BC654" si="781">VLOOKUP(N654,삼그룹,6,FALSE)</f>
        <v>1G</v>
      </c>
      <c r="BD654" s="22" t="str">
        <f t="shared" ref="BD654" si="782">VLOOKUP(O654,삼그룹,6,FALSE)</f>
        <v>1G</v>
      </c>
      <c r="BE654" s="22" t="str">
        <f t="shared" ref="BE654" si="783">VLOOKUP(P654,삼그룹,6,FALSE)</f>
        <v>2G</v>
      </c>
      <c r="BF654" s="22" t="str">
        <f t="shared" ref="BF654" si="784">VLOOKUP(Q654,삼그룹,6,FALSE)</f>
        <v>2G</v>
      </c>
      <c r="BG654" s="22" t="str">
        <f t="shared" ref="BG654" si="785">VLOOKUP(R654,삼그룹,6,FALSE)</f>
        <v>2G</v>
      </c>
      <c r="BH654" s="22" t="str">
        <f t="shared" ref="BH654" si="786">VLOOKUP(S654,삼그룹,6,FALSE)</f>
        <v>3G</v>
      </c>
      <c r="BI654" s="22">
        <f t="shared" si="568"/>
        <v>2</v>
      </c>
      <c r="BJ654" s="22">
        <f t="shared" si="569"/>
        <v>3</v>
      </c>
      <c r="BK654" s="22">
        <f t="shared" si="570"/>
        <v>1</v>
      </c>
      <c r="BL654" s="22" t="str">
        <f t="shared" ref="BL654" si="787">BI654&amp;BJ654&amp;BK654</f>
        <v>231</v>
      </c>
      <c r="BS654"/>
    </row>
    <row r="655" spans="2:71" ht="17">
      <c r="B655" s="16">
        <v>652</v>
      </c>
      <c r="C655" s="23" t="s">
        <v>1017</v>
      </c>
      <c r="N655" s="23">
        <v>3</v>
      </c>
      <c r="O655" s="23">
        <v>13</v>
      </c>
      <c r="P655" s="23">
        <v>15</v>
      </c>
      <c r="Q655" s="23">
        <v>40</v>
      </c>
      <c r="R655" s="23">
        <v>41</v>
      </c>
      <c r="S655" s="23">
        <v>44</v>
      </c>
      <c r="T655" s="23">
        <v>20</v>
      </c>
      <c r="U655" s="23">
        <f t="shared" si="528"/>
        <v>156</v>
      </c>
      <c r="W655" s="22" t="str">
        <f t="shared" si="529"/>
        <v>홀수</v>
      </c>
      <c r="X655" s="22" t="str">
        <f t="shared" si="530"/>
        <v>홀수</v>
      </c>
      <c r="Y655" s="22" t="str">
        <f t="shared" si="531"/>
        <v>홀수</v>
      </c>
      <c r="Z655" s="22" t="str">
        <f t="shared" si="532"/>
        <v>짝수</v>
      </c>
      <c r="AA655" s="23" t="str">
        <f t="shared" si="533"/>
        <v>홀수</v>
      </c>
      <c r="AB655" s="23" t="str">
        <f t="shared" si="534"/>
        <v>짝수</v>
      </c>
      <c r="AC655" s="22" t="str">
        <f t="shared" si="535"/>
        <v>4 : 2</v>
      </c>
      <c r="AD655" s="22">
        <f t="shared" si="536"/>
        <v>4</v>
      </c>
      <c r="AE655" s="22">
        <f t="shared" si="537"/>
        <v>2</v>
      </c>
      <c r="AF655" s="22" t="str">
        <f t="shared" si="538"/>
        <v>저수</v>
      </c>
      <c r="AG655" s="22" t="str">
        <f t="shared" si="539"/>
        <v>저수</v>
      </c>
      <c r="AH655" s="22" t="str">
        <f t="shared" si="540"/>
        <v>저수</v>
      </c>
      <c r="AI655" s="22" t="str">
        <f t="shared" si="541"/>
        <v>고수</v>
      </c>
      <c r="AJ655" s="22" t="str">
        <f t="shared" si="542"/>
        <v>고수</v>
      </c>
      <c r="AK655" s="22" t="str">
        <f t="shared" si="543"/>
        <v>고수</v>
      </c>
      <c r="AL655" s="22" t="str">
        <f t="shared" si="544"/>
        <v>3 : 3</v>
      </c>
      <c r="AM655" s="22">
        <f t="shared" si="545"/>
        <v>3</v>
      </c>
      <c r="AN655" s="22">
        <f t="shared" si="546"/>
        <v>3</v>
      </c>
      <c r="AO655" s="22">
        <f t="shared" si="547"/>
        <v>16</v>
      </c>
      <c r="AP655" s="22" t="str">
        <f t="shared" si="548"/>
        <v>O</v>
      </c>
      <c r="AQ655" s="22" t="str">
        <f t="shared" si="549"/>
        <v>O</v>
      </c>
      <c r="AR655" s="22" t="str">
        <f t="shared" si="550"/>
        <v>X</v>
      </c>
      <c r="AS655" s="22" t="str">
        <f t="shared" si="551"/>
        <v>X</v>
      </c>
      <c r="AT655" s="22" t="str">
        <f t="shared" si="552"/>
        <v>X</v>
      </c>
      <c r="AU655" s="22" t="str">
        <f t="shared" si="553"/>
        <v>X</v>
      </c>
      <c r="AV655" s="22" t="str">
        <f t="shared" si="554"/>
        <v>X</v>
      </c>
      <c r="AW655" s="22" t="str">
        <f t="shared" si="555"/>
        <v>X</v>
      </c>
      <c r="AX655" s="22" t="str">
        <f t="shared" si="556"/>
        <v>X</v>
      </c>
      <c r="AY655" s="22" t="str">
        <f t="shared" si="557"/>
        <v>X</v>
      </c>
      <c r="AZ655" s="22" t="str">
        <f t="shared" si="558"/>
        <v>O</v>
      </c>
      <c r="BA655" s="22" t="str">
        <f t="shared" si="559"/>
        <v>X</v>
      </c>
      <c r="BB655" s="22">
        <f t="shared" si="560"/>
        <v>3</v>
      </c>
      <c r="BC655" s="22" t="str">
        <f t="shared" ref="BC655" si="788">VLOOKUP(N655,삼그룹,6,FALSE)</f>
        <v>1G</v>
      </c>
      <c r="BD655" s="22" t="str">
        <f t="shared" ref="BD655" si="789">VLOOKUP(O655,삼그룹,6,FALSE)</f>
        <v>1G</v>
      </c>
      <c r="BE655" s="22" t="str">
        <f t="shared" ref="BE655" si="790">VLOOKUP(P655,삼그룹,6,FALSE)</f>
        <v>1G</v>
      </c>
      <c r="BF655" s="22" t="str">
        <f t="shared" ref="BF655" si="791">VLOOKUP(Q655,삼그룹,6,FALSE)</f>
        <v>3G</v>
      </c>
      <c r="BG655" s="22" t="str">
        <f t="shared" ref="BG655" si="792">VLOOKUP(R655,삼그룹,6,FALSE)</f>
        <v>3G</v>
      </c>
      <c r="BH655" s="22" t="str">
        <f t="shared" ref="BH655" si="793">VLOOKUP(S655,삼그룹,6,FALSE)</f>
        <v>3G</v>
      </c>
      <c r="BI655" s="22">
        <f t="shared" si="568"/>
        <v>3</v>
      </c>
      <c r="BJ655" s="22">
        <f t="shared" si="569"/>
        <v>0</v>
      </c>
      <c r="BK655" s="22">
        <f t="shared" si="570"/>
        <v>3</v>
      </c>
      <c r="BL655" s="22" t="str">
        <f t="shared" ref="BL655" si="794">BI655&amp;BJ655&amp;BK655</f>
        <v>303</v>
      </c>
      <c r="BS655"/>
    </row>
    <row r="656" spans="2:71" ht="17">
      <c r="B656" s="16">
        <v>653</v>
      </c>
      <c r="C656" s="23" t="s">
        <v>1018</v>
      </c>
      <c r="N656" s="23">
        <v>5</v>
      </c>
      <c r="O656" s="23">
        <v>6</v>
      </c>
      <c r="P656" s="23">
        <v>26</v>
      </c>
      <c r="Q656" s="23">
        <v>27</v>
      </c>
      <c r="R656" s="23">
        <v>38</v>
      </c>
      <c r="S656" s="23">
        <v>39</v>
      </c>
      <c r="T656" s="23">
        <v>1</v>
      </c>
      <c r="U656" s="23">
        <f t="shared" si="528"/>
        <v>141</v>
      </c>
      <c r="W656" s="22" t="str">
        <f t="shared" si="529"/>
        <v>홀수</v>
      </c>
      <c r="X656" s="22" t="str">
        <f t="shared" si="530"/>
        <v>짝수</v>
      </c>
      <c r="Y656" s="22" t="str">
        <f t="shared" si="531"/>
        <v>짝수</v>
      </c>
      <c r="Z656" s="22" t="str">
        <f t="shared" si="532"/>
        <v>홀수</v>
      </c>
      <c r="AA656" s="23" t="str">
        <f t="shared" si="533"/>
        <v>짝수</v>
      </c>
      <c r="AB656" s="23" t="str">
        <f t="shared" si="534"/>
        <v>홀수</v>
      </c>
      <c r="AC656" s="22" t="str">
        <f t="shared" si="535"/>
        <v>3 : 3</v>
      </c>
      <c r="AD656" s="22">
        <f t="shared" si="536"/>
        <v>3</v>
      </c>
      <c r="AE656" s="22">
        <f t="shared" si="537"/>
        <v>3</v>
      </c>
      <c r="AF656" s="22" t="str">
        <f t="shared" si="538"/>
        <v>저수</v>
      </c>
      <c r="AG656" s="22" t="str">
        <f t="shared" si="539"/>
        <v>저수</v>
      </c>
      <c r="AH656" s="22" t="str">
        <f t="shared" si="540"/>
        <v>고수</v>
      </c>
      <c r="AI656" s="22" t="str">
        <f t="shared" si="541"/>
        <v>고수</v>
      </c>
      <c r="AJ656" s="22" t="str">
        <f t="shared" si="542"/>
        <v>고수</v>
      </c>
      <c r="AK656" s="22" t="str">
        <f t="shared" si="543"/>
        <v>고수</v>
      </c>
      <c r="AL656" s="22" t="str">
        <f t="shared" si="544"/>
        <v>2 : 4</v>
      </c>
      <c r="AM656" s="22">
        <f t="shared" si="545"/>
        <v>2</v>
      </c>
      <c r="AN656" s="22">
        <f t="shared" si="546"/>
        <v>4</v>
      </c>
      <c r="AO656" s="22">
        <f t="shared" si="547"/>
        <v>41</v>
      </c>
      <c r="AP656" s="22" t="str">
        <f t="shared" si="548"/>
        <v>O</v>
      </c>
      <c r="AQ656" s="22" t="str">
        <f t="shared" si="549"/>
        <v>X</v>
      </c>
      <c r="AR656" s="22" t="str">
        <f t="shared" si="550"/>
        <v>X</v>
      </c>
      <c r="AS656" s="22" t="str">
        <f t="shared" si="551"/>
        <v>X</v>
      </c>
      <c r="AT656" s="22" t="str">
        <f t="shared" si="552"/>
        <v>X</v>
      </c>
      <c r="AU656" s="22" t="str">
        <f t="shared" si="553"/>
        <v>X</v>
      </c>
      <c r="AV656" s="22" t="str">
        <f t="shared" si="554"/>
        <v>X</v>
      </c>
      <c r="AW656" s="22" t="str">
        <f t="shared" si="555"/>
        <v>X</v>
      </c>
      <c r="AX656" s="22" t="str">
        <f t="shared" si="556"/>
        <v>X</v>
      </c>
      <c r="AY656" s="22" t="str">
        <f t="shared" si="557"/>
        <v>X</v>
      </c>
      <c r="AZ656" s="22" t="str">
        <f t="shared" si="558"/>
        <v>X</v>
      </c>
      <c r="BA656" s="22" t="str">
        <f t="shared" si="559"/>
        <v>X</v>
      </c>
      <c r="BB656" s="22">
        <f t="shared" si="560"/>
        <v>1</v>
      </c>
      <c r="BC656" s="22" t="str">
        <f t="shared" ref="BC656" si="795">VLOOKUP(N656,삼그룹,6,FALSE)</f>
        <v>1G</v>
      </c>
      <c r="BD656" s="22" t="str">
        <f t="shared" ref="BD656" si="796">VLOOKUP(O656,삼그룹,6,FALSE)</f>
        <v>1G</v>
      </c>
      <c r="BE656" s="22" t="str">
        <f t="shared" ref="BE656" si="797">VLOOKUP(P656,삼그룹,6,FALSE)</f>
        <v>2G</v>
      </c>
      <c r="BF656" s="22" t="str">
        <f t="shared" ref="BF656" si="798">VLOOKUP(Q656,삼그룹,6,FALSE)</f>
        <v>2G</v>
      </c>
      <c r="BG656" s="22" t="str">
        <f t="shared" ref="BG656" si="799">VLOOKUP(R656,삼그룹,6,FALSE)</f>
        <v>3G</v>
      </c>
      <c r="BH656" s="22" t="str">
        <f t="shared" ref="BH656" si="800">VLOOKUP(S656,삼그룹,6,FALSE)</f>
        <v>3G</v>
      </c>
      <c r="BI656" s="22">
        <f t="shared" si="568"/>
        <v>2</v>
      </c>
      <c r="BJ656" s="22">
        <f t="shared" si="569"/>
        <v>2</v>
      </c>
      <c r="BK656" s="22">
        <f t="shared" si="570"/>
        <v>2</v>
      </c>
      <c r="BL656" s="22" t="str">
        <f t="shared" ref="BL656" si="801">BI656&amp;BJ656&amp;BK656</f>
        <v>222</v>
      </c>
      <c r="BS656"/>
    </row>
    <row r="657" spans="2:71" ht="17">
      <c r="B657" s="16">
        <v>654</v>
      </c>
      <c r="C657" s="23" t="s">
        <v>1019</v>
      </c>
      <c r="N657" s="23">
        <v>16</v>
      </c>
      <c r="O657" s="23">
        <v>21</v>
      </c>
      <c r="P657" s="23">
        <v>26</v>
      </c>
      <c r="Q657" s="23">
        <v>31</v>
      </c>
      <c r="R657" s="23">
        <v>36</v>
      </c>
      <c r="S657" s="23">
        <v>43</v>
      </c>
      <c r="T657" s="23">
        <v>6</v>
      </c>
      <c r="U657" s="23">
        <f t="shared" si="528"/>
        <v>173</v>
      </c>
      <c r="W657" s="22" t="str">
        <f t="shared" si="529"/>
        <v>짝수</v>
      </c>
      <c r="X657" s="22" t="str">
        <f t="shared" si="530"/>
        <v>홀수</v>
      </c>
      <c r="Y657" s="22" t="str">
        <f t="shared" si="531"/>
        <v>짝수</v>
      </c>
      <c r="Z657" s="22" t="str">
        <f t="shared" si="532"/>
        <v>홀수</v>
      </c>
      <c r="AA657" s="23" t="str">
        <f t="shared" si="533"/>
        <v>짝수</v>
      </c>
      <c r="AB657" s="23" t="str">
        <f t="shared" si="534"/>
        <v>홀수</v>
      </c>
      <c r="AC657" s="22" t="str">
        <f t="shared" si="535"/>
        <v>3 : 3</v>
      </c>
      <c r="AD657" s="22">
        <f t="shared" si="536"/>
        <v>3</v>
      </c>
      <c r="AE657" s="22">
        <f t="shared" si="537"/>
        <v>3</v>
      </c>
      <c r="AF657" s="22" t="str">
        <f t="shared" si="538"/>
        <v>저수</v>
      </c>
      <c r="AG657" s="22" t="str">
        <f t="shared" si="539"/>
        <v>저수</v>
      </c>
      <c r="AH657" s="22" t="str">
        <f t="shared" si="540"/>
        <v>고수</v>
      </c>
      <c r="AI657" s="22" t="str">
        <f t="shared" si="541"/>
        <v>고수</v>
      </c>
      <c r="AJ657" s="22" t="str">
        <f t="shared" si="542"/>
        <v>고수</v>
      </c>
      <c r="AK657" s="22" t="str">
        <f t="shared" si="543"/>
        <v>고수</v>
      </c>
      <c r="AL657" s="22" t="str">
        <f t="shared" si="544"/>
        <v>2 : 4</v>
      </c>
      <c r="AM657" s="22">
        <f t="shared" si="545"/>
        <v>2</v>
      </c>
      <c r="AN657" s="22">
        <f t="shared" si="546"/>
        <v>4</v>
      </c>
      <c r="AO657" s="22">
        <f t="shared" si="547"/>
        <v>23</v>
      </c>
      <c r="AP657" s="22" t="str">
        <f t="shared" si="548"/>
        <v>X</v>
      </c>
      <c r="AQ657" s="22" t="str">
        <f t="shared" si="549"/>
        <v>X</v>
      </c>
      <c r="AR657" s="22" t="str">
        <f t="shared" si="550"/>
        <v>X</v>
      </c>
      <c r="AS657" s="22" t="str">
        <f t="shared" si="551"/>
        <v>X</v>
      </c>
      <c r="AT657" s="22" t="str">
        <f t="shared" si="552"/>
        <v>X</v>
      </c>
      <c r="AU657" s="22" t="str">
        <f t="shared" si="553"/>
        <v>X</v>
      </c>
      <c r="AV657" s="22" t="str">
        <f t="shared" si="554"/>
        <v>X</v>
      </c>
      <c r="AW657" s="22" t="str">
        <f t="shared" si="555"/>
        <v>X</v>
      </c>
      <c r="AX657" s="22" t="str">
        <f t="shared" si="556"/>
        <v>X</v>
      </c>
      <c r="AY657" s="22" t="str">
        <f t="shared" si="557"/>
        <v>O</v>
      </c>
      <c r="AZ657" s="22" t="str">
        <f t="shared" si="558"/>
        <v>X</v>
      </c>
      <c r="BA657" s="22" t="str">
        <f t="shared" si="559"/>
        <v>O</v>
      </c>
      <c r="BB657" s="22">
        <f t="shared" si="560"/>
        <v>2</v>
      </c>
      <c r="BC657" s="22" t="str">
        <f t="shared" ref="BC657" si="802">VLOOKUP(N657,삼그룹,6,FALSE)</f>
        <v>2G</v>
      </c>
      <c r="BD657" s="22" t="str">
        <f t="shared" ref="BD657" si="803">VLOOKUP(O657,삼그룹,6,FALSE)</f>
        <v>2G</v>
      </c>
      <c r="BE657" s="22" t="str">
        <f t="shared" ref="BE657" si="804">VLOOKUP(P657,삼그룹,6,FALSE)</f>
        <v>2G</v>
      </c>
      <c r="BF657" s="22" t="str">
        <f t="shared" ref="BF657" si="805">VLOOKUP(Q657,삼그룹,6,FALSE)</f>
        <v>3G</v>
      </c>
      <c r="BG657" s="22" t="str">
        <f t="shared" ref="BG657" si="806">VLOOKUP(R657,삼그룹,6,FALSE)</f>
        <v>3G</v>
      </c>
      <c r="BH657" s="22" t="str">
        <f t="shared" ref="BH657" si="807">VLOOKUP(S657,삼그룹,6,FALSE)</f>
        <v>3G</v>
      </c>
      <c r="BI657" s="22">
        <f t="shared" si="568"/>
        <v>0</v>
      </c>
      <c r="BJ657" s="22">
        <f t="shared" si="569"/>
        <v>3</v>
      </c>
      <c r="BK657" s="22">
        <f t="shared" si="570"/>
        <v>3</v>
      </c>
      <c r="BL657" s="22" t="str">
        <f t="shared" ref="BL657" si="808">BI657&amp;BJ657&amp;BK657</f>
        <v>033</v>
      </c>
      <c r="BS657"/>
    </row>
    <row r="658" spans="2:71" ht="17">
      <c r="B658" s="16">
        <v>655</v>
      </c>
      <c r="C658" s="23" t="s">
        <v>1020</v>
      </c>
      <c r="N658" s="23">
        <v>7</v>
      </c>
      <c r="O658" s="23">
        <v>37</v>
      </c>
      <c r="P658" s="23">
        <v>38</v>
      </c>
      <c r="Q658" s="23">
        <v>39</v>
      </c>
      <c r="R658" s="23">
        <v>40</v>
      </c>
      <c r="S658" s="23">
        <v>44</v>
      </c>
      <c r="T658" s="23">
        <v>18</v>
      </c>
      <c r="U658" s="23">
        <f t="shared" si="528"/>
        <v>205</v>
      </c>
      <c r="W658" s="22" t="str">
        <f t="shared" si="529"/>
        <v>홀수</v>
      </c>
      <c r="X658" s="22" t="str">
        <f t="shared" si="530"/>
        <v>홀수</v>
      </c>
      <c r="Y658" s="22" t="str">
        <f t="shared" si="531"/>
        <v>짝수</v>
      </c>
      <c r="Z658" s="22" t="str">
        <f t="shared" si="532"/>
        <v>홀수</v>
      </c>
      <c r="AA658" s="23" t="str">
        <f t="shared" si="533"/>
        <v>짝수</v>
      </c>
      <c r="AB658" s="23" t="str">
        <f t="shared" si="534"/>
        <v>짝수</v>
      </c>
      <c r="AC658" s="22" t="str">
        <f t="shared" si="535"/>
        <v>3 : 3</v>
      </c>
      <c r="AD658" s="22">
        <f t="shared" si="536"/>
        <v>3</v>
      </c>
      <c r="AE658" s="22">
        <f t="shared" si="537"/>
        <v>3</v>
      </c>
      <c r="AF658" s="22" t="str">
        <f t="shared" si="538"/>
        <v>저수</v>
      </c>
      <c r="AG658" s="22" t="str">
        <f t="shared" si="539"/>
        <v>고수</v>
      </c>
      <c r="AH658" s="22" t="str">
        <f t="shared" si="540"/>
        <v>고수</v>
      </c>
      <c r="AI658" s="22" t="str">
        <f t="shared" si="541"/>
        <v>고수</v>
      </c>
      <c r="AJ658" s="22" t="str">
        <f t="shared" si="542"/>
        <v>고수</v>
      </c>
      <c r="AK658" s="22" t="str">
        <f t="shared" si="543"/>
        <v>고수</v>
      </c>
      <c r="AL658" s="22" t="str">
        <f t="shared" si="544"/>
        <v>1 : 5</v>
      </c>
      <c r="AM658" s="22">
        <f t="shared" si="545"/>
        <v>1</v>
      </c>
      <c r="AN658" s="22">
        <f t="shared" si="546"/>
        <v>5</v>
      </c>
      <c r="AO658" s="22">
        <f t="shared" si="547"/>
        <v>35</v>
      </c>
      <c r="AP658" s="22" t="str">
        <f t="shared" si="548"/>
        <v>O</v>
      </c>
      <c r="AQ658" s="22" t="str">
        <f t="shared" si="549"/>
        <v>X</v>
      </c>
      <c r="AR658" s="22" t="str">
        <f t="shared" si="550"/>
        <v>X</v>
      </c>
      <c r="AS658" s="22" t="str">
        <f t="shared" si="551"/>
        <v>X</v>
      </c>
      <c r="AT658" s="22" t="str">
        <f t="shared" si="552"/>
        <v>X</v>
      </c>
      <c r="AU658" s="22" t="str">
        <f t="shared" si="553"/>
        <v>X</v>
      </c>
      <c r="AV658" s="22" t="str">
        <f t="shared" si="554"/>
        <v>X</v>
      </c>
      <c r="AW658" s="22" t="str">
        <f t="shared" si="555"/>
        <v>O</v>
      </c>
      <c r="AX658" s="22" t="str">
        <f t="shared" si="556"/>
        <v>X</v>
      </c>
      <c r="AY658" s="22" t="str">
        <f t="shared" si="557"/>
        <v>X</v>
      </c>
      <c r="AZ658" s="22" t="str">
        <f t="shared" si="558"/>
        <v>X</v>
      </c>
      <c r="BA658" s="22" t="str">
        <f t="shared" si="559"/>
        <v>X</v>
      </c>
      <c r="BB658" s="22">
        <f t="shared" si="560"/>
        <v>2</v>
      </c>
      <c r="BC658" s="22" t="str">
        <f t="shared" ref="BC658" si="809">VLOOKUP(N658,삼그룹,6,FALSE)</f>
        <v>1G</v>
      </c>
      <c r="BD658" s="22" t="str">
        <f t="shared" ref="BD658" si="810">VLOOKUP(O658,삼그룹,6,FALSE)</f>
        <v>3G</v>
      </c>
      <c r="BE658" s="22" t="str">
        <f t="shared" ref="BE658" si="811">VLOOKUP(P658,삼그룹,6,FALSE)</f>
        <v>3G</v>
      </c>
      <c r="BF658" s="22" t="str">
        <f t="shared" ref="BF658" si="812">VLOOKUP(Q658,삼그룹,6,FALSE)</f>
        <v>3G</v>
      </c>
      <c r="BG658" s="22" t="str">
        <f t="shared" ref="BG658" si="813">VLOOKUP(R658,삼그룹,6,FALSE)</f>
        <v>3G</v>
      </c>
      <c r="BH658" s="22" t="str">
        <f t="shared" ref="BH658" si="814">VLOOKUP(S658,삼그룹,6,FALSE)</f>
        <v>3G</v>
      </c>
      <c r="BI658" s="22">
        <f t="shared" si="568"/>
        <v>1</v>
      </c>
      <c r="BJ658" s="22">
        <f t="shared" si="569"/>
        <v>0</v>
      </c>
      <c r="BK658" s="22">
        <f t="shared" si="570"/>
        <v>5</v>
      </c>
      <c r="BL658" s="22" t="str">
        <f t="shared" ref="BL658" si="815">BI658&amp;BJ658&amp;BK658</f>
        <v>105</v>
      </c>
      <c r="BS658"/>
    </row>
    <row r="659" spans="2:71" ht="17">
      <c r="B659" s="16">
        <v>656</v>
      </c>
      <c r="C659" s="23" t="s">
        <v>1021</v>
      </c>
      <c r="N659" s="23">
        <v>3</v>
      </c>
      <c r="O659" s="23">
        <v>7</v>
      </c>
      <c r="P659" s="23">
        <v>14</v>
      </c>
      <c r="Q659" s="23">
        <v>16</v>
      </c>
      <c r="R659" s="23">
        <v>31</v>
      </c>
      <c r="S659" s="23">
        <v>40</v>
      </c>
      <c r="T659" s="23">
        <v>39</v>
      </c>
      <c r="U659" s="23">
        <f t="shared" si="528"/>
        <v>111</v>
      </c>
      <c r="W659" s="22" t="str">
        <f t="shared" si="529"/>
        <v>홀수</v>
      </c>
      <c r="X659" s="22" t="str">
        <f t="shared" si="530"/>
        <v>홀수</v>
      </c>
      <c r="Y659" s="22" t="str">
        <f t="shared" si="531"/>
        <v>짝수</v>
      </c>
      <c r="Z659" s="22" t="str">
        <f t="shared" si="532"/>
        <v>짝수</v>
      </c>
      <c r="AA659" s="23" t="str">
        <f t="shared" si="533"/>
        <v>홀수</v>
      </c>
      <c r="AB659" s="23" t="str">
        <f t="shared" si="534"/>
        <v>짝수</v>
      </c>
      <c r="AC659" s="22" t="str">
        <f t="shared" si="535"/>
        <v>3 : 3</v>
      </c>
      <c r="AD659" s="22">
        <f t="shared" si="536"/>
        <v>3</v>
      </c>
      <c r="AE659" s="22">
        <f t="shared" si="537"/>
        <v>3</v>
      </c>
      <c r="AF659" s="22" t="str">
        <f t="shared" si="538"/>
        <v>저수</v>
      </c>
      <c r="AG659" s="22" t="str">
        <f t="shared" si="539"/>
        <v>저수</v>
      </c>
      <c r="AH659" s="22" t="str">
        <f t="shared" si="540"/>
        <v>저수</v>
      </c>
      <c r="AI659" s="22" t="str">
        <f t="shared" si="541"/>
        <v>저수</v>
      </c>
      <c r="AJ659" s="22" t="str">
        <f t="shared" si="542"/>
        <v>고수</v>
      </c>
      <c r="AK659" s="22" t="str">
        <f t="shared" si="543"/>
        <v>고수</v>
      </c>
      <c r="AL659" s="22" t="str">
        <f t="shared" si="544"/>
        <v>4 : 2</v>
      </c>
      <c r="AM659" s="22">
        <f t="shared" si="545"/>
        <v>4</v>
      </c>
      <c r="AN659" s="22">
        <f t="shared" si="546"/>
        <v>2</v>
      </c>
      <c r="AO659" s="22">
        <f t="shared" si="547"/>
        <v>21</v>
      </c>
      <c r="AP659" s="22" t="str">
        <f t="shared" si="548"/>
        <v>O</v>
      </c>
      <c r="AQ659" s="22" t="str">
        <f t="shared" si="549"/>
        <v>O</v>
      </c>
      <c r="AR659" s="22" t="str">
        <f t="shared" si="550"/>
        <v>X</v>
      </c>
      <c r="AS659" s="22" t="str">
        <f t="shared" si="551"/>
        <v>X</v>
      </c>
      <c r="AT659" s="22" t="str">
        <f t="shared" si="552"/>
        <v>X</v>
      </c>
      <c r="AU659" s="22" t="str">
        <f t="shared" si="553"/>
        <v>X</v>
      </c>
      <c r="AV659" s="22" t="str">
        <f t="shared" si="554"/>
        <v>X</v>
      </c>
      <c r="AW659" s="22" t="str">
        <f t="shared" si="555"/>
        <v>X</v>
      </c>
      <c r="AX659" s="22" t="str">
        <f t="shared" si="556"/>
        <v>X</v>
      </c>
      <c r="AY659" s="22" t="str">
        <f t="shared" si="557"/>
        <v>X</v>
      </c>
      <c r="AZ659" s="22" t="str">
        <f t="shared" si="558"/>
        <v>O</v>
      </c>
      <c r="BA659" s="22" t="str">
        <f t="shared" si="559"/>
        <v>X</v>
      </c>
      <c r="BB659" s="22">
        <f t="shared" si="560"/>
        <v>3</v>
      </c>
      <c r="BC659" s="22" t="str">
        <f t="shared" ref="BC659" si="816">VLOOKUP(N659,삼그룹,6,FALSE)</f>
        <v>1G</v>
      </c>
      <c r="BD659" s="22" t="str">
        <f t="shared" ref="BD659" si="817">VLOOKUP(O659,삼그룹,6,FALSE)</f>
        <v>1G</v>
      </c>
      <c r="BE659" s="22" t="str">
        <f t="shared" ref="BE659" si="818">VLOOKUP(P659,삼그룹,6,FALSE)</f>
        <v>1G</v>
      </c>
      <c r="BF659" s="22" t="str">
        <f t="shared" ref="BF659" si="819">VLOOKUP(Q659,삼그룹,6,FALSE)</f>
        <v>2G</v>
      </c>
      <c r="BG659" s="22" t="str">
        <f t="shared" ref="BG659" si="820">VLOOKUP(R659,삼그룹,6,FALSE)</f>
        <v>3G</v>
      </c>
      <c r="BH659" s="22" t="str">
        <f t="shared" ref="BH659" si="821">VLOOKUP(S659,삼그룹,6,FALSE)</f>
        <v>3G</v>
      </c>
      <c r="BI659" s="22">
        <f t="shared" si="568"/>
        <v>3</v>
      </c>
      <c r="BJ659" s="22">
        <f t="shared" si="569"/>
        <v>1</v>
      </c>
      <c r="BK659" s="22">
        <f t="shared" si="570"/>
        <v>2</v>
      </c>
      <c r="BL659" s="22" t="str">
        <f t="shared" ref="BL659" si="822">BI659&amp;BJ659&amp;BK659</f>
        <v>312</v>
      </c>
      <c r="BS659"/>
    </row>
    <row r="660" spans="2:71" ht="17">
      <c r="B660" s="16">
        <v>657</v>
      </c>
      <c r="C660" s="23" t="s">
        <v>1022</v>
      </c>
      <c r="N660" s="23">
        <v>10</v>
      </c>
      <c r="O660" s="23">
        <v>14</v>
      </c>
      <c r="P660" s="23">
        <v>19</v>
      </c>
      <c r="Q660" s="23">
        <v>39</v>
      </c>
      <c r="R660" s="23">
        <v>40</v>
      </c>
      <c r="S660" s="23">
        <v>43</v>
      </c>
      <c r="T660" s="23">
        <v>23</v>
      </c>
      <c r="U660" s="23">
        <f t="shared" si="528"/>
        <v>165</v>
      </c>
      <c r="W660" s="22" t="str">
        <f t="shared" si="529"/>
        <v>짝수</v>
      </c>
      <c r="X660" s="22" t="str">
        <f t="shared" si="530"/>
        <v>짝수</v>
      </c>
      <c r="Y660" s="22" t="str">
        <f t="shared" si="531"/>
        <v>홀수</v>
      </c>
      <c r="Z660" s="22" t="str">
        <f t="shared" si="532"/>
        <v>홀수</v>
      </c>
      <c r="AA660" s="23" t="str">
        <f t="shared" si="533"/>
        <v>짝수</v>
      </c>
      <c r="AB660" s="23" t="str">
        <f t="shared" si="534"/>
        <v>홀수</v>
      </c>
      <c r="AC660" s="22" t="str">
        <f t="shared" si="535"/>
        <v>3 : 3</v>
      </c>
      <c r="AD660" s="22">
        <f t="shared" si="536"/>
        <v>3</v>
      </c>
      <c r="AE660" s="22">
        <f t="shared" si="537"/>
        <v>3</v>
      </c>
      <c r="AF660" s="22" t="str">
        <f t="shared" si="538"/>
        <v>저수</v>
      </c>
      <c r="AG660" s="22" t="str">
        <f t="shared" si="539"/>
        <v>저수</v>
      </c>
      <c r="AH660" s="22" t="str">
        <f t="shared" si="540"/>
        <v>저수</v>
      </c>
      <c r="AI660" s="22" t="str">
        <f t="shared" si="541"/>
        <v>고수</v>
      </c>
      <c r="AJ660" s="22" t="str">
        <f t="shared" si="542"/>
        <v>고수</v>
      </c>
      <c r="AK660" s="22" t="str">
        <f t="shared" si="543"/>
        <v>고수</v>
      </c>
      <c r="AL660" s="22" t="str">
        <f t="shared" si="544"/>
        <v>3 : 3</v>
      </c>
      <c r="AM660" s="22">
        <f t="shared" si="545"/>
        <v>3</v>
      </c>
      <c r="AN660" s="22">
        <f t="shared" si="546"/>
        <v>3</v>
      </c>
      <c r="AO660" s="22">
        <f t="shared" si="547"/>
        <v>25</v>
      </c>
      <c r="AP660" s="22" t="str">
        <f t="shared" si="548"/>
        <v>X</v>
      </c>
      <c r="AQ660" s="22" t="str">
        <f t="shared" si="549"/>
        <v>X</v>
      </c>
      <c r="AR660" s="22" t="str">
        <f t="shared" si="550"/>
        <v>O</v>
      </c>
      <c r="AS660" s="22" t="str">
        <f t="shared" si="551"/>
        <v>X</v>
      </c>
      <c r="AT660" s="22" t="str">
        <f t="shared" si="552"/>
        <v>X</v>
      </c>
      <c r="AU660" s="22" t="str">
        <f t="shared" si="553"/>
        <v>X</v>
      </c>
      <c r="AV660" s="22" t="str">
        <f t="shared" si="554"/>
        <v>X</v>
      </c>
      <c r="AW660" s="22" t="str">
        <f t="shared" si="555"/>
        <v>X</v>
      </c>
      <c r="AX660" s="22" t="str">
        <f t="shared" si="556"/>
        <v>X</v>
      </c>
      <c r="AY660" s="22" t="str">
        <f t="shared" si="557"/>
        <v>X</v>
      </c>
      <c r="AZ660" s="22" t="str">
        <f t="shared" si="558"/>
        <v>X</v>
      </c>
      <c r="BA660" s="22" t="str">
        <f t="shared" si="559"/>
        <v>O</v>
      </c>
      <c r="BB660" s="22">
        <f t="shared" si="560"/>
        <v>2</v>
      </c>
      <c r="BC660" s="22" t="str">
        <f t="shared" ref="BC660" si="823">VLOOKUP(N660,삼그룹,6,FALSE)</f>
        <v>1G</v>
      </c>
      <c r="BD660" s="22" t="str">
        <f t="shared" ref="BD660" si="824">VLOOKUP(O660,삼그룹,6,FALSE)</f>
        <v>1G</v>
      </c>
      <c r="BE660" s="22" t="str">
        <f t="shared" ref="BE660" si="825">VLOOKUP(P660,삼그룹,6,FALSE)</f>
        <v>2G</v>
      </c>
      <c r="BF660" s="22" t="str">
        <f t="shared" ref="BF660" si="826">VLOOKUP(Q660,삼그룹,6,FALSE)</f>
        <v>3G</v>
      </c>
      <c r="BG660" s="22" t="str">
        <f t="shared" ref="BG660" si="827">VLOOKUP(R660,삼그룹,6,FALSE)</f>
        <v>3G</v>
      </c>
      <c r="BH660" s="22" t="str">
        <f t="shared" ref="BH660" si="828">VLOOKUP(S660,삼그룹,6,FALSE)</f>
        <v>3G</v>
      </c>
      <c r="BI660" s="22">
        <f t="shared" si="568"/>
        <v>2</v>
      </c>
      <c r="BJ660" s="22">
        <f t="shared" si="569"/>
        <v>1</v>
      </c>
      <c r="BK660" s="22">
        <f t="shared" si="570"/>
        <v>3</v>
      </c>
      <c r="BL660" s="22" t="str">
        <f t="shared" ref="BL660" si="829">BI660&amp;BJ660&amp;BK660</f>
        <v>213</v>
      </c>
      <c r="BS660"/>
    </row>
    <row r="661" spans="2:71" ht="17">
      <c r="B661" s="16">
        <v>658</v>
      </c>
      <c r="C661" s="23" t="s">
        <v>1023</v>
      </c>
      <c r="N661" s="23">
        <v>8</v>
      </c>
      <c r="O661" s="23">
        <v>19</v>
      </c>
      <c r="P661" s="23">
        <v>25</v>
      </c>
      <c r="Q661" s="23">
        <v>28</v>
      </c>
      <c r="R661" s="23">
        <v>32</v>
      </c>
      <c r="S661" s="23">
        <v>36</v>
      </c>
      <c r="T661" s="23">
        <v>37</v>
      </c>
      <c r="U661" s="23">
        <f t="shared" si="528"/>
        <v>148</v>
      </c>
      <c r="W661" s="22" t="str">
        <f t="shared" si="529"/>
        <v>짝수</v>
      </c>
      <c r="X661" s="22" t="str">
        <f t="shared" si="530"/>
        <v>홀수</v>
      </c>
      <c r="Y661" s="22" t="str">
        <f t="shared" si="531"/>
        <v>홀수</v>
      </c>
      <c r="Z661" s="22" t="str">
        <f t="shared" si="532"/>
        <v>짝수</v>
      </c>
      <c r="AA661" s="23" t="str">
        <f t="shared" si="533"/>
        <v>짝수</v>
      </c>
      <c r="AB661" s="23" t="str">
        <f t="shared" si="534"/>
        <v>짝수</v>
      </c>
      <c r="AC661" s="22" t="str">
        <f t="shared" si="535"/>
        <v>2 : 4</v>
      </c>
      <c r="AD661" s="22">
        <f t="shared" si="536"/>
        <v>2</v>
      </c>
      <c r="AE661" s="22">
        <f t="shared" si="537"/>
        <v>4</v>
      </c>
      <c r="AF661" s="22" t="str">
        <f t="shared" si="538"/>
        <v>저수</v>
      </c>
      <c r="AG661" s="22" t="str">
        <f t="shared" si="539"/>
        <v>저수</v>
      </c>
      <c r="AH661" s="22" t="str">
        <f t="shared" si="540"/>
        <v>고수</v>
      </c>
      <c r="AI661" s="22" t="str">
        <f t="shared" si="541"/>
        <v>고수</v>
      </c>
      <c r="AJ661" s="22" t="str">
        <f t="shared" si="542"/>
        <v>고수</v>
      </c>
      <c r="AK661" s="22" t="str">
        <f t="shared" si="543"/>
        <v>고수</v>
      </c>
      <c r="AL661" s="22" t="str">
        <f t="shared" si="544"/>
        <v>2 : 4</v>
      </c>
      <c r="AM661" s="22">
        <f t="shared" si="545"/>
        <v>2</v>
      </c>
      <c r="AN661" s="22">
        <f t="shared" si="546"/>
        <v>4</v>
      </c>
      <c r="AO661" s="22">
        <f t="shared" si="547"/>
        <v>38</v>
      </c>
      <c r="AP661" s="22" t="str">
        <f t="shared" si="548"/>
        <v>X</v>
      </c>
      <c r="AQ661" s="22" t="str">
        <f t="shared" si="549"/>
        <v>O</v>
      </c>
      <c r="AR661" s="22" t="str">
        <f t="shared" si="550"/>
        <v>X</v>
      </c>
      <c r="AS661" s="22" t="str">
        <f t="shared" si="551"/>
        <v>X</v>
      </c>
      <c r="AT661" s="22" t="str">
        <f t="shared" si="552"/>
        <v>X</v>
      </c>
      <c r="AU661" s="22" t="str">
        <f t="shared" si="553"/>
        <v>X</v>
      </c>
      <c r="AV661" s="22" t="str">
        <f t="shared" si="554"/>
        <v>X</v>
      </c>
      <c r="AW661" s="22" t="str">
        <f t="shared" si="555"/>
        <v>X</v>
      </c>
      <c r="AX661" s="22" t="str">
        <f t="shared" si="556"/>
        <v>X</v>
      </c>
      <c r="AY661" s="22" t="str">
        <f t="shared" si="557"/>
        <v>X</v>
      </c>
      <c r="AZ661" s="22" t="str">
        <f t="shared" si="558"/>
        <v>X</v>
      </c>
      <c r="BA661" s="22" t="str">
        <f t="shared" si="559"/>
        <v>X</v>
      </c>
      <c r="BB661" s="22">
        <f t="shared" si="560"/>
        <v>1</v>
      </c>
      <c r="BC661" s="22" t="str">
        <f t="shared" ref="BC661" si="830">VLOOKUP(N661,삼그룹,6,FALSE)</f>
        <v>1G</v>
      </c>
      <c r="BD661" s="22" t="str">
        <f t="shared" ref="BD661" si="831">VLOOKUP(O661,삼그룹,6,FALSE)</f>
        <v>2G</v>
      </c>
      <c r="BE661" s="22" t="str">
        <f t="shared" ref="BE661" si="832">VLOOKUP(P661,삼그룹,6,FALSE)</f>
        <v>2G</v>
      </c>
      <c r="BF661" s="22" t="str">
        <f t="shared" ref="BF661" si="833">VLOOKUP(Q661,삼그룹,6,FALSE)</f>
        <v>2G</v>
      </c>
      <c r="BG661" s="22" t="str">
        <f t="shared" ref="BG661" si="834">VLOOKUP(R661,삼그룹,6,FALSE)</f>
        <v>3G</v>
      </c>
      <c r="BH661" s="22" t="str">
        <f t="shared" ref="BH661" si="835">VLOOKUP(S661,삼그룹,6,FALSE)</f>
        <v>3G</v>
      </c>
      <c r="BI661" s="22">
        <f t="shared" si="568"/>
        <v>1</v>
      </c>
      <c r="BJ661" s="22">
        <f t="shared" si="569"/>
        <v>3</v>
      </c>
      <c r="BK661" s="22">
        <f t="shared" si="570"/>
        <v>2</v>
      </c>
      <c r="BL661" s="22" t="str">
        <f t="shared" ref="BL661" si="836">BI661&amp;BJ661&amp;BK661</f>
        <v>132</v>
      </c>
      <c r="BS661"/>
    </row>
    <row r="662" spans="2:71" ht="17">
      <c r="B662" s="16">
        <v>659</v>
      </c>
      <c r="C662" s="23" t="s">
        <v>1024</v>
      </c>
      <c r="N662" s="23">
        <v>7</v>
      </c>
      <c r="O662" s="23">
        <v>18</v>
      </c>
      <c r="P662" s="23">
        <v>19</v>
      </c>
      <c r="Q662" s="23">
        <v>27</v>
      </c>
      <c r="R662" s="23">
        <v>29</v>
      </c>
      <c r="S662" s="23">
        <v>42</v>
      </c>
      <c r="T662" s="23">
        <v>45</v>
      </c>
      <c r="U662" s="23">
        <f t="shared" si="528"/>
        <v>142</v>
      </c>
      <c r="W662" s="22" t="str">
        <f t="shared" si="529"/>
        <v>홀수</v>
      </c>
      <c r="X662" s="22" t="str">
        <f t="shared" si="530"/>
        <v>짝수</v>
      </c>
      <c r="Y662" s="22" t="str">
        <f t="shared" si="531"/>
        <v>홀수</v>
      </c>
      <c r="Z662" s="22" t="str">
        <f t="shared" si="532"/>
        <v>홀수</v>
      </c>
      <c r="AA662" s="23" t="str">
        <f t="shared" si="533"/>
        <v>홀수</v>
      </c>
      <c r="AB662" s="23" t="str">
        <f t="shared" si="534"/>
        <v>짝수</v>
      </c>
      <c r="AC662" s="22" t="str">
        <f t="shared" si="535"/>
        <v>4 : 2</v>
      </c>
      <c r="AD662" s="22">
        <f t="shared" si="536"/>
        <v>4</v>
      </c>
      <c r="AE662" s="22">
        <f t="shared" si="537"/>
        <v>2</v>
      </c>
      <c r="AF662" s="22" t="str">
        <f t="shared" si="538"/>
        <v>저수</v>
      </c>
      <c r="AG662" s="22" t="str">
        <f t="shared" si="539"/>
        <v>저수</v>
      </c>
      <c r="AH662" s="22" t="str">
        <f t="shared" si="540"/>
        <v>저수</v>
      </c>
      <c r="AI662" s="22" t="str">
        <f t="shared" si="541"/>
        <v>고수</v>
      </c>
      <c r="AJ662" s="22" t="str">
        <f t="shared" si="542"/>
        <v>고수</v>
      </c>
      <c r="AK662" s="22" t="str">
        <f t="shared" si="543"/>
        <v>고수</v>
      </c>
      <c r="AL662" s="22" t="str">
        <f t="shared" si="544"/>
        <v>3 : 3</v>
      </c>
      <c r="AM662" s="22">
        <f t="shared" si="545"/>
        <v>3</v>
      </c>
      <c r="AN662" s="22">
        <f t="shared" si="546"/>
        <v>3</v>
      </c>
      <c r="AO662" s="22">
        <f t="shared" si="547"/>
        <v>42</v>
      </c>
      <c r="AP662" s="22" t="str">
        <f t="shared" si="548"/>
        <v>O</v>
      </c>
      <c r="AQ662" s="22" t="str">
        <f t="shared" si="549"/>
        <v>X</v>
      </c>
      <c r="AR662" s="22" t="str">
        <f t="shared" si="550"/>
        <v>O</v>
      </c>
      <c r="AS662" s="22" t="str">
        <f t="shared" si="551"/>
        <v>X</v>
      </c>
      <c r="AT662" s="22" t="str">
        <f t="shared" si="552"/>
        <v>X</v>
      </c>
      <c r="AU662" s="22" t="str">
        <f t="shared" si="553"/>
        <v>X</v>
      </c>
      <c r="AV662" s="22" t="str">
        <f t="shared" si="554"/>
        <v>X</v>
      </c>
      <c r="AW662" s="22" t="str">
        <f t="shared" si="555"/>
        <v>X</v>
      </c>
      <c r="AX662" s="22" t="str">
        <f t="shared" si="556"/>
        <v>X</v>
      </c>
      <c r="AY662" s="22" t="str">
        <f t="shared" si="557"/>
        <v>X</v>
      </c>
      <c r="AZ662" s="22" t="str">
        <f t="shared" si="558"/>
        <v>O</v>
      </c>
      <c r="BA662" s="22" t="str">
        <f t="shared" si="559"/>
        <v>X</v>
      </c>
      <c r="BB662" s="22">
        <f t="shared" si="560"/>
        <v>3</v>
      </c>
      <c r="BC662" s="22" t="str">
        <f t="shared" ref="BC662" si="837">VLOOKUP(N662,삼그룹,6,FALSE)</f>
        <v>1G</v>
      </c>
      <c r="BD662" s="22" t="str">
        <f t="shared" ref="BD662" si="838">VLOOKUP(O662,삼그룹,6,FALSE)</f>
        <v>2G</v>
      </c>
      <c r="BE662" s="22" t="str">
        <f t="shared" ref="BE662" si="839">VLOOKUP(P662,삼그룹,6,FALSE)</f>
        <v>2G</v>
      </c>
      <c r="BF662" s="22" t="str">
        <f t="shared" ref="BF662" si="840">VLOOKUP(Q662,삼그룹,6,FALSE)</f>
        <v>2G</v>
      </c>
      <c r="BG662" s="22" t="str">
        <f t="shared" ref="BG662" si="841">VLOOKUP(R662,삼그룹,6,FALSE)</f>
        <v>2G</v>
      </c>
      <c r="BH662" s="22" t="str">
        <f t="shared" ref="BH662" si="842">VLOOKUP(S662,삼그룹,6,FALSE)</f>
        <v>3G</v>
      </c>
      <c r="BI662" s="22">
        <f t="shared" si="568"/>
        <v>1</v>
      </c>
      <c r="BJ662" s="22">
        <f t="shared" si="569"/>
        <v>4</v>
      </c>
      <c r="BK662" s="22">
        <f t="shared" si="570"/>
        <v>1</v>
      </c>
      <c r="BL662" s="22" t="str">
        <f t="shared" ref="BL662" si="843">BI662&amp;BJ662&amp;BK662</f>
        <v>141</v>
      </c>
      <c r="BS662"/>
    </row>
    <row r="663" spans="2:71" ht="17">
      <c r="B663" s="16">
        <v>660</v>
      </c>
      <c r="C663" s="23" t="s">
        <v>1026</v>
      </c>
      <c r="N663" s="23">
        <v>4</v>
      </c>
      <c r="O663" s="23">
        <v>9</v>
      </c>
      <c r="P663" s="23">
        <v>23</v>
      </c>
      <c r="Q663" s="23">
        <v>33</v>
      </c>
      <c r="R663" s="23">
        <v>39</v>
      </c>
      <c r="S663" s="23">
        <v>44</v>
      </c>
      <c r="T663" s="23">
        <v>14</v>
      </c>
      <c r="U663" s="23">
        <f t="shared" si="528"/>
        <v>152</v>
      </c>
      <c r="W663" s="22" t="str">
        <f t="shared" si="529"/>
        <v>짝수</v>
      </c>
      <c r="X663" s="22" t="str">
        <f t="shared" si="530"/>
        <v>홀수</v>
      </c>
      <c r="Y663" s="22" t="str">
        <f t="shared" si="531"/>
        <v>홀수</v>
      </c>
      <c r="Z663" s="22" t="str">
        <f t="shared" si="532"/>
        <v>홀수</v>
      </c>
      <c r="AA663" s="23" t="str">
        <f t="shared" si="533"/>
        <v>홀수</v>
      </c>
      <c r="AB663" s="23" t="str">
        <f t="shared" si="534"/>
        <v>짝수</v>
      </c>
      <c r="AC663" s="22" t="str">
        <f t="shared" si="535"/>
        <v>4 : 2</v>
      </c>
      <c r="AD663" s="22">
        <f t="shared" si="536"/>
        <v>4</v>
      </c>
      <c r="AE663" s="22">
        <f t="shared" si="537"/>
        <v>2</v>
      </c>
      <c r="AF663" s="22" t="str">
        <f t="shared" si="538"/>
        <v>저수</v>
      </c>
      <c r="AG663" s="22" t="str">
        <f t="shared" si="539"/>
        <v>저수</v>
      </c>
      <c r="AH663" s="22" t="str">
        <f t="shared" si="540"/>
        <v>고수</v>
      </c>
      <c r="AI663" s="22" t="str">
        <f t="shared" si="541"/>
        <v>고수</v>
      </c>
      <c r="AJ663" s="22" t="str">
        <f t="shared" si="542"/>
        <v>고수</v>
      </c>
      <c r="AK663" s="22" t="str">
        <f t="shared" si="543"/>
        <v>고수</v>
      </c>
      <c r="AL663" s="22" t="str">
        <f t="shared" si="544"/>
        <v>2 : 4</v>
      </c>
      <c r="AM663" s="22">
        <f t="shared" si="545"/>
        <v>2</v>
      </c>
      <c r="AN663" s="22">
        <f t="shared" si="546"/>
        <v>4</v>
      </c>
      <c r="AO663" s="22">
        <f t="shared" si="547"/>
        <v>32</v>
      </c>
      <c r="AP663" s="22" t="str">
        <f t="shared" si="548"/>
        <v>X</v>
      </c>
      <c r="AQ663" s="22" t="str">
        <f t="shared" si="549"/>
        <v>X</v>
      </c>
      <c r="AR663" s="22" t="str">
        <f t="shared" si="550"/>
        <v>X</v>
      </c>
      <c r="AS663" s="22" t="str">
        <f t="shared" si="551"/>
        <v>X</v>
      </c>
      <c r="AT663" s="22" t="str">
        <f t="shared" si="552"/>
        <v>X</v>
      </c>
      <c r="AU663" s="22" t="str">
        <f t="shared" si="553"/>
        <v>X</v>
      </c>
      <c r="AV663" s="22" t="str">
        <f t="shared" si="554"/>
        <v>X</v>
      </c>
      <c r="AW663" s="22" t="str">
        <f t="shared" si="555"/>
        <v>X</v>
      </c>
      <c r="AX663" s="22" t="str">
        <f t="shared" si="556"/>
        <v>O</v>
      </c>
      <c r="AY663" s="22" t="str">
        <f t="shared" si="557"/>
        <v>X</v>
      </c>
      <c r="AZ663" s="22" t="str">
        <f t="shared" si="558"/>
        <v>X</v>
      </c>
      <c r="BA663" s="22" t="str">
        <f t="shared" si="559"/>
        <v>X</v>
      </c>
      <c r="BB663" s="22">
        <f t="shared" si="560"/>
        <v>1</v>
      </c>
      <c r="BC663" s="22" t="str">
        <f t="shared" ref="BC663" si="844">VLOOKUP(N663,삼그룹,6,FALSE)</f>
        <v>1G</v>
      </c>
      <c r="BD663" s="22" t="str">
        <f t="shared" ref="BD663" si="845">VLOOKUP(O663,삼그룹,6,FALSE)</f>
        <v>1G</v>
      </c>
      <c r="BE663" s="22" t="str">
        <f t="shared" ref="BE663" si="846">VLOOKUP(P663,삼그룹,6,FALSE)</f>
        <v>2G</v>
      </c>
      <c r="BF663" s="22" t="str">
        <f t="shared" ref="BF663" si="847">VLOOKUP(Q663,삼그룹,6,FALSE)</f>
        <v>3G</v>
      </c>
      <c r="BG663" s="22" t="str">
        <f t="shared" ref="BG663" si="848">VLOOKUP(R663,삼그룹,6,FALSE)</f>
        <v>3G</v>
      </c>
      <c r="BH663" s="22" t="str">
        <f t="shared" ref="BH663" si="849">VLOOKUP(S663,삼그룹,6,FALSE)</f>
        <v>3G</v>
      </c>
      <c r="BI663" s="22">
        <f t="shared" si="568"/>
        <v>2</v>
      </c>
      <c r="BJ663" s="22">
        <f t="shared" si="569"/>
        <v>1</v>
      </c>
      <c r="BK663" s="22">
        <f t="shared" si="570"/>
        <v>3</v>
      </c>
      <c r="BL663" s="22" t="str">
        <f t="shared" ref="BL663" si="850">BI663&amp;BJ663&amp;BK663</f>
        <v>213</v>
      </c>
      <c r="BS663"/>
    </row>
    <row r="664" spans="2:71" ht="17">
      <c r="B664" s="16">
        <v>661</v>
      </c>
      <c r="C664" s="23" t="s">
        <v>1027</v>
      </c>
      <c r="N664" s="23">
        <v>2</v>
      </c>
      <c r="O664" s="23">
        <v>3</v>
      </c>
      <c r="P664" s="23">
        <v>12</v>
      </c>
      <c r="Q664" s="23">
        <v>20</v>
      </c>
      <c r="R664" s="23">
        <v>27</v>
      </c>
      <c r="S664" s="23">
        <v>38</v>
      </c>
      <c r="T664" s="23">
        <v>40</v>
      </c>
      <c r="U664" s="23">
        <f t="shared" si="528"/>
        <v>102</v>
      </c>
      <c r="W664" s="22" t="str">
        <f t="shared" ref="W664:W670" si="851">IF(RIGHT(N664,1)="1","홀수",IF(RIGHT(N664,1)="3","홀수",IF(RIGHT(N664,1)="5","홀수",IF(RIGHT(N664,1)="7","홀수",IF(RIGHT(N664,1)="9","홀수","짝수")))))</f>
        <v>짝수</v>
      </c>
      <c r="X664" s="22" t="str">
        <f t="shared" ref="X664:X670" si="852">IF(RIGHT(O664,1)="1","홀수",IF(RIGHT(O664,1)="3","홀수",IF(RIGHT(O664,1)="5","홀수",IF(RIGHT(O664,1)="7","홀수",IF(RIGHT(O664,1)="9","홀수","짝수")))))</f>
        <v>홀수</v>
      </c>
      <c r="Y664" s="22" t="str">
        <f t="shared" ref="Y664:Y670" si="853">IF(RIGHT(P664,1)="1","홀수",IF(RIGHT(P664,1)="3","홀수",IF(RIGHT(P664,1)="5","홀수",IF(RIGHT(P664,1)="7","홀수",IF(RIGHT(P664,1)="9","홀수","짝수")))))</f>
        <v>짝수</v>
      </c>
      <c r="Z664" s="22" t="str">
        <f t="shared" ref="Z664:Z670" si="854">IF(RIGHT(Q664,1)="1","홀수",IF(RIGHT(Q664,1)="3","홀수",IF(RIGHT(Q664,1)="5","홀수",IF(RIGHT(Q664,1)="7","홀수",IF(RIGHT(Q664,1)="9","홀수","짝수")))))</f>
        <v>짝수</v>
      </c>
      <c r="AA664" s="23" t="str">
        <f t="shared" ref="AA664:AA670" si="855">IF(RIGHT(R664,1)="1","홀수",IF(RIGHT(R664,1)="3","홀수",IF(RIGHT(R664,1)="5","홀수",IF(RIGHT(R664,1)="7","홀수",IF(RIGHT(R664,1)="9","홀수","짝수")))))</f>
        <v>홀수</v>
      </c>
      <c r="AB664" s="23" t="str">
        <f t="shared" ref="AB664:AB670" si="856">IF(RIGHT(S664,1)="1","홀수",IF(RIGHT(S664,1)="3","홀수",IF(RIGHT(S664,1)="5","홀수",IF(RIGHT(S664,1)="7","홀수",IF(RIGHT(S664,1)="9","홀수","짝수")))))</f>
        <v>짝수</v>
      </c>
      <c r="AC664" s="22" t="str">
        <f t="shared" ref="AC664:AC670" si="857">AD664&amp;" : "&amp;AE664</f>
        <v>2 : 4</v>
      </c>
      <c r="AD664" s="22">
        <f t="shared" ref="AD664:AD670" si="858">COUNTIF(W664:AB664,"홀수")</f>
        <v>2</v>
      </c>
      <c r="AE664" s="22">
        <f t="shared" ref="AE664:AE670" si="859">COUNTIF(W664:AB664,"짝수")</f>
        <v>4</v>
      </c>
      <c r="AF664" s="22" t="str">
        <f t="shared" ref="AF664:AF670" si="860">IF(N664&lt;23,"저수","고수")</f>
        <v>저수</v>
      </c>
      <c r="AG664" s="22" t="str">
        <f t="shared" ref="AG664:AG670" si="861">IF(O664&lt;23,"저수","고수")</f>
        <v>저수</v>
      </c>
      <c r="AH664" s="22" t="str">
        <f t="shared" ref="AH664:AH670" si="862">IF(P664&lt;23,"저수","고수")</f>
        <v>저수</v>
      </c>
      <c r="AI664" s="22" t="str">
        <f t="shared" ref="AI664:AI670" si="863">IF(Q664&lt;23,"저수","고수")</f>
        <v>저수</v>
      </c>
      <c r="AJ664" s="22" t="str">
        <f t="shared" ref="AJ664:AJ670" si="864">IF(R664&lt;23,"저수","고수")</f>
        <v>고수</v>
      </c>
      <c r="AK664" s="22" t="str">
        <f t="shared" ref="AK664:AK670" si="865">IF(S664&lt;23,"저수","고수")</f>
        <v>고수</v>
      </c>
      <c r="AL664" s="22" t="str">
        <f t="shared" ref="AL664:AL670" si="866">AM664&amp;" : "&amp;AN664</f>
        <v>4 : 2</v>
      </c>
      <c r="AM664" s="22">
        <f t="shared" ref="AM664:AM670" si="867">COUNTIF(AF664:AK664,"저수")</f>
        <v>4</v>
      </c>
      <c r="AN664" s="22">
        <f t="shared" ref="AN664:AN670" si="868">COUNTIF(AF664:AK664,"고수")</f>
        <v>2</v>
      </c>
      <c r="AO664" s="22">
        <f t="shared" ref="AO664:AO670" si="869">RIGHT(N664,1)+RIGHT(O664,1)+RIGHT(P664,1)+RIGHT(Q664,1)+RIGHT(R664,1)+RIGHT(S664,1)</f>
        <v>22</v>
      </c>
      <c r="AP664" s="22" t="str">
        <f t="shared" ref="AP664:AP670" si="870">IF(N664=2,"O",IF(N664=3,"O",IF(N664=5,"O",IF(N664=7,"O",IF(N664=11,"O",IF(N664=13,"O",IF(N664=17,"O",IF(N664=19,"O","X"))))))))</f>
        <v>O</v>
      </c>
      <c r="AQ664" s="22" t="str">
        <f t="shared" ref="AQ664:AQ670" si="871">IF(O664=2,"O",IF(O664=3,"O",IF(O664=5,"O",IF(O664=7,"O",IF(O664=11,"O",IF(O664=13,"O",IF(O664=17,"O",IF(O664=19,"O","X"))))))))</f>
        <v>O</v>
      </c>
      <c r="AR664" s="22" t="str">
        <f t="shared" ref="AR664:AR670" si="872">IF(P664=2,"O",IF(P664=3,"O",IF(P664=5,"O",IF(P664=7,"O",IF(P664=11,"O",IF(P664=13,"O",IF(P664=17,"O",IF(P664=19,"O","X"))))))))</f>
        <v>X</v>
      </c>
      <c r="AS664" s="22" t="str">
        <f t="shared" ref="AS664:AS670" si="873">IF(Q664=2,"O",IF(Q664=3,"O",IF(Q664=5,"O",IF(Q664=7,"O",IF(Q664=11,"O",IF(Q664=13,"O",IF(Q664=17,"O",IF(Q664=19,"O","X"))))))))</f>
        <v>X</v>
      </c>
      <c r="AT664" s="22" t="str">
        <f t="shared" ref="AT664:AT670" si="874">IF(R664=2,"O",IF(R664=3,"O",IF(R664=5,"O",IF(R664=7,"O",IF(R664=11,"O",IF(R664=13,"O",IF(R664=17,"O",IF(R664=19,"O","X"))))))))</f>
        <v>X</v>
      </c>
      <c r="AU664" s="22" t="str">
        <f t="shared" ref="AU664:AU670" si="875">IF(S664=2,"O",IF(S664=3,"O",IF(S664=5,"O",IF(S664=7,"O",IF(S664=11,"O",IF(S664=13,"O",IF(S664=17,"O",IF(S664=19,"O","X"))))))))</f>
        <v>X</v>
      </c>
      <c r="AV664" s="22" t="str">
        <f t="shared" ref="AV664:AV670" si="876">IF(N664=23,"O",IF(N664=29,"O",IF(N664=31,"O",IF(N664=37,"O",IF(N664=41,"O",IF(N664=43,"O","X"))))))</f>
        <v>X</v>
      </c>
      <c r="AW664" s="22" t="str">
        <f t="shared" ref="AW664:AW670" si="877">IF(O664=23,"O",IF(O664=29,"O",IF(O664=31,"O",IF(O664=37,"O",IF(O664=41,"O",IF(O664=43,"O","X"))))))</f>
        <v>X</v>
      </c>
      <c r="AX664" s="22" t="str">
        <f t="shared" ref="AX664:AX670" si="878">IF(P664=23,"O",IF(P664=29,"O",IF(P664=31,"O",IF(P664=37,"O",IF(P664=41,"O",IF(P664=43,"O","X"))))))</f>
        <v>X</v>
      </c>
      <c r="AY664" s="22" t="str">
        <f t="shared" ref="AY664:AY670" si="879">IF(Q664=23,"O",IF(Q664=29,"O",IF(Q664=31,"O",IF(Q664=37,"O",IF(Q664=41,"O",IF(Q664=43,"O","X"))))))</f>
        <v>X</v>
      </c>
      <c r="AZ664" s="22" t="str">
        <f t="shared" ref="AZ664:AZ670" si="880">IF(R664=23,"O",IF(R664=29,"O",IF(R664=31,"O",IF(R664=37,"O",IF(R664=41,"O",IF(R664=43,"O","X"))))))</f>
        <v>X</v>
      </c>
      <c r="BA664" s="22" t="str">
        <f t="shared" ref="BA664:BA670" si="881">IF(S664=23,"O",IF(S664=29,"O",IF(S664=31,"O",IF(S664=37,"O",IF(S664=41,"O",IF(S664=43,"O","X"))))))</f>
        <v>X</v>
      </c>
      <c r="BB664" s="22">
        <f t="shared" ref="BB664:BB670" si="882">COUNTIF(AP664:BA664,"O")</f>
        <v>2</v>
      </c>
      <c r="BC664" s="22" t="str">
        <f t="shared" ref="BC664" si="883">VLOOKUP(N664,삼그룹,6,FALSE)</f>
        <v>1G</v>
      </c>
      <c r="BD664" s="22" t="str">
        <f t="shared" ref="BD664" si="884">VLOOKUP(O664,삼그룹,6,FALSE)</f>
        <v>1G</v>
      </c>
      <c r="BE664" s="22" t="str">
        <f t="shared" ref="BE664" si="885">VLOOKUP(P664,삼그룹,6,FALSE)</f>
        <v>1G</v>
      </c>
      <c r="BF664" s="22" t="str">
        <f t="shared" ref="BF664" si="886">VLOOKUP(Q664,삼그룹,6,FALSE)</f>
        <v>2G</v>
      </c>
      <c r="BG664" s="22" t="str">
        <f t="shared" ref="BG664" si="887">VLOOKUP(R664,삼그룹,6,FALSE)</f>
        <v>2G</v>
      </c>
      <c r="BH664" s="22" t="str">
        <f t="shared" ref="BH664" si="888">VLOOKUP(S664,삼그룹,6,FALSE)</f>
        <v>3G</v>
      </c>
      <c r="BI664" s="22">
        <f t="shared" si="568"/>
        <v>3</v>
      </c>
      <c r="BJ664" s="22">
        <f t="shared" si="569"/>
        <v>2</v>
      </c>
      <c r="BK664" s="22">
        <f t="shared" si="570"/>
        <v>1</v>
      </c>
      <c r="BL664" s="22" t="str">
        <f t="shared" ref="BL664" si="889">BI664&amp;BJ664&amp;BK664</f>
        <v>321</v>
      </c>
      <c r="BS664"/>
    </row>
    <row r="665" spans="2:71" ht="17">
      <c r="B665" s="16">
        <v>662</v>
      </c>
      <c r="C665" s="23" t="s">
        <v>1028</v>
      </c>
      <c r="N665" s="23">
        <v>5</v>
      </c>
      <c r="O665" s="23">
        <v>6</v>
      </c>
      <c r="P665" s="23">
        <v>9</v>
      </c>
      <c r="Q665" s="23">
        <v>11</v>
      </c>
      <c r="R665" s="23">
        <v>15</v>
      </c>
      <c r="S665" s="23">
        <v>37</v>
      </c>
      <c r="T665" s="23">
        <v>26</v>
      </c>
      <c r="U665" s="23">
        <f t="shared" si="528"/>
        <v>83</v>
      </c>
      <c r="W665" s="22" t="str">
        <f t="shared" si="851"/>
        <v>홀수</v>
      </c>
      <c r="X665" s="22" t="str">
        <f t="shared" si="852"/>
        <v>짝수</v>
      </c>
      <c r="Y665" s="22" t="str">
        <f t="shared" si="853"/>
        <v>홀수</v>
      </c>
      <c r="Z665" s="22" t="str">
        <f t="shared" si="854"/>
        <v>홀수</v>
      </c>
      <c r="AA665" s="23" t="str">
        <f t="shared" si="855"/>
        <v>홀수</v>
      </c>
      <c r="AB665" s="23" t="str">
        <f t="shared" si="856"/>
        <v>홀수</v>
      </c>
      <c r="AC665" s="22" t="str">
        <f t="shared" si="857"/>
        <v>5 : 1</v>
      </c>
      <c r="AD665" s="22">
        <f t="shared" si="858"/>
        <v>5</v>
      </c>
      <c r="AE665" s="22">
        <f t="shared" si="859"/>
        <v>1</v>
      </c>
      <c r="AF665" s="22" t="str">
        <f t="shared" si="860"/>
        <v>저수</v>
      </c>
      <c r="AG665" s="22" t="str">
        <f t="shared" si="861"/>
        <v>저수</v>
      </c>
      <c r="AH665" s="22" t="str">
        <f t="shared" si="862"/>
        <v>저수</v>
      </c>
      <c r="AI665" s="22" t="str">
        <f t="shared" si="863"/>
        <v>저수</v>
      </c>
      <c r="AJ665" s="22" t="str">
        <f t="shared" si="864"/>
        <v>저수</v>
      </c>
      <c r="AK665" s="22" t="str">
        <f t="shared" si="865"/>
        <v>고수</v>
      </c>
      <c r="AL665" s="22" t="str">
        <f t="shared" si="866"/>
        <v>5 : 1</v>
      </c>
      <c r="AM665" s="22">
        <f t="shared" si="867"/>
        <v>5</v>
      </c>
      <c r="AN665" s="22">
        <f t="shared" si="868"/>
        <v>1</v>
      </c>
      <c r="AO665" s="22">
        <f t="shared" si="869"/>
        <v>33</v>
      </c>
      <c r="AP665" s="22" t="str">
        <f t="shared" si="870"/>
        <v>O</v>
      </c>
      <c r="AQ665" s="22" t="str">
        <f t="shared" si="871"/>
        <v>X</v>
      </c>
      <c r="AR665" s="22" t="str">
        <f t="shared" si="872"/>
        <v>X</v>
      </c>
      <c r="AS665" s="22" t="str">
        <f t="shared" si="873"/>
        <v>O</v>
      </c>
      <c r="AT665" s="22" t="str">
        <f t="shared" si="874"/>
        <v>X</v>
      </c>
      <c r="AU665" s="22" t="str">
        <f t="shared" si="875"/>
        <v>X</v>
      </c>
      <c r="AV665" s="22" t="str">
        <f t="shared" si="876"/>
        <v>X</v>
      </c>
      <c r="AW665" s="22" t="str">
        <f t="shared" si="877"/>
        <v>X</v>
      </c>
      <c r="AX665" s="22" t="str">
        <f t="shared" si="878"/>
        <v>X</v>
      </c>
      <c r="AY665" s="22" t="str">
        <f t="shared" si="879"/>
        <v>X</v>
      </c>
      <c r="AZ665" s="22" t="str">
        <f t="shared" si="880"/>
        <v>X</v>
      </c>
      <c r="BA665" s="22" t="str">
        <f t="shared" si="881"/>
        <v>O</v>
      </c>
      <c r="BB665" s="22">
        <f t="shared" si="882"/>
        <v>3</v>
      </c>
      <c r="BC665" s="22" t="str">
        <f t="shared" ref="BC665" si="890">VLOOKUP(N665,삼그룹,6,FALSE)</f>
        <v>1G</v>
      </c>
      <c r="BD665" s="22" t="str">
        <f t="shared" ref="BD665" si="891">VLOOKUP(O665,삼그룹,6,FALSE)</f>
        <v>1G</v>
      </c>
      <c r="BE665" s="22" t="str">
        <f t="shared" ref="BE665" si="892">VLOOKUP(P665,삼그룹,6,FALSE)</f>
        <v>1G</v>
      </c>
      <c r="BF665" s="22" t="str">
        <f t="shared" ref="BF665" si="893">VLOOKUP(Q665,삼그룹,6,FALSE)</f>
        <v>1G</v>
      </c>
      <c r="BG665" s="22" t="str">
        <f t="shared" ref="BG665" si="894">VLOOKUP(R665,삼그룹,6,FALSE)</f>
        <v>1G</v>
      </c>
      <c r="BH665" s="22" t="str">
        <f t="shared" ref="BH665" si="895">VLOOKUP(S665,삼그룹,6,FALSE)</f>
        <v>3G</v>
      </c>
      <c r="BI665" s="22">
        <f t="shared" si="568"/>
        <v>5</v>
      </c>
      <c r="BJ665" s="22">
        <f t="shared" si="569"/>
        <v>0</v>
      </c>
      <c r="BK665" s="22">
        <f t="shared" si="570"/>
        <v>1</v>
      </c>
      <c r="BL665" s="22" t="str">
        <f t="shared" ref="BL665" si="896">BI665&amp;BJ665&amp;BK665</f>
        <v>501</v>
      </c>
      <c r="BS665"/>
    </row>
    <row r="666" spans="2:71" ht="17">
      <c r="B666" s="16">
        <v>663</v>
      </c>
      <c r="C666" s="23" t="s">
        <v>1029</v>
      </c>
      <c r="N666" s="23">
        <v>3</v>
      </c>
      <c r="O666" s="23">
        <v>5</v>
      </c>
      <c r="P666" s="23">
        <v>8</v>
      </c>
      <c r="Q666" s="23">
        <v>19</v>
      </c>
      <c r="R666" s="23">
        <v>38</v>
      </c>
      <c r="S666" s="23">
        <v>42</v>
      </c>
      <c r="T666" s="23">
        <v>20</v>
      </c>
      <c r="U666" s="23">
        <f t="shared" si="528"/>
        <v>115</v>
      </c>
      <c r="W666" s="22" t="str">
        <f t="shared" si="851"/>
        <v>홀수</v>
      </c>
      <c r="X666" s="22" t="str">
        <f t="shared" si="852"/>
        <v>홀수</v>
      </c>
      <c r="Y666" s="22" t="str">
        <f t="shared" si="853"/>
        <v>짝수</v>
      </c>
      <c r="Z666" s="22" t="str">
        <f t="shared" si="854"/>
        <v>홀수</v>
      </c>
      <c r="AA666" s="23" t="str">
        <f t="shared" si="855"/>
        <v>짝수</v>
      </c>
      <c r="AB666" s="23" t="str">
        <f t="shared" si="856"/>
        <v>짝수</v>
      </c>
      <c r="AC666" s="22" t="str">
        <f t="shared" si="857"/>
        <v>3 : 3</v>
      </c>
      <c r="AD666" s="22">
        <f t="shared" si="858"/>
        <v>3</v>
      </c>
      <c r="AE666" s="22">
        <f t="shared" si="859"/>
        <v>3</v>
      </c>
      <c r="AF666" s="22" t="str">
        <f t="shared" si="860"/>
        <v>저수</v>
      </c>
      <c r="AG666" s="22" t="str">
        <f t="shared" si="861"/>
        <v>저수</v>
      </c>
      <c r="AH666" s="22" t="str">
        <f t="shared" si="862"/>
        <v>저수</v>
      </c>
      <c r="AI666" s="22" t="str">
        <f t="shared" si="863"/>
        <v>저수</v>
      </c>
      <c r="AJ666" s="22" t="str">
        <f t="shared" si="864"/>
        <v>고수</v>
      </c>
      <c r="AK666" s="22" t="str">
        <f t="shared" si="865"/>
        <v>고수</v>
      </c>
      <c r="AL666" s="22" t="str">
        <f t="shared" si="866"/>
        <v>4 : 2</v>
      </c>
      <c r="AM666" s="22">
        <f t="shared" si="867"/>
        <v>4</v>
      </c>
      <c r="AN666" s="22">
        <f t="shared" si="868"/>
        <v>2</v>
      </c>
      <c r="AO666" s="22">
        <f t="shared" si="869"/>
        <v>35</v>
      </c>
      <c r="AP666" s="22" t="str">
        <f t="shared" si="870"/>
        <v>O</v>
      </c>
      <c r="AQ666" s="22" t="str">
        <f t="shared" si="871"/>
        <v>O</v>
      </c>
      <c r="AR666" s="22" t="str">
        <f t="shared" si="872"/>
        <v>X</v>
      </c>
      <c r="AS666" s="22" t="str">
        <f t="shared" si="873"/>
        <v>O</v>
      </c>
      <c r="AT666" s="22" t="str">
        <f t="shared" si="874"/>
        <v>X</v>
      </c>
      <c r="AU666" s="22" t="str">
        <f t="shared" si="875"/>
        <v>X</v>
      </c>
      <c r="AV666" s="22" t="str">
        <f t="shared" si="876"/>
        <v>X</v>
      </c>
      <c r="AW666" s="22" t="str">
        <f t="shared" si="877"/>
        <v>X</v>
      </c>
      <c r="AX666" s="22" t="str">
        <f t="shared" si="878"/>
        <v>X</v>
      </c>
      <c r="AY666" s="22" t="str">
        <f t="shared" si="879"/>
        <v>X</v>
      </c>
      <c r="AZ666" s="22" t="str">
        <f t="shared" si="880"/>
        <v>X</v>
      </c>
      <c r="BA666" s="22" t="str">
        <f t="shared" si="881"/>
        <v>X</v>
      </c>
      <c r="BB666" s="22">
        <f t="shared" si="882"/>
        <v>3</v>
      </c>
      <c r="BC666" s="22" t="str">
        <f t="shared" ref="BC666" si="897">VLOOKUP(N666,삼그룹,6,FALSE)</f>
        <v>1G</v>
      </c>
      <c r="BD666" s="22" t="str">
        <f t="shared" ref="BD666" si="898">VLOOKUP(O666,삼그룹,6,FALSE)</f>
        <v>1G</v>
      </c>
      <c r="BE666" s="22" t="str">
        <f t="shared" ref="BE666" si="899">VLOOKUP(P666,삼그룹,6,FALSE)</f>
        <v>1G</v>
      </c>
      <c r="BF666" s="22" t="str">
        <f t="shared" ref="BF666" si="900">VLOOKUP(Q666,삼그룹,6,FALSE)</f>
        <v>2G</v>
      </c>
      <c r="BG666" s="22" t="str">
        <f t="shared" ref="BG666" si="901">VLOOKUP(R666,삼그룹,6,FALSE)</f>
        <v>3G</v>
      </c>
      <c r="BH666" s="22" t="str">
        <f t="shared" ref="BH666" si="902">VLOOKUP(S666,삼그룹,6,FALSE)</f>
        <v>3G</v>
      </c>
      <c r="BI666" s="22">
        <f t="shared" si="568"/>
        <v>3</v>
      </c>
      <c r="BJ666" s="22">
        <f t="shared" si="569"/>
        <v>1</v>
      </c>
      <c r="BK666" s="22">
        <f t="shared" si="570"/>
        <v>2</v>
      </c>
      <c r="BL666" s="22" t="str">
        <f t="shared" ref="BL666" si="903">BI666&amp;BJ666&amp;BK666</f>
        <v>312</v>
      </c>
      <c r="BS666"/>
    </row>
    <row r="667" spans="2:71" ht="17">
      <c r="B667" s="16">
        <v>664</v>
      </c>
      <c r="C667" s="23" t="s">
        <v>1030</v>
      </c>
      <c r="N667" s="23">
        <v>10</v>
      </c>
      <c r="O667" s="23">
        <v>20</v>
      </c>
      <c r="P667" s="23">
        <v>33</v>
      </c>
      <c r="Q667" s="23">
        <v>36</v>
      </c>
      <c r="R667" s="23">
        <v>41</v>
      </c>
      <c r="S667" s="23">
        <v>44</v>
      </c>
      <c r="T667" s="23">
        <v>5</v>
      </c>
      <c r="U667" s="23">
        <f t="shared" si="528"/>
        <v>184</v>
      </c>
      <c r="W667" s="22" t="str">
        <f t="shared" si="851"/>
        <v>짝수</v>
      </c>
      <c r="X667" s="22" t="str">
        <f t="shared" si="852"/>
        <v>짝수</v>
      </c>
      <c r="Y667" s="22" t="str">
        <f t="shared" si="853"/>
        <v>홀수</v>
      </c>
      <c r="Z667" s="22" t="str">
        <f t="shared" si="854"/>
        <v>짝수</v>
      </c>
      <c r="AA667" s="23" t="str">
        <f t="shared" si="855"/>
        <v>홀수</v>
      </c>
      <c r="AB667" s="23" t="str">
        <f t="shared" si="856"/>
        <v>짝수</v>
      </c>
      <c r="AC667" s="22" t="str">
        <f t="shared" si="857"/>
        <v>2 : 4</v>
      </c>
      <c r="AD667" s="22">
        <f t="shared" si="858"/>
        <v>2</v>
      </c>
      <c r="AE667" s="22">
        <f t="shared" si="859"/>
        <v>4</v>
      </c>
      <c r="AF667" s="22" t="str">
        <f t="shared" si="860"/>
        <v>저수</v>
      </c>
      <c r="AG667" s="22" t="str">
        <f t="shared" si="861"/>
        <v>저수</v>
      </c>
      <c r="AH667" s="22" t="str">
        <f t="shared" si="862"/>
        <v>고수</v>
      </c>
      <c r="AI667" s="22" t="str">
        <f t="shared" si="863"/>
        <v>고수</v>
      </c>
      <c r="AJ667" s="22" t="str">
        <f t="shared" si="864"/>
        <v>고수</v>
      </c>
      <c r="AK667" s="22" t="str">
        <f t="shared" si="865"/>
        <v>고수</v>
      </c>
      <c r="AL667" s="22" t="str">
        <f t="shared" si="866"/>
        <v>2 : 4</v>
      </c>
      <c r="AM667" s="22">
        <f t="shared" si="867"/>
        <v>2</v>
      </c>
      <c r="AN667" s="22">
        <f t="shared" si="868"/>
        <v>4</v>
      </c>
      <c r="AO667" s="22">
        <f t="shared" si="869"/>
        <v>14</v>
      </c>
      <c r="AP667" s="22" t="str">
        <f t="shared" si="870"/>
        <v>X</v>
      </c>
      <c r="AQ667" s="22" t="str">
        <f t="shared" si="871"/>
        <v>X</v>
      </c>
      <c r="AR667" s="22" t="str">
        <f t="shared" si="872"/>
        <v>X</v>
      </c>
      <c r="AS667" s="22" t="str">
        <f t="shared" si="873"/>
        <v>X</v>
      </c>
      <c r="AT667" s="22" t="str">
        <f t="shared" si="874"/>
        <v>X</v>
      </c>
      <c r="AU667" s="22" t="str">
        <f t="shared" si="875"/>
        <v>X</v>
      </c>
      <c r="AV667" s="22" t="str">
        <f t="shared" si="876"/>
        <v>X</v>
      </c>
      <c r="AW667" s="22" t="str">
        <f t="shared" si="877"/>
        <v>X</v>
      </c>
      <c r="AX667" s="22" t="str">
        <f t="shared" si="878"/>
        <v>X</v>
      </c>
      <c r="AY667" s="22" t="str">
        <f t="shared" si="879"/>
        <v>X</v>
      </c>
      <c r="AZ667" s="22" t="str">
        <f t="shared" si="880"/>
        <v>O</v>
      </c>
      <c r="BA667" s="22" t="str">
        <f t="shared" si="881"/>
        <v>X</v>
      </c>
      <c r="BB667" s="22">
        <f t="shared" si="882"/>
        <v>1</v>
      </c>
      <c r="BC667" s="22" t="str">
        <f t="shared" ref="BC667" si="904">VLOOKUP(N667,삼그룹,6,FALSE)</f>
        <v>1G</v>
      </c>
      <c r="BD667" s="22" t="str">
        <f t="shared" ref="BD667" si="905">VLOOKUP(O667,삼그룹,6,FALSE)</f>
        <v>2G</v>
      </c>
      <c r="BE667" s="22" t="str">
        <f t="shared" ref="BE667" si="906">VLOOKUP(P667,삼그룹,6,FALSE)</f>
        <v>3G</v>
      </c>
      <c r="BF667" s="22" t="str">
        <f t="shared" ref="BF667" si="907">VLOOKUP(Q667,삼그룹,6,FALSE)</f>
        <v>3G</v>
      </c>
      <c r="BG667" s="22" t="str">
        <f t="shared" ref="BG667" si="908">VLOOKUP(R667,삼그룹,6,FALSE)</f>
        <v>3G</v>
      </c>
      <c r="BH667" s="22" t="str">
        <f t="shared" ref="BH667" si="909">VLOOKUP(S667,삼그룹,6,FALSE)</f>
        <v>3G</v>
      </c>
      <c r="BI667" s="22">
        <f t="shared" si="568"/>
        <v>1</v>
      </c>
      <c r="BJ667" s="22">
        <f t="shared" si="569"/>
        <v>1</v>
      </c>
      <c r="BK667" s="22">
        <f t="shared" si="570"/>
        <v>4</v>
      </c>
      <c r="BL667" s="22" t="str">
        <f t="shared" ref="BL667" si="910">BI667&amp;BJ667&amp;BK667</f>
        <v>114</v>
      </c>
      <c r="BS667"/>
    </row>
    <row r="668" spans="2:71" ht="17">
      <c r="B668" s="16">
        <v>665</v>
      </c>
      <c r="C668" s="23" t="s">
        <v>1031</v>
      </c>
      <c r="N668" s="23">
        <v>5</v>
      </c>
      <c r="O668" s="23">
        <v>6</v>
      </c>
      <c r="P668" s="23">
        <v>11</v>
      </c>
      <c r="Q668" s="23">
        <v>17</v>
      </c>
      <c r="R668" s="23">
        <v>38</v>
      </c>
      <c r="S668" s="23">
        <v>44</v>
      </c>
      <c r="T668" s="23">
        <v>13</v>
      </c>
      <c r="U668" s="23">
        <f t="shared" si="528"/>
        <v>121</v>
      </c>
      <c r="W668" s="22" t="str">
        <f t="shared" si="851"/>
        <v>홀수</v>
      </c>
      <c r="X668" s="22" t="str">
        <f t="shared" si="852"/>
        <v>짝수</v>
      </c>
      <c r="Y668" s="22" t="str">
        <f t="shared" si="853"/>
        <v>홀수</v>
      </c>
      <c r="Z668" s="22" t="str">
        <f t="shared" si="854"/>
        <v>홀수</v>
      </c>
      <c r="AA668" s="23" t="str">
        <f t="shared" si="855"/>
        <v>짝수</v>
      </c>
      <c r="AB668" s="23" t="str">
        <f t="shared" si="856"/>
        <v>짝수</v>
      </c>
      <c r="AC668" s="22" t="str">
        <f t="shared" si="857"/>
        <v>3 : 3</v>
      </c>
      <c r="AD668" s="22">
        <f t="shared" si="858"/>
        <v>3</v>
      </c>
      <c r="AE668" s="22">
        <f t="shared" si="859"/>
        <v>3</v>
      </c>
      <c r="AF668" s="22" t="str">
        <f t="shared" si="860"/>
        <v>저수</v>
      </c>
      <c r="AG668" s="22" t="str">
        <f t="shared" si="861"/>
        <v>저수</v>
      </c>
      <c r="AH668" s="22" t="str">
        <f t="shared" si="862"/>
        <v>저수</v>
      </c>
      <c r="AI668" s="22" t="str">
        <f t="shared" si="863"/>
        <v>저수</v>
      </c>
      <c r="AJ668" s="22" t="str">
        <f t="shared" si="864"/>
        <v>고수</v>
      </c>
      <c r="AK668" s="22" t="str">
        <f t="shared" si="865"/>
        <v>고수</v>
      </c>
      <c r="AL668" s="22" t="str">
        <f t="shared" si="866"/>
        <v>4 : 2</v>
      </c>
      <c r="AM668" s="22">
        <f t="shared" si="867"/>
        <v>4</v>
      </c>
      <c r="AN668" s="22">
        <f t="shared" si="868"/>
        <v>2</v>
      </c>
      <c r="AO668" s="22">
        <f t="shared" si="869"/>
        <v>31</v>
      </c>
      <c r="AP668" s="22" t="str">
        <f t="shared" si="870"/>
        <v>O</v>
      </c>
      <c r="AQ668" s="22" t="str">
        <f t="shared" si="871"/>
        <v>X</v>
      </c>
      <c r="AR668" s="22" t="str">
        <f t="shared" si="872"/>
        <v>O</v>
      </c>
      <c r="AS668" s="22" t="str">
        <f t="shared" si="873"/>
        <v>O</v>
      </c>
      <c r="AT668" s="22" t="str">
        <f t="shared" si="874"/>
        <v>X</v>
      </c>
      <c r="AU668" s="22" t="str">
        <f t="shared" si="875"/>
        <v>X</v>
      </c>
      <c r="AV668" s="22" t="str">
        <f t="shared" si="876"/>
        <v>X</v>
      </c>
      <c r="AW668" s="22" t="str">
        <f t="shared" si="877"/>
        <v>X</v>
      </c>
      <c r="AX668" s="22" t="str">
        <f t="shared" si="878"/>
        <v>X</v>
      </c>
      <c r="AY668" s="22" t="str">
        <f t="shared" si="879"/>
        <v>X</v>
      </c>
      <c r="AZ668" s="22" t="str">
        <f t="shared" si="880"/>
        <v>X</v>
      </c>
      <c r="BA668" s="22" t="str">
        <f t="shared" si="881"/>
        <v>X</v>
      </c>
      <c r="BB668" s="22">
        <f t="shared" si="882"/>
        <v>3</v>
      </c>
      <c r="BC668" s="22" t="str">
        <f t="shared" ref="BC668" si="911">VLOOKUP(N668,삼그룹,6,FALSE)</f>
        <v>1G</v>
      </c>
      <c r="BD668" s="22" t="str">
        <f t="shared" ref="BD668" si="912">VLOOKUP(O668,삼그룹,6,FALSE)</f>
        <v>1G</v>
      </c>
      <c r="BE668" s="22" t="str">
        <f t="shared" ref="BE668" si="913">VLOOKUP(P668,삼그룹,6,FALSE)</f>
        <v>1G</v>
      </c>
      <c r="BF668" s="22" t="str">
        <f t="shared" ref="BF668" si="914">VLOOKUP(Q668,삼그룹,6,FALSE)</f>
        <v>2G</v>
      </c>
      <c r="BG668" s="22" t="str">
        <f t="shared" ref="BG668" si="915">VLOOKUP(R668,삼그룹,6,FALSE)</f>
        <v>3G</v>
      </c>
      <c r="BH668" s="22" t="str">
        <f t="shared" ref="BH668" si="916">VLOOKUP(S668,삼그룹,6,FALSE)</f>
        <v>3G</v>
      </c>
      <c r="BI668" s="22">
        <f t="shared" si="568"/>
        <v>3</v>
      </c>
      <c r="BJ668" s="22">
        <f t="shared" si="569"/>
        <v>1</v>
      </c>
      <c r="BK668" s="22">
        <f t="shared" si="570"/>
        <v>2</v>
      </c>
      <c r="BL668" s="22" t="str">
        <f t="shared" ref="BL668" si="917">BI668&amp;BJ668&amp;BK668</f>
        <v>312</v>
      </c>
      <c r="BS668"/>
    </row>
    <row r="669" spans="2:71" ht="17">
      <c r="B669" s="16">
        <v>666</v>
      </c>
      <c r="C669" s="23" t="s">
        <v>1032</v>
      </c>
      <c r="N669" s="23">
        <v>2</v>
      </c>
      <c r="O669" s="23">
        <v>4</v>
      </c>
      <c r="P669" s="23">
        <v>6</v>
      </c>
      <c r="Q669" s="23">
        <v>11</v>
      </c>
      <c r="R669" s="23">
        <v>17</v>
      </c>
      <c r="S669" s="23">
        <v>28</v>
      </c>
      <c r="T669" s="23">
        <v>16</v>
      </c>
      <c r="U669" s="23">
        <f t="shared" si="528"/>
        <v>68</v>
      </c>
      <c r="W669" s="22" t="str">
        <f t="shared" si="851"/>
        <v>짝수</v>
      </c>
      <c r="X669" s="22" t="str">
        <f t="shared" si="852"/>
        <v>짝수</v>
      </c>
      <c r="Y669" s="22" t="str">
        <f t="shared" si="853"/>
        <v>짝수</v>
      </c>
      <c r="Z669" s="22" t="str">
        <f t="shared" si="854"/>
        <v>홀수</v>
      </c>
      <c r="AA669" s="23" t="str">
        <f t="shared" si="855"/>
        <v>홀수</v>
      </c>
      <c r="AB669" s="23" t="str">
        <f t="shared" si="856"/>
        <v>짝수</v>
      </c>
      <c r="AC669" s="22" t="str">
        <f t="shared" si="857"/>
        <v>2 : 4</v>
      </c>
      <c r="AD669" s="22">
        <f t="shared" si="858"/>
        <v>2</v>
      </c>
      <c r="AE669" s="22">
        <f t="shared" si="859"/>
        <v>4</v>
      </c>
      <c r="AF669" s="22" t="str">
        <f t="shared" si="860"/>
        <v>저수</v>
      </c>
      <c r="AG669" s="22" t="str">
        <f t="shared" si="861"/>
        <v>저수</v>
      </c>
      <c r="AH669" s="22" t="str">
        <f t="shared" si="862"/>
        <v>저수</v>
      </c>
      <c r="AI669" s="22" t="str">
        <f t="shared" si="863"/>
        <v>저수</v>
      </c>
      <c r="AJ669" s="22" t="str">
        <f t="shared" si="864"/>
        <v>저수</v>
      </c>
      <c r="AK669" s="22" t="str">
        <f t="shared" si="865"/>
        <v>고수</v>
      </c>
      <c r="AL669" s="22" t="str">
        <f t="shared" si="866"/>
        <v>5 : 1</v>
      </c>
      <c r="AM669" s="22">
        <f t="shared" si="867"/>
        <v>5</v>
      </c>
      <c r="AN669" s="22">
        <f t="shared" si="868"/>
        <v>1</v>
      </c>
      <c r="AO669" s="22">
        <f t="shared" si="869"/>
        <v>28</v>
      </c>
      <c r="AP669" s="22" t="str">
        <f t="shared" si="870"/>
        <v>O</v>
      </c>
      <c r="AQ669" s="22" t="str">
        <f t="shared" si="871"/>
        <v>X</v>
      </c>
      <c r="AR669" s="22" t="str">
        <f t="shared" si="872"/>
        <v>X</v>
      </c>
      <c r="AS669" s="22" t="str">
        <f t="shared" si="873"/>
        <v>O</v>
      </c>
      <c r="AT669" s="22" t="str">
        <f t="shared" si="874"/>
        <v>O</v>
      </c>
      <c r="AU669" s="22" t="str">
        <f t="shared" si="875"/>
        <v>X</v>
      </c>
      <c r="AV669" s="22" t="str">
        <f t="shared" si="876"/>
        <v>X</v>
      </c>
      <c r="AW669" s="22" t="str">
        <f t="shared" si="877"/>
        <v>X</v>
      </c>
      <c r="AX669" s="22" t="str">
        <f t="shared" si="878"/>
        <v>X</v>
      </c>
      <c r="AY669" s="22" t="str">
        <f t="shared" si="879"/>
        <v>X</v>
      </c>
      <c r="AZ669" s="22" t="str">
        <f t="shared" si="880"/>
        <v>X</v>
      </c>
      <c r="BA669" s="22" t="str">
        <f t="shared" si="881"/>
        <v>X</v>
      </c>
      <c r="BB669" s="22">
        <f t="shared" si="882"/>
        <v>3</v>
      </c>
      <c r="BC669" s="22" t="str">
        <f t="shared" ref="BC669" si="918">VLOOKUP(N669,삼그룹,6,FALSE)</f>
        <v>1G</v>
      </c>
      <c r="BD669" s="22" t="str">
        <f t="shared" ref="BD669" si="919">VLOOKUP(O669,삼그룹,6,FALSE)</f>
        <v>1G</v>
      </c>
      <c r="BE669" s="22" t="str">
        <f t="shared" ref="BE669" si="920">VLOOKUP(P669,삼그룹,6,FALSE)</f>
        <v>1G</v>
      </c>
      <c r="BF669" s="22" t="str">
        <f t="shared" ref="BF669" si="921">VLOOKUP(Q669,삼그룹,6,FALSE)</f>
        <v>1G</v>
      </c>
      <c r="BG669" s="22" t="str">
        <f t="shared" ref="BG669" si="922">VLOOKUP(R669,삼그룹,6,FALSE)</f>
        <v>2G</v>
      </c>
      <c r="BH669" s="22" t="str">
        <f t="shared" ref="BH669" si="923">VLOOKUP(S669,삼그룹,6,FALSE)</f>
        <v>2G</v>
      </c>
      <c r="BI669" s="22">
        <f t="shared" si="568"/>
        <v>4</v>
      </c>
      <c r="BJ669" s="22">
        <f t="shared" si="569"/>
        <v>2</v>
      </c>
      <c r="BK669" s="22">
        <f t="shared" si="570"/>
        <v>0</v>
      </c>
      <c r="BL669" s="22" t="str">
        <f t="shared" ref="BL669" si="924">BI669&amp;BJ669&amp;BK669</f>
        <v>420</v>
      </c>
      <c r="BS669"/>
    </row>
    <row r="670" spans="2:71" ht="17">
      <c r="B670" s="16">
        <v>667</v>
      </c>
      <c r="C670" s="23" t="s">
        <v>1033</v>
      </c>
      <c r="N670" s="23">
        <v>15</v>
      </c>
      <c r="O670" s="23">
        <v>17</v>
      </c>
      <c r="P670" s="23">
        <v>25</v>
      </c>
      <c r="Q670" s="23">
        <v>37</v>
      </c>
      <c r="R670" s="23">
        <v>42</v>
      </c>
      <c r="S670" s="23">
        <v>43</v>
      </c>
      <c r="T670" s="23">
        <v>13</v>
      </c>
      <c r="U670" s="23">
        <f t="shared" si="528"/>
        <v>179</v>
      </c>
      <c r="W670" s="22" t="str">
        <f t="shared" si="851"/>
        <v>홀수</v>
      </c>
      <c r="X670" s="22" t="str">
        <f t="shared" si="852"/>
        <v>홀수</v>
      </c>
      <c r="Y670" s="22" t="str">
        <f t="shared" si="853"/>
        <v>홀수</v>
      </c>
      <c r="Z670" s="22" t="str">
        <f t="shared" si="854"/>
        <v>홀수</v>
      </c>
      <c r="AA670" s="23" t="str">
        <f t="shared" si="855"/>
        <v>짝수</v>
      </c>
      <c r="AB670" s="23" t="str">
        <f t="shared" si="856"/>
        <v>홀수</v>
      </c>
      <c r="AC670" s="22" t="str">
        <f t="shared" si="857"/>
        <v>5 : 1</v>
      </c>
      <c r="AD670" s="22">
        <f t="shared" si="858"/>
        <v>5</v>
      </c>
      <c r="AE670" s="22">
        <f t="shared" si="859"/>
        <v>1</v>
      </c>
      <c r="AF670" s="22" t="str">
        <f t="shared" si="860"/>
        <v>저수</v>
      </c>
      <c r="AG670" s="22" t="str">
        <f t="shared" si="861"/>
        <v>저수</v>
      </c>
      <c r="AH670" s="22" t="str">
        <f t="shared" si="862"/>
        <v>고수</v>
      </c>
      <c r="AI670" s="22" t="str">
        <f t="shared" si="863"/>
        <v>고수</v>
      </c>
      <c r="AJ670" s="22" t="str">
        <f t="shared" si="864"/>
        <v>고수</v>
      </c>
      <c r="AK670" s="22" t="str">
        <f t="shared" si="865"/>
        <v>고수</v>
      </c>
      <c r="AL670" s="22" t="str">
        <f t="shared" si="866"/>
        <v>2 : 4</v>
      </c>
      <c r="AM670" s="22">
        <f t="shared" si="867"/>
        <v>2</v>
      </c>
      <c r="AN670" s="22">
        <f t="shared" si="868"/>
        <v>4</v>
      </c>
      <c r="AO670" s="22">
        <f t="shared" si="869"/>
        <v>29</v>
      </c>
      <c r="AP670" s="22" t="str">
        <f t="shared" si="870"/>
        <v>X</v>
      </c>
      <c r="AQ670" s="22" t="str">
        <f t="shared" si="871"/>
        <v>O</v>
      </c>
      <c r="AR670" s="22" t="str">
        <f t="shared" si="872"/>
        <v>X</v>
      </c>
      <c r="AS670" s="22" t="str">
        <f t="shared" si="873"/>
        <v>X</v>
      </c>
      <c r="AT670" s="22" t="str">
        <f t="shared" si="874"/>
        <v>X</v>
      </c>
      <c r="AU670" s="22" t="str">
        <f t="shared" si="875"/>
        <v>X</v>
      </c>
      <c r="AV670" s="22" t="str">
        <f t="shared" si="876"/>
        <v>X</v>
      </c>
      <c r="AW670" s="22" t="str">
        <f t="shared" si="877"/>
        <v>X</v>
      </c>
      <c r="AX670" s="22" t="str">
        <f t="shared" si="878"/>
        <v>X</v>
      </c>
      <c r="AY670" s="22" t="str">
        <f t="shared" si="879"/>
        <v>O</v>
      </c>
      <c r="AZ670" s="22" t="str">
        <f t="shared" si="880"/>
        <v>X</v>
      </c>
      <c r="BA670" s="22" t="str">
        <f t="shared" si="881"/>
        <v>O</v>
      </c>
      <c r="BB670" s="22">
        <f t="shared" si="882"/>
        <v>3</v>
      </c>
      <c r="BC670" s="22" t="str">
        <f t="shared" ref="BC670:BC671" si="925">VLOOKUP(N670,삼그룹,6,FALSE)</f>
        <v>1G</v>
      </c>
      <c r="BD670" s="22" t="str">
        <f t="shared" ref="BD670:BD671" si="926">VLOOKUP(O670,삼그룹,6,FALSE)</f>
        <v>2G</v>
      </c>
      <c r="BE670" s="22" t="str">
        <f t="shared" ref="BE670:BE671" si="927">VLOOKUP(P670,삼그룹,6,FALSE)</f>
        <v>2G</v>
      </c>
      <c r="BF670" s="22" t="str">
        <f t="shared" ref="BF670:BF671" si="928">VLOOKUP(Q670,삼그룹,6,FALSE)</f>
        <v>3G</v>
      </c>
      <c r="BG670" s="22" t="str">
        <f t="shared" ref="BG670:BG671" si="929">VLOOKUP(R670,삼그룹,6,FALSE)</f>
        <v>3G</v>
      </c>
      <c r="BH670" s="22" t="str">
        <f t="shared" ref="BH670:BH671" si="930">VLOOKUP(S670,삼그룹,6,FALSE)</f>
        <v>3G</v>
      </c>
      <c r="BI670" s="22">
        <f t="shared" si="568"/>
        <v>1</v>
      </c>
      <c r="BJ670" s="22">
        <f t="shared" si="569"/>
        <v>2</v>
      </c>
      <c r="BK670" s="22">
        <f t="shared" si="570"/>
        <v>3</v>
      </c>
      <c r="BL670" s="22" t="str">
        <f t="shared" ref="BL670:BL671" si="931">BI670&amp;BJ670&amp;BK670</f>
        <v>123</v>
      </c>
      <c r="BS670"/>
    </row>
    <row r="671" spans="2:71" ht="17">
      <c r="B671" s="16">
        <v>668</v>
      </c>
      <c r="C671" s="23" t="s">
        <v>1034</v>
      </c>
      <c r="N671" s="23">
        <v>12</v>
      </c>
      <c r="O671" s="23">
        <v>14</v>
      </c>
      <c r="P671" s="23">
        <v>15</v>
      </c>
      <c r="Q671" s="23">
        <v>24</v>
      </c>
      <c r="R671" s="23">
        <v>27</v>
      </c>
      <c r="S671" s="23">
        <v>32</v>
      </c>
      <c r="T671" s="23">
        <v>3</v>
      </c>
      <c r="U671" s="23">
        <f t="shared" ref="U671:U725" si="932">SUM(N671:T671)-T671</f>
        <v>124</v>
      </c>
      <c r="W671" s="22" t="str">
        <f t="shared" ref="W671:W725" si="933">IF(RIGHT(N671,1)="1","홀수",IF(RIGHT(N671,1)="3","홀수",IF(RIGHT(N671,1)="5","홀수",IF(RIGHT(N671,1)="7","홀수",IF(RIGHT(N671,1)="9","홀수","짝수")))))</f>
        <v>짝수</v>
      </c>
      <c r="X671" s="22" t="str">
        <f t="shared" ref="X671:X725" si="934">IF(RIGHT(O671,1)="1","홀수",IF(RIGHT(O671,1)="3","홀수",IF(RIGHT(O671,1)="5","홀수",IF(RIGHT(O671,1)="7","홀수",IF(RIGHT(O671,1)="9","홀수","짝수")))))</f>
        <v>짝수</v>
      </c>
      <c r="Y671" s="22" t="str">
        <f t="shared" ref="Y671:Y725" si="935">IF(RIGHT(P671,1)="1","홀수",IF(RIGHT(P671,1)="3","홀수",IF(RIGHT(P671,1)="5","홀수",IF(RIGHT(P671,1)="7","홀수",IF(RIGHT(P671,1)="9","홀수","짝수")))))</f>
        <v>홀수</v>
      </c>
      <c r="Z671" s="22" t="str">
        <f t="shared" ref="Z671:Z725" si="936">IF(RIGHT(Q671,1)="1","홀수",IF(RIGHT(Q671,1)="3","홀수",IF(RIGHT(Q671,1)="5","홀수",IF(RIGHT(Q671,1)="7","홀수",IF(RIGHT(Q671,1)="9","홀수","짝수")))))</f>
        <v>짝수</v>
      </c>
      <c r="AA671" s="23" t="str">
        <f t="shared" ref="AA671:AA725" si="937">IF(RIGHT(R671,1)="1","홀수",IF(RIGHT(R671,1)="3","홀수",IF(RIGHT(R671,1)="5","홀수",IF(RIGHT(R671,1)="7","홀수",IF(RIGHT(R671,1)="9","홀수","짝수")))))</f>
        <v>홀수</v>
      </c>
      <c r="AB671" s="23" t="str">
        <f t="shared" ref="AB671:AB725" si="938">IF(RIGHT(S671,1)="1","홀수",IF(RIGHT(S671,1)="3","홀수",IF(RIGHT(S671,1)="5","홀수",IF(RIGHT(S671,1)="7","홀수",IF(RIGHT(S671,1)="9","홀수","짝수")))))</f>
        <v>짝수</v>
      </c>
      <c r="AC671" s="22" t="str">
        <f t="shared" ref="AC671:AC725" si="939">AD671&amp;" : "&amp;AE671</f>
        <v>2 : 4</v>
      </c>
      <c r="AD671" s="22">
        <f t="shared" ref="AD671:AD725" si="940">COUNTIF(W671:AB671,"홀수")</f>
        <v>2</v>
      </c>
      <c r="AE671" s="22">
        <f t="shared" ref="AE671:AE725" si="941">COUNTIF(W671:AB671,"짝수")</f>
        <v>4</v>
      </c>
      <c r="AF671" s="22" t="str">
        <f t="shared" ref="AF671:AF725" si="942">IF(N671&lt;23,"저수","고수")</f>
        <v>저수</v>
      </c>
      <c r="AG671" s="22" t="str">
        <f t="shared" ref="AG671:AG725" si="943">IF(O671&lt;23,"저수","고수")</f>
        <v>저수</v>
      </c>
      <c r="AH671" s="22" t="str">
        <f t="shared" ref="AH671:AH725" si="944">IF(P671&lt;23,"저수","고수")</f>
        <v>저수</v>
      </c>
      <c r="AI671" s="22" t="str">
        <f t="shared" ref="AI671:AI725" si="945">IF(Q671&lt;23,"저수","고수")</f>
        <v>고수</v>
      </c>
      <c r="AJ671" s="22" t="str">
        <f t="shared" ref="AJ671:AJ725" si="946">IF(R671&lt;23,"저수","고수")</f>
        <v>고수</v>
      </c>
      <c r="AK671" s="22" t="str">
        <f t="shared" ref="AK671:AK725" si="947">IF(S671&lt;23,"저수","고수")</f>
        <v>고수</v>
      </c>
      <c r="AL671" s="22" t="str">
        <f t="shared" ref="AL671:AL725" si="948">AM671&amp;" : "&amp;AN671</f>
        <v>3 : 3</v>
      </c>
      <c r="AM671" s="22">
        <f t="shared" ref="AM671:AM725" si="949">COUNTIF(AF671:AK671,"저수")</f>
        <v>3</v>
      </c>
      <c r="AN671" s="22">
        <f t="shared" ref="AN671:AN725" si="950">COUNTIF(AF671:AK671,"고수")</f>
        <v>3</v>
      </c>
      <c r="AO671" s="22">
        <f t="shared" ref="AO671:AO725" si="951">RIGHT(N671,1)+RIGHT(O671,1)+RIGHT(P671,1)+RIGHT(Q671,1)+RIGHT(R671,1)+RIGHT(S671,1)</f>
        <v>24</v>
      </c>
      <c r="AP671" s="22" t="str">
        <f t="shared" ref="AP671:AP725" si="952">IF(N671=2,"O",IF(N671=3,"O",IF(N671=5,"O",IF(N671=7,"O",IF(N671=11,"O",IF(N671=13,"O",IF(N671=17,"O",IF(N671=19,"O","X"))))))))</f>
        <v>X</v>
      </c>
      <c r="AQ671" s="22" t="str">
        <f t="shared" ref="AQ671:AQ725" si="953">IF(O671=2,"O",IF(O671=3,"O",IF(O671=5,"O",IF(O671=7,"O",IF(O671=11,"O",IF(O671=13,"O",IF(O671=17,"O",IF(O671=19,"O","X"))))))))</f>
        <v>X</v>
      </c>
      <c r="AR671" s="22" t="str">
        <f t="shared" ref="AR671:AR725" si="954">IF(P671=2,"O",IF(P671=3,"O",IF(P671=5,"O",IF(P671=7,"O",IF(P671=11,"O",IF(P671=13,"O",IF(P671=17,"O",IF(P671=19,"O","X"))))))))</f>
        <v>X</v>
      </c>
      <c r="AS671" s="22" t="str">
        <f t="shared" ref="AS671:AS725" si="955">IF(Q671=2,"O",IF(Q671=3,"O",IF(Q671=5,"O",IF(Q671=7,"O",IF(Q671=11,"O",IF(Q671=13,"O",IF(Q671=17,"O",IF(Q671=19,"O","X"))))))))</f>
        <v>X</v>
      </c>
      <c r="AT671" s="22" t="str">
        <f t="shared" ref="AT671:AT725" si="956">IF(R671=2,"O",IF(R671=3,"O",IF(R671=5,"O",IF(R671=7,"O",IF(R671=11,"O",IF(R671=13,"O",IF(R671=17,"O",IF(R671=19,"O","X"))))))))</f>
        <v>X</v>
      </c>
      <c r="AU671" s="22" t="str">
        <f t="shared" ref="AU671:AU725" si="957">IF(S671=2,"O",IF(S671=3,"O",IF(S671=5,"O",IF(S671=7,"O",IF(S671=11,"O",IF(S671=13,"O",IF(S671=17,"O",IF(S671=19,"O","X"))))))))</f>
        <v>X</v>
      </c>
      <c r="AV671" s="22" t="str">
        <f t="shared" ref="AV671:AV725" si="958">IF(N671=23,"O",IF(N671=29,"O",IF(N671=31,"O",IF(N671=37,"O",IF(N671=41,"O",IF(N671=43,"O","X"))))))</f>
        <v>X</v>
      </c>
      <c r="AW671" s="22" t="str">
        <f t="shared" ref="AW671:AW725" si="959">IF(O671=23,"O",IF(O671=29,"O",IF(O671=31,"O",IF(O671=37,"O",IF(O671=41,"O",IF(O671=43,"O","X"))))))</f>
        <v>X</v>
      </c>
      <c r="AX671" s="22" t="str">
        <f t="shared" ref="AX671:AX725" si="960">IF(P671=23,"O",IF(P671=29,"O",IF(P671=31,"O",IF(P671=37,"O",IF(P671=41,"O",IF(P671=43,"O","X"))))))</f>
        <v>X</v>
      </c>
      <c r="AY671" s="22" t="str">
        <f t="shared" ref="AY671:AY725" si="961">IF(Q671=23,"O",IF(Q671=29,"O",IF(Q671=31,"O",IF(Q671=37,"O",IF(Q671=41,"O",IF(Q671=43,"O","X"))))))</f>
        <v>X</v>
      </c>
      <c r="AZ671" s="22" t="str">
        <f t="shared" ref="AZ671:AZ725" si="962">IF(R671=23,"O",IF(R671=29,"O",IF(R671=31,"O",IF(R671=37,"O",IF(R671=41,"O",IF(R671=43,"O","X"))))))</f>
        <v>X</v>
      </c>
      <c r="BA671" s="22" t="str">
        <f t="shared" ref="BA671:BA725" si="963">IF(S671=23,"O",IF(S671=29,"O",IF(S671=31,"O",IF(S671=37,"O",IF(S671=41,"O",IF(S671=43,"O","X"))))))</f>
        <v>X</v>
      </c>
      <c r="BB671" s="22">
        <f t="shared" ref="BB671:BB725" si="964">COUNTIF(AP671:BA671,"O")</f>
        <v>0</v>
      </c>
      <c r="BC671" s="22" t="str">
        <f t="shared" si="925"/>
        <v>1G</v>
      </c>
      <c r="BD671" s="22" t="str">
        <f t="shared" si="926"/>
        <v>1G</v>
      </c>
      <c r="BE671" s="22" t="str">
        <f t="shared" si="927"/>
        <v>1G</v>
      </c>
      <c r="BF671" s="22" t="str">
        <f t="shared" si="928"/>
        <v>2G</v>
      </c>
      <c r="BG671" s="22" t="str">
        <f t="shared" si="929"/>
        <v>2G</v>
      </c>
      <c r="BH671" s="22" t="str">
        <f t="shared" si="930"/>
        <v>3G</v>
      </c>
      <c r="BI671" s="22">
        <f t="shared" si="568"/>
        <v>3</v>
      </c>
      <c r="BJ671" s="22">
        <f t="shared" si="569"/>
        <v>2</v>
      </c>
      <c r="BK671" s="22">
        <f t="shared" si="570"/>
        <v>1</v>
      </c>
      <c r="BL671" s="22" t="str">
        <f t="shared" si="931"/>
        <v>321</v>
      </c>
      <c r="BS671"/>
    </row>
    <row r="672" spans="2:71" ht="17">
      <c r="B672" s="16">
        <v>669</v>
      </c>
      <c r="C672" s="23" t="s">
        <v>1035</v>
      </c>
      <c r="N672" s="23">
        <v>7</v>
      </c>
      <c r="O672" s="23">
        <v>8</v>
      </c>
      <c r="P672" s="23">
        <v>20</v>
      </c>
      <c r="Q672" s="23">
        <v>29</v>
      </c>
      <c r="R672" s="23">
        <v>33</v>
      </c>
      <c r="S672" s="23">
        <v>38</v>
      </c>
      <c r="T672" s="23">
        <v>9</v>
      </c>
      <c r="U672" s="23">
        <f t="shared" si="932"/>
        <v>135</v>
      </c>
      <c r="W672" s="22" t="str">
        <f t="shared" si="933"/>
        <v>홀수</v>
      </c>
      <c r="X672" s="22" t="str">
        <f t="shared" si="934"/>
        <v>짝수</v>
      </c>
      <c r="Y672" s="22" t="str">
        <f t="shared" si="935"/>
        <v>짝수</v>
      </c>
      <c r="Z672" s="22" t="str">
        <f t="shared" si="936"/>
        <v>홀수</v>
      </c>
      <c r="AA672" s="23" t="str">
        <f t="shared" si="937"/>
        <v>홀수</v>
      </c>
      <c r="AB672" s="23" t="str">
        <f t="shared" si="938"/>
        <v>짝수</v>
      </c>
      <c r="AC672" s="22" t="str">
        <f t="shared" si="939"/>
        <v>3 : 3</v>
      </c>
      <c r="AD672" s="22">
        <f t="shared" si="940"/>
        <v>3</v>
      </c>
      <c r="AE672" s="22">
        <f t="shared" si="941"/>
        <v>3</v>
      </c>
      <c r="AF672" s="22" t="str">
        <f t="shared" si="942"/>
        <v>저수</v>
      </c>
      <c r="AG672" s="22" t="str">
        <f t="shared" si="943"/>
        <v>저수</v>
      </c>
      <c r="AH672" s="22" t="str">
        <f t="shared" si="944"/>
        <v>저수</v>
      </c>
      <c r="AI672" s="22" t="str">
        <f t="shared" si="945"/>
        <v>고수</v>
      </c>
      <c r="AJ672" s="22" t="str">
        <f t="shared" si="946"/>
        <v>고수</v>
      </c>
      <c r="AK672" s="22" t="str">
        <f t="shared" si="947"/>
        <v>고수</v>
      </c>
      <c r="AL672" s="22" t="str">
        <f t="shared" si="948"/>
        <v>3 : 3</v>
      </c>
      <c r="AM672" s="22">
        <f t="shared" si="949"/>
        <v>3</v>
      </c>
      <c r="AN672" s="22">
        <f t="shared" si="950"/>
        <v>3</v>
      </c>
      <c r="AO672" s="22">
        <f t="shared" si="951"/>
        <v>35</v>
      </c>
      <c r="AP672" s="22" t="str">
        <f t="shared" si="952"/>
        <v>O</v>
      </c>
      <c r="AQ672" s="22" t="str">
        <f t="shared" si="953"/>
        <v>X</v>
      </c>
      <c r="AR672" s="22" t="str">
        <f t="shared" si="954"/>
        <v>X</v>
      </c>
      <c r="AS672" s="22" t="str">
        <f t="shared" si="955"/>
        <v>X</v>
      </c>
      <c r="AT672" s="22" t="str">
        <f t="shared" si="956"/>
        <v>X</v>
      </c>
      <c r="AU672" s="22" t="str">
        <f t="shared" si="957"/>
        <v>X</v>
      </c>
      <c r="AV672" s="22" t="str">
        <f t="shared" si="958"/>
        <v>X</v>
      </c>
      <c r="AW672" s="22" t="str">
        <f t="shared" si="959"/>
        <v>X</v>
      </c>
      <c r="AX672" s="22" t="str">
        <f t="shared" si="960"/>
        <v>X</v>
      </c>
      <c r="AY672" s="22" t="str">
        <f t="shared" si="961"/>
        <v>O</v>
      </c>
      <c r="AZ672" s="22" t="str">
        <f t="shared" si="962"/>
        <v>X</v>
      </c>
      <c r="BA672" s="22" t="str">
        <f t="shared" si="963"/>
        <v>X</v>
      </c>
      <c r="BB672" s="22">
        <f t="shared" si="964"/>
        <v>2</v>
      </c>
      <c r="BC672" s="22" t="str">
        <f t="shared" ref="BC672" si="965">VLOOKUP(N672,삼그룹,6,FALSE)</f>
        <v>1G</v>
      </c>
      <c r="BD672" s="22" t="str">
        <f t="shared" ref="BD672" si="966">VLOOKUP(O672,삼그룹,6,FALSE)</f>
        <v>1G</v>
      </c>
      <c r="BE672" s="22" t="str">
        <f t="shared" ref="BE672" si="967">VLOOKUP(P672,삼그룹,6,FALSE)</f>
        <v>2G</v>
      </c>
      <c r="BF672" s="22" t="str">
        <f t="shared" ref="BF672" si="968">VLOOKUP(Q672,삼그룹,6,FALSE)</f>
        <v>2G</v>
      </c>
      <c r="BG672" s="22" t="str">
        <f t="shared" ref="BG672" si="969">VLOOKUP(R672,삼그룹,6,FALSE)</f>
        <v>3G</v>
      </c>
      <c r="BH672" s="22" t="str">
        <f t="shared" ref="BH672" si="970">VLOOKUP(S672,삼그룹,6,FALSE)</f>
        <v>3G</v>
      </c>
      <c r="BI672" s="22">
        <f t="shared" si="568"/>
        <v>2</v>
      </c>
      <c r="BJ672" s="22">
        <f t="shared" si="569"/>
        <v>2</v>
      </c>
      <c r="BK672" s="22">
        <f t="shared" si="570"/>
        <v>2</v>
      </c>
      <c r="BL672" s="22" t="str">
        <f t="shared" ref="BL672" si="971">BI672&amp;BJ672&amp;BK672</f>
        <v>222</v>
      </c>
      <c r="BS672"/>
    </row>
    <row r="673" spans="2:71" ht="17">
      <c r="B673" s="16">
        <v>670</v>
      </c>
      <c r="C673" s="23" t="s">
        <v>1036</v>
      </c>
      <c r="N673" s="23">
        <v>11</v>
      </c>
      <c r="O673" s="23">
        <v>18</v>
      </c>
      <c r="P673" s="23">
        <v>26</v>
      </c>
      <c r="Q673" s="23">
        <v>27</v>
      </c>
      <c r="R673" s="23">
        <v>40</v>
      </c>
      <c r="S673" s="23">
        <v>41</v>
      </c>
      <c r="T673" s="23">
        <v>25</v>
      </c>
      <c r="U673" s="23">
        <f t="shared" si="932"/>
        <v>163</v>
      </c>
      <c r="W673" s="22" t="str">
        <f t="shared" si="933"/>
        <v>홀수</v>
      </c>
      <c r="X673" s="22" t="str">
        <f t="shared" si="934"/>
        <v>짝수</v>
      </c>
      <c r="Y673" s="22" t="str">
        <f t="shared" si="935"/>
        <v>짝수</v>
      </c>
      <c r="Z673" s="22" t="str">
        <f t="shared" si="936"/>
        <v>홀수</v>
      </c>
      <c r="AA673" s="23" t="str">
        <f t="shared" si="937"/>
        <v>짝수</v>
      </c>
      <c r="AB673" s="23" t="str">
        <f t="shared" si="938"/>
        <v>홀수</v>
      </c>
      <c r="AC673" s="22" t="str">
        <f t="shared" si="939"/>
        <v>3 : 3</v>
      </c>
      <c r="AD673" s="22">
        <f t="shared" si="940"/>
        <v>3</v>
      </c>
      <c r="AE673" s="22">
        <f t="shared" si="941"/>
        <v>3</v>
      </c>
      <c r="AF673" s="22" t="str">
        <f t="shared" si="942"/>
        <v>저수</v>
      </c>
      <c r="AG673" s="22" t="str">
        <f t="shared" si="943"/>
        <v>저수</v>
      </c>
      <c r="AH673" s="22" t="str">
        <f t="shared" si="944"/>
        <v>고수</v>
      </c>
      <c r="AI673" s="22" t="str">
        <f t="shared" si="945"/>
        <v>고수</v>
      </c>
      <c r="AJ673" s="22" t="str">
        <f t="shared" si="946"/>
        <v>고수</v>
      </c>
      <c r="AK673" s="22" t="str">
        <f t="shared" si="947"/>
        <v>고수</v>
      </c>
      <c r="AL673" s="22" t="str">
        <f t="shared" si="948"/>
        <v>2 : 4</v>
      </c>
      <c r="AM673" s="22">
        <f t="shared" si="949"/>
        <v>2</v>
      </c>
      <c r="AN673" s="22">
        <f t="shared" si="950"/>
        <v>4</v>
      </c>
      <c r="AO673" s="22">
        <f t="shared" si="951"/>
        <v>23</v>
      </c>
      <c r="AP673" s="22" t="str">
        <f t="shared" si="952"/>
        <v>O</v>
      </c>
      <c r="AQ673" s="22" t="str">
        <f t="shared" si="953"/>
        <v>X</v>
      </c>
      <c r="AR673" s="22" t="str">
        <f t="shared" si="954"/>
        <v>X</v>
      </c>
      <c r="AS673" s="22" t="str">
        <f t="shared" si="955"/>
        <v>X</v>
      </c>
      <c r="AT673" s="22" t="str">
        <f t="shared" si="956"/>
        <v>X</v>
      </c>
      <c r="AU673" s="22" t="str">
        <f t="shared" si="957"/>
        <v>X</v>
      </c>
      <c r="AV673" s="22" t="str">
        <f t="shared" si="958"/>
        <v>X</v>
      </c>
      <c r="AW673" s="22" t="str">
        <f t="shared" si="959"/>
        <v>X</v>
      </c>
      <c r="AX673" s="22" t="str">
        <f t="shared" si="960"/>
        <v>X</v>
      </c>
      <c r="AY673" s="22" t="str">
        <f t="shared" si="961"/>
        <v>X</v>
      </c>
      <c r="AZ673" s="22" t="str">
        <f t="shared" si="962"/>
        <v>X</v>
      </c>
      <c r="BA673" s="22" t="str">
        <f t="shared" si="963"/>
        <v>O</v>
      </c>
      <c r="BB673" s="22">
        <f t="shared" si="964"/>
        <v>2</v>
      </c>
      <c r="BC673" s="22" t="str">
        <f t="shared" ref="BC673:BC674" si="972">VLOOKUP(N673,삼그룹,6,FALSE)</f>
        <v>1G</v>
      </c>
      <c r="BD673" s="22" t="str">
        <f t="shared" ref="BD673:BD674" si="973">VLOOKUP(O673,삼그룹,6,FALSE)</f>
        <v>2G</v>
      </c>
      <c r="BE673" s="22" t="str">
        <f t="shared" ref="BE673:BE674" si="974">VLOOKUP(P673,삼그룹,6,FALSE)</f>
        <v>2G</v>
      </c>
      <c r="BF673" s="22" t="str">
        <f t="shared" ref="BF673:BF674" si="975">VLOOKUP(Q673,삼그룹,6,FALSE)</f>
        <v>2G</v>
      </c>
      <c r="BG673" s="22" t="str">
        <f t="shared" ref="BG673:BG674" si="976">VLOOKUP(R673,삼그룹,6,FALSE)</f>
        <v>3G</v>
      </c>
      <c r="BH673" s="22" t="str">
        <f t="shared" ref="BH673:BH674" si="977">VLOOKUP(S673,삼그룹,6,FALSE)</f>
        <v>3G</v>
      </c>
      <c r="BI673" s="22">
        <f t="shared" si="568"/>
        <v>1</v>
      </c>
      <c r="BJ673" s="22">
        <f t="shared" si="569"/>
        <v>3</v>
      </c>
      <c r="BK673" s="22">
        <f t="shared" si="570"/>
        <v>2</v>
      </c>
      <c r="BL673" s="22" t="str">
        <f t="shared" ref="BL673:BL674" si="978">BI673&amp;BJ673&amp;BK673</f>
        <v>132</v>
      </c>
      <c r="BS673"/>
    </row>
    <row r="674" spans="2:71" ht="17">
      <c r="B674" s="16">
        <v>671</v>
      </c>
      <c r="C674" s="23" t="s">
        <v>1037</v>
      </c>
      <c r="N674" s="23">
        <v>7</v>
      </c>
      <c r="O674" s="23">
        <v>9</v>
      </c>
      <c r="P674" s="23">
        <v>10</v>
      </c>
      <c r="Q674" s="23">
        <v>13</v>
      </c>
      <c r="R674" s="23">
        <v>31</v>
      </c>
      <c r="S674" s="23">
        <v>35</v>
      </c>
      <c r="T674" s="23">
        <v>24</v>
      </c>
      <c r="U674" s="23">
        <f t="shared" si="932"/>
        <v>105</v>
      </c>
      <c r="W674" s="22" t="str">
        <f t="shared" si="933"/>
        <v>홀수</v>
      </c>
      <c r="X674" s="22" t="str">
        <f t="shared" si="934"/>
        <v>홀수</v>
      </c>
      <c r="Y674" s="22" t="str">
        <f t="shared" si="935"/>
        <v>짝수</v>
      </c>
      <c r="Z674" s="22" t="str">
        <f t="shared" si="936"/>
        <v>홀수</v>
      </c>
      <c r="AA674" s="23" t="str">
        <f t="shared" si="937"/>
        <v>홀수</v>
      </c>
      <c r="AB674" s="23" t="str">
        <f t="shared" si="938"/>
        <v>홀수</v>
      </c>
      <c r="AC674" s="22" t="str">
        <f t="shared" si="939"/>
        <v>5 : 1</v>
      </c>
      <c r="AD674" s="22">
        <f t="shared" si="940"/>
        <v>5</v>
      </c>
      <c r="AE674" s="22">
        <f t="shared" si="941"/>
        <v>1</v>
      </c>
      <c r="AF674" s="22" t="str">
        <f t="shared" si="942"/>
        <v>저수</v>
      </c>
      <c r="AG674" s="22" t="str">
        <f t="shared" si="943"/>
        <v>저수</v>
      </c>
      <c r="AH674" s="22" t="str">
        <f t="shared" si="944"/>
        <v>저수</v>
      </c>
      <c r="AI674" s="22" t="str">
        <f t="shared" si="945"/>
        <v>저수</v>
      </c>
      <c r="AJ674" s="22" t="str">
        <f t="shared" si="946"/>
        <v>고수</v>
      </c>
      <c r="AK674" s="22" t="str">
        <f t="shared" si="947"/>
        <v>고수</v>
      </c>
      <c r="AL674" s="22" t="str">
        <f t="shared" si="948"/>
        <v>4 : 2</v>
      </c>
      <c r="AM674" s="22">
        <f t="shared" si="949"/>
        <v>4</v>
      </c>
      <c r="AN674" s="22">
        <f t="shared" si="950"/>
        <v>2</v>
      </c>
      <c r="AO674" s="22">
        <f t="shared" si="951"/>
        <v>25</v>
      </c>
      <c r="AP674" s="22" t="str">
        <f t="shared" si="952"/>
        <v>O</v>
      </c>
      <c r="AQ674" s="22" t="str">
        <f t="shared" si="953"/>
        <v>X</v>
      </c>
      <c r="AR674" s="22" t="str">
        <f t="shared" si="954"/>
        <v>X</v>
      </c>
      <c r="AS674" s="22" t="str">
        <f t="shared" si="955"/>
        <v>O</v>
      </c>
      <c r="AT674" s="22" t="str">
        <f t="shared" si="956"/>
        <v>X</v>
      </c>
      <c r="AU674" s="22" t="str">
        <f t="shared" si="957"/>
        <v>X</v>
      </c>
      <c r="AV674" s="22" t="str">
        <f t="shared" si="958"/>
        <v>X</v>
      </c>
      <c r="AW674" s="22" t="str">
        <f t="shared" si="959"/>
        <v>X</v>
      </c>
      <c r="AX674" s="22" t="str">
        <f t="shared" si="960"/>
        <v>X</v>
      </c>
      <c r="AY674" s="22" t="str">
        <f t="shared" si="961"/>
        <v>X</v>
      </c>
      <c r="AZ674" s="22" t="str">
        <f t="shared" si="962"/>
        <v>O</v>
      </c>
      <c r="BA674" s="22" t="str">
        <f t="shared" si="963"/>
        <v>X</v>
      </c>
      <c r="BB674" s="22">
        <f t="shared" si="964"/>
        <v>3</v>
      </c>
      <c r="BC674" s="22" t="str">
        <f t="shared" si="972"/>
        <v>1G</v>
      </c>
      <c r="BD674" s="22" t="str">
        <f t="shared" si="973"/>
        <v>1G</v>
      </c>
      <c r="BE674" s="22" t="str">
        <f t="shared" si="974"/>
        <v>1G</v>
      </c>
      <c r="BF674" s="22" t="str">
        <f t="shared" si="975"/>
        <v>1G</v>
      </c>
      <c r="BG674" s="22" t="str">
        <f t="shared" si="976"/>
        <v>3G</v>
      </c>
      <c r="BH674" s="22" t="str">
        <f t="shared" si="977"/>
        <v>3G</v>
      </c>
      <c r="BI674" s="22">
        <f t="shared" si="568"/>
        <v>4</v>
      </c>
      <c r="BJ674" s="22">
        <f t="shared" si="569"/>
        <v>0</v>
      </c>
      <c r="BK674" s="22">
        <f t="shared" si="570"/>
        <v>2</v>
      </c>
      <c r="BL674" s="22" t="str">
        <f t="shared" si="978"/>
        <v>402</v>
      </c>
      <c r="BS674"/>
    </row>
    <row r="675" spans="2:71" ht="17">
      <c r="B675" s="16">
        <v>672</v>
      </c>
      <c r="C675" s="23" t="s">
        <v>1038</v>
      </c>
      <c r="N675" s="23">
        <v>8</v>
      </c>
      <c r="O675" s="23">
        <v>21</v>
      </c>
      <c r="P675" s="23">
        <v>28</v>
      </c>
      <c r="Q675" s="23">
        <v>31</v>
      </c>
      <c r="R675" s="23">
        <v>36</v>
      </c>
      <c r="S675" s="23">
        <v>45</v>
      </c>
      <c r="T675" s="23">
        <v>43</v>
      </c>
      <c r="U675" s="23">
        <f t="shared" si="932"/>
        <v>169</v>
      </c>
      <c r="W675" s="22" t="str">
        <f t="shared" si="933"/>
        <v>짝수</v>
      </c>
      <c r="X675" s="22" t="str">
        <f t="shared" si="934"/>
        <v>홀수</v>
      </c>
      <c r="Y675" s="22" t="str">
        <f t="shared" si="935"/>
        <v>짝수</v>
      </c>
      <c r="Z675" s="22" t="str">
        <f t="shared" si="936"/>
        <v>홀수</v>
      </c>
      <c r="AA675" s="23" t="str">
        <f t="shared" si="937"/>
        <v>짝수</v>
      </c>
      <c r="AB675" s="23" t="str">
        <f t="shared" si="938"/>
        <v>홀수</v>
      </c>
      <c r="AC675" s="22" t="str">
        <f t="shared" si="939"/>
        <v>3 : 3</v>
      </c>
      <c r="AD675" s="22">
        <f t="shared" si="940"/>
        <v>3</v>
      </c>
      <c r="AE675" s="22">
        <f t="shared" si="941"/>
        <v>3</v>
      </c>
      <c r="AF675" s="22" t="str">
        <f t="shared" si="942"/>
        <v>저수</v>
      </c>
      <c r="AG675" s="22" t="str">
        <f t="shared" si="943"/>
        <v>저수</v>
      </c>
      <c r="AH675" s="22" t="str">
        <f t="shared" si="944"/>
        <v>고수</v>
      </c>
      <c r="AI675" s="22" t="str">
        <f t="shared" si="945"/>
        <v>고수</v>
      </c>
      <c r="AJ675" s="22" t="str">
        <f t="shared" si="946"/>
        <v>고수</v>
      </c>
      <c r="AK675" s="22" t="str">
        <f t="shared" si="947"/>
        <v>고수</v>
      </c>
      <c r="AL675" s="22" t="str">
        <f t="shared" si="948"/>
        <v>2 : 4</v>
      </c>
      <c r="AM675" s="22">
        <f t="shared" si="949"/>
        <v>2</v>
      </c>
      <c r="AN675" s="22">
        <f t="shared" si="950"/>
        <v>4</v>
      </c>
      <c r="AO675" s="22">
        <f t="shared" si="951"/>
        <v>29</v>
      </c>
      <c r="AP675" s="22" t="str">
        <f t="shared" si="952"/>
        <v>X</v>
      </c>
      <c r="AQ675" s="22" t="str">
        <f t="shared" si="953"/>
        <v>X</v>
      </c>
      <c r="AR675" s="22" t="str">
        <f t="shared" si="954"/>
        <v>X</v>
      </c>
      <c r="AS675" s="22" t="str">
        <f t="shared" si="955"/>
        <v>X</v>
      </c>
      <c r="AT675" s="22" t="str">
        <f t="shared" si="956"/>
        <v>X</v>
      </c>
      <c r="AU675" s="22" t="str">
        <f t="shared" si="957"/>
        <v>X</v>
      </c>
      <c r="AV675" s="22" t="str">
        <f t="shared" si="958"/>
        <v>X</v>
      </c>
      <c r="AW675" s="22" t="str">
        <f t="shared" si="959"/>
        <v>X</v>
      </c>
      <c r="AX675" s="22" t="str">
        <f t="shared" si="960"/>
        <v>X</v>
      </c>
      <c r="AY675" s="22" t="str">
        <f t="shared" si="961"/>
        <v>O</v>
      </c>
      <c r="AZ675" s="22" t="str">
        <f t="shared" si="962"/>
        <v>X</v>
      </c>
      <c r="BA675" s="22" t="str">
        <f t="shared" si="963"/>
        <v>X</v>
      </c>
      <c r="BB675" s="22">
        <f t="shared" si="964"/>
        <v>1</v>
      </c>
      <c r="BC675" s="22" t="str">
        <f t="shared" ref="BC675:BC676" si="979">VLOOKUP(N675,삼그룹,6,FALSE)</f>
        <v>1G</v>
      </c>
      <c r="BD675" s="22" t="str">
        <f t="shared" ref="BD675:BD676" si="980">VLOOKUP(O675,삼그룹,6,FALSE)</f>
        <v>2G</v>
      </c>
      <c r="BE675" s="22" t="str">
        <f t="shared" ref="BE675:BE676" si="981">VLOOKUP(P675,삼그룹,6,FALSE)</f>
        <v>2G</v>
      </c>
      <c r="BF675" s="22" t="str">
        <f t="shared" ref="BF675:BF676" si="982">VLOOKUP(Q675,삼그룹,6,FALSE)</f>
        <v>3G</v>
      </c>
      <c r="BG675" s="22" t="str">
        <f t="shared" ref="BG675:BG676" si="983">VLOOKUP(R675,삼그룹,6,FALSE)</f>
        <v>3G</v>
      </c>
      <c r="BH675" s="22" t="str">
        <f t="shared" ref="BH675:BH676" si="984">VLOOKUP(S675,삼그룹,6,FALSE)</f>
        <v>3G</v>
      </c>
      <c r="BI675" s="22">
        <f t="shared" ref="BI675" si="985">COUNTIF($BC675:$BH675,"1G")</f>
        <v>1</v>
      </c>
      <c r="BJ675" s="22">
        <f t="shared" ref="BJ675" si="986">COUNTIF($BC675:$BH675,"2G")</f>
        <v>2</v>
      </c>
      <c r="BK675" s="22">
        <f t="shared" ref="BK675" si="987">COUNTIF($BC675:$BH675,"3G")</f>
        <v>3</v>
      </c>
      <c r="BL675" s="22" t="str">
        <f t="shared" ref="BL675:BL676" si="988">BI675&amp;BJ675&amp;BK675</f>
        <v>123</v>
      </c>
      <c r="BS675"/>
    </row>
    <row r="676" spans="2:71" ht="17">
      <c r="B676" s="16">
        <v>673</v>
      </c>
      <c r="C676" s="23" t="s">
        <v>1039</v>
      </c>
      <c r="N676" s="23">
        <v>7</v>
      </c>
      <c r="O676" s="23">
        <v>10</v>
      </c>
      <c r="P676" s="23">
        <v>17</v>
      </c>
      <c r="Q676" s="23">
        <v>29</v>
      </c>
      <c r="R676" s="23">
        <v>33</v>
      </c>
      <c r="S676" s="23">
        <v>44</v>
      </c>
      <c r="T676" s="23">
        <v>5</v>
      </c>
      <c r="U676" s="23">
        <f t="shared" si="932"/>
        <v>140</v>
      </c>
      <c r="W676" s="22" t="str">
        <f t="shared" si="933"/>
        <v>홀수</v>
      </c>
      <c r="X676" s="22" t="str">
        <f t="shared" si="934"/>
        <v>짝수</v>
      </c>
      <c r="Y676" s="22" t="str">
        <f t="shared" si="935"/>
        <v>홀수</v>
      </c>
      <c r="Z676" s="22" t="str">
        <f t="shared" si="936"/>
        <v>홀수</v>
      </c>
      <c r="AA676" s="23" t="str">
        <f t="shared" si="937"/>
        <v>홀수</v>
      </c>
      <c r="AB676" s="23" t="str">
        <f t="shared" si="938"/>
        <v>짝수</v>
      </c>
      <c r="AC676" s="22" t="str">
        <f t="shared" si="939"/>
        <v>4 : 2</v>
      </c>
      <c r="AD676" s="22">
        <f t="shared" si="940"/>
        <v>4</v>
      </c>
      <c r="AE676" s="22">
        <f t="shared" si="941"/>
        <v>2</v>
      </c>
      <c r="AF676" s="22" t="str">
        <f t="shared" si="942"/>
        <v>저수</v>
      </c>
      <c r="AG676" s="22" t="str">
        <f t="shared" si="943"/>
        <v>저수</v>
      </c>
      <c r="AH676" s="22" t="str">
        <f t="shared" si="944"/>
        <v>저수</v>
      </c>
      <c r="AI676" s="22" t="str">
        <f t="shared" si="945"/>
        <v>고수</v>
      </c>
      <c r="AJ676" s="22" t="str">
        <f t="shared" si="946"/>
        <v>고수</v>
      </c>
      <c r="AK676" s="22" t="str">
        <f t="shared" si="947"/>
        <v>고수</v>
      </c>
      <c r="AL676" s="22" t="str">
        <f t="shared" si="948"/>
        <v>3 : 3</v>
      </c>
      <c r="AM676" s="22">
        <f t="shared" si="949"/>
        <v>3</v>
      </c>
      <c r="AN676" s="22">
        <f t="shared" si="950"/>
        <v>3</v>
      </c>
      <c r="AO676" s="22">
        <f t="shared" si="951"/>
        <v>30</v>
      </c>
      <c r="AP676" s="22" t="str">
        <f t="shared" si="952"/>
        <v>O</v>
      </c>
      <c r="AQ676" s="22" t="str">
        <f t="shared" si="953"/>
        <v>X</v>
      </c>
      <c r="AR676" s="22" t="str">
        <f t="shared" si="954"/>
        <v>O</v>
      </c>
      <c r="AS676" s="22" t="str">
        <f t="shared" si="955"/>
        <v>X</v>
      </c>
      <c r="AT676" s="22" t="str">
        <f t="shared" si="956"/>
        <v>X</v>
      </c>
      <c r="AU676" s="22" t="str">
        <f t="shared" si="957"/>
        <v>X</v>
      </c>
      <c r="AV676" s="22" t="str">
        <f t="shared" si="958"/>
        <v>X</v>
      </c>
      <c r="AW676" s="22" t="str">
        <f t="shared" si="959"/>
        <v>X</v>
      </c>
      <c r="AX676" s="22" t="str">
        <f t="shared" si="960"/>
        <v>X</v>
      </c>
      <c r="AY676" s="22" t="str">
        <f t="shared" si="961"/>
        <v>O</v>
      </c>
      <c r="AZ676" s="22" t="str">
        <f t="shared" si="962"/>
        <v>X</v>
      </c>
      <c r="BA676" s="22" t="str">
        <f t="shared" si="963"/>
        <v>X</v>
      </c>
      <c r="BB676" s="22">
        <f t="shared" si="964"/>
        <v>3</v>
      </c>
      <c r="BC676" s="22" t="str">
        <f t="shared" si="979"/>
        <v>1G</v>
      </c>
      <c r="BD676" s="22" t="str">
        <f t="shared" si="980"/>
        <v>1G</v>
      </c>
      <c r="BE676" s="22" t="str">
        <f t="shared" si="981"/>
        <v>2G</v>
      </c>
      <c r="BF676" s="22" t="str">
        <f t="shared" si="982"/>
        <v>2G</v>
      </c>
      <c r="BG676" s="22" t="str">
        <f t="shared" si="983"/>
        <v>3G</v>
      </c>
      <c r="BH676" s="22" t="str">
        <f t="shared" si="984"/>
        <v>3G</v>
      </c>
      <c r="BI676" s="22">
        <f t="shared" si="568"/>
        <v>2</v>
      </c>
      <c r="BJ676" s="22">
        <f t="shared" si="569"/>
        <v>2</v>
      </c>
      <c r="BK676" s="22">
        <f t="shared" si="570"/>
        <v>2</v>
      </c>
      <c r="BL676" s="22" t="str">
        <f t="shared" si="988"/>
        <v>222</v>
      </c>
      <c r="BS676"/>
    </row>
    <row r="677" spans="2:71" ht="17">
      <c r="B677" s="16">
        <v>674</v>
      </c>
      <c r="C677" s="23" t="s">
        <v>1040</v>
      </c>
      <c r="N677" s="23">
        <v>9</v>
      </c>
      <c r="O677" s="23">
        <v>10</v>
      </c>
      <c r="P677" s="23">
        <v>14</v>
      </c>
      <c r="Q677" s="23">
        <v>25</v>
      </c>
      <c r="R677" s="23">
        <v>27</v>
      </c>
      <c r="S677" s="23">
        <v>31</v>
      </c>
      <c r="T677" s="23">
        <v>11</v>
      </c>
      <c r="U677" s="23">
        <f t="shared" si="932"/>
        <v>116</v>
      </c>
      <c r="W677" s="22" t="str">
        <f t="shared" si="933"/>
        <v>홀수</v>
      </c>
      <c r="X677" s="22" t="str">
        <f t="shared" si="934"/>
        <v>짝수</v>
      </c>
      <c r="Y677" s="22" t="str">
        <f t="shared" si="935"/>
        <v>짝수</v>
      </c>
      <c r="Z677" s="22" t="str">
        <f t="shared" si="936"/>
        <v>홀수</v>
      </c>
      <c r="AA677" s="23" t="str">
        <f t="shared" si="937"/>
        <v>홀수</v>
      </c>
      <c r="AB677" s="23" t="str">
        <f t="shared" si="938"/>
        <v>홀수</v>
      </c>
      <c r="AC677" s="22" t="str">
        <f t="shared" si="939"/>
        <v>4 : 2</v>
      </c>
      <c r="AD677" s="22">
        <f t="shared" si="940"/>
        <v>4</v>
      </c>
      <c r="AE677" s="22">
        <f t="shared" si="941"/>
        <v>2</v>
      </c>
      <c r="AF677" s="22" t="str">
        <f t="shared" si="942"/>
        <v>저수</v>
      </c>
      <c r="AG677" s="22" t="str">
        <f t="shared" si="943"/>
        <v>저수</v>
      </c>
      <c r="AH677" s="22" t="str">
        <f t="shared" si="944"/>
        <v>저수</v>
      </c>
      <c r="AI677" s="22" t="str">
        <f t="shared" si="945"/>
        <v>고수</v>
      </c>
      <c r="AJ677" s="22" t="str">
        <f t="shared" si="946"/>
        <v>고수</v>
      </c>
      <c r="AK677" s="22" t="str">
        <f t="shared" si="947"/>
        <v>고수</v>
      </c>
      <c r="AL677" s="22" t="str">
        <f t="shared" si="948"/>
        <v>3 : 3</v>
      </c>
      <c r="AM677" s="22">
        <f t="shared" si="949"/>
        <v>3</v>
      </c>
      <c r="AN677" s="22">
        <f t="shared" si="950"/>
        <v>3</v>
      </c>
      <c r="AO677" s="22">
        <f t="shared" si="951"/>
        <v>26</v>
      </c>
      <c r="AP677" s="22" t="str">
        <f t="shared" si="952"/>
        <v>X</v>
      </c>
      <c r="AQ677" s="22" t="str">
        <f t="shared" si="953"/>
        <v>X</v>
      </c>
      <c r="AR677" s="22" t="str">
        <f t="shared" si="954"/>
        <v>X</v>
      </c>
      <c r="AS677" s="22" t="str">
        <f t="shared" si="955"/>
        <v>X</v>
      </c>
      <c r="AT677" s="22" t="str">
        <f t="shared" si="956"/>
        <v>X</v>
      </c>
      <c r="AU677" s="22" t="str">
        <f t="shared" si="957"/>
        <v>X</v>
      </c>
      <c r="AV677" s="22" t="str">
        <f t="shared" si="958"/>
        <v>X</v>
      </c>
      <c r="AW677" s="22" t="str">
        <f t="shared" si="959"/>
        <v>X</v>
      </c>
      <c r="AX677" s="22" t="str">
        <f t="shared" si="960"/>
        <v>X</v>
      </c>
      <c r="AY677" s="22" t="str">
        <f t="shared" si="961"/>
        <v>X</v>
      </c>
      <c r="AZ677" s="22" t="str">
        <f t="shared" si="962"/>
        <v>X</v>
      </c>
      <c r="BA677" s="22" t="str">
        <f t="shared" si="963"/>
        <v>O</v>
      </c>
      <c r="BB677" s="22">
        <f t="shared" si="964"/>
        <v>1</v>
      </c>
      <c r="BC677" s="22" t="str">
        <f t="shared" ref="BC677" si="989">VLOOKUP(N677,삼그룹,6,FALSE)</f>
        <v>1G</v>
      </c>
      <c r="BD677" s="22" t="str">
        <f t="shared" ref="BD677" si="990">VLOOKUP(O677,삼그룹,6,FALSE)</f>
        <v>1G</v>
      </c>
      <c r="BE677" s="22" t="str">
        <f t="shared" ref="BE677" si="991">VLOOKUP(P677,삼그룹,6,FALSE)</f>
        <v>1G</v>
      </c>
      <c r="BF677" s="22" t="str">
        <f t="shared" ref="BF677" si="992">VLOOKUP(Q677,삼그룹,6,FALSE)</f>
        <v>2G</v>
      </c>
      <c r="BG677" s="22" t="str">
        <f t="shared" ref="BG677" si="993">VLOOKUP(R677,삼그룹,6,FALSE)</f>
        <v>2G</v>
      </c>
      <c r="BH677" s="22" t="str">
        <f t="shared" ref="BH677" si="994">VLOOKUP(S677,삼그룹,6,FALSE)</f>
        <v>3G</v>
      </c>
      <c r="BI677" s="22">
        <f t="shared" si="568"/>
        <v>3</v>
      </c>
      <c r="BJ677" s="22">
        <f t="shared" si="569"/>
        <v>2</v>
      </c>
      <c r="BK677" s="22">
        <f t="shared" si="570"/>
        <v>1</v>
      </c>
      <c r="BL677" s="22" t="str">
        <f t="shared" ref="BL677" si="995">BI677&amp;BJ677&amp;BK677</f>
        <v>321</v>
      </c>
      <c r="BS677"/>
    </row>
    <row r="678" spans="2:71" ht="17">
      <c r="B678" s="16">
        <v>675</v>
      </c>
      <c r="C678" s="23" t="s">
        <v>1041</v>
      </c>
      <c r="N678" s="23">
        <v>1</v>
      </c>
      <c r="O678" s="23">
        <v>8</v>
      </c>
      <c r="P678" s="23">
        <v>11</v>
      </c>
      <c r="Q678" s="23">
        <v>15</v>
      </c>
      <c r="R678" s="23">
        <v>18</v>
      </c>
      <c r="S678" s="23">
        <v>45</v>
      </c>
      <c r="T678" s="23">
        <v>7</v>
      </c>
      <c r="U678" s="23">
        <f t="shared" si="932"/>
        <v>98</v>
      </c>
      <c r="W678" s="22" t="str">
        <f t="shared" si="933"/>
        <v>홀수</v>
      </c>
      <c r="X678" s="22" t="str">
        <f t="shared" si="934"/>
        <v>짝수</v>
      </c>
      <c r="Y678" s="22" t="str">
        <f t="shared" si="935"/>
        <v>홀수</v>
      </c>
      <c r="Z678" s="22" t="str">
        <f t="shared" si="936"/>
        <v>홀수</v>
      </c>
      <c r="AA678" s="23" t="str">
        <f t="shared" si="937"/>
        <v>짝수</v>
      </c>
      <c r="AB678" s="23" t="str">
        <f t="shared" si="938"/>
        <v>홀수</v>
      </c>
      <c r="AC678" s="22" t="str">
        <f t="shared" si="939"/>
        <v>4 : 2</v>
      </c>
      <c r="AD678" s="22">
        <f t="shared" si="940"/>
        <v>4</v>
      </c>
      <c r="AE678" s="22">
        <f t="shared" si="941"/>
        <v>2</v>
      </c>
      <c r="AF678" s="22" t="str">
        <f t="shared" si="942"/>
        <v>저수</v>
      </c>
      <c r="AG678" s="22" t="str">
        <f t="shared" si="943"/>
        <v>저수</v>
      </c>
      <c r="AH678" s="22" t="str">
        <f t="shared" si="944"/>
        <v>저수</v>
      </c>
      <c r="AI678" s="22" t="str">
        <f t="shared" si="945"/>
        <v>저수</v>
      </c>
      <c r="AJ678" s="22" t="str">
        <f t="shared" si="946"/>
        <v>저수</v>
      </c>
      <c r="AK678" s="22" t="str">
        <f t="shared" si="947"/>
        <v>고수</v>
      </c>
      <c r="AL678" s="22" t="str">
        <f t="shared" si="948"/>
        <v>5 : 1</v>
      </c>
      <c r="AM678" s="22">
        <f t="shared" si="949"/>
        <v>5</v>
      </c>
      <c r="AN678" s="22">
        <f t="shared" si="950"/>
        <v>1</v>
      </c>
      <c r="AO678" s="22">
        <f t="shared" si="951"/>
        <v>28</v>
      </c>
      <c r="AP678" s="22" t="str">
        <f t="shared" si="952"/>
        <v>X</v>
      </c>
      <c r="AQ678" s="22" t="str">
        <f t="shared" si="953"/>
        <v>X</v>
      </c>
      <c r="AR678" s="22" t="str">
        <f t="shared" si="954"/>
        <v>O</v>
      </c>
      <c r="AS678" s="22" t="str">
        <f t="shared" si="955"/>
        <v>X</v>
      </c>
      <c r="AT678" s="22" t="str">
        <f t="shared" si="956"/>
        <v>X</v>
      </c>
      <c r="AU678" s="22" t="str">
        <f t="shared" si="957"/>
        <v>X</v>
      </c>
      <c r="AV678" s="22" t="str">
        <f t="shared" si="958"/>
        <v>X</v>
      </c>
      <c r="AW678" s="22" t="str">
        <f t="shared" si="959"/>
        <v>X</v>
      </c>
      <c r="AX678" s="22" t="str">
        <f t="shared" si="960"/>
        <v>X</v>
      </c>
      <c r="AY678" s="22" t="str">
        <f t="shared" si="961"/>
        <v>X</v>
      </c>
      <c r="AZ678" s="22" t="str">
        <f t="shared" si="962"/>
        <v>X</v>
      </c>
      <c r="BA678" s="22" t="str">
        <f t="shared" si="963"/>
        <v>X</v>
      </c>
      <c r="BB678" s="22">
        <f t="shared" si="964"/>
        <v>1</v>
      </c>
      <c r="BC678" s="22" t="str">
        <f t="shared" ref="BC678" si="996">VLOOKUP(N678,삼그룹,6,FALSE)</f>
        <v>1G</v>
      </c>
      <c r="BD678" s="22" t="str">
        <f t="shared" ref="BD678" si="997">VLOOKUP(O678,삼그룹,6,FALSE)</f>
        <v>1G</v>
      </c>
      <c r="BE678" s="22" t="str">
        <f t="shared" ref="BE678" si="998">VLOOKUP(P678,삼그룹,6,FALSE)</f>
        <v>1G</v>
      </c>
      <c r="BF678" s="22" t="str">
        <f t="shared" ref="BF678" si="999">VLOOKUP(Q678,삼그룹,6,FALSE)</f>
        <v>1G</v>
      </c>
      <c r="BG678" s="22" t="str">
        <f t="shared" ref="BG678" si="1000">VLOOKUP(R678,삼그룹,6,FALSE)</f>
        <v>2G</v>
      </c>
      <c r="BH678" s="22" t="str">
        <f t="shared" ref="BH678" si="1001">VLOOKUP(S678,삼그룹,6,FALSE)</f>
        <v>3G</v>
      </c>
      <c r="BI678" s="22">
        <f t="shared" si="568"/>
        <v>4</v>
      </c>
      <c r="BJ678" s="22">
        <f t="shared" si="569"/>
        <v>1</v>
      </c>
      <c r="BK678" s="22">
        <f t="shared" si="570"/>
        <v>1</v>
      </c>
      <c r="BL678" s="22" t="str">
        <f t="shared" ref="BL678" si="1002">BI678&amp;BJ678&amp;BK678</f>
        <v>411</v>
      </c>
      <c r="BS678"/>
    </row>
    <row r="679" spans="2:71" ht="17">
      <c r="B679" s="16">
        <v>676</v>
      </c>
      <c r="C679" s="23" t="s">
        <v>1042</v>
      </c>
      <c r="N679" s="23">
        <v>1</v>
      </c>
      <c r="O679" s="23">
        <v>8</v>
      </c>
      <c r="P679" s="23">
        <v>17</v>
      </c>
      <c r="Q679" s="23">
        <v>34</v>
      </c>
      <c r="R679" s="23">
        <v>39</v>
      </c>
      <c r="S679" s="23">
        <v>45</v>
      </c>
      <c r="T679" s="23">
        <v>27</v>
      </c>
      <c r="U679" s="23">
        <f t="shared" si="932"/>
        <v>144</v>
      </c>
      <c r="W679" s="22" t="str">
        <f t="shared" si="933"/>
        <v>홀수</v>
      </c>
      <c r="X679" s="22" t="str">
        <f t="shared" si="934"/>
        <v>짝수</v>
      </c>
      <c r="Y679" s="22" t="str">
        <f t="shared" si="935"/>
        <v>홀수</v>
      </c>
      <c r="Z679" s="22" t="str">
        <f t="shared" si="936"/>
        <v>짝수</v>
      </c>
      <c r="AA679" s="23" t="str">
        <f t="shared" si="937"/>
        <v>홀수</v>
      </c>
      <c r="AB679" s="23" t="str">
        <f t="shared" si="938"/>
        <v>홀수</v>
      </c>
      <c r="AC679" s="22" t="str">
        <f t="shared" si="939"/>
        <v>4 : 2</v>
      </c>
      <c r="AD679" s="22">
        <f t="shared" si="940"/>
        <v>4</v>
      </c>
      <c r="AE679" s="22">
        <f t="shared" si="941"/>
        <v>2</v>
      </c>
      <c r="AF679" s="22" t="str">
        <f t="shared" si="942"/>
        <v>저수</v>
      </c>
      <c r="AG679" s="22" t="str">
        <f t="shared" si="943"/>
        <v>저수</v>
      </c>
      <c r="AH679" s="22" t="str">
        <f t="shared" si="944"/>
        <v>저수</v>
      </c>
      <c r="AI679" s="22" t="str">
        <f t="shared" si="945"/>
        <v>고수</v>
      </c>
      <c r="AJ679" s="22" t="str">
        <f t="shared" si="946"/>
        <v>고수</v>
      </c>
      <c r="AK679" s="22" t="str">
        <f t="shared" si="947"/>
        <v>고수</v>
      </c>
      <c r="AL679" s="22" t="str">
        <f t="shared" si="948"/>
        <v>3 : 3</v>
      </c>
      <c r="AM679" s="22">
        <f t="shared" si="949"/>
        <v>3</v>
      </c>
      <c r="AN679" s="22">
        <f t="shared" si="950"/>
        <v>3</v>
      </c>
      <c r="AO679" s="22">
        <f t="shared" si="951"/>
        <v>34</v>
      </c>
      <c r="AP679" s="22" t="str">
        <f t="shared" si="952"/>
        <v>X</v>
      </c>
      <c r="AQ679" s="22" t="str">
        <f t="shared" si="953"/>
        <v>X</v>
      </c>
      <c r="AR679" s="22" t="str">
        <f t="shared" si="954"/>
        <v>O</v>
      </c>
      <c r="AS679" s="22" t="str">
        <f t="shared" si="955"/>
        <v>X</v>
      </c>
      <c r="AT679" s="22" t="str">
        <f t="shared" si="956"/>
        <v>X</v>
      </c>
      <c r="AU679" s="22" t="str">
        <f t="shared" si="957"/>
        <v>X</v>
      </c>
      <c r="AV679" s="22" t="str">
        <f t="shared" si="958"/>
        <v>X</v>
      </c>
      <c r="AW679" s="22" t="str">
        <f t="shared" si="959"/>
        <v>X</v>
      </c>
      <c r="AX679" s="22" t="str">
        <f t="shared" si="960"/>
        <v>X</v>
      </c>
      <c r="AY679" s="22" t="str">
        <f t="shared" si="961"/>
        <v>X</v>
      </c>
      <c r="AZ679" s="22" t="str">
        <f t="shared" si="962"/>
        <v>X</v>
      </c>
      <c r="BA679" s="22" t="str">
        <f t="shared" si="963"/>
        <v>X</v>
      </c>
      <c r="BB679" s="22">
        <f t="shared" si="964"/>
        <v>1</v>
      </c>
      <c r="BC679" s="22" t="str">
        <f t="shared" ref="BC679:BC680" si="1003">VLOOKUP(N679,삼그룹,6,FALSE)</f>
        <v>1G</v>
      </c>
      <c r="BD679" s="22" t="str">
        <f t="shared" ref="BD679:BD680" si="1004">VLOOKUP(O679,삼그룹,6,FALSE)</f>
        <v>1G</v>
      </c>
      <c r="BE679" s="22" t="str">
        <f t="shared" ref="BE679:BE680" si="1005">VLOOKUP(P679,삼그룹,6,FALSE)</f>
        <v>2G</v>
      </c>
      <c r="BF679" s="22" t="str">
        <f t="shared" ref="BF679:BF680" si="1006">VLOOKUP(Q679,삼그룹,6,FALSE)</f>
        <v>3G</v>
      </c>
      <c r="BG679" s="22" t="str">
        <f t="shared" ref="BG679:BG680" si="1007">VLOOKUP(R679,삼그룹,6,FALSE)</f>
        <v>3G</v>
      </c>
      <c r="BH679" s="22" t="str">
        <f t="shared" ref="BH679:BH680" si="1008">VLOOKUP(S679,삼그룹,6,FALSE)</f>
        <v>3G</v>
      </c>
      <c r="BI679" s="22">
        <f t="shared" si="568"/>
        <v>2</v>
      </c>
      <c r="BJ679" s="22">
        <f t="shared" si="569"/>
        <v>1</v>
      </c>
      <c r="BK679" s="22">
        <f t="shared" si="570"/>
        <v>3</v>
      </c>
      <c r="BL679" s="22" t="str">
        <f t="shared" ref="BL679:BL680" si="1009">BI679&amp;BJ679&amp;BK679</f>
        <v>213</v>
      </c>
      <c r="BS679"/>
    </row>
    <row r="680" spans="2:71" ht="17">
      <c r="B680" s="16">
        <v>677</v>
      </c>
      <c r="C680" s="23" t="s">
        <v>1043</v>
      </c>
      <c r="N680" s="23">
        <v>12</v>
      </c>
      <c r="O680" s="23">
        <v>15</v>
      </c>
      <c r="P680" s="23">
        <v>24</v>
      </c>
      <c r="Q680" s="23">
        <v>36</v>
      </c>
      <c r="R680" s="23">
        <v>41</v>
      </c>
      <c r="S680" s="23">
        <v>44</v>
      </c>
      <c r="T680" s="23">
        <v>42</v>
      </c>
      <c r="U680" s="23">
        <f t="shared" si="932"/>
        <v>172</v>
      </c>
      <c r="W680" s="22" t="str">
        <f t="shared" si="933"/>
        <v>짝수</v>
      </c>
      <c r="X680" s="22" t="str">
        <f t="shared" si="934"/>
        <v>홀수</v>
      </c>
      <c r="Y680" s="22" t="str">
        <f t="shared" si="935"/>
        <v>짝수</v>
      </c>
      <c r="Z680" s="22" t="str">
        <f t="shared" si="936"/>
        <v>짝수</v>
      </c>
      <c r="AA680" s="23" t="str">
        <f t="shared" si="937"/>
        <v>홀수</v>
      </c>
      <c r="AB680" s="23" t="str">
        <f t="shared" si="938"/>
        <v>짝수</v>
      </c>
      <c r="AC680" s="22" t="str">
        <f t="shared" si="939"/>
        <v>2 : 4</v>
      </c>
      <c r="AD680" s="22">
        <f t="shared" si="940"/>
        <v>2</v>
      </c>
      <c r="AE680" s="22">
        <f t="shared" si="941"/>
        <v>4</v>
      </c>
      <c r="AF680" s="22" t="str">
        <f t="shared" si="942"/>
        <v>저수</v>
      </c>
      <c r="AG680" s="22" t="str">
        <f t="shared" si="943"/>
        <v>저수</v>
      </c>
      <c r="AH680" s="22" t="str">
        <f t="shared" si="944"/>
        <v>고수</v>
      </c>
      <c r="AI680" s="22" t="str">
        <f t="shared" si="945"/>
        <v>고수</v>
      </c>
      <c r="AJ680" s="22" t="str">
        <f t="shared" si="946"/>
        <v>고수</v>
      </c>
      <c r="AK680" s="22" t="str">
        <f t="shared" si="947"/>
        <v>고수</v>
      </c>
      <c r="AL680" s="22" t="str">
        <f t="shared" si="948"/>
        <v>2 : 4</v>
      </c>
      <c r="AM680" s="22">
        <f t="shared" si="949"/>
        <v>2</v>
      </c>
      <c r="AN680" s="22">
        <f t="shared" si="950"/>
        <v>4</v>
      </c>
      <c r="AO680" s="22">
        <f t="shared" si="951"/>
        <v>22</v>
      </c>
      <c r="AP680" s="22" t="str">
        <f t="shared" si="952"/>
        <v>X</v>
      </c>
      <c r="AQ680" s="22" t="str">
        <f t="shared" si="953"/>
        <v>X</v>
      </c>
      <c r="AR680" s="22" t="str">
        <f t="shared" si="954"/>
        <v>X</v>
      </c>
      <c r="AS680" s="22" t="str">
        <f t="shared" si="955"/>
        <v>X</v>
      </c>
      <c r="AT680" s="22" t="str">
        <f t="shared" si="956"/>
        <v>X</v>
      </c>
      <c r="AU680" s="22" t="str">
        <f t="shared" si="957"/>
        <v>X</v>
      </c>
      <c r="AV680" s="22" t="str">
        <f t="shared" si="958"/>
        <v>X</v>
      </c>
      <c r="AW680" s="22" t="str">
        <f t="shared" si="959"/>
        <v>X</v>
      </c>
      <c r="AX680" s="22" t="str">
        <f t="shared" si="960"/>
        <v>X</v>
      </c>
      <c r="AY680" s="22" t="str">
        <f t="shared" si="961"/>
        <v>X</v>
      </c>
      <c r="AZ680" s="22" t="str">
        <f t="shared" si="962"/>
        <v>O</v>
      </c>
      <c r="BA680" s="22" t="str">
        <f t="shared" si="963"/>
        <v>X</v>
      </c>
      <c r="BB680" s="22">
        <f t="shared" si="964"/>
        <v>1</v>
      </c>
      <c r="BC680" s="22" t="str">
        <f t="shared" si="1003"/>
        <v>1G</v>
      </c>
      <c r="BD680" s="22" t="str">
        <f t="shared" si="1004"/>
        <v>1G</v>
      </c>
      <c r="BE680" s="22" t="str">
        <f t="shared" si="1005"/>
        <v>2G</v>
      </c>
      <c r="BF680" s="22" t="str">
        <f t="shared" si="1006"/>
        <v>3G</v>
      </c>
      <c r="BG680" s="22" t="str">
        <f t="shared" si="1007"/>
        <v>3G</v>
      </c>
      <c r="BH680" s="22" t="str">
        <f t="shared" si="1008"/>
        <v>3G</v>
      </c>
      <c r="BI680" s="22">
        <f t="shared" si="568"/>
        <v>2</v>
      </c>
      <c r="BJ680" s="22">
        <f t="shared" si="569"/>
        <v>1</v>
      </c>
      <c r="BK680" s="22">
        <f t="shared" si="570"/>
        <v>3</v>
      </c>
      <c r="BL680" s="22" t="str">
        <f t="shared" si="1009"/>
        <v>213</v>
      </c>
      <c r="BS680"/>
    </row>
    <row r="681" spans="2:71" ht="17">
      <c r="B681" s="16">
        <v>678</v>
      </c>
      <c r="C681" s="23" t="s">
        <v>1044</v>
      </c>
      <c r="N681" s="23">
        <v>4</v>
      </c>
      <c r="O681" s="23">
        <v>5</v>
      </c>
      <c r="P681" s="23">
        <v>6</v>
      </c>
      <c r="Q681" s="23">
        <v>12</v>
      </c>
      <c r="R681" s="23">
        <v>25</v>
      </c>
      <c r="S681" s="23">
        <v>37</v>
      </c>
      <c r="T681" s="23">
        <v>45</v>
      </c>
      <c r="U681" s="23">
        <f t="shared" si="932"/>
        <v>89</v>
      </c>
      <c r="W681" s="22" t="str">
        <f t="shared" si="933"/>
        <v>짝수</v>
      </c>
      <c r="X681" s="22" t="str">
        <f t="shared" si="934"/>
        <v>홀수</v>
      </c>
      <c r="Y681" s="22" t="str">
        <f t="shared" si="935"/>
        <v>짝수</v>
      </c>
      <c r="Z681" s="22" t="str">
        <f t="shared" si="936"/>
        <v>짝수</v>
      </c>
      <c r="AA681" s="23" t="str">
        <f t="shared" si="937"/>
        <v>홀수</v>
      </c>
      <c r="AB681" s="23" t="str">
        <f t="shared" si="938"/>
        <v>홀수</v>
      </c>
      <c r="AC681" s="22" t="str">
        <f t="shared" si="939"/>
        <v>3 : 3</v>
      </c>
      <c r="AD681" s="22">
        <f t="shared" si="940"/>
        <v>3</v>
      </c>
      <c r="AE681" s="22">
        <f t="shared" si="941"/>
        <v>3</v>
      </c>
      <c r="AF681" s="22" t="str">
        <f t="shared" si="942"/>
        <v>저수</v>
      </c>
      <c r="AG681" s="22" t="str">
        <f t="shared" si="943"/>
        <v>저수</v>
      </c>
      <c r="AH681" s="22" t="str">
        <f t="shared" si="944"/>
        <v>저수</v>
      </c>
      <c r="AI681" s="22" t="str">
        <f t="shared" si="945"/>
        <v>저수</v>
      </c>
      <c r="AJ681" s="22" t="str">
        <f t="shared" si="946"/>
        <v>고수</v>
      </c>
      <c r="AK681" s="22" t="str">
        <f t="shared" si="947"/>
        <v>고수</v>
      </c>
      <c r="AL681" s="22" t="str">
        <f t="shared" si="948"/>
        <v>4 : 2</v>
      </c>
      <c r="AM681" s="22">
        <f t="shared" si="949"/>
        <v>4</v>
      </c>
      <c r="AN681" s="22">
        <f t="shared" si="950"/>
        <v>2</v>
      </c>
      <c r="AO681" s="22">
        <f t="shared" si="951"/>
        <v>29</v>
      </c>
      <c r="AP681" s="22" t="str">
        <f t="shared" si="952"/>
        <v>X</v>
      </c>
      <c r="AQ681" s="22" t="str">
        <f t="shared" si="953"/>
        <v>O</v>
      </c>
      <c r="AR681" s="22" t="str">
        <f t="shared" si="954"/>
        <v>X</v>
      </c>
      <c r="AS681" s="22" t="str">
        <f t="shared" si="955"/>
        <v>X</v>
      </c>
      <c r="AT681" s="22" t="str">
        <f t="shared" si="956"/>
        <v>X</v>
      </c>
      <c r="AU681" s="22" t="str">
        <f t="shared" si="957"/>
        <v>X</v>
      </c>
      <c r="AV681" s="22" t="str">
        <f t="shared" si="958"/>
        <v>X</v>
      </c>
      <c r="AW681" s="22" t="str">
        <f t="shared" si="959"/>
        <v>X</v>
      </c>
      <c r="AX681" s="22" t="str">
        <f t="shared" si="960"/>
        <v>X</v>
      </c>
      <c r="AY681" s="22" t="str">
        <f t="shared" si="961"/>
        <v>X</v>
      </c>
      <c r="AZ681" s="22" t="str">
        <f t="shared" si="962"/>
        <v>X</v>
      </c>
      <c r="BA681" s="22" t="str">
        <f t="shared" si="963"/>
        <v>O</v>
      </c>
      <c r="BB681" s="22">
        <f t="shared" si="964"/>
        <v>2</v>
      </c>
      <c r="BC681" s="22" t="str">
        <f t="shared" ref="BC681:BC682" si="1010">VLOOKUP(N681,삼그룹,6,FALSE)</f>
        <v>1G</v>
      </c>
      <c r="BD681" s="22" t="str">
        <f t="shared" ref="BD681:BD682" si="1011">VLOOKUP(O681,삼그룹,6,FALSE)</f>
        <v>1G</v>
      </c>
      <c r="BE681" s="22" t="str">
        <f t="shared" ref="BE681:BE682" si="1012">VLOOKUP(P681,삼그룹,6,FALSE)</f>
        <v>1G</v>
      </c>
      <c r="BF681" s="22" t="str">
        <f t="shared" ref="BF681:BF682" si="1013">VLOOKUP(Q681,삼그룹,6,FALSE)</f>
        <v>1G</v>
      </c>
      <c r="BG681" s="22" t="str">
        <f t="shared" ref="BG681:BG682" si="1014">VLOOKUP(R681,삼그룹,6,FALSE)</f>
        <v>2G</v>
      </c>
      <c r="BH681" s="22" t="str">
        <f t="shared" ref="BH681:BH682" si="1015">VLOOKUP(S681,삼그룹,6,FALSE)</f>
        <v>3G</v>
      </c>
      <c r="BI681" s="22">
        <f t="shared" si="568"/>
        <v>4</v>
      </c>
      <c r="BJ681" s="22">
        <f t="shared" si="569"/>
        <v>1</v>
      </c>
      <c r="BK681" s="22">
        <f t="shared" si="570"/>
        <v>1</v>
      </c>
      <c r="BL681" s="22" t="str">
        <f t="shared" ref="BL681:BL682" si="1016">BI681&amp;BJ681&amp;BK681</f>
        <v>411</v>
      </c>
      <c r="BS681"/>
    </row>
    <row r="682" spans="2:71" ht="17">
      <c r="B682" s="16">
        <v>679</v>
      </c>
      <c r="C682" s="23" t="s">
        <v>1045</v>
      </c>
      <c r="N682" s="23">
        <v>3</v>
      </c>
      <c r="O682" s="23">
        <v>5</v>
      </c>
      <c r="P682" s="23">
        <v>7</v>
      </c>
      <c r="Q682" s="23">
        <v>14</v>
      </c>
      <c r="R682" s="23">
        <v>26</v>
      </c>
      <c r="S682" s="23">
        <v>34</v>
      </c>
      <c r="T682" s="23">
        <v>35</v>
      </c>
      <c r="U682" s="23">
        <f t="shared" si="932"/>
        <v>89</v>
      </c>
      <c r="W682" s="22" t="str">
        <f t="shared" si="933"/>
        <v>홀수</v>
      </c>
      <c r="X682" s="22" t="str">
        <f t="shared" si="934"/>
        <v>홀수</v>
      </c>
      <c r="Y682" s="22" t="str">
        <f t="shared" si="935"/>
        <v>홀수</v>
      </c>
      <c r="Z682" s="22" t="str">
        <f t="shared" si="936"/>
        <v>짝수</v>
      </c>
      <c r="AA682" s="23" t="str">
        <f t="shared" si="937"/>
        <v>짝수</v>
      </c>
      <c r="AB682" s="23" t="str">
        <f t="shared" si="938"/>
        <v>짝수</v>
      </c>
      <c r="AC682" s="22" t="str">
        <f t="shared" si="939"/>
        <v>3 : 3</v>
      </c>
      <c r="AD682" s="22">
        <f t="shared" si="940"/>
        <v>3</v>
      </c>
      <c r="AE682" s="22">
        <f t="shared" si="941"/>
        <v>3</v>
      </c>
      <c r="AF682" s="22" t="str">
        <f t="shared" si="942"/>
        <v>저수</v>
      </c>
      <c r="AG682" s="22" t="str">
        <f t="shared" si="943"/>
        <v>저수</v>
      </c>
      <c r="AH682" s="22" t="str">
        <f t="shared" si="944"/>
        <v>저수</v>
      </c>
      <c r="AI682" s="22" t="str">
        <f t="shared" si="945"/>
        <v>저수</v>
      </c>
      <c r="AJ682" s="22" t="str">
        <f t="shared" si="946"/>
        <v>고수</v>
      </c>
      <c r="AK682" s="22" t="str">
        <f t="shared" si="947"/>
        <v>고수</v>
      </c>
      <c r="AL682" s="22" t="str">
        <f t="shared" si="948"/>
        <v>4 : 2</v>
      </c>
      <c r="AM682" s="22">
        <f t="shared" si="949"/>
        <v>4</v>
      </c>
      <c r="AN682" s="22">
        <f t="shared" si="950"/>
        <v>2</v>
      </c>
      <c r="AO682" s="22">
        <f t="shared" si="951"/>
        <v>29</v>
      </c>
      <c r="AP682" s="22" t="str">
        <f t="shared" si="952"/>
        <v>O</v>
      </c>
      <c r="AQ682" s="22" t="str">
        <f t="shared" si="953"/>
        <v>O</v>
      </c>
      <c r="AR682" s="22" t="str">
        <f t="shared" si="954"/>
        <v>O</v>
      </c>
      <c r="AS682" s="22" t="str">
        <f t="shared" si="955"/>
        <v>X</v>
      </c>
      <c r="AT682" s="22" t="str">
        <f t="shared" si="956"/>
        <v>X</v>
      </c>
      <c r="AU682" s="22" t="str">
        <f t="shared" si="957"/>
        <v>X</v>
      </c>
      <c r="AV682" s="22" t="str">
        <f t="shared" si="958"/>
        <v>X</v>
      </c>
      <c r="AW682" s="22" t="str">
        <f t="shared" si="959"/>
        <v>X</v>
      </c>
      <c r="AX682" s="22" t="str">
        <f t="shared" si="960"/>
        <v>X</v>
      </c>
      <c r="AY682" s="22" t="str">
        <f t="shared" si="961"/>
        <v>X</v>
      </c>
      <c r="AZ682" s="22" t="str">
        <f t="shared" si="962"/>
        <v>X</v>
      </c>
      <c r="BA682" s="22" t="str">
        <f t="shared" si="963"/>
        <v>X</v>
      </c>
      <c r="BB682" s="22">
        <f t="shared" si="964"/>
        <v>3</v>
      </c>
      <c r="BC682" s="22" t="str">
        <f t="shared" si="1010"/>
        <v>1G</v>
      </c>
      <c r="BD682" s="22" t="str">
        <f t="shared" si="1011"/>
        <v>1G</v>
      </c>
      <c r="BE682" s="22" t="str">
        <f t="shared" si="1012"/>
        <v>1G</v>
      </c>
      <c r="BF682" s="22" t="str">
        <f t="shared" si="1013"/>
        <v>1G</v>
      </c>
      <c r="BG682" s="22" t="str">
        <f t="shared" si="1014"/>
        <v>2G</v>
      </c>
      <c r="BH682" s="22" t="str">
        <f t="shared" si="1015"/>
        <v>3G</v>
      </c>
      <c r="BI682" s="22">
        <f t="shared" si="568"/>
        <v>4</v>
      </c>
      <c r="BJ682" s="22">
        <f t="shared" si="569"/>
        <v>1</v>
      </c>
      <c r="BK682" s="22">
        <f t="shared" si="570"/>
        <v>1</v>
      </c>
      <c r="BL682" s="22" t="str">
        <f t="shared" si="1016"/>
        <v>411</v>
      </c>
      <c r="BS682"/>
    </row>
    <row r="683" spans="2:71" ht="17">
      <c r="B683" s="16">
        <v>680</v>
      </c>
      <c r="C683" s="23" t="s">
        <v>1046</v>
      </c>
      <c r="N683" s="23">
        <v>4</v>
      </c>
      <c r="O683" s="23">
        <v>10</v>
      </c>
      <c r="P683" s="23">
        <v>19</v>
      </c>
      <c r="Q683" s="23">
        <v>29</v>
      </c>
      <c r="R683" s="23">
        <v>32</v>
      </c>
      <c r="S683" s="23">
        <v>42</v>
      </c>
      <c r="T683" s="23">
        <v>30</v>
      </c>
      <c r="U683" s="23">
        <f t="shared" si="932"/>
        <v>136</v>
      </c>
      <c r="W683" s="22" t="str">
        <f t="shared" si="933"/>
        <v>짝수</v>
      </c>
      <c r="X683" s="22" t="str">
        <f t="shared" si="934"/>
        <v>짝수</v>
      </c>
      <c r="Y683" s="22" t="str">
        <f t="shared" si="935"/>
        <v>홀수</v>
      </c>
      <c r="Z683" s="22" t="str">
        <f t="shared" si="936"/>
        <v>홀수</v>
      </c>
      <c r="AA683" s="23" t="str">
        <f t="shared" si="937"/>
        <v>짝수</v>
      </c>
      <c r="AB683" s="23" t="str">
        <f t="shared" si="938"/>
        <v>짝수</v>
      </c>
      <c r="AC683" s="22" t="str">
        <f t="shared" si="939"/>
        <v>2 : 4</v>
      </c>
      <c r="AD683" s="22">
        <f t="shared" si="940"/>
        <v>2</v>
      </c>
      <c r="AE683" s="22">
        <f t="shared" si="941"/>
        <v>4</v>
      </c>
      <c r="AF683" s="22" t="str">
        <f t="shared" si="942"/>
        <v>저수</v>
      </c>
      <c r="AG683" s="22" t="str">
        <f t="shared" si="943"/>
        <v>저수</v>
      </c>
      <c r="AH683" s="22" t="str">
        <f t="shared" si="944"/>
        <v>저수</v>
      </c>
      <c r="AI683" s="22" t="str">
        <f t="shared" si="945"/>
        <v>고수</v>
      </c>
      <c r="AJ683" s="22" t="str">
        <f t="shared" si="946"/>
        <v>고수</v>
      </c>
      <c r="AK683" s="22" t="str">
        <f t="shared" si="947"/>
        <v>고수</v>
      </c>
      <c r="AL683" s="22" t="str">
        <f t="shared" si="948"/>
        <v>3 : 3</v>
      </c>
      <c r="AM683" s="22">
        <f t="shared" si="949"/>
        <v>3</v>
      </c>
      <c r="AN683" s="22">
        <f t="shared" si="950"/>
        <v>3</v>
      </c>
      <c r="AO683" s="22">
        <f t="shared" si="951"/>
        <v>26</v>
      </c>
      <c r="AP683" s="22" t="str">
        <f t="shared" si="952"/>
        <v>X</v>
      </c>
      <c r="AQ683" s="22" t="str">
        <f t="shared" si="953"/>
        <v>X</v>
      </c>
      <c r="AR683" s="22" t="str">
        <f t="shared" si="954"/>
        <v>O</v>
      </c>
      <c r="AS683" s="22" t="str">
        <f t="shared" si="955"/>
        <v>X</v>
      </c>
      <c r="AT683" s="22" t="str">
        <f t="shared" si="956"/>
        <v>X</v>
      </c>
      <c r="AU683" s="22" t="str">
        <f t="shared" si="957"/>
        <v>X</v>
      </c>
      <c r="AV683" s="22" t="str">
        <f t="shared" si="958"/>
        <v>X</v>
      </c>
      <c r="AW683" s="22" t="str">
        <f t="shared" si="959"/>
        <v>X</v>
      </c>
      <c r="AX683" s="22" t="str">
        <f t="shared" si="960"/>
        <v>X</v>
      </c>
      <c r="AY683" s="22" t="str">
        <f t="shared" si="961"/>
        <v>O</v>
      </c>
      <c r="AZ683" s="22" t="str">
        <f t="shared" si="962"/>
        <v>X</v>
      </c>
      <c r="BA683" s="22" t="str">
        <f t="shared" si="963"/>
        <v>X</v>
      </c>
      <c r="BB683" s="22">
        <f t="shared" si="964"/>
        <v>2</v>
      </c>
      <c r="BC683" s="22" t="str">
        <f t="shared" ref="BC683" si="1017">VLOOKUP(N683,삼그룹,6,FALSE)</f>
        <v>1G</v>
      </c>
      <c r="BD683" s="22" t="str">
        <f t="shared" ref="BD683" si="1018">VLOOKUP(O683,삼그룹,6,FALSE)</f>
        <v>1G</v>
      </c>
      <c r="BE683" s="22" t="str">
        <f t="shared" ref="BE683" si="1019">VLOOKUP(P683,삼그룹,6,FALSE)</f>
        <v>2G</v>
      </c>
      <c r="BF683" s="22" t="str">
        <f t="shared" ref="BF683" si="1020">VLOOKUP(Q683,삼그룹,6,FALSE)</f>
        <v>2G</v>
      </c>
      <c r="BG683" s="22" t="str">
        <f t="shared" ref="BG683" si="1021">VLOOKUP(R683,삼그룹,6,FALSE)</f>
        <v>3G</v>
      </c>
      <c r="BH683" s="22" t="str">
        <f t="shared" ref="BH683" si="1022">VLOOKUP(S683,삼그룹,6,FALSE)</f>
        <v>3G</v>
      </c>
      <c r="BI683" s="22">
        <f t="shared" si="568"/>
        <v>2</v>
      </c>
      <c r="BJ683" s="22">
        <f t="shared" si="569"/>
        <v>2</v>
      </c>
      <c r="BK683" s="22">
        <f t="shared" si="570"/>
        <v>2</v>
      </c>
      <c r="BL683" s="22" t="str">
        <f t="shared" ref="BL683" si="1023">BI683&amp;BJ683&amp;BK683</f>
        <v>222</v>
      </c>
      <c r="BS683"/>
    </row>
    <row r="684" spans="2:71" ht="17">
      <c r="B684" s="16">
        <v>681</v>
      </c>
      <c r="C684" s="23" t="s">
        <v>1047</v>
      </c>
      <c r="N684" s="23">
        <v>21</v>
      </c>
      <c r="O684" s="23">
        <v>24</v>
      </c>
      <c r="P684" s="23">
        <v>27</v>
      </c>
      <c r="Q684" s="23">
        <v>29</v>
      </c>
      <c r="R684" s="23">
        <v>43</v>
      </c>
      <c r="S684" s="23">
        <v>44</v>
      </c>
      <c r="T684" s="23">
        <v>7</v>
      </c>
      <c r="U684" s="23">
        <f t="shared" si="932"/>
        <v>188</v>
      </c>
      <c r="W684" s="22" t="str">
        <f t="shared" si="933"/>
        <v>홀수</v>
      </c>
      <c r="X684" s="22" t="str">
        <f t="shared" si="934"/>
        <v>짝수</v>
      </c>
      <c r="Y684" s="22" t="str">
        <f t="shared" si="935"/>
        <v>홀수</v>
      </c>
      <c r="Z684" s="22" t="str">
        <f t="shared" si="936"/>
        <v>홀수</v>
      </c>
      <c r="AA684" s="23" t="str">
        <f t="shared" si="937"/>
        <v>홀수</v>
      </c>
      <c r="AB684" s="23" t="str">
        <f t="shared" si="938"/>
        <v>짝수</v>
      </c>
      <c r="AC684" s="22" t="str">
        <f t="shared" si="939"/>
        <v>4 : 2</v>
      </c>
      <c r="AD684" s="22">
        <f t="shared" si="940"/>
        <v>4</v>
      </c>
      <c r="AE684" s="22">
        <f t="shared" si="941"/>
        <v>2</v>
      </c>
      <c r="AF684" s="22" t="str">
        <f t="shared" si="942"/>
        <v>저수</v>
      </c>
      <c r="AG684" s="22" t="str">
        <f t="shared" si="943"/>
        <v>고수</v>
      </c>
      <c r="AH684" s="22" t="str">
        <f t="shared" si="944"/>
        <v>고수</v>
      </c>
      <c r="AI684" s="22" t="str">
        <f t="shared" si="945"/>
        <v>고수</v>
      </c>
      <c r="AJ684" s="22" t="str">
        <f t="shared" si="946"/>
        <v>고수</v>
      </c>
      <c r="AK684" s="22" t="str">
        <f t="shared" si="947"/>
        <v>고수</v>
      </c>
      <c r="AL684" s="22" t="str">
        <f t="shared" si="948"/>
        <v>1 : 5</v>
      </c>
      <c r="AM684" s="22">
        <f t="shared" si="949"/>
        <v>1</v>
      </c>
      <c r="AN684" s="22">
        <f t="shared" si="950"/>
        <v>5</v>
      </c>
      <c r="AO684" s="22">
        <f t="shared" si="951"/>
        <v>28</v>
      </c>
      <c r="AP684" s="22" t="str">
        <f t="shared" si="952"/>
        <v>X</v>
      </c>
      <c r="AQ684" s="22" t="str">
        <f t="shared" si="953"/>
        <v>X</v>
      </c>
      <c r="AR684" s="22" t="str">
        <f t="shared" si="954"/>
        <v>X</v>
      </c>
      <c r="AS684" s="22" t="str">
        <f t="shared" si="955"/>
        <v>X</v>
      </c>
      <c r="AT684" s="22" t="str">
        <f t="shared" si="956"/>
        <v>X</v>
      </c>
      <c r="AU684" s="22" t="str">
        <f t="shared" si="957"/>
        <v>X</v>
      </c>
      <c r="AV684" s="22" t="str">
        <f t="shared" si="958"/>
        <v>X</v>
      </c>
      <c r="AW684" s="22" t="str">
        <f t="shared" si="959"/>
        <v>X</v>
      </c>
      <c r="AX684" s="22" t="str">
        <f t="shared" si="960"/>
        <v>X</v>
      </c>
      <c r="AY684" s="22" t="str">
        <f t="shared" si="961"/>
        <v>O</v>
      </c>
      <c r="AZ684" s="22" t="str">
        <f t="shared" si="962"/>
        <v>O</v>
      </c>
      <c r="BA684" s="22" t="str">
        <f t="shared" si="963"/>
        <v>X</v>
      </c>
      <c r="BB684" s="22">
        <f t="shared" si="964"/>
        <v>2</v>
      </c>
      <c r="BC684" s="22" t="str">
        <f t="shared" ref="BC684" si="1024">VLOOKUP(N684,삼그룹,6,FALSE)</f>
        <v>2G</v>
      </c>
      <c r="BD684" s="22" t="str">
        <f t="shared" ref="BD684" si="1025">VLOOKUP(O684,삼그룹,6,FALSE)</f>
        <v>2G</v>
      </c>
      <c r="BE684" s="22" t="str">
        <f t="shared" ref="BE684" si="1026">VLOOKUP(P684,삼그룹,6,FALSE)</f>
        <v>2G</v>
      </c>
      <c r="BF684" s="22" t="str">
        <f t="shared" ref="BF684" si="1027">VLOOKUP(Q684,삼그룹,6,FALSE)</f>
        <v>2G</v>
      </c>
      <c r="BG684" s="22" t="str">
        <f t="shared" ref="BG684" si="1028">VLOOKUP(R684,삼그룹,6,FALSE)</f>
        <v>3G</v>
      </c>
      <c r="BH684" s="22" t="str">
        <f t="shared" ref="BH684" si="1029">VLOOKUP(S684,삼그룹,6,FALSE)</f>
        <v>3G</v>
      </c>
      <c r="BI684" s="22">
        <f t="shared" si="568"/>
        <v>0</v>
      </c>
      <c r="BJ684" s="22">
        <f t="shared" si="569"/>
        <v>4</v>
      </c>
      <c r="BK684" s="22">
        <f t="shared" si="570"/>
        <v>2</v>
      </c>
      <c r="BL684" s="22" t="str">
        <f t="shared" ref="BL684" si="1030">BI684&amp;BJ684&amp;BK684</f>
        <v>042</v>
      </c>
      <c r="BS684"/>
    </row>
    <row r="685" spans="2:71" ht="17">
      <c r="B685" s="16">
        <v>682</v>
      </c>
      <c r="C685" s="23" t="s">
        <v>1048</v>
      </c>
      <c r="N685" s="23">
        <v>17</v>
      </c>
      <c r="O685" s="23">
        <v>23</v>
      </c>
      <c r="P685" s="23">
        <v>27</v>
      </c>
      <c r="Q685" s="23">
        <v>35</v>
      </c>
      <c r="R685" s="23">
        <v>38</v>
      </c>
      <c r="S685" s="23">
        <v>43</v>
      </c>
      <c r="T685" s="23">
        <v>2</v>
      </c>
      <c r="U685" s="23">
        <f t="shared" si="932"/>
        <v>183</v>
      </c>
      <c r="W685" s="22" t="str">
        <f t="shared" si="933"/>
        <v>홀수</v>
      </c>
      <c r="X685" s="22" t="str">
        <f t="shared" si="934"/>
        <v>홀수</v>
      </c>
      <c r="Y685" s="22" t="str">
        <f t="shared" si="935"/>
        <v>홀수</v>
      </c>
      <c r="Z685" s="22" t="str">
        <f t="shared" si="936"/>
        <v>홀수</v>
      </c>
      <c r="AA685" s="23" t="str">
        <f t="shared" si="937"/>
        <v>짝수</v>
      </c>
      <c r="AB685" s="23" t="str">
        <f t="shared" si="938"/>
        <v>홀수</v>
      </c>
      <c r="AC685" s="22" t="str">
        <f t="shared" si="939"/>
        <v>5 : 1</v>
      </c>
      <c r="AD685" s="22">
        <f t="shared" si="940"/>
        <v>5</v>
      </c>
      <c r="AE685" s="22">
        <f t="shared" si="941"/>
        <v>1</v>
      </c>
      <c r="AF685" s="22" t="str">
        <f t="shared" si="942"/>
        <v>저수</v>
      </c>
      <c r="AG685" s="22" t="str">
        <f t="shared" si="943"/>
        <v>고수</v>
      </c>
      <c r="AH685" s="22" t="str">
        <f t="shared" si="944"/>
        <v>고수</v>
      </c>
      <c r="AI685" s="22" t="str">
        <f t="shared" si="945"/>
        <v>고수</v>
      </c>
      <c r="AJ685" s="22" t="str">
        <f t="shared" si="946"/>
        <v>고수</v>
      </c>
      <c r="AK685" s="22" t="str">
        <f t="shared" si="947"/>
        <v>고수</v>
      </c>
      <c r="AL685" s="22" t="str">
        <f t="shared" si="948"/>
        <v>1 : 5</v>
      </c>
      <c r="AM685" s="22">
        <f t="shared" si="949"/>
        <v>1</v>
      </c>
      <c r="AN685" s="22">
        <f t="shared" si="950"/>
        <v>5</v>
      </c>
      <c r="AO685" s="22">
        <f t="shared" si="951"/>
        <v>33</v>
      </c>
      <c r="AP685" s="22" t="str">
        <f t="shared" si="952"/>
        <v>O</v>
      </c>
      <c r="AQ685" s="22" t="str">
        <f t="shared" si="953"/>
        <v>X</v>
      </c>
      <c r="AR685" s="22" t="str">
        <f t="shared" si="954"/>
        <v>X</v>
      </c>
      <c r="AS685" s="22" t="str">
        <f t="shared" si="955"/>
        <v>X</v>
      </c>
      <c r="AT685" s="22" t="str">
        <f t="shared" si="956"/>
        <v>X</v>
      </c>
      <c r="AU685" s="22" t="str">
        <f t="shared" si="957"/>
        <v>X</v>
      </c>
      <c r="AV685" s="22" t="str">
        <f t="shared" si="958"/>
        <v>X</v>
      </c>
      <c r="AW685" s="22" t="str">
        <f t="shared" si="959"/>
        <v>O</v>
      </c>
      <c r="AX685" s="22" t="str">
        <f t="shared" si="960"/>
        <v>X</v>
      </c>
      <c r="AY685" s="22" t="str">
        <f t="shared" si="961"/>
        <v>X</v>
      </c>
      <c r="AZ685" s="22" t="str">
        <f t="shared" si="962"/>
        <v>X</v>
      </c>
      <c r="BA685" s="22" t="str">
        <f t="shared" si="963"/>
        <v>O</v>
      </c>
      <c r="BB685" s="22">
        <f t="shared" si="964"/>
        <v>3</v>
      </c>
      <c r="BC685" s="22" t="str">
        <f t="shared" ref="BC685" si="1031">VLOOKUP(N685,삼그룹,6,FALSE)</f>
        <v>2G</v>
      </c>
      <c r="BD685" s="22" t="str">
        <f t="shared" ref="BD685" si="1032">VLOOKUP(O685,삼그룹,6,FALSE)</f>
        <v>2G</v>
      </c>
      <c r="BE685" s="22" t="str">
        <f t="shared" ref="BE685" si="1033">VLOOKUP(P685,삼그룹,6,FALSE)</f>
        <v>2G</v>
      </c>
      <c r="BF685" s="22" t="str">
        <f t="shared" ref="BF685" si="1034">VLOOKUP(Q685,삼그룹,6,FALSE)</f>
        <v>3G</v>
      </c>
      <c r="BG685" s="22" t="str">
        <f t="shared" ref="BG685" si="1035">VLOOKUP(R685,삼그룹,6,FALSE)</f>
        <v>3G</v>
      </c>
      <c r="BH685" s="22" t="str">
        <f t="shared" ref="BH685" si="1036">VLOOKUP(S685,삼그룹,6,FALSE)</f>
        <v>3G</v>
      </c>
      <c r="BI685" s="22">
        <f t="shared" si="568"/>
        <v>0</v>
      </c>
      <c r="BJ685" s="22">
        <f t="shared" si="569"/>
        <v>3</v>
      </c>
      <c r="BK685" s="22">
        <f t="shared" si="570"/>
        <v>3</v>
      </c>
      <c r="BL685" s="22" t="str">
        <f t="shared" ref="BL685" si="1037">BI685&amp;BJ685&amp;BK685</f>
        <v>033</v>
      </c>
      <c r="BS685"/>
    </row>
    <row r="686" spans="2:71" ht="17">
      <c r="B686" s="16">
        <v>683</v>
      </c>
      <c r="C686" s="23" t="s">
        <v>1049</v>
      </c>
      <c r="N686" s="23">
        <v>6</v>
      </c>
      <c r="O686" s="23">
        <v>13</v>
      </c>
      <c r="P686" s="23">
        <v>20</v>
      </c>
      <c r="Q686" s="23">
        <v>27</v>
      </c>
      <c r="R686" s="23">
        <v>28</v>
      </c>
      <c r="S686" s="23">
        <v>40</v>
      </c>
      <c r="T686" s="23">
        <v>15</v>
      </c>
      <c r="U686" s="23">
        <f t="shared" si="932"/>
        <v>134</v>
      </c>
      <c r="W686" s="22" t="str">
        <f t="shared" si="933"/>
        <v>짝수</v>
      </c>
      <c r="X686" s="22" t="str">
        <f t="shared" si="934"/>
        <v>홀수</v>
      </c>
      <c r="Y686" s="22" t="str">
        <f t="shared" si="935"/>
        <v>짝수</v>
      </c>
      <c r="Z686" s="22" t="str">
        <f t="shared" si="936"/>
        <v>홀수</v>
      </c>
      <c r="AA686" s="23" t="str">
        <f t="shared" si="937"/>
        <v>짝수</v>
      </c>
      <c r="AB686" s="23" t="str">
        <f t="shared" si="938"/>
        <v>짝수</v>
      </c>
      <c r="AC686" s="22" t="str">
        <f t="shared" si="939"/>
        <v>2 : 4</v>
      </c>
      <c r="AD686" s="22">
        <f t="shared" si="940"/>
        <v>2</v>
      </c>
      <c r="AE686" s="22">
        <f t="shared" si="941"/>
        <v>4</v>
      </c>
      <c r="AF686" s="22" t="str">
        <f t="shared" si="942"/>
        <v>저수</v>
      </c>
      <c r="AG686" s="22" t="str">
        <f t="shared" si="943"/>
        <v>저수</v>
      </c>
      <c r="AH686" s="22" t="str">
        <f t="shared" si="944"/>
        <v>저수</v>
      </c>
      <c r="AI686" s="22" t="str">
        <f t="shared" si="945"/>
        <v>고수</v>
      </c>
      <c r="AJ686" s="22" t="str">
        <f t="shared" si="946"/>
        <v>고수</v>
      </c>
      <c r="AK686" s="22" t="str">
        <f t="shared" si="947"/>
        <v>고수</v>
      </c>
      <c r="AL686" s="22" t="str">
        <f t="shared" si="948"/>
        <v>3 : 3</v>
      </c>
      <c r="AM686" s="22">
        <f t="shared" si="949"/>
        <v>3</v>
      </c>
      <c r="AN686" s="22">
        <f t="shared" si="950"/>
        <v>3</v>
      </c>
      <c r="AO686" s="22">
        <f t="shared" si="951"/>
        <v>24</v>
      </c>
      <c r="AP686" s="22" t="str">
        <f t="shared" si="952"/>
        <v>X</v>
      </c>
      <c r="AQ686" s="22" t="str">
        <f t="shared" si="953"/>
        <v>O</v>
      </c>
      <c r="AR686" s="22" t="str">
        <f t="shared" si="954"/>
        <v>X</v>
      </c>
      <c r="AS686" s="22" t="str">
        <f t="shared" si="955"/>
        <v>X</v>
      </c>
      <c r="AT686" s="22" t="str">
        <f t="shared" si="956"/>
        <v>X</v>
      </c>
      <c r="AU686" s="22" t="str">
        <f t="shared" si="957"/>
        <v>X</v>
      </c>
      <c r="AV686" s="22" t="str">
        <f t="shared" si="958"/>
        <v>X</v>
      </c>
      <c r="AW686" s="22" t="str">
        <f t="shared" si="959"/>
        <v>X</v>
      </c>
      <c r="AX686" s="22" t="str">
        <f t="shared" si="960"/>
        <v>X</v>
      </c>
      <c r="AY686" s="22" t="str">
        <f t="shared" si="961"/>
        <v>X</v>
      </c>
      <c r="AZ686" s="22" t="str">
        <f t="shared" si="962"/>
        <v>X</v>
      </c>
      <c r="BA686" s="22" t="str">
        <f t="shared" si="963"/>
        <v>X</v>
      </c>
      <c r="BB686" s="22">
        <f t="shared" si="964"/>
        <v>1</v>
      </c>
      <c r="BC686" s="22" t="str">
        <f t="shared" ref="BC686" si="1038">VLOOKUP(N686,삼그룹,6,FALSE)</f>
        <v>1G</v>
      </c>
      <c r="BD686" s="22" t="str">
        <f t="shared" ref="BD686" si="1039">VLOOKUP(O686,삼그룹,6,FALSE)</f>
        <v>1G</v>
      </c>
      <c r="BE686" s="22" t="str">
        <f t="shared" ref="BE686" si="1040">VLOOKUP(P686,삼그룹,6,FALSE)</f>
        <v>2G</v>
      </c>
      <c r="BF686" s="22" t="str">
        <f t="shared" ref="BF686" si="1041">VLOOKUP(Q686,삼그룹,6,FALSE)</f>
        <v>2G</v>
      </c>
      <c r="BG686" s="22" t="str">
        <f t="shared" ref="BG686" si="1042">VLOOKUP(R686,삼그룹,6,FALSE)</f>
        <v>2G</v>
      </c>
      <c r="BH686" s="22" t="str">
        <f t="shared" ref="BH686" si="1043">VLOOKUP(S686,삼그룹,6,FALSE)</f>
        <v>3G</v>
      </c>
      <c r="BI686" s="22">
        <f t="shared" si="568"/>
        <v>2</v>
      </c>
      <c r="BJ686" s="22">
        <f t="shared" si="569"/>
        <v>3</v>
      </c>
      <c r="BK686" s="22">
        <f t="shared" si="570"/>
        <v>1</v>
      </c>
      <c r="BL686" s="22" t="str">
        <f t="shared" ref="BL686" si="1044">BI686&amp;BJ686&amp;BK686</f>
        <v>231</v>
      </c>
      <c r="BS686"/>
    </row>
    <row r="687" spans="2:71" ht="17">
      <c r="B687" s="16">
        <v>684</v>
      </c>
      <c r="C687" s="23" t="s">
        <v>1050</v>
      </c>
      <c r="N687" s="23">
        <v>1</v>
      </c>
      <c r="O687" s="23">
        <v>11</v>
      </c>
      <c r="P687" s="23">
        <v>15</v>
      </c>
      <c r="Q687" s="23">
        <v>17</v>
      </c>
      <c r="R687" s="23">
        <v>25</v>
      </c>
      <c r="S687" s="23">
        <v>39</v>
      </c>
      <c r="T687" s="23">
        <v>40</v>
      </c>
      <c r="U687" s="23">
        <f t="shared" si="932"/>
        <v>108</v>
      </c>
      <c r="W687" s="22" t="str">
        <f t="shared" si="933"/>
        <v>홀수</v>
      </c>
      <c r="X687" s="22" t="str">
        <f t="shared" si="934"/>
        <v>홀수</v>
      </c>
      <c r="Y687" s="22" t="str">
        <f t="shared" si="935"/>
        <v>홀수</v>
      </c>
      <c r="Z687" s="22" t="str">
        <f t="shared" si="936"/>
        <v>홀수</v>
      </c>
      <c r="AA687" s="23" t="str">
        <f t="shared" si="937"/>
        <v>홀수</v>
      </c>
      <c r="AB687" s="23" t="str">
        <f t="shared" si="938"/>
        <v>홀수</v>
      </c>
      <c r="AC687" s="22" t="str">
        <f t="shared" si="939"/>
        <v>6 : 0</v>
      </c>
      <c r="AD687" s="22">
        <f t="shared" si="940"/>
        <v>6</v>
      </c>
      <c r="AE687" s="22">
        <f t="shared" si="941"/>
        <v>0</v>
      </c>
      <c r="AF687" s="22" t="str">
        <f t="shared" si="942"/>
        <v>저수</v>
      </c>
      <c r="AG687" s="22" t="str">
        <f t="shared" si="943"/>
        <v>저수</v>
      </c>
      <c r="AH687" s="22" t="str">
        <f t="shared" si="944"/>
        <v>저수</v>
      </c>
      <c r="AI687" s="22" t="str">
        <f t="shared" si="945"/>
        <v>저수</v>
      </c>
      <c r="AJ687" s="22" t="str">
        <f t="shared" si="946"/>
        <v>고수</v>
      </c>
      <c r="AK687" s="22" t="str">
        <f t="shared" si="947"/>
        <v>고수</v>
      </c>
      <c r="AL687" s="22" t="str">
        <f t="shared" si="948"/>
        <v>4 : 2</v>
      </c>
      <c r="AM687" s="22">
        <f t="shared" si="949"/>
        <v>4</v>
      </c>
      <c r="AN687" s="22">
        <f t="shared" si="950"/>
        <v>2</v>
      </c>
      <c r="AO687" s="22">
        <f t="shared" si="951"/>
        <v>28</v>
      </c>
      <c r="AP687" s="22" t="str">
        <f t="shared" si="952"/>
        <v>X</v>
      </c>
      <c r="AQ687" s="22" t="str">
        <f t="shared" si="953"/>
        <v>O</v>
      </c>
      <c r="AR687" s="22" t="str">
        <f t="shared" si="954"/>
        <v>X</v>
      </c>
      <c r="AS687" s="22" t="str">
        <f t="shared" si="955"/>
        <v>O</v>
      </c>
      <c r="AT687" s="22" t="str">
        <f t="shared" si="956"/>
        <v>X</v>
      </c>
      <c r="AU687" s="22" t="str">
        <f t="shared" si="957"/>
        <v>X</v>
      </c>
      <c r="AV687" s="22" t="str">
        <f t="shared" si="958"/>
        <v>X</v>
      </c>
      <c r="AW687" s="22" t="str">
        <f t="shared" si="959"/>
        <v>X</v>
      </c>
      <c r="AX687" s="22" t="str">
        <f t="shared" si="960"/>
        <v>X</v>
      </c>
      <c r="AY687" s="22" t="str">
        <f t="shared" si="961"/>
        <v>X</v>
      </c>
      <c r="AZ687" s="22" t="str">
        <f t="shared" si="962"/>
        <v>X</v>
      </c>
      <c r="BA687" s="22" t="str">
        <f t="shared" si="963"/>
        <v>X</v>
      </c>
      <c r="BB687" s="22">
        <f t="shared" si="964"/>
        <v>2</v>
      </c>
      <c r="BC687" s="22" t="str">
        <f t="shared" ref="BC687" si="1045">VLOOKUP(N687,삼그룹,6,FALSE)</f>
        <v>1G</v>
      </c>
      <c r="BD687" s="22" t="str">
        <f t="shared" ref="BD687" si="1046">VLOOKUP(O687,삼그룹,6,FALSE)</f>
        <v>1G</v>
      </c>
      <c r="BE687" s="22" t="str">
        <f t="shared" ref="BE687" si="1047">VLOOKUP(P687,삼그룹,6,FALSE)</f>
        <v>1G</v>
      </c>
      <c r="BF687" s="22" t="str">
        <f t="shared" ref="BF687" si="1048">VLOOKUP(Q687,삼그룹,6,FALSE)</f>
        <v>2G</v>
      </c>
      <c r="BG687" s="22" t="str">
        <f t="shared" ref="BG687" si="1049">VLOOKUP(R687,삼그룹,6,FALSE)</f>
        <v>2G</v>
      </c>
      <c r="BH687" s="22" t="str">
        <f t="shared" ref="BH687" si="1050">VLOOKUP(S687,삼그룹,6,FALSE)</f>
        <v>3G</v>
      </c>
      <c r="BI687" s="22">
        <f t="shared" si="568"/>
        <v>3</v>
      </c>
      <c r="BJ687" s="22">
        <f t="shared" si="569"/>
        <v>2</v>
      </c>
      <c r="BK687" s="22">
        <f t="shared" si="570"/>
        <v>1</v>
      </c>
      <c r="BL687" s="22" t="str">
        <f t="shared" ref="BL687" si="1051">BI687&amp;BJ687&amp;BK687</f>
        <v>321</v>
      </c>
      <c r="BS687"/>
    </row>
    <row r="688" spans="2:71" ht="17">
      <c r="B688" s="16">
        <v>685</v>
      </c>
      <c r="C688" s="23" t="s">
        <v>1051</v>
      </c>
      <c r="N688" s="23">
        <v>6</v>
      </c>
      <c r="O688" s="23">
        <v>7</v>
      </c>
      <c r="P688" s="23">
        <v>12</v>
      </c>
      <c r="Q688" s="23">
        <v>28</v>
      </c>
      <c r="R688" s="23">
        <v>38</v>
      </c>
      <c r="S688" s="23">
        <v>40</v>
      </c>
      <c r="T688" s="23">
        <v>18</v>
      </c>
      <c r="U688" s="23">
        <f t="shared" si="932"/>
        <v>131</v>
      </c>
      <c r="W688" s="22" t="str">
        <f t="shared" si="933"/>
        <v>짝수</v>
      </c>
      <c r="X688" s="22" t="str">
        <f t="shared" si="934"/>
        <v>홀수</v>
      </c>
      <c r="Y688" s="22" t="str">
        <f t="shared" si="935"/>
        <v>짝수</v>
      </c>
      <c r="Z688" s="22" t="str">
        <f t="shared" si="936"/>
        <v>짝수</v>
      </c>
      <c r="AA688" s="23" t="str">
        <f t="shared" si="937"/>
        <v>짝수</v>
      </c>
      <c r="AB688" s="23" t="str">
        <f t="shared" si="938"/>
        <v>짝수</v>
      </c>
      <c r="AC688" s="22" t="str">
        <f t="shared" si="939"/>
        <v>1 : 5</v>
      </c>
      <c r="AD688" s="22">
        <f t="shared" si="940"/>
        <v>1</v>
      </c>
      <c r="AE688" s="22">
        <f t="shared" si="941"/>
        <v>5</v>
      </c>
      <c r="AF688" s="22" t="str">
        <f t="shared" si="942"/>
        <v>저수</v>
      </c>
      <c r="AG688" s="22" t="str">
        <f t="shared" si="943"/>
        <v>저수</v>
      </c>
      <c r="AH688" s="22" t="str">
        <f t="shared" si="944"/>
        <v>저수</v>
      </c>
      <c r="AI688" s="22" t="str">
        <f t="shared" si="945"/>
        <v>고수</v>
      </c>
      <c r="AJ688" s="22" t="str">
        <f t="shared" si="946"/>
        <v>고수</v>
      </c>
      <c r="AK688" s="22" t="str">
        <f t="shared" si="947"/>
        <v>고수</v>
      </c>
      <c r="AL688" s="22" t="str">
        <f t="shared" si="948"/>
        <v>3 : 3</v>
      </c>
      <c r="AM688" s="22">
        <f t="shared" si="949"/>
        <v>3</v>
      </c>
      <c r="AN688" s="22">
        <f t="shared" si="950"/>
        <v>3</v>
      </c>
      <c r="AO688" s="22">
        <f t="shared" si="951"/>
        <v>31</v>
      </c>
      <c r="AP688" s="22" t="str">
        <f t="shared" si="952"/>
        <v>X</v>
      </c>
      <c r="AQ688" s="22" t="str">
        <f t="shared" si="953"/>
        <v>O</v>
      </c>
      <c r="AR688" s="22" t="str">
        <f t="shared" si="954"/>
        <v>X</v>
      </c>
      <c r="AS688" s="22" t="str">
        <f t="shared" si="955"/>
        <v>X</v>
      </c>
      <c r="AT688" s="22" t="str">
        <f t="shared" si="956"/>
        <v>X</v>
      </c>
      <c r="AU688" s="22" t="str">
        <f t="shared" si="957"/>
        <v>X</v>
      </c>
      <c r="AV688" s="22" t="str">
        <f t="shared" si="958"/>
        <v>X</v>
      </c>
      <c r="AW688" s="22" t="str">
        <f t="shared" si="959"/>
        <v>X</v>
      </c>
      <c r="AX688" s="22" t="str">
        <f t="shared" si="960"/>
        <v>X</v>
      </c>
      <c r="AY688" s="22" t="str">
        <f t="shared" si="961"/>
        <v>X</v>
      </c>
      <c r="AZ688" s="22" t="str">
        <f t="shared" si="962"/>
        <v>X</v>
      </c>
      <c r="BA688" s="22" t="str">
        <f t="shared" si="963"/>
        <v>X</v>
      </c>
      <c r="BB688" s="22">
        <f t="shared" si="964"/>
        <v>1</v>
      </c>
      <c r="BC688" s="22" t="str">
        <f t="shared" ref="BC688" si="1052">VLOOKUP(N688,삼그룹,6,FALSE)</f>
        <v>1G</v>
      </c>
      <c r="BD688" s="22" t="str">
        <f t="shared" ref="BD688" si="1053">VLOOKUP(O688,삼그룹,6,FALSE)</f>
        <v>1G</v>
      </c>
      <c r="BE688" s="22" t="str">
        <f t="shared" ref="BE688" si="1054">VLOOKUP(P688,삼그룹,6,FALSE)</f>
        <v>1G</v>
      </c>
      <c r="BF688" s="22" t="str">
        <f t="shared" ref="BF688" si="1055">VLOOKUP(Q688,삼그룹,6,FALSE)</f>
        <v>2G</v>
      </c>
      <c r="BG688" s="22" t="str">
        <f t="shared" ref="BG688" si="1056">VLOOKUP(R688,삼그룹,6,FALSE)</f>
        <v>3G</v>
      </c>
      <c r="BH688" s="22" t="str">
        <f t="shared" ref="BH688" si="1057">VLOOKUP(S688,삼그룹,6,FALSE)</f>
        <v>3G</v>
      </c>
      <c r="BI688" s="22">
        <f t="shared" si="568"/>
        <v>3</v>
      </c>
      <c r="BJ688" s="22">
        <f t="shared" si="569"/>
        <v>1</v>
      </c>
      <c r="BK688" s="22">
        <f t="shared" si="570"/>
        <v>2</v>
      </c>
      <c r="BL688" s="22" t="str">
        <f t="shared" ref="BL688" si="1058">BI688&amp;BJ688&amp;BK688</f>
        <v>312</v>
      </c>
      <c r="BS688"/>
    </row>
    <row r="689" spans="2:71" ht="17">
      <c r="B689" s="16">
        <v>686</v>
      </c>
      <c r="C689" s="23" t="s">
        <v>1052</v>
      </c>
      <c r="N689" s="23">
        <v>7</v>
      </c>
      <c r="O689" s="23">
        <v>12</v>
      </c>
      <c r="P689" s="23">
        <v>15</v>
      </c>
      <c r="Q689" s="23">
        <v>24</v>
      </c>
      <c r="R689" s="23">
        <v>25</v>
      </c>
      <c r="S689" s="23">
        <v>43</v>
      </c>
      <c r="T689" s="23">
        <v>13</v>
      </c>
      <c r="U689" s="23">
        <f t="shared" si="932"/>
        <v>126</v>
      </c>
      <c r="W689" s="22" t="str">
        <f t="shared" si="933"/>
        <v>홀수</v>
      </c>
      <c r="X689" s="22" t="str">
        <f t="shared" si="934"/>
        <v>짝수</v>
      </c>
      <c r="Y689" s="22" t="str">
        <f t="shared" si="935"/>
        <v>홀수</v>
      </c>
      <c r="Z689" s="22" t="str">
        <f t="shared" si="936"/>
        <v>짝수</v>
      </c>
      <c r="AA689" s="23" t="str">
        <f t="shared" si="937"/>
        <v>홀수</v>
      </c>
      <c r="AB689" s="23" t="str">
        <f t="shared" si="938"/>
        <v>홀수</v>
      </c>
      <c r="AC689" s="22" t="str">
        <f t="shared" si="939"/>
        <v>4 : 2</v>
      </c>
      <c r="AD689" s="22">
        <f t="shared" si="940"/>
        <v>4</v>
      </c>
      <c r="AE689" s="22">
        <f t="shared" si="941"/>
        <v>2</v>
      </c>
      <c r="AF689" s="22" t="str">
        <f t="shared" si="942"/>
        <v>저수</v>
      </c>
      <c r="AG689" s="22" t="str">
        <f t="shared" si="943"/>
        <v>저수</v>
      </c>
      <c r="AH689" s="22" t="str">
        <f t="shared" si="944"/>
        <v>저수</v>
      </c>
      <c r="AI689" s="22" t="str">
        <f t="shared" si="945"/>
        <v>고수</v>
      </c>
      <c r="AJ689" s="22" t="str">
        <f t="shared" si="946"/>
        <v>고수</v>
      </c>
      <c r="AK689" s="22" t="str">
        <f t="shared" si="947"/>
        <v>고수</v>
      </c>
      <c r="AL689" s="22" t="str">
        <f t="shared" si="948"/>
        <v>3 : 3</v>
      </c>
      <c r="AM689" s="22">
        <f t="shared" si="949"/>
        <v>3</v>
      </c>
      <c r="AN689" s="22">
        <f t="shared" si="950"/>
        <v>3</v>
      </c>
      <c r="AO689" s="22">
        <f t="shared" si="951"/>
        <v>26</v>
      </c>
      <c r="AP689" s="22" t="str">
        <f t="shared" si="952"/>
        <v>O</v>
      </c>
      <c r="AQ689" s="22" t="str">
        <f t="shared" si="953"/>
        <v>X</v>
      </c>
      <c r="AR689" s="22" t="str">
        <f t="shared" si="954"/>
        <v>X</v>
      </c>
      <c r="AS689" s="22" t="str">
        <f t="shared" si="955"/>
        <v>X</v>
      </c>
      <c r="AT689" s="22" t="str">
        <f t="shared" si="956"/>
        <v>X</v>
      </c>
      <c r="AU689" s="22" t="str">
        <f t="shared" si="957"/>
        <v>X</v>
      </c>
      <c r="AV689" s="22" t="str">
        <f t="shared" si="958"/>
        <v>X</v>
      </c>
      <c r="AW689" s="22" t="str">
        <f t="shared" si="959"/>
        <v>X</v>
      </c>
      <c r="AX689" s="22" t="str">
        <f t="shared" si="960"/>
        <v>X</v>
      </c>
      <c r="AY689" s="22" t="str">
        <f t="shared" si="961"/>
        <v>X</v>
      </c>
      <c r="AZ689" s="22" t="str">
        <f t="shared" si="962"/>
        <v>X</v>
      </c>
      <c r="BA689" s="22" t="str">
        <f t="shared" si="963"/>
        <v>O</v>
      </c>
      <c r="BB689" s="22">
        <f t="shared" si="964"/>
        <v>2</v>
      </c>
      <c r="BC689" s="22" t="str">
        <f t="shared" ref="BC689:BC690" si="1059">VLOOKUP(N689,삼그룹,6,FALSE)</f>
        <v>1G</v>
      </c>
      <c r="BD689" s="22" t="str">
        <f t="shared" ref="BD689:BD690" si="1060">VLOOKUP(O689,삼그룹,6,FALSE)</f>
        <v>1G</v>
      </c>
      <c r="BE689" s="22" t="str">
        <f t="shared" ref="BE689:BE690" si="1061">VLOOKUP(P689,삼그룹,6,FALSE)</f>
        <v>1G</v>
      </c>
      <c r="BF689" s="22" t="str">
        <f t="shared" ref="BF689:BF690" si="1062">VLOOKUP(Q689,삼그룹,6,FALSE)</f>
        <v>2G</v>
      </c>
      <c r="BG689" s="22" t="str">
        <f t="shared" ref="BG689:BG690" si="1063">VLOOKUP(R689,삼그룹,6,FALSE)</f>
        <v>2G</v>
      </c>
      <c r="BH689" s="22" t="str">
        <f t="shared" ref="BH689:BH690" si="1064">VLOOKUP(S689,삼그룹,6,FALSE)</f>
        <v>3G</v>
      </c>
      <c r="BI689" s="22">
        <f t="shared" si="568"/>
        <v>3</v>
      </c>
      <c r="BJ689" s="22">
        <f t="shared" si="569"/>
        <v>2</v>
      </c>
      <c r="BK689" s="22">
        <f t="shared" si="570"/>
        <v>1</v>
      </c>
      <c r="BL689" s="22" t="str">
        <f t="shared" ref="BL689:BL690" si="1065">BI689&amp;BJ689&amp;BK689</f>
        <v>321</v>
      </c>
      <c r="BS689"/>
    </row>
    <row r="690" spans="2:71" ht="17">
      <c r="B690" s="16">
        <v>687</v>
      </c>
      <c r="C690" s="23" t="s">
        <v>1053</v>
      </c>
      <c r="N690" s="23">
        <v>1</v>
      </c>
      <c r="O690" s="23">
        <v>8</v>
      </c>
      <c r="P690" s="23">
        <v>10</v>
      </c>
      <c r="Q690" s="23">
        <v>13</v>
      </c>
      <c r="R690" s="23">
        <v>28</v>
      </c>
      <c r="S690" s="23">
        <v>42</v>
      </c>
      <c r="T690" s="23">
        <v>45</v>
      </c>
      <c r="U690" s="23">
        <f t="shared" si="932"/>
        <v>102</v>
      </c>
      <c r="W690" s="22" t="str">
        <f t="shared" si="933"/>
        <v>홀수</v>
      </c>
      <c r="X690" s="22" t="str">
        <f t="shared" si="934"/>
        <v>짝수</v>
      </c>
      <c r="Y690" s="22" t="str">
        <f t="shared" si="935"/>
        <v>짝수</v>
      </c>
      <c r="Z690" s="22" t="str">
        <f t="shared" si="936"/>
        <v>홀수</v>
      </c>
      <c r="AA690" s="23" t="str">
        <f t="shared" si="937"/>
        <v>짝수</v>
      </c>
      <c r="AB690" s="23" t="str">
        <f t="shared" si="938"/>
        <v>짝수</v>
      </c>
      <c r="AC690" s="22" t="str">
        <f t="shared" si="939"/>
        <v>2 : 4</v>
      </c>
      <c r="AD690" s="22">
        <f t="shared" si="940"/>
        <v>2</v>
      </c>
      <c r="AE690" s="22">
        <f t="shared" si="941"/>
        <v>4</v>
      </c>
      <c r="AF690" s="22" t="str">
        <f t="shared" si="942"/>
        <v>저수</v>
      </c>
      <c r="AG690" s="22" t="str">
        <f t="shared" si="943"/>
        <v>저수</v>
      </c>
      <c r="AH690" s="22" t="str">
        <f t="shared" si="944"/>
        <v>저수</v>
      </c>
      <c r="AI690" s="22" t="str">
        <f t="shared" si="945"/>
        <v>저수</v>
      </c>
      <c r="AJ690" s="22" t="str">
        <f t="shared" si="946"/>
        <v>고수</v>
      </c>
      <c r="AK690" s="22" t="str">
        <f t="shared" si="947"/>
        <v>고수</v>
      </c>
      <c r="AL690" s="22" t="str">
        <f t="shared" si="948"/>
        <v>4 : 2</v>
      </c>
      <c r="AM690" s="22">
        <f t="shared" si="949"/>
        <v>4</v>
      </c>
      <c r="AN690" s="22">
        <f t="shared" si="950"/>
        <v>2</v>
      </c>
      <c r="AO690" s="22">
        <f t="shared" si="951"/>
        <v>22</v>
      </c>
      <c r="AP690" s="22" t="str">
        <f t="shared" si="952"/>
        <v>X</v>
      </c>
      <c r="AQ690" s="22" t="str">
        <f t="shared" si="953"/>
        <v>X</v>
      </c>
      <c r="AR690" s="22" t="str">
        <f t="shared" si="954"/>
        <v>X</v>
      </c>
      <c r="AS690" s="22" t="str">
        <f t="shared" si="955"/>
        <v>O</v>
      </c>
      <c r="AT690" s="22" t="str">
        <f t="shared" si="956"/>
        <v>X</v>
      </c>
      <c r="AU690" s="22" t="str">
        <f t="shared" si="957"/>
        <v>X</v>
      </c>
      <c r="AV690" s="22" t="str">
        <f t="shared" si="958"/>
        <v>X</v>
      </c>
      <c r="AW690" s="22" t="str">
        <f t="shared" si="959"/>
        <v>X</v>
      </c>
      <c r="AX690" s="22" t="str">
        <f t="shared" si="960"/>
        <v>X</v>
      </c>
      <c r="AY690" s="22" t="str">
        <f t="shared" si="961"/>
        <v>X</v>
      </c>
      <c r="AZ690" s="22" t="str">
        <f t="shared" si="962"/>
        <v>X</v>
      </c>
      <c r="BA690" s="22" t="str">
        <f t="shared" si="963"/>
        <v>X</v>
      </c>
      <c r="BB690" s="22">
        <f t="shared" si="964"/>
        <v>1</v>
      </c>
      <c r="BC690" s="22" t="str">
        <f t="shared" si="1059"/>
        <v>1G</v>
      </c>
      <c r="BD690" s="22" t="str">
        <f t="shared" si="1060"/>
        <v>1G</v>
      </c>
      <c r="BE690" s="22" t="str">
        <f t="shared" si="1061"/>
        <v>1G</v>
      </c>
      <c r="BF690" s="22" t="str">
        <f t="shared" si="1062"/>
        <v>1G</v>
      </c>
      <c r="BG690" s="22" t="str">
        <f t="shared" si="1063"/>
        <v>2G</v>
      </c>
      <c r="BH690" s="22" t="str">
        <f t="shared" si="1064"/>
        <v>3G</v>
      </c>
      <c r="BI690" s="22">
        <f t="shared" si="568"/>
        <v>4</v>
      </c>
      <c r="BJ690" s="22">
        <f t="shared" si="569"/>
        <v>1</v>
      </c>
      <c r="BK690" s="22">
        <f t="shared" si="570"/>
        <v>1</v>
      </c>
      <c r="BL690" s="22" t="str">
        <f t="shared" si="1065"/>
        <v>411</v>
      </c>
      <c r="BS690"/>
    </row>
    <row r="691" spans="2:71" ht="17">
      <c r="B691" s="16">
        <v>688</v>
      </c>
      <c r="C691" s="23" t="s">
        <v>1054</v>
      </c>
      <c r="N691" s="23">
        <v>5</v>
      </c>
      <c r="O691" s="23">
        <v>15</v>
      </c>
      <c r="P691" s="23">
        <v>22</v>
      </c>
      <c r="Q691" s="23">
        <v>23</v>
      </c>
      <c r="R691" s="23">
        <v>34</v>
      </c>
      <c r="S691" s="23">
        <v>35</v>
      </c>
      <c r="T691" s="23">
        <v>2</v>
      </c>
      <c r="U691" s="23">
        <f t="shared" si="932"/>
        <v>134</v>
      </c>
      <c r="W691" s="22" t="str">
        <f t="shared" si="933"/>
        <v>홀수</v>
      </c>
      <c r="X691" s="22" t="str">
        <f t="shared" si="934"/>
        <v>홀수</v>
      </c>
      <c r="Y691" s="22" t="str">
        <f t="shared" si="935"/>
        <v>짝수</v>
      </c>
      <c r="Z691" s="22" t="str">
        <f t="shared" si="936"/>
        <v>홀수</v>
      </c>
      <c r="AA691" s="23" t="str">
        <f t="shared" si="937"/>
        <v>짝수</v>
      </c>
      <c r="AB691" s="23" t="str">
        <f t="shared" si="938"/>
        <v>홀수</v>
      </c>
      <c r="AC691" s="22" t="str">
        <f t="shared" si="939"/>
        <v>4 : 2</v>
      </c>
      <c r="AD691" s="22">
        <f t="shared" si="940"/>
        <v>4</v>
      </c>
      <c r="AE691" s="22">
        <f t="shared" si="941"/>
        <v>2</v>
      </c>
      <c r="AF691" s="22" t="str">
        <f t="shared" si="942"/>
        <v>저수</v>
      </c>
      <c r="AG691" s="22" t="str">
        <f t="shared" si="943"/>
        <v>저수</v>
      </c>
      <c r="AH691" s="22" t="str">
        <f t="shared" si="944"/>
        <v>저수</v>
      </c>
      <c r="AI691" s="22" t="str">
        <f t="shared" si="945"/>
        <v>고수</v>
      </c>
      <c r="AJ691" s="22" t="str">
        <f t="shared" si="946"/>
        <v>고수</v>
      </c>
      <c r="AK691" s="22" t="str">
        <f t="shared" si="947"/>
        <v>고수</v>
      </c>
      <c r="AL691" s="22" t="str">
        <f t="shared" si="948"/>
        <v>3 : 3</v>
      </c>
      <c r="AM691" s="22">
        <f t="shared" si="949"/>
        <v>3</v>
      </c>
      <c r="AN691" s="22">
        <f t="shared" si="950"/>
        <v>3</v>
      </c>
      <c r="AO691" s="22">
        <f t="shared" si="951"/>
        <v>24</v>
      </c>
      <c r="AP691" s="22" t="str">
        <f t="shared" si="952"/>
        <v>O</v>
      </c>
      <c r="AQ691" s="22" t="str">
        <f t="shared" si="953"/>
        <v>X</v>
      </c>
      <c r="AR691" s="22" t="str">
        <f t="shared" si="954"/>
        <v>X</v>
      </c>
      <c r="AS691" s="22" t="str">
        <f t="shared" si="955"/>
        <v>X</v>
      </c>
      <c r="AT691" s="22" t="str">
        <f t="shared" si="956"/>
        <v>X</v>
      </c>
      <c r="AU691" s="22" t="str">
        <f t="shared" si="957"/>
        <v>X</v>
      </c>
      <c r="AV691" s="22" t="str">
        <f t="shared" si="958"/>
        <v>X</v>
      </c>
      <c r="AW691" s="22" t="str">
        <f t="shared" si="959"/>
        <v>X</v>
      </c>
      <c r="AX691" s="22" t="str">
        <f t="shared" si="960"/>
        <v>X</v>
      </c>
      <c r="AY691" s="22" t="str">
        <f t="shared" si="961"/>
        <v>O</v>
      </c>
      <c r="AZ691" s="22" t="str">
        <f t="shared" si="962"/>
        <v>X</v>
      </c>
      <c r="BA691" s="22" t="str">
        <f t="shared" si="963"/>
        <v>X</v>
      </c>
      <c r="BB691" s="22">
        <f t="shared" si="964"/>
        <v>2</v>
      </c>
      <c r="BC691" s="22" t="str">
        <f t="shared" ref="BC691" si="1066">VLOOKUP(N691,삼그룹,6,FALSE)</f>
        <v>1G</v>
      </c>
      <c r="BD691" s="22" t="str">
        <f t="shared" ref="BD691" si="1067">VLOOKUP(O691,삼그룹,6,FALSE)</f>
        <v>1G</v>
      </c>
      <c r="BE691" s="22" t="str">
        <f t="shared" ref="BE691" si="1068">VLOOKUP(P691,삼그룹,6,FALSE)</f>
        <v>2G</v>
      </c>
      <c r="BF691" s="22" t="str">
        <f t="shared" ref="BF691" si="1069">VLOOKUP(Q691,삼그룹,6,FALSE)</f>
        <v>2G</v>
      </c>
      <c r="BG691" s="22" t="str">
        <f t="shared" ref="BG691" si="1070">VLOOKUP(R691,삼그룹,6,FALSE)</f>
        <v>3G</v>
      </c>
      <c r="BH691" s="22" t="str">
        <f t="shared" ref="BH691" si="1071">VLOOKUP(S691,삼그룹,6,FALSE)</f>
        <v>3G</v>
      </c>
      <c r="BI691" s="22">
        <f t="shared" si="568"/>
        <v>2</v>
      </c>
      <c r="BJ691" s="22">
        <f t="shared" si="569"/>
        <v>2</v>
      </c>
      <c r="BK691" s="22">
        <f t="shared" si="570"/>
        <v>2</v>
      </c>
      <c r="BL691" s="22" t="str">
        <f t="shared" ref="BL691" si="1072">BI691&amp;BJ691&amp;BK691</f>
        <v>222</v>
      </c>
      <c r="BS691"/>
    </row>
    <row r="692" spans="2:71" ht="17">
      <c r="B692" s="16">
        <v>689</v>
      </c>
      <c r="C692" s="23" t="s">
        <v>1055</v>
      </c>
      <c r="N692" s="23">
        <v>7</v>
      </c>
      <c r="O692" s="23">
        <v>17</v>
      </c>
      <c r="P692" s="23">
        <v>19</v>
      </c>
      <c r="Q692" s="23">
        <v>30</v>
      </c>
      <c r="R692" s="23">
        <v>36</v>
      </c>
      <c r="S692" s="23">
        <v>38</v>
      </c>
      <c r="T692" s="23">
        <v>34</v>
      </c>
      <c r="U692" s="23">
        <f t="shared" si="932"/>
        <v>147</v>
      </c>
      <c r="W692" s="22" t="str">
        <f t="shared" si="933"/>
        <v>홀수</v>
      </c>
      <c r="X692" s="22" t="str">
        <f t="shared" si="934"/>
        <v>홀수</v>
      </c>
      <c r="Y692" s="22" t="str">
        <f t="shared" si="935"/>
        <v>홀수</v>
      </c>
      <c r="Z692" s="22" t="str">
        <f t="shared" si="936"/>
        <v>짝수</v>
      </c>
      <c r="AA692" s="23" t="str">
        <f t="shared" si="937"/>
        <v>짝수</v>
      </c>
      <c r="AB692" s="23" t="str">
        <f t="shared" si="938"/>
        <v>짝수</v>
      </c>
      <c r="AC692" s="22" t="str">
        <f t="shared" si="939"/>
        <v>3 : 3</v>
      </c>
      <c r="AD692" s="22">
        <f t="shared" si="940"/>
        <v>3</v>
      </c>
      <c r="AE692" s="22">
        <f t="shared" si="941"/>
        <v>3</v>
      </c>
      <c r="AF692" s="22" t="str">
        <f t="shared" si="942"/>
        <v>저수</v>
      </c>
      <c r="AG692" s="22" t="str">
        <f t="shared" si="943"/>
        <v>저수</v>
      </c>
      <c r="AH692" s="22" t="str">
        <f t="shared" si="944"/>
        <v>저수</v>
      </c>
      <c r="AI692" s="22" t="str">
        <f t="shared" si="945"/>
        <v>고수</v>
      </c>
      <c r="AJ692" s="22" t="str">
        <f t="shared" si="946"/>
        <v>고수</v>
      </c>
      <c r="AK692" s="22" t="str">
        <f t="shared" si="947"/>
        <v>고수</v>
      </c>
      <c r="AL692" s="22" t="str">
        <f t="shared" si="948"/>
        <v>3 : 3</v>
      </c>
      <c r="AM692" s="22">
        <f t="shared" si="949"/>
        <v>3</v>
      </c>
      <c r="AN692" s="22">
        <f t="shared" si="950"/>
        <v>3</v>
      </c>
      <c r="AO692" s="22">
        <f t="shared" si="951"/>
        <v>37</v>
      </c>
      <c r="AP692" s="22" t="str">
        <f t="shared" si="952"/>
        <v>O</v>
      </c>
      <c r="AQ692" s="22" t="str">
        <f t="shared" si="953"/>
        <v>O</v>
      </c>
      <c r="AR692" s="22" t="str">
        <f t="shared" si="954"/>
        <v>O</v>
      </c>
      <c r="AS692" s="22" t="str">
        <f t="shared" si="955"/>
        <v>X</v>
      </c>
      <c r="AT692" s="22" t="str">
        <f t="shared" si="956"/>
        <v>X</v>
      </c>
      <c r="AU692" s="22" t="str">
        <f t="shared" si="957"/>
        <v>X</v>
      </c>
      <c r="AV692" s="22" t="str">
        <f t="shared" si="958"/>
        <v>X</v>
      </c>
      <c r="AW692" s="22" t="str">
        <f t="shared" si="959"/>
        <v>X</v>
      </c>
      <c r="AX692" s="22" t="str">
        <f t="shared" si="960"/>
        <v>X</v>
      </c>
      <c r="AY692" s="22" t="str">
        <f t="shared" si="961"/>
        <v>X</v>
      </c>
      <c r="AZ692" s="22" t="str">
        <f t="shared" si="962"/>
        <v>X</v>
      </c>
      <c r="BA692" s="22" t="str">
        <f t="shared" si="963"/>
        <v>X</v>
      </c>
      <c r="BB692" s="22">
        <f t="shared" si="964"/>
        <v>3</v>
      </c>
      <c r="BC692" s="22" t="str">
        <f t="shared" ref="BC692:BC693" si="1073">VLOOKUP(N692,삼그룹,6,FALSE)</f>
        <v>1G</v>
      </c>
      <c r="BD692" s="22" t="str">
        <f t="shared" ref="BD692:BD693" si="1074">VLOOKUP(O692,삼그룹,6,FALSE)</f>
        <v>2G</v>
      </c>
      <c r="BE692" s="22" t="str">
        <f t="shared" ref="BE692:BE693" si="1075">VLOOKUP(P692,삼그룹,6,FALSE)</f>
        <v>2G</v>
      </c>
      <c r="BF692" s="22" t="str">
        <f t="shared" ref="BF692:BF693" si="1076">VLOOKUP(Q692,삼그룹,6,FALSE)</f>
        <v>2G</v>
      </c>
      <c r="BG692" s="22" t="str">
        <f t="shared" ref="BG692:BG693" si="1077">VLOOKUP(R692,삼그룹,6,FALSE)</f>
        <v>3G</v>
      </c>
      <c r="BH692" s="22" t="str">
        <f t="shared" ref="BH692:BH693" si="1078">VLOOKUP(S692,삼그룹,6,FALSE)</f>
        <v>3G</v>
      </c>
      <c r="BI692" s="22">
        <f t="shared" si="568"/>
        <v>1</v>
      </c>
      <c r="BJ692" s="22">
        <f t="shared" si="569"/>
        <v>3</v>
      </c>
      <c r="BK692" s="22">
        <f t="shared" si="570"/>
        <v>2</v>
      </c>
      <c r="BL692" s="22" t="str">
        <f t="shared" ref="BL692:BL693" si="1079">BI692&amp;BJ692&amp;BK692</f>
        <v>132</v>
      </c>
      <c r="BS692"/>
    </row>
    <row r="693" spans="2:71" ht="17">
      <c r="B693" s="16">
        <v>690</v>
      </c>
      <c r="C693" s="23" t="s">
        <v>1056</v>
      </c>
      <c r="N693" s="23">
        <v>24</v>
      </c>
      <c r="O693" s="23">
        <v>25</v>
      </c>
      <c r="P693" s="23">
        <v>33</v>
      </c>
      <c r="Q693" s="23">
        <v>34</v>
      </c>
      <c r="R693" s="23">
        <v>38</v>
      </c>
      <c r="S693" s="23">
        <v>39</v>
      </c>
      <c r="T693" s="23">
        <v>43</v>
      </c>
      <c r="U693" s="23">
        <f t="shared" si="932"/>
        <v>193</v>
      </c>
      <c r="W693" s="22" t="str">
        <f t="shared" si="933"/>
        <v>짝수</v>
      </c>
      <c r="X693" s="22" t="str">
        <f t="shared" si="934"/>
        <v>홀수</v>
      </c>
      <c r="Y693" s="22" t="str">
        <f t="shared" si="935"/>
        <v>홀수</v>
      </c>
      <c r="Z693" s="22" t="str">
        <f t="shared" si="936"/>
        <v>짝수</v>
      </c>
      <c r="AA693" s="23" t="str">
        <f t="shared" si="937"/>
        <v>짝수</v>
      </c>
      <c r="AB693" s="23" t="str">
        <f t="shared" si="938"/>
        <v>홀수</v>
      </c>
      <c r="AC693" s="22" t="str">
        <f t="shared" si="939"/>
        <v>3 : 3</v>
      </c>
      <c r="AD693" s="22">
        <f t="shared" si="940"/>
        <v>3</v>
      </c>
      <c r="AE693" s="22">
        <f t="shared" si="941"/>
        <v>3</v>
      </c>
      <c r="AF693" s="22" t="str">
        <f t="shared" si="942"/>
        <v>고수</v>
      </c>
      <c r="AG693" s="22" t="str">
        <f t="shared" si="943"/>
        <v>고수</v>
      </c>
      <c r="AH693" s="22" t="str">
        <f t="shared" si="944"/>
        <v>고수</v>
      </c>
      <c r="AI693" s="22" t="str">
        <f t="shared" si="945"/>
        <v>고수</v>
      </c>
      <c r="AJ693" s="22" t="str">
        <f t="shared" si="946"/>
        <v>고수</v>
      </c>
      <c r="AK693" s="22" t="str">
        <f t="shared" si="947"/>
        <v>고수</v>
      </c>
      <c r="AL693" s="22" t="str">
        <f t="shared" si="948"/>
        <v>0 : 6</v>
      </c>
      <c r="AM693" s="22">
        <f t="shared" si="949"/>
        <v>0</v>
      </c>
      <c r="AN693" s="22">
        <f t="shared" si="950"/>
        <v>6</v>
      </c>
      <c r="AO693" s="22">
        <f t="shared" si="951"/>
        <v>33</v>
      </c>
      <c r="AP693" s="22" t="str">
        <f t="shared" si="952"/>
        <v>X</v>
      </c>
      <c r="AQ693" s="22" t="str">
        <f t="shared" si="953"/>
        <v>X</v>
      </c>
      <c r="AR693" s="22" t="str">
        <f t="shared" si="954"/>
        <v>X</v>
      </c>
      <c r="AS693" s="22" t="str">
        <f t="shared" si="955"/>
        <v>X</v>
      </c>
      <c r="AT693" s="22" t="str">
        <f t="shared" si="956"/>
        <v>X</v>
      </c>
      <c r="AU693" s="22" t="str">
        <f t="shared" si="957"/>
        <v>X</v>
      </c>
      <c r="AV693" s="22" t="str">
        <f t="shared" si="958"/>
        <v>X</v>
      </c>
      <c r="AW693" s="22" t="str">
        <f t="shared" si="959"/>
        <v>X</v>
      </c>
      <c r="AX693" s="22" t="str">
        <f t="shared" si="960"/>
        <v>X</v>
      </c>
      <c r="AY693" s="22" t="str">
        <f t="shared" si="961"/>
        <v>X</v>
      </c>
      <c r="AZ693" s="22" t="str">
        <f t="shared" si="962"/>
        <v>X</v>
      </c>
      <c r="BA693" s="22" t="str">
        <f t="shared" si="963"/>
        <v>X</v>
      </c>
      <c r="BB693" s="22">
        <f t="shared" si="964"/>
        <v>0</v>
      </c>
      <c r="BC693" s="22" t="str">
        <f t="shared" si="1073"/>
        <v>2G</v>
      </c>
      <c r="BD693" s="22" t="str">
        <f t="shared" si="1074"/>
        <v>2G</v>
      </c>
      <c r="BE693" s="22" t="str">
        <f t="shared" si="1075"/>
        <v>3G</v>
      </c>
      <c r="BF693" s="22" t="str">
        <f t="shared" si="1076"/>
        <v>3G</v>
      </c>
      <c r="BG693" s="22" t="str">
        <f t="shared" si="1077"/>
        <v>3G</v>
      </c>
      <c r="BH693" s="22" t="str">
        <f t="shared" si="1078"/>
        <v>3G</v>
      </c>
      <c r="BI693" s="22">
        <f t="shared" si="568"/>
        <v>0</v>
      </c>
      <c r="BJ693" s="22">
        <f t="shared" si="569"/>
        <v>2</v>
      </c>
      <c r="BK693" s="22">
        <f t="shared" si="570"/>
        <v>4</v>
      </c>
      <c r="BL693" s="22" t="str">
        <f t="shared" si="1079"/>
        <v>024</v>
      </c>
      <c r="BS693"/>
    </row>
    <row r="694" spans="2:71" ht="17">
      <c r="B694" s="16">
        <v>691</v>
      </c>
      <c r="C694" s="23" t="s">
        <v>1057</v>
      </c>
      <c r="N694" s="23">
        <v>15</v>
      </c>
      <c r="O694" s="23">
        <v>27</v>
      </c>
      <c r="P694" s="23">
        <v>33</v>
      </c>
      <c r="Q694" s="23">
        <v>35</v>
      </c>
      <c r="R694" s="23">
        <v>43</v>
      </c>
      <c r="S694" s="23">
        <v>45</v>
      </c>
      <c r="T694" s="23">
        <v>16</v>
      </c>
      <c r="U694" s="23">
        <f t="shared" si="932"/>
        <v>198</v>
      </c>
      <c r="W694" s="22" t="str">
        <f t="shared" si="933"/>
        <v>홀수</v>
      </c>
      <c r="X694" s="22" t="str">
        <f t="shared" si="934"/>
        <v>홀수</v>
      </c>
      <c r="Y694" s="22" t="str">
        <f t="shared" si="935"/>
        <v>홀수</v>
      </c>
      <c r="Z694" s="22" t="str">
        <f t="shared" si="936"/>
        <v>홀수</v>
      </c>
      <c r="AA694" s="23" t="str">
        <f t="shared" si="937"/>
        <v>홀수</v>
      </c>
      <c r="AB694" s="23" t="str">
        <f t="shared" si="938"/>
        <v>홀수</v>
      </c>
      <c r="AC694" s="22" t="str">
        <f t="shared" si="939"/>
        <v>6 : 0</v>
      </c>
      <c r="AD694" s="22">
        <f t="shared" si="940"/>
        <v>6</v>
      </c>
      <c r="AE694" s="22">
        <f t="shared" si="941"/>
        <v>0</v>
      </c>
      <c r="AF694" s="22" t="str">
        <f t="shared" si="942"/>
        <v>저수</v>
      </c>
      <c r="AG694" s="22" t="str">
        <f t="shared" si="943"/>
        <v>고수</v>
      </c>
      <c r="AH694" s="22" t="str">
        <f t="shared" si="944"/>
        <v>고수</v>
      </c>
      <c r="AI694" s="22" t="str">
        <f t="shared" si="945"/>
        <v>고수</v>
      </c>
      <c r="AJ694" s="22" t="str">
        <f t="shared" si="946"/>
        <v>고수</v>
      </c>
      <c r="AK694" s="22" t="str">
        <f t="shared" si="947"/>
        <v>고수</v>
      </c>
      <c r="AL694" s="22" t="str">
        <f t="shared" si="948"/>
        <v>1 : 5</v>
      </c>
      <c r="AM694" s="22">
        <f t="shared" si="949"/>
        <v>1</v>
      </c>
      <c r="AN694" s="22">
        <f t="shared" si="950"/>
        <v>5</v>
      </c>
      <c r="AO694" s="22">
        <f t="shared" si="951"/>
        <v>28</v>
      </c>
      <c r="AP694" s="22" t="str">
        <f t="shared" si="952"/>
        <v>X</v>
      </c>
      <c r="AQ694" s="22" t="str">
        <f t="shared" si="953"/>
        <v>X</v>
      </c>
      <c r="AR694" s="22" t="str">
        <f t="shared" si="954"/>
        <v>X</v>
      </c>
      <c r="AS694" s="22" t="str">
        <f t="shared" si="955"/>
        <v>X</v>
      </c>
      <c r="AT694" s="22" t="str">
        <f t="shared" si="956"/>
        <v>X</v>
      </c>
      <c r="AU694" s="22" t="str">
        <f t="shared" si="957"/>
        <v>X</v>
      </c>
      <c r="AV694" s="22" t="str">
        <f t="shared" si="958"/>
        <v>X</v>
      </c>
      <c r="AW694" s="22" t="str">
        <f t="shared" si="959"/>
        <v>X</v>
      </c>
      <c r="AX694" s="22" t="str">
        <f t="shared" si="960"/>
        <v>X</v>
      </c>
      <c r="AY694" s="22" t="str">
        <f t="shared" si="961"/>
        <v>X</v>
      </c>
      <c r="AZ694" s="22" t="str">
        <f t="shared" si="962"/>
        <v>O</v>
      </c>
      <c r="BA694" s="22" t="str">
        <f t="shared" si="963"/>
        <v>X</v>
      </c>
      <c r="BB694" s="22">
        <f t="shared" si="964"/>
        <v>1</v>
      </c>
      <c r="BC694" s="22" t="str">
        <f t="shared" ref="BC694:BC695" si="1080">VLOOKUP(N694,삼그룹,6,FALSE)</f>
        <v>1G</v>
      </c>
      <c r="BD694" s="22" t="str">
        <f t="shared" ref="BD694:BD695" si="1081">VLOOKUP(O694,삼그룹,6,FALSE)</f>
        <v>2G</v>
      </c>
      <c r="BE694" s="22" t="str">
        <f t="shared" ref="BE694:BE695" si="1082">VLOOKUP(P694,삼그룹,6,FALSE)</f>
        <v>3G</v>
      </c>
      <c r="BF694" s="22" t="str">
        <f t="shared" ref="BF694:BF695" si="1083">VLOOKUP(Q694,삼그룹,6,FALSE)</f>
        <v>3G</v>
      </c>
      <c r="BG694" s="22" t="str">
        <f t="shared" ref="BG694:BG695" si="1084">VLOOKUP(R694,삼그룹,6,FALSE)</f>
        <v>3G</v>
      </c>
      <c r="BH694" s="22" t="str">
        <f t="shared" ref="BH694:BH695" si="1085">VLOOKUP(S694,삼그룹,6,FALSE)</f>
        <v>3G</v>
      </c>
      <c r="BI694" s="22">
        <f t="shared" si="568"/>
        <v>1</v>
      </c>
      <c r="BJ694" s="22">
        <f t="shared" si="569"/>
        <v>1</v>
      </c>
      <c r="BK694" s="22">
        <f t="shared" si="570"/>
        <v>4</v>
      </c>
      <c r="BL694" s="22" t="str">
        <f t="shared" ref="BL694:BL695" si="1086">BI694&amp;BJ694&amp;BK694</f>
        <v>114</v>
      </c>
      <c r="BS694"/>
    </row>
    <row r="695" spans="2:71" ht="17">
      <c r="B695" s="16">
        <v>692</v>
      </c>
      <c r="C695" s="23" t="s">
        <v>1058</v>
      </c>
      <c r="N695" s="23">
        <v>3</v>
      </c>
      <c r="O695" s="23">
        <v>11</v>
      </c>
      <c r="P695" s="23">
        <v>14</v>
      </c>
      <c r="Q695" s="23">
        <v>15</v>
      </c>
      <c r="R695" s="23">
        <v>32</v>
      </c>
      <c r="S695" s="23">
        <v>36</v>
      </c>
      <c r="T695" s="23">
        <v>44</v>
      </c>
      <c r="U695" s="23">
        <f t="shared" si="932"/>
        <v>111</v>
      </c>
      <c r="W695" s="22" t="str">
        <f t="shared" si="933"/>
        <v>홀수</v>
      </c>
      <c r="X695" s="22" t="str">
        <f t="shared" si="934"/>
        <v>홀수</v>
      </c>
      <c r="Y695" s="22" t="str">
        <f t="shared" si="935"/>
        <v>짝수</v>
      </c>
      <c r="Z695" s="22" t="str">
        <f t="shared" si="936"/>
        <v>홀수</v>
      </c>
      <c r="AA695" s="23" t="str">
        <f t="shared" si="937"/>
        <v>짝수</v>
      </c>
      <c r="AB695" s="23" t="str">
        <f t="shared" si="938"/>
        <v>짝수</v>
      </c>
      <c r="AC695" s="22" t="str">
        <f t="shared" si="939"/>
        <v>3 : 3</v>
      </c>
      <c r="AD695" s="22">
        <f t="shared" si="940"/>
        <v>3</v>
      </c>
      <c r="AE695" s="22">
        <f t="shared" si="941"/>
        <v>3</v>
      </c>
      <c r="AF695" s="22" t="str">
        <f t="shared" si="942"/>
        <v>저수</v>
      </c>
      <c r="AG695" s="22" t="str">
        <f t="shared" si="943"/>
        <v>저수</v>
      </c>
      <c r="AH695" s="22" t="str">
        <f t="shared" si="944"/>
        <v>저수</v>
      </c>
      <c r="AI695" s="22" t="str">
        <f t="shared" si="945"/>
        <v>저수</v>
      </c>
      <c r="AJ695" s="22" t="str">
        <f t="shared" si="946"/>
        <v>고수</v>
      </c>
      <c r="AK695" s="22" t="str">
        <f t="shared" si="947"/>
        <v>고수</v>
      </c>
      <c r="AL695" s="22" t="str">
        <f t="shared" si="948"/>
        <v>4 : 2</v>
      </c>
      <c r="AM695" s="22">
        <f t="shared" si="949"/>
        <v>4</v>
      </c>
      <c r="AN695" s="22">
        <f t="shared" si="950"/>
        <v>2</v>
      </c>
      <c r="AO695" s="22">
        <f t="shared" si="951"/>
        <v>21</v>
      </c>
      <c r="AP695" s="22" t="str">
        <f t="shared" si="952"/>
        <v>O</v>
      </c>
      <c r="AQ695" s="22" t="str">
        <f t="shared" si="953"/>
        <v>O</v>
      </c>
      <c r="AR695" s="22" t="str">
        <f t="shared" si="954"/>
        <v>X</v>
      </c>
      <c r="AS695" s="22" t="str">
        <f t="shared" si="955"/>
        <v>X</v>
      </c>
      <c r="AT695" s="22" t="str">
        <f t="shared" si="956"/>
        <v>X</v>
      </c>
      <c r="AU695" s="22" t="str">
        <f t="shared" si="957"/>
        <v>X</v>
      </c>
      <c r="AV695" s="22" t="str">
        <f t="shared" si="958"/>
        <v>X</v>
      </c>
      <c r="AW695" s="22" t="str">
        <f t="shared" si="959"/>
        <v>X</v>
      </c>
      <c r="AX695" s="22" t="str">
        <f t="shared" si="960"/>
        <v>X</v>
      </c>
      <c r="AY695" s="22" t="str">
        <f t="shared" si="961"/>
        <v>X</v>
      </c>
      <c r="AZ695" s="22" t="str">
        <f t="shared" si="962"/>
        <v>X</v>
      </c>
      <c r="BA695" s="22" t="str">
        <f t="shared" si="963"/>
        <v>X</v>
      </c>
      <c r="BB695" s="22">
        <f t="shared" si="964"/>
        <v>2</v>
      </c>
      <c r="BC695" s="22" t="str">
        <f t="shared" si="1080"/>
        <v>1G</v>
      </c>
      <c r="BD695" s="22" t="str">
        <f t="shared" si="1081"/>
        <v>1G</v>
      </c>
      <c r="BE695" s="22" t="str">
        <f t="shared" si="1082"/>
        <v>1G</v>
      </c>
      <c r="BF695" s="22" t="str">
        <f t="shared" si="1083"/>
        <v>1G</v>
      </c>
      <c r="BG695" s="22" t="str">
        <f t="shared" si="1084"/>
        <v>3G</v>
      </c>
      <c r="BH695" s="22" t="str">
        <f t="shared" si="1085"/>
        <v>3G</v>
      </c>
      <c r="BI695" s="22">
        <f t="shared" si="568"/>
        <v>4</v>
      </c>
      <c r="BJ695" s="22">
        <f t="shared" si="569"/>
        <v>0</v>
      </c>
      <c r="BK695" s="22">
        <f t="shared" si="570"/>
        <v>2</v>
      </c>
      <c r="BL695" s="22" t="str">
        <f t="shared" si="1086"/>
        <v>402</v>
      </c>
      <c r="BS695"/>
    </row>
    <row r="696" spans="2:71" ht="17">
      <c r="B696" s="16">
        <v>693</v>
      </c>
      <c r="C696" s="23" t="s">
        <v>1059</v>
      </c>
      <c r="N696" s="23">
        <v>1</v>
      </c>
      <c r="O696" s="23">
        <v>6</v>
      </c>
      <c r="P696" s="23">
        <v>11</v>
      </c>
      <c r="Q696" s="23">
        <v>28</v>
      </c>
      <c r="R696" s="23">
        <v>34</v>
      </c>
      <c r="S696" s="23">
        <v>42</v>
      </c>
      <c r="T696" s="23">
        <v>30</v>
      </c>
      <c r="U696" s="23">
        <f t="shared" si="932"/>
        <v>122</v>
      </c>
      <c r="W696" s="22" t="str">
        <f t="shared" si="933"/>
        <v>홀수</v>
      </c>
      <c r="X696" s="22" t="str">
        <f t="shared" si="934"/>
        <v>짝수</v>
      </c>
      <c r="Y696" s="22" t="str">
        <f t="shared" si="935"/>
        <v>홀수</v>
      </c>
      <c r="Z696" s="22" t="str">
        <f t="shared" si="936"/>
        <v>짝수</v>
      </c>
      <c r="AA696" s="23" t="str">
        <f t="shared" si="937"/>
        <v>짝수</v>
      </c>
      <c r="AB696" s="23" t="str">
        <f t="shared" si="938"/>
        <v>짝수</v>
      </c>
      <c r="AC696" s="22" t="str">
        <f t="shared" si="939"/>
        <v>2 : 4</v>
      </c>
      <c r="AD696" s="22">
        <f t="shared" si="940"/>
        <v>2</v>
      </c>
      <c r="AE696" s="22">
        <f t="shared" si="941"/>
        <v>4</v>
      </c>
      <c r="AF696" s="22" t="str">
        <f t="shared" si="942"/>
        <v>저수</v>
      </c>
      <c r="AG696" s="22" t="str">
        <f t="shared" si="943"/>
        <v>저수</v>
      </c>
      <c r="AH696" s="22" t="str">
        <f t="shared" si="944"/>
        <v>저수</v>
      </c>
      <c r="AI696" s="22" t="str">
        <f t="shared" si="945"/>
        <v>고수</v>
      </c>
      <c r="AJ696" s="22" t="str">
        <f t="shared" si="946"/>
        <v>고수</v>
      </c>
      <c r="AK696" s="22" t="str">
        <f t="shared" si="947"/>
        <v>고수</v>
      </c>
      <c r="AL696" s="22" t="str">
        <f t="shared" si="948"/>
        <v>3 : 3</v>
      </c>
      <c r="AM696" s="22">
        <f t="shared" si="949"/>
        <v>3</v>
      </c>
      <c r="AN696" s="22">
        <f t="shared" si="950"/>
        <v>3</v>
      </c>
      <c r="AO696" s="22">
        <f t="shared" si="951"/>
        <v>22</v>
      </c>
      <c r="AP696" s="22" t="str">
        <f t="shared" si="952"/>
        <v>X</v>
      </c>
      <c r="AQ696" s="22" t="str">
        <f t="shared" si="953"/>
        <v>X</v>
      </c>
      <c r="AR696" s="22" t="str">
        <f t="shared" si="954"/>
        <v>O</v>
      </c>
      <c r="AS696" s="22" t="str">
        <f t="shared" si="955"/>
        <v>X</v>
      </c>
      <c r="AT696" s="22" t="str">
        <f t="shared" si="956"/>
        <v>X</v>
      </c>
      <c r="AU696" s="22" t="str">
        <f t="shared" si="957"/>
        <v>X</v>
      </c>
      <c r="AV696" s="22" t="str">
        <f t="shared" si="958"/>
        <v>X</v>
      </c>
      <c r="AW696" s="22" t="str">
        <f t="shared" si="959"/>
        <v>X</v>
      </c>
      <c r="AX696" s="22" t="str">
        <f t="shared" si="960"/>
        <v>X</v>
      </c>
      <c r="AY696" s="22" t="str">
        <f t="shared" si="961"/>
        <v>X</v>
      </c>
      <c r="AZ696" s="22" t="str">
        <f t="shared" si="962"/>
        <v>X</v>
      </c>
      <c r="BA696" s="22" t="str">
        <f t="shared" si="963"/>
        <v>X</v>
      </c>
      <c r="BB696" s="22">
        <f t="shared" si="964"/>
        <v>1</v>
      </c>
      <c r="BC696" s="22" t="str">
        <f t="shared" ref="BC696:BC697" si="1087">VLOOKUP(N696,삼그룹,6,FALSE)</f>
        <v>1G</v>
      </c>
      <c r="BD696" s="22" t="str">
        <f t="shared" ref="BD696:BD697" si="1088">VLOOKUP(O696,삼그룹,6,FALSE)</f>
        <v>1G</v>
      </c>
      <c r="BE696" s="22" t="str">
        <f t="shared" ref="BE696:BE697" si="1089">VLOOKUP(P696,삼그룹,6,FALSE)</f>
        <v>1G</v>
      </c>
      <c r="BF696" s="22" t="str">
        <f t="shared" ref="BF696:BF697" si="1090">VLOOKUP(Q696,삼그룹,6,FALSE)</f>
        <v>2G</v>
      </c>
      <c r="BG696" s="22" t="str">
        <f t="shared" ref="BG696:BG697" si="1091">VLOOKUP(R696,삼그룹,6,FALSE)</f>
        <v>3G</v>
      </c>
      <c r="BH696" s="22" t="str">
        <f t="shared" ref="BH696:BH697" si="1092">VLOOKUP(S696,삼그룹,6,FALSE)</f>
        <v>3G</v>
      </c>
      <c r="BI696" s="22">
        <f t="shared" si="568"/>
        <v>3</v>
      </c>
      <c r="BJ696" s="22">
        <f t="shared" si="569"/>
        <v>1</v>
      </c>
      <c r="BK696" s="22">
        <f t="shared" si="570"/>
        <v>2</v>
      </c>
      <c r="BL696" s="22" t="str">
        <f t="shared" ref="BL696:BL697" si="1093">BI696&amp;BJ696&amp;BK696</f>
        <v>312</v>
      </c>
      <c r="BS696"/>
    </row>
    <row r="697" spans="2:71" ht="17">
      <c r="B697" s="16">
        <v>694</v>
      </c>
      <c r="C697" s="23" t="s">
        <v>1060</v>
      </c>
      <c r="N697" s="23">
        <v>7</v>
      </c>
      <c r="O697" s="23">
        <v>15</v>
      </c>
      <c r="P697" s="23">
        <v>20</v>
      </c>
      <c r="Q697" s="23">
        <v>25</v>
      </c>
      <c r="R697" s="23">
        <v>33</v>
      </c>
      <c r="S697" s="23">
        <v>43</v>
      </c>
      <c r="T697" s="23">
        <v>12</v>
      </c>
      <c r="U697" s="23">
        <f t="shared" si="932"/>
        <v>143</v>
      </c>
      <c r="W697" s="22" t="str">
        <f t="shared" si="933"/>
        <v>홀수</v>
      </c>
      <c r="X697" s="22" t="str">
        <f t="shared" si="934"/>
        <v>홀수</v>
      </c>
      <c r="Y697" s="22" t="str">
        <f t="shared" si="935"/>
        <v>짝수</v>
      </c>
      <c r="Z697" s="22" t="str">
        <f t="shared" si="936"/>
        <v>홀수</v>
      </c>
      <c r="AA697" s="23" t="str">
        <f t="shared" si="937"/>
        <v>홀수</v>
      </c>
      <c r="AB697" s="23" t="str">
        <f t="shared" si="938"/>
        <v>홀수</v>
      </c>
      <c r="AC697" s="22" t="str">
        <f t="shared" si="939"/>
        <v>5 : 1</v>
      </c>
      <c r="AD697" s="22">
        <f t="shared" si="940"/>
        <v>5</v>
      </c>
      <c r="AE697" s="22">
        <f t="shared" si="941"/>
        <v>1</v>
      </c>
      <c r="AF697" s="22" t="str">
        <f t="shared" si="942"/>
        <v>저수</v>
      </c>
      <c r="AG697" s="22" t="str">
        <f t="shared" si="943"/>
        <v>저수</v>
      </c>
      <c r="AH697" s="22" t="str">
        <f t="shared" si="944"/>
        <v>저수</v>
      </c>
      <c r="AI697" s="22" t="str">
        <f t="shared" si="945"/>
        <v>고수</v>
      </c>
      <c r="AJ697" s="22" t="str">
        <f t="shared" si="946"/>
        <v>고수</v>
      </c>
      <c r="AK697" s="22" t="str">
        <f t="shared" si="947"/>
        <v>고수</v>
      </c>
      <c r="AL697" s="22" t="str">
        <f t="shared" si="948"/>
        <v>3 : 3</v>
      </c>
      <c r="AM697" s="22">
        <f t="shared" si="949"/>
        <v>3</v>
      </c>
      <c r="AN697" s="22">
        <f t="shared" si="950"/>
        <v>3</v>
      </c>
      <c r="AO697" s="22">
        <f t="shared" si="951"/>
        <v>23</v>
      </c>
      <c r="AP697" s="22" t="str">
        <f t="shared" si="952"/>
        <v>O</v>
      </c>
      <c r="AQ697" s="22" t="str">
        <f t="shared" si="953"/>
        <v>X</v>
      </c>
      <c r="AR697" s="22" t="str">
        <f t="shared" si="954"/>
        <v>X</v>
      </c>
      <c r="AS697" s="22" t="str">
        <f t="shared" si="955"/>
        <v>X</v>
      </c>
      <c r="AT697" s="22" t="str">
        <f t="shared" si="956"/>
        <v>X</v>
      </c>
      <c r="AU697" s="22" t="str">
        <f t="shared" si="957"/>
        <v>X</v>
      </c>
      <c r="AV697" s="22" t="str">
        <f t="shared" si="958"/>
        <v>X</v>
      </c>
      <c r="AW697" s="22" t="str">
        <f t="shared" si="959"/>
        <v>X</v>
      </c>
      <c r="AX697" s="22" t="str">
        <f t="shared" si="960"/>
        <v>X</v>
      </c>
      <c r="AY697" s="22" t="str">
        <f t="shared" si="961"/>
        <v>X</v>
      </c>
      <c r="AZ697" s="22" t="str">
        <f t="shared" si="962"/>
        <v>X</v>
      </c>
      <c r="BA697" s="22" t="str">
        <f t="shared" si="963"/>
        <v>O</v>
      </c>
      <c r="BB697" s="22">
        <f t="shared" si="964"/>
        <v>2</v>
      </c>
      <c r="BC697" s="22" t="str">
        <f t="shared" si="1087"/>
        <v>1G</v>
      </c>
      <c r="BD697" s="22" t="str">
        <f t="shared" si="1088"/>
        <v>1G</v>
      </c>
      <c r="BE697" s="22" t="str">
        <f t="shared" si="1089"/>
        <v>2G</v>
      </c>
      <c r="BF697" s="22" t="str">
        <f t="shared" si="1090"/>
        <v>2G</v>
      </c>
      <c r="BG697" s="22" t="str">
        <f t="shared" si="1091"/>
        <v>3G</v>
      </c>
      <c r="BH697" s="22" t="str">
        <f t="shared" si="1092"/>
        <v>3G</v>
      </c>
      <c r="BI697" s="22">
        <f t="shared" si="568"/>
        <v>2</v>
      </c>
      <c r="BJ697" s="22">
        <f t="shared" si="569"/>
        <v>2</v>
      </c>
      <c r="BK697" s="22">
        <f t="shared" si="570"/>
        <v>2</v>
      </c>
      <c r="BL697" s="22" t="str">
        <f t="shared" si="1093"/>
        <v>222</v>
      </c>
      <c r="BS697"/>
    </row>
    <row r="698" spans="2:71" ht="17">
      <c r="B698" s="16">
        <v>695</v>
      </c>
      <c r="C698" s="23" t="s">
        <v>1061</v>
      </c>
      <c r="N698" s="23">
        <v>4</v>
      </c>
      <c r="O698" s="23">
        <v>18</v>
      </c>
      <c r="P698" s="23">
        <v>26</v>
      </c>
      <c r="Q698" s="23">
        <v>33</v>
      </c>
      <c r="R698" s="23">
        <v>34</v>
      </c>
      <c r="S698" s="23">
        <v>38</v>
      </c>
      <c r="T698" s="23">
        <v>14</v>
      </c>
      <c r="U698" s="23">
        <f t="shared" si="932"/>
        <v>153</v>
      </c>
      <c r="W698" s="22" t="str">
        <f t="shared" si="933"/>
        <v>짝수</v>
      </c>
      <c r="X698" s="22" t="str">
        <f t="shared" si="934"/>
        <v>짝수</v>
      </c>
      <c r="Y698" s="22" t="str">
        <f t="shared" si="935"/>
        <v>짝수</v>
      </c>
      <c r="Z698" s="22" t="str">
        <f t="shared" si="936"/>
        <v>홀수</v>
      </c>
      <c r="AA698" s="23" t="str">
        <f t="shared" si="937"/>
        <v>짝수</v>
      </c>
      <c r="AB698" s="23" t="str">
        <f t="shared" si="938"/>
        <v>짝수</v>
      </c>
      <c r="AC698" s="22" t="str">
        <f t="shared" si="939"/>
        <v>1 : 5</v>
      </c>
      <c r="AD698" s="22">
        <f t="shared" si="940"/>
        <v>1</v>
      </c>
      <c r="AE698" s="22">
        <f t="shared" si="941"/>
        <v>5</v>
      </c>
      <c r="AF698" s="22" t="str">
        <f t="shared" si="942"/>
        <v>저수</v>
      </c>
      <c r="AG698" s="22" t="str">
        <f t="shared" si="943"/>
        <v>저수</v>
      </c>
      <c r="AH698" s="22" t="str">
        <f t="shared" si="944"/>
        <v>고수</v>
      </c>
      <c r="AI698" s="22" t="str">
        <f t="shared" si="945"/>
        <v>고수</v>
      </c>
      <c r="AJ698" s="22" t="str">
        <f t="shared" si="946"/>
        <v>고수</v>
      </c>
      <c r="AK698" s="22" t="str">
        <f t="shared" si="947"/>
        <v>고수</v>
      </c>
      <c r="AL698" s="22" t="str">
        <f t="shared" si="948"/>
        <v>2 : 4</v>
      </c>
      <c r="AM698" s="22">
        <f t="shared" si="949"/>
        <v>2</v>
      </c>
      <c r="AN698" s="22">
        <f t="shared" si="950"/>
        <v>4</v>
      </c>
      <c r="AO698" s="22">
        <f t="shared" si="951"/>
        <v>33</v>
      </c>
      <c r="AP698" s="22" t="str">
        <f t="shared" si="952"/>
        <v>X</v>
      </c>
      <c r="AQ698" s="22" t="str">
        <f t="shared" si="953"/>
        <v>X</v>
      </c>
      <c r="AR698" s="22" t="str">
        <f t="shared" si="954"/>
        <v>X</v>
      </c>
      <c r="AS698" s="22" t="str">
        <f t="shared" si="955"/>
        <v>X</v>
      </c>
      <c r="AT698" s="22" t="str">
        <f t="shared" si="956"/>
        <v>X</v>
      </c>
      <c r="AU698" s="22" t="str">
        <f t="shared" si="957"/>
        <v>X</v>
      </c>
      <c r="AV698" s="22" t="str">
        <f t="shared" si="958"/>
        <v>X</v>
      </c>
      <c r="AW698" s="22" t="str">
        <f t="shared" si="959"/>
        <v>X</v>
      </c>
      <c r="AX698" s="22" t="str">
        <f t="shared" si="960"/>
        <v>X</v>
      </c>
      <c r="AY698" s="22" t="str">
        <f t="shared" si="961"/>
        <v>X</v>
      </c>
      <c r="AZ698" s="22" t="str">
        <f t="shared" si="962"/>
        <v>X</v>
      </c>
      <c r="BA698" s="22" t="str">
        <f t="shared" si="963"/>
        <v>X</v>
      </c>
      <c r="BB698" s="22">
        <f t="shared" si="964"/>
        <v>0</v>
      </c>
      <c r="BC698" s="22" t="str">
        <f t="shared" ref="BC698:BC699" si="1094">VLOOKUP(N698,삼그룹,6,FALSE)</f>
        <v>1G</v>
      </c>
      <c r="BD698" s="22" t="str">
        <f t="shared" ref="BD698:BD699" si="1095">VLOOKUP(O698,삼그룹,6,FALSE)</f>
        <v>2G</v>
      </c>
      <c r="BE698" s="22" t="str">
        <f t="shared" ref="BE698:BE699" si="1096">VLOOKUP(P698,삼그룹,6,FALSE)</f>
        <v>2G</v>
      </c>
      <c r="BF698" s="22" t="str">
        <f t="shared" ref="BF698:BF699" si="1097">VLOOKUP(Q698,삼그룹,6,FALSE)</f>
        <v>3G</v>
      </c>
      <c r="BG698" s="22" t="str">
        <f t="shared" ref="BG698:BG699" si="1098">VLOOKUP(R698,삼그룹,6,FALSE)</f>
        <v>3G</v>
      </c>
      <c r="BH698" s="22" t="str">
        <f t="shared" ref="BH698:BH699" si="1099">VLOOKUP(S698,삼그룹,6,FALSE)</f>
        <v>3G</v>
      </c>
      <c r="BI698" s="22">
        <f t="shared" si="568"/>
        <v>1</v>
      </c>
      <c r="BJ698" s="22">
        <f t="shared" si="569"/>
        <v>2</v>
      </c>
      <c r="BK698" s="22">
        <f t="shared" si="570"/>
        <v>3</v>
      </c>
      <c r="BL698" s="22" t="str">
        <f t="shared" ref="BL698:BL699" si="1100">BI698&amp;BJ698&amp;BK698</f>
        <v>123</v>
      </c>
      <c r="BS698"/>
    </row>
    <row r="699" spans="2:71" ht="17">
      <c r="B699" s="16">
        <v>696</v>
      </c>
      <c r="C699" s="23" t="s">
        <v>1062</v>
      </c>
      <c r="N699" s="23">
        <v>1</v>
      </c>
      <c r="O699" s="23">
        <v>7</v>
      </c>
      <c r="P699" s="23">
        <v>16</v>
      </c>
      <c r="Q699" s="23">
        <v>18</v>
      </c>
      <c r="R699" s="23">
        <v>34</v>
      </c>
      <c r="S699" s="23">
        <v>38</v>
      </c>
      <c r="T699" s="23">
        <v>21</v>
      </c>
      <c r="U699" s="23">
        <f t="shared" si="932"/>
        <v>114</v>
      </c>
      <c r="W699" s="22" t="str">
        <f t="shared" si="933"/>
        <v>홀수</v>
      </c>
      <c r="X699" s="22" t="str">
        <f t="shared" si="934"/>
        <v>홀수</v>
      </c>
      <c r="Y699" s="22" t="str">
        <f t="shared" si="935"/>
        <v>짝수</v>
      </c>
      <c r="Z699" s="22" t="str">
        <f t="shared" si="936"/>
        <v>짝수</v>
      </c>
      <c r="AA699" s="23" t="str">
        <f t="shared" si="937"/>
        <v>짝수</v>
      </c>
      <c r="AB699" s="23" t="str">
        <f t="shared" si="938"/>
        <v>짝수</v>
      </c>
      <c r="AC699" s="22" t="str">
        <f t="shared" si="939"/>
        <v>2 : 4</v>
      </c>
      <c r="AD699" s="22">
        <f t="shared" si="940"/>
        <v>2</v>
      </c>
      <c r="AE699" s="22">
        <f t="shared" si="941"/>
        <v>4</v>
      </c>
      <c r="AF699" s="22" t="str">
        <f t="shared" si="942"/>
        <v>저수</v>
      </c>
      <c r="AG699" s="22" t="str">
        <f t="shared" si="943"/>
        <v>저수</v>
      </c>
      <c r="AH699" s="22" t="str">
        <f t="shared" si="944"/>
        <v>저수</v>
      </c>
      <c r="AI699" s="22" t="str">
        <f t="shared" si="945"/>
        <v>저수</v>
      </c>
      <c r="AJ699" s="22" t="str">
        <f t="shared" si="946"/>
        <v>고수</v>
      </c>
      <c r="AK699" s="22" t="str">
        <f t="shared" si="947"/>
        <v>고수</v>
      </c>
      <c r="AL699" s="22" t="str">
        <f t="shared" si="948"/>
        <v>4 : 2</v>
      </c>
      <c r="AM699" s="22">
        <f t="shared" si="949"/>
        <v>4</v>
      </c>
      <c r="AN699" s="22">
        <f t="shared" si="950"/>
        <v>2</v>
      </c>
      <c r="AO699" s="22">
        <f t="shared" si="951"/>
        <v>34</v>
      </c>
      <c r="AP699" s="22" t="str">
        <f t="shared" si="952"/>
        <v>X</v>
      </c>
      <c r="AQ699" s="22" t="str">
        <f t="shared" si="953"/>
        <v>O</v>
      </c>
      <c r="AR699" s="22" t="str">
        <f t="shared" si="954"/>
        <v>X</v>
      </c>
      <c r="AS699" s="22" t="str">
        <f t="shared" si="955"/>
        <v>X</v>
      </c>
      <c r="AT699" s="22" t="str">
        <f t="shared" si="956"/>
        <v>X</v>
      </c>
      <c r="AU699" s="22" t="str">
        <f t="shared" si="957"/>
        <v>X</v>
      </c>
      <c r="AV699" s="22" t="str">
        <f t="shared" si="958"/>
        <v>X</v>
      </c>
      <c r="AW699" s="22" t="str">
        <f t="shared" si="959"/>
        <v>X</v>
      </c>
      <c r="AX699" s="22" t="str">
        <f t="shared" si="960"/>
        <v>X</v>
      </c>
      <c r="AY699" s="22" t="str">
        <f t="shared" si="961"/>
        <v>X</v>
      </c>
      <c r="AZ699" s="22" t="str">
        <f t="shared" si="962"/>
        <v>X</v>
      </c>
      <c r="BA699" s="22" t="str">
        <f t="shared" si="963"/>
        <v>X</v>
      </c>
      <c r="BB699" s="22">
        <f t="shared" si="964"/>
        <v>1</v>
      </c>
      <c r="BC699" s="22" t="str">
        <f t="shared" si="1094"/>
        <v>1G</v>
      </c>
      <c r="BD699" s="22" t="str">
        <f t="shared" si="1095"/>
        <v>1G</v>
      </c>
      <c r="BE699" s="22" t="str">
        <f t="shared" si="1096"/>
        <v>2G</v>
      </c>
      <c r="BF699" s="22" t="str">
        <f t="shared" si="1097"/>
        <v>2G</v>
      </c>
      <c r="BG699" s="22" t="str">
        <f t="shared" si="1098"/>
        <v>3G</v>
      </c>
      <c r="BH699" s="22" t="str">
        <f t="shared" si="1099"/>
        <v>3G</v>
      </c>
      <c r="BI699" s="22">
        <f t="shared" ref="BI699:BI725" si="1101">COUNTIF($BC699:$BH699,"1G")</f>
        <v>2</v>
      </c>
      <c r="BJ699" s="22">
        <f t="shared" ref="BJ699:BJ725" si="1102">COUNTIF($BC699:$BH699,"2G")</f>
        <v>2</v>
      </c>
      <c r="BK699" s="22">
        <f t="shared" ref="BK699:BK725" si="1103">COUNTIF($BC699:$BH699,"3G")</f>
        <v>2</v>
      </c>
      <c r="BL699" s="22" t="str">
        <f t="shared" si="1100"/>
        <v>222</v>
      </c>
      <c r="BS699"/>
    </row>
    <row r="700" spans="2:71" ht="17">
      <c r="B700" s="16">
        <v>697</v>
      </c>
      <c r="C700" s="23" t="s">
        <v>1063</v>
      </c>
      <c r="N700" s="23">
        <v>2</v>
      </c>
      <c r="O700" s="23">
        <v>5</v>
      </c>
      <c r="P700" s="23">
        <v>8</v>
      </c>
      <c r="Q700" s="23">
        <v>11</v>
      </c>
      <c r="R700" s="23">
        <v>33</v>
      </c>
      <c r="S700" s="23">
        <v>39</v>
      </c>
      <c r="T700" s="23">
        <v>31</v>
      </c>
      <c r="U700" s="23">
        <f t="shared" si="932"/>
        <v>98</v>
      </c>
      <c r="W700" s="22" t="str">
        <f t="shared" si="933"/>
        <v>짝수</v>
      </c>
      <c r="X700" s="22" t="str">
        <f t="shared" si="934"/>
        <v>홀수</v>
      </c>
      <c r="Y700" s="22" t="str">
        <f t="shared" si="935"/>
        <v>짝수</v>
      </c>
      <c r="Z700" s="22" t="str">
        <f t="shared" si="936"/>
        <v>홀수</v>
      </c>
      <c r="AA700" s="23" t="str">
        <f t="shared" si="937"/>
        <v>홀수</v>
      </c>
      <c r="AB700" s="23" t="str">
        <f t="shared" si="938"/>
        <v>홀수</v>
      </c>
      <c r="AC700" s="22" t="str">
        <f t="shared" si="939"/>
        <v>4 : 2</v>
      </c>
      <c r="AD700" s="22">
        <f t="shared" si="940"/>
        <v>4</v>
      </c>
      <c r="AE700" s="22">
        <f t="shared" si="941"/>
        <v>2</v>
      </c>
      <c r="AF700" s="22" t="str">
        <f t="shared" si="942"/>
        <v>저수</v>
      </c>
      <c r="AG700" s="22" t="str">
        <f t="shared" si="943"/>
        <v>저수</v>
      </c>
      <c r="AH700" s="22" t="str">
        <f t="shared" si="944"/>
        <v>저수</v>
      </c>
      <c r="AI700" s="22" t="str">
        <f t="shared" si="945"/>
        <v>저수</v>
      </c>
      <c r="AJ700" s="22" t="str">
        <f t="shared" si="946"/>
        <v>고수</v>
      </c>
      <c r="AK700" s="22" t="str">
        <f t="shared" si="947"/>
        <v>고수</v>
      </c>
      <c r="AL700" s="22" t="str">
        <f t="shared" si="948"/>
        <v>4 : 2</v>
      </c>
      <c r="AM700" s="22">
        <f t="shared" si="949"/>
        <v>4</v>
      </c>
      <c r="AN700" s="22">
        <f t="shared" si="950"/>
        <v>2</v>
      </c>
      <c r="AO700" s="22">
        <f t="shared" si="951"/>
        <v>28</v>
      </c>
      <c r="AP700" s="22" t="str">
        <f t="shared" si="952"/>
        <v>O</v>
      </c>
      <c r="AQ700" s="22" t="str">
        <f t="shared" si="953"/>
        <v>O</v>
      </c>
      <c r="AR700" s="22" t="str">
        <f t="shared" si="954"/>
        <v>X</v>
      </c>
      <c r="AS700" s="22" t="str">
        <f t="shared" si="955"/>
        <v>O</v>
      </c>
      <c r="AT700" s="22" t="str">
        <f t="shared" si="956"/>
        <v>X</v>
      </c>
      <c r="AU700" s="22" t="str">
        <f t="shared" si="957"/>
        <v>X</v>
      </c>
      <c r="AV700" s="22" t="str">
        <f t="shared" si="958"/>
        <v>X</v>
      </c>
      <c r="AW700" s="22" t="str">
        <f t="shared" si="959"/>
        <v>X</v>
      </c>
      <c r="AX700" s="22" t="str">
        <f t="shared" si="960"/>
        <v>X</v>
      </c>
      <c r="AY700" s="22" t="str">
        <f t="shared" si="961"/>
        <v>X</v>
      </c>
      <c r="AZ700" s="22" t="str">
        <f t="shared" si="962"/>
        <v>X</v>
      </c>
      <c r="BA700" s="22" t="str">
        <f t="shared" si="963"/>
        <v>X</v>
      </c>
      <c r="BB700" s="22">
        <f t="shared" si="964"/>
        <v>3</v>
      </c>
      <c r="BC700" s="22" t="str">
        <f t="shared" ref="BC700:BC701" si="1104">VLOOKUP(N700,삼그룹,6,FALSE)</f>
        <v>1G</v>
      </c>
      <c r="BD700" s="22" t="str">
        <f t="shared" ref="BD700:BD701" si="1105">VLOOKUP(O700,삼그룹,6,FALSE)</f>
        <v>1G</v>
      </c>
      <c r="BE700" s="22" t="str">
        <f t="shared" ref="BE700:BE701" si="1106">VLOOKUP(P700,삼그룹,6,FALSE)</f>
        <v>1G</v>
      </c>
      <c r="BF700" s="22" t="str">
        <f t="shared" ref="BF700:BF701" si="1107">VLOOKUP(Q700,삼그룹,6,FALSE)</f>
        <v>1G</v>
      </c>
      <c r="BG700" s="22" t="str">
        <f t="shared" ref="BG700:BG701" si="1108">VLOOKUP(R700,삼그룹,6,FALSE)</f>
        <v>3G</v>
      </c>
      <c r="BH700" s="22" t="str">
        <f t="shared" ref="BH700:BH701" si="1109">VLOOKUP(S700,삼그룹,6,FALSE)</f>
        <v>3G</v>
      </c>
      <c r="BI700" s="22">
        <f t="shared" si="568"/>
        <v>4</v>
      </c>
      <c r="BJ700" s="22">
        <f t="shared" si="569"/>
        <v>0</v>
      </c>
      <c r="BK700" s="22">
        <f t="shared" si="570"/>
        <v>2</v>
      </c>
      <c r="BL700" s="22" t="str">
        <f t="shared" ref="BL700:BL701" si="1110">BI700&amp;BJ700&amp;BK700</f>
        <v>402</v>
      </c>
      <c r="BS700"/>
    </row>
    <row r="701" spans="2:71" ht="17">
      <c r="B701" s="16">
        <v>698</v>
      </c>
      <c r="C701" s="23" t="s">
        <v>1064</v>
      </c>
      <c r="N701" s="23">
        <v>3</v>
      </c>
      <c r="O701" s="23">
        <v>11</v>
      </c>
      <c r="P701" s="23">
        <v>13</v>
      </c>
      <c r="Q701" s="23">
        <v>21</v>
      </c>
      <c r="R701" s="23">
        <v>33</v>
      </c>
      <c r="S701" s="23">
        <v>37</v>
      </c>
      <c r="T701" s="23">
        <v>18</v>
      </c>
      <c r="U701" s="23">
        <f t="shared" si="932"/>
        <v>118</v>
      </c>
      <c r="W701" s="22" t="str">
        <f t="shared" si="933"/>
        <v>홀수</v>
      </c>
      <c r="X701" s="22" t="str">
        <f t="shared" si="934"/>
        <v>홀수</v>
      </c>
      <c r="Y701" s="22" t="str">
        <f t="shared" si="935"/>
        <v>홀수</v>
      </c>
      <c r="Z701" s="22" t="str">
        <f t="shared" si="936"/>
        <v>홀수</v>
      </c>
      <c r="AA701" s="23" t="str">
        <f t="shared" si="937"/>
        <v>홀수</v>
      </c>
      <c r="AB701" s="23" t="str">
        <f t="shared" si="938"/>
        <v>홀수</v>
      </c>
      <c r="AC701" s="22" t="str">
        <f t="shared" si="939"/>
        <v>6 : 0</v>
      </c>
      <c r="AD701" s="22">
        <f t="shared" si="940"/>
        <v>6</v>
      </c>
      <c r="AE701" s="22">
        <f t="shared" si="941"/>
        <v>0</v>
      </c>
      <c r="AF701" s="22" t="str">
        <f t="shared" si="942"/>
        <v>저수</v>
      </c>
      <c r="AG701" s="22" t="str">
        <f t="shared" si="943"/>
        <v>저수</v>
      </c>
      <c r="AH701" s="22" t="str">
        <f t="shared" si="944"/>
        <v>저수</v>
      </c>
      <c r="AI701" s="22" t="str">
        <f t="shared" si="945"/>
        <v>저수</v>
      </c>
      <c r="AJ701" s="22" t="str">
        <f t="shared" si="946"/>
        <v>고수</v>
      </c>
      <c r="AK701" s="22" t="str">
        <f t="shared" si="947"/>
        <v>고수</v>
      </c>
      <c r="AL701" s="22" t="str">
        <f t="shared" si="948"/>
        <v>4 : 2</v>
      </c>
      <c r="AM701" s="22">
        <f t="shared" si="949"/>
        <v>4</v>
      </c>
      <c r="AN701" s="22">
        <f t="shared" si="950"/>
        <v>2</v>
      </c>
      <c r="AO701" s="22">
        <f t="shared" si="951"/>
        <v>18</v>
      </c>
      <c r="AP701" s="22" t="str">
        <f t="shared" si="952"/>
        <v>O</v>
      </c>
      <c r="AQ701" s="22" t="str">
        <f t="shared" si="953"/>
        <v>O</v>
      </c>
      <c r="AR701" s="22" t="str">
        <f t="shared" si="954"/>
        <v>O</v>
      </c>
      <c r="AS701" s="22" t="str">
        <f t="shared" si="955"/>
        <v>X</v>
      </c>
      <c r="AT701" s="22" t="str">
        <f t="shared" si="956"/>
        <v>X</v>
      </c>
      <c r="AU701" s="22" t="str">
        <f t="shared" si="957"/>
        <v>X</v>
      </c>
      <c r="AV701" s="22" t="str">
        <f t="shared" si="958"/>
        <v>X</v>
      </c>
      <c r="AW701" s="22" t="str">
        <f t="shared" si="959"/>
        <v>X</v>
      </c>
      <c r="AX701" s="22" t="str">
        <f t="shared" si="960"/>
        <v>X</v>
      </c>
      <c r="AY701" s="22" t="str">
        <f t="shared" si="961"/>
        <v>X</v>
      </c>
      <c r="AZ701" s="22" t="str">
        <f t="shared" si="962"/>
        <v>X</v>
      </c>
      <c r="BA701" s="22" t="str">
        <f t="shared" si="963"/>
        <v>O</v>
      </c>
      <c r="BB701" s="22">
        <f t="shared" si="964"/>
        <v>4</v>
      </c>
      <c r="BC701" s="22" t="str">
        <f t="shared" si="1104"/>
        <v>1G</v>
      </c>
      <c r="BD701" s="22" t="str">
        <f t="shared" si="1105"/>
        <v>1G</v>
      </c>
      <c r="BE701" s="22" t="str">
        <f t="shared" si="1106"/>
        <v>1G</v>
      </c>
      <c r="BF701" s="22" t="str">
        <f t="shared" si="1107"/>
        <v>2G</v>
      </c>
      <c r="BG701" s="22" t="str">
        <f t="shared" si="1108"/>
        <v>3G</v>
      </c>
      <c r="BH701" s="22" t="str">
        <f t="shared" si="1109"/>
        <v>3G</v>
      </c>
      <c r="BI701" s="22">
        <f t="shared" si="1101"/>
        <v>3</v>
      </c>
      <c r="BJ701" s="22">
        <f t="shared" si="1102"/>
        <v>1</v>
      </c>
      <c r="BK701" s="22">
        <f t="shared" si="1103"/>
        <v>2</v>
      </c>
      <c r="BL701" s="22" t="str">
        <f t="shared" si="1110"/>
        <v>312</v>
      </c>
      <c r="BS701"/>
    </row>
    <row r="702" spans="2:71" ht="17">
      <c r="B702" s="16">
        <v>699</v>
      </c>
      <c r="C702" s="23" t="s">
        <v>1065</v>
      </c>
      <c r="N702" s="23">
        <v>4</v>
      </c>
      <c r="O702" s="23">
        <v>5</v>
      </c>
      <c r="P702" s="23">
        <v>8</v>
      </c>
      <c r="Q702" s="23">
        <v>16</v>
      </c>
      <c r="R702" s="23">
        <v>21</v>
      </c>
      <c r="S702" s="23">
        <v>29</v>
      </c>
      <c r="T702" s="23">
        <v>3</v>
      </c>
      <c r="U702" s="23">
        <f t="shared" si="932"/>
        <v>83</v>
      </c>
      <c r="W702" s="22" t="str">
        <f t="shared" si="933"/>
        <v>짝수</v>
      </c>
      <c r="X702" s="22" t="str">
        <f t="shared" si="934"/>
        <v>홀수</v>
      </c>
      <c r="Y702" s="22" t="str">
        <f t="shared" si="935"/>
        <v>짝수</v>
      </c>
      <c r="Z702" s="22" t="str">
        <f t="shared" si="936"/>
        <v>짝수</v>
      </c>
      <c r="AA702" s="23" t="str">
        <f t="shared" si="937"/>
        <v>홀수</v>
      </c>
      <c r="AB702" s="23" t="str">
        <f t="shared" si="938"/>
        <v>홀수</v>
      </c>
      <c r="AC702" s="22" t="str">
        <f t="shared" si="939"/>
        <v>3 : 3</v>
      </c>
      <c r="AD702" s="22">
        <f t="shared" si="940"/>
        <v>3</v>
      </c>
      <c r="AE702" s="22">
        <f t="shared" si="941"/>
        <v>3</v>
      </c>
      <c r="AF702" s="22" t="str">
        <f t="shared" si="942"/>
        <v>저수</v>
      </c>
      <c r="AG702" s="22" t="str">
        <f t="shared" si="943"/>
        <v>저수</v>
      </c>
      <c r="AH702" s="22" t="str">
        <f t="shared" si="944"/>
        <v>저수</v>
      </c>
      <c r="AI702" s="22" t="str">
        <f t="shared" si="945"/>
        <v>저수</v>
      </c>
      <c r="AJ702" s="22" t="str">
        <f t="shared" si="946"/>
        <v>저수</v>
      </c>
      <c r="AK702" s="22" t="str">
        <f t="shared" si="947"/>
        <v>고수</v>
      </c>
      <c r="AL702" s="22" t="str">
        <f t="shared" si="948"/>
        <v>5 : 1</v>
      </c>
      <c r="AM702" s="22">
        <f t="shared" si="949"/>
        <v>5</v>
      </c>
      <c r="AN702" s="22">
        <f t="shared" si="950"/>
        <v>1</v>
      </c>
      <c r="AO702" s="22">
        <f t="shared" si="951"/>
        <v>33</v>
      </c>
      <c r="AP702" s="22" t="str">
        <f t="shared" si="952"/>
        <v>X</v>
      </c>
      <c r="AQ702" s="22" t="str">
        <f t="shared" si="953"/>
        <v>O</v>
      </c>
      <c r="AR702" s="22" t="str">
        <f t="shared" si="954"/>
        <v>X</v>
      </c>
      <c r="AS702" s="22" t="str">
        <f t="shared" si="955"/>
        <v>X</v>
      </c>
      <c r="AT702" s="22" t="str">
        <f t="shared" si="956"/>
        <v>X</v>
      </c>
      <c r="AU702" s="22" t="str">
        <f t="shared" si="957"/>
        <v>X</v>
      </c>
      <c r="AV702" s="22" t="str">
        <f t="shared" si="958"/>
        <v>X</v>
      </c>
      <c r="AW702" s="22" t="str">
        <f t="shared" si="959"/>
        <v>X</v>
      </c>
      <c r="AX702" s="22" t="str">
        <f t="shared" si="960"/>
        <v>X</v>
      </c>
      <c r="AY702" s="22" t="str">
        <f t="shared" si="961"/>
        <v>X</v>
      </c>
      <c r="AZ702" s="22" t="str">
        <f t="shared" si="962"/>
        <v>X</v>
      </c>
      <c r="BA702" s="22" t="str">
        <f t="shared" si="963"/>
        <v>O</v>
      </c>
      <c r="BB702" s="22">
        <f t="shared" si="964"/>
        <v>2</v>
      </c>
      <c r="BC702" s="22" t="str">
        <f t="shared" ref="BC702:BC703" si="1111">VLOOKUP(N702,삼그룹,6,FALSE)</f>
        <v>1G</v>
      </c>
      <c r="BD702" s="22" t="str">
        <f t="shared" ref="BD702:BD703" si="1112">VLOOKUP(O702,삼그룹,6,FALSE)</f>
        <v>1G</v>
      </c>
      <c r="BE702" s="22" t="str">
        <f t="shared" ref="BE702:BE703" si="1113">VLOOKUP(P702,삼그룹,6,FALSE)</f>
        <v>1G</v>
      </c>
      <c r="BF702" s="22" t="str">
        <f t="shared" ref="BF702:BF703" si="1114">VLOOKUP(Q702,삼그룹,6,FALSE)</f>
        <v>2G</v>
      </c>
      <c r="BG702" s="22" t="str">
        <f t="shared" ref="BG702:BG703" si="1115">VLOOKUP(R702,삼그룹,6,FALSE)</f>
        <v>2G</v>
      </c>
      <c r="BH702" s="22" t="str">
        <f t="shared" ref="BH702:BH703" si="1116">VLOOKUP(S702,삼그룹,6,FALSE)</f>
        <v>2G</v>
      </c>
      <c r="BI702" s="22">
        <f t="shared" si="568"/>
        <v>3</v>
      </c>
      <c r="BJ702" s="22">
        <f t="shared" si="569"/>
        <v>3</v>
      </c>
      <c r="BK702" s="22">
        <f t="shared" si="570"/>
        <v>0</v>
      </c>
      <c r="BL702" s="22" t="str">
        <f t="shared" ref="BL702:BL703" si="1117">BI702&amp;BJ702&amp;BK702</f>
        <v>330</v>
      </c>
      <c r="BS702"/>
    </row>
    <row r="703" spans="2:71" ht="17">
      <c r="B703" s="16">
        <v>700</v>
      </c>
      <c r="C703" s="23" t="s">
        <v>1066</v>
      </c>
      <c r="N703" s="23">
        <v>11</v>
      </c>
      <c r="O703" s="23">
        <v>23</v>
      </c>
      <c r="P703" s="23">
        <v>28</v>
      </c>
      <c r="Q703" s="23">
        <v>29</v>
      </c>
      <c r="R703" s="23">
        <v>30</v>
      </c>
      <c r="S703" s="23">
        <v>44</v>
      </c>
      <c r="T703" s="23">
        <v>13</v>
      </c>
      <c r="U703" s="23">
        <f t="shared" si="932"/>
        <v>165</v>
      </c>
      <c r="W703" s="22" t="str">
        <f t="shared" si="933"/>
        <v>홀수</v>
      </c>
      <c r="X703" s="22" t="str">
        <f t="shared" si="934"/>
        <v>홀수</v>
      </c>
      <c r="Y703" s="22" t="str">
        <f t="shared" si="935"/>
        <v>짝수</v>
      </c>
      <c r="Z703" s="22" t="str">
        <f t="shared" si="936"/>
        <v>홀수</v>
      </c>
      <c r="AA703" s="23" t="str">
        <f t="shared" si="937"/>
        <v>짝수</v>
      </c>
      <c r="AB703" s="23" t="str">
        <f t="shared" si="938"/>
        <v>짝수</v>
      </c>
      <c r="AC703" s="22" t="str">
        <f t="shared" si="939"/>
        <v>3 : 3</v>
      </c>
      <c r="AD703" s="22">
        <f t="shared" si="940"/>
        <v>3</v>
      </c>
      <c r="AE703" s="22">
        <f t="shared" si="941"/>
        <v>3</v>
      </c>
      <c r="AF703" s="22" t="str">
        <f t="shared" si="942"/>
        <v>저수</v>
      </c>
      <c r="AG703" s="22" t="str">
        <f t="shared" si="943"/>
        <v>고수</v>
      </c>
      <c r="AH703" s="22" t="str">
        <f t="shared" si="944"/>
        <v>고수</v>
      </c>
      <c r="AI703" s="22" t="str">
        <f t="shared" si="945"/>
        <v>고수</v>
      </c>
      <c r="AJ703" s="22" t="str">
        <f t="shared" si="946"/>
        <v>고수</v>
      </c>
      <c r="AK703" s="22" t="str">
        <f t="shared" si="947"/>
        <v>고수</v>
      </c>
      <c r="AL703" s="22" t="str">
        <f t="shared" si="948"/>
        <v>1 : 5</v>
      </c>
      <c r="AM703" s="22">
        <f t="shared" si="949"/>
        <v>1</v>
      </c>
      <c r="AN703" s="22">
        <f t="shared" si="950"/>
        <v>5</v>
      </c>
      <c r="AO703" s="22">
        <f t="shared" si="951"/>
        <v>25</v>
      </c>
      <c r="AP703" s="22" t="str">
        <f t="shared" si="952"/>
        <v>O</v>
      </c>
      <c r="AQ703" s="22" t="str">
        <f t="shared" si="953"/>
        <v>X</v>
      </c>
      <c r="AR703" s="22" t="str">
        <f t="shared" si="954"/>
        <v>X</v>
      </c>
      <c r="AS703" s="22" t="str">
        <f t="shared" si="955"/>
        <v>X</v>
      </c>
      <c r="AT703" s="22" t="str">
        <f t="shared" si="956"/>
        <v>X</v>
      </c>
      <c r="AU703" s="22" t="str">
        <f t="shared" si="957"/>
        <v>X</v>
      </c>
      <c r="AV703" s="22" t="str">
        <f t="shared" si="958"/>
        <v>X</v>
      </c>
      <c r="AW703" s="22" t="str">
        <f t="shared" si="959"/>
        <v>O</v>
      </c>
      <c r="AX703" s="22" t="str">
        <f t="shared" si="960"/>
        <v>X</v>
      </c>
      <c r="AY703" s="22" t="str">
        <f t="shared" si="961"/>
        <v>O</v>
      </c>
      <c r="AZ703" s="22" t="str">
        <f t="shared" si="962"/>
        <v>X</v>
      </c>
      <c r="BA703" s="22" t="str">
        <f t="shared" si="963"/>
        <v>X</v>
      </c>
      <c r="BB703" s="22">
        <f t="shared" si="964"/>
        <v>3</v>
      </c>
      <c r="BC703" s="22" t="str">
        <f t="shared" si="1111"/>
        <v>1G</v>
      </c>
      <c r="BD703" s="22" t="str">
        <f t="shared" si="1112"/>
        <v>2G</v>
      </c>
      <c r="BE703" s="22" t="str">
        <f t="shared" si="1113"/>
        <v>2G</v>
      </c>
      <c r="BF703" s="22" t="str">
        <f t="shared" si="1114"/>
        <v>2G</v>
      </c>
      <c r="BG703" s="22" t="str">
        <f t="shared" si="1115"/>
        <v>2G</v>
      </c>
      <c r="BH703" s="22" t="str">
        <f t="shared" si="1116"/>
        <v>3G</v>
      </c>
      <c r="BI703" s="22">
        <f t="shared" si="1101"/>
        <v>1</v>
      </c>
      <c r="BJ703" s="22">
        <f t="shared" si="1102"/>
        <v>4</v>
      </c>
      <c r="BK703" s="22">
        <f t="shared" si="1103"/>
        <v>1</v>
      </c>
      <c r="BL703" s="22" t="str">
        <f t="shared" si="1117"/>
        <v>141</v>
      </c>
      <c r="BS703"/>
    </row>
    <row r="704" spans="2:71" ht="17">
      <c r="B704" s="16">
        <v>701</v>
      </c>
      <c r="C704" s="23" t="s">
        <v>1067</v>
      </c>
      <c r="N704" s="23">
        <v>3</v>
      </c>
      <c r="O704" s="23">
        <v>10</v>
      </c>
      <c r="P704" s="23">
        <v>14</v>
      </c>
      <c r="Q704" s="23">
        <v>16</v>
      </c>
      <c r="R704" s="23">
        <v>36</v>
      </c>
      <c r="S704" s="23">
        <v>38</v>
      </c>
      <c r="T704" s="23">
        <v>35</v>
      </c>
      <c r="U704" s="23">
        <f t="shared" si="932"/>
        <v>117</v>
      </c>
      <c r="W704" s="22" t="str">
        <f t="shared" si="933"/>
        <v>홀수</v>
      </c>
      <c r="X704" s="22" t="str">
        <f t="shared" si="934"/>
        <v>짝수</v>
      </c>
      <c r="Y704" s="22" t="str">
        <f t="shared" si="935"/>
        <v>짝수</v>
      </c>
      <c r="Z704" s="22" t="str">
        <f t="shared" si="936"/>
        <v>짝수</v>
      </c>
      <c r="AA704" s="23" t="str">
        <f t="shared" si="937"/>
        <v>짝수</v>
      </c>
      <c r="AB704" s="23" t="str">
        <f t="shared" si="938"/>
        <v>짝수</v>
      </c>
      <c r="AC704" s="22" t="str">
        <f t="shared" si="939"/>
        <v>1 : 5</v>
      </c>
      <c r="AD704" s="22">
        <f t="shared" si="940"/>
        <v>1</v>
      </c>
      <c r="AE704" s="22">
        <f t="shared" si="941"/>
        <v>5</v>
      </c>
      <c r="AF704" s="22" t="str">
        <f t="shared" si="942"/>
        <v>저수</v>
      </c>
      <c r="AG704" s="22" t="str">
        <f t="shared" si="943"/>
        <v>저수</v>
      </c>
      <c r="AH704" s="22" t="str">
        <f t="shared" si="944"/>
        <v>저수</v>
      </c>
      <c r="AI704" s="22" t="str">
        <f t="shared" si="945"/>
        <v>저수</v>
      </c>
      <c r="AJ704" s="22" t="str">
        <f t="shared" si="946"/>
        <v>고수</v>
      </c>
      <c r="AK704" s="22" t="str">
        <f t="shared" si="947"/>
        <v>고수</v>
      </c>
      <c r="AL704" s="22" t="str">
        <f t="shared" si="948"/>
        <v>4 : 2</v>
      </c>
      <c r="AM704" s="22">
        <f t="shared" si="949"/>
        <v>4</v>
      </c>
      <c r="AN704" s="22">
        <f t="shared" si="950"/>
        <v>2</v>
      </c>
      <c r="AO704" s="22">
        <f t="shared" si="951"/>
        <v>27</v>
      </c>
      <c r="AP704" s="22" t="str">
        <f t="shared" si="952"/>
        <v>O</v>
      </c>
      <c r="AQ704" s="22" t="str">
        <f t="shared" si="953"/>
        <v>X</v>
      </c>
      <c r="AR704" s="22" t="str">
        <f t="shared" si="954"/>
        <v>X</v>
      </c>
      <c r="AS704" s="22" t="str">
        <f t="shared" si="955"/>
        <v>X</v>
      </c>
      <c r="AT704" s="22" t="str">
        <f t="shared" si="956"/>
        <v>X</v>
      </c>
      <c r="AU704" s="22" t="str">
        <f t="shared" si="957"/>
        <v>X</v>
      </c>
      <c r="AV704" s="22" t="str">
        <f t="shared" si="958"/>
        <v>X</v>
      </c>
      <c r="AW704" s="22" t="str">
        <f t="shared" si="959"/>
        <v>X</v>
      </c>
      <c r="AX704" s="22" t="str">
        <f t="shared" si="960"/>
        <v>X</v>
      </c>
      <c r="AY704" s="22" t="str">
        <f t="shared" si="961"/>
        <v>X</v>
      </c>
      <c r="AZ704" s="22" t="str">
        <f t="shared" si="962"/>
        <v>X</v>
      </c>
      <c r="BA704" s="22" t="str">
        <f t="shared" si="963"/>
        <v>X</v>
      </c>
      <c r="BB704" s="22">
        <f t="shared" si="964"/>
        <v>1</v>
      </c>
      <c r="BC704" s="22" t="str">
        <f t="shared" ref="BC704:BC705" si="1118">VLOOKUP(N704,삼그룹,6,FALSE)</f>
        <v>1G</v>
      </c>
      <c r="BD704" s="22" t="str">
        <f t="shared" ref="BD704:BD705" si="1119">VLOOKUP(O704,삼그룹,6,FALSE)</f>
        <v>1G</v>
      </c>
      <c r="BE704" s="22" t="str">
        <f t="shared" ref="BE704:BE705" si="1120">VLOOKUP(P704,삼그룹,6,FALSE)</f>
        <v>1G</v>
      </c>
      <c r="BF704" s="22" t="str">
        <f t="shared" ref="BF704:BF705" si="1121">VLOOKUP(Q704,삼그룹,6,FALSE)</f>
        <v>2G</v>
      </c>
      <c r="BG704" s="22" t="str">
        <f t="shared" ref="BG704:BG705" si="1122">VLOOKUP(R704,삼그룹,6,FALSE)</f>
        <v>3G</v>
      </c>
      <c r="BH704" s="22" t="str">
        <f t="shared" ref="BH704:BH705" si="1123">VLOOKUP(S704,삼그룹,6,FALSE)</f>
        <v>3G</v>
      </c>
      <c r="BI704" s="22">
        <f t="shared" si="1101"/>
        <v>3</v>
      </c>
      <c r="BJ704" s="22">
        <f t="shared" si="1102"/>
        <v>1</v>
      </c>
      <c r="BK704" s="22">
        <f t="shared" si="1103"/>
        <v>2</v>
      </c>
      <c r="BL704" s="22" t="str">
        <f t="shared" ref="BL704:BL705" si="1124">BI704&amp;BJ704&amp;BK704</f>
        <v>312</v>
      </c>
      <c r="BS704"/>
    </row>
    <row r="705" spans="2:71" ht="17">
      <c r="B705" s="16">
        <v>702</v>
      </c>
      <c r="C705" s="23" t="s">
        <v>1068</v>
      </c>
      <c r="N705" s="23">
        <v>3</v>
      </c>
      <c r="O705" s="23">
        <v>13</v>
      </c>
      <c r="P705" s="23">
        <v>16</v>
      </c>
      <c r="Q705" s="23">
        <v>24</v>
      </c>
      <c r="R705" s="23">
        <v>26</v>
      </c>
      <c r="S705" s="23">
        <v>29</v>
      </c>
      <c r="T705" s="23">
        <v>9</v>
      </c>
      <c r="U705" s="23">
        <f t="shared" si="932"/>
        <v>111</v>
      </c>
      <c r="W705" s="22" t="str">
        <f t="shared" si="933"/>
        <v>홀수</v>
      </c>
      <c r="X705" s="22" t="str">
        <f t="shared" si="934"/>
        <v>홀수</v>
      </c>
      <c r="Y705" s="22" t="str">
        <f t="shared" si="935"/>
        <v>짝수</v>
      </c>
      <c r="Z705" s="22" t="str">
        <f t="shared" si="936"/>
        <v>짝수</v>
      </c>
      <c r="AA705" s="23" t="str">
        <f t="shared" si="937"/>
        <v>짝수</v>
      </c>
      <c r="AB705" s="23" t="str">
        <f t="shared" si="938"/>
        <v>홀수</v>
      </c>
      <c r="AC705" s="22" t="str">
        <f t="shared" si="939"/>
        <v>3 : 3</v>
      </c>
      <c r="AD705" s="22">
        <f t="shared" si="940"/>
        <v>3</v>
      </c>
      <c r="AE705" s="22">
        <f t="shared" si="941"/>
        <v>3</v>
      </c>
      <c r="AF705" s="22" t="str">
        <f t="shared" si="942"/>
        <v>저수</v>
      </c>
      <c r="AG705" s="22" t="str">
        <f t="shared" si="943"/>
        <v>저수</v>
      </c>
      <c r="AH705" s="22" t="str">
        <f t="shared" si="944"/>
        <v>저수</v>
      </c>
      <c r="AI705" s="22" t="str">
        <f t="shared" si="945"/>
        <v>고수</v>
      </c>
      <c r="AJ705" s="22" t="str">
        <f t="shared" si="946"/>
        <v>고수</v>
      </c>
      <c r="AK705" s="22" t="str">
        <f t="shared" si="947"/>
        <v>고수</v>
      </c>
      <c r="AL705" s="22" t="str">
        <f t="shared" si="948"/>
        <v>3 : 3</v>
      </c>
      <c r="AM705" s="22">
        <f t="shared" si="949"/>
        <v>3</v>
      </c>
      <c r="AN705" s="22">
        <f t="shared" si="950"/>
        <v>3</v>
      </c>
      <c r="AO705" s="22">
        <f t="shared" si="951"/>
        <v>31</v>
      </c>
      <c r="AP705" s="22" t="str">
        <f t="shared" si="952"/>
        <v>O</v>
      </c>
      <c r="AQ705" s="22" t="str">
        <f t="shared" si="953"/>
        <v>O</v>
      </c>
      <c r="AR705" s="22" t="str">
        <f t="shared" si="954"/>
        <v>X</v>
      </c>
      <c r="AS705" s="22" t="str">
        <f t="shared" si="955"/>
        <v>X</v>
      </c>
      <c r="AT705" s="22" t="str">
        <f t="shared" si="956"/>
        <v>X</v>
      </c>
      <c r="AU705" s="22" t="str">
        <f t="shared" si="957"/>
        <v>X</v>
      </c>
      <c r="AV705" s="22" t="str">
        <f t="shared" si="958"/>
        <v>X</v>
      </c>
      <c r="AW705" s="22" t="str">
        <f t="shared" si="959"/>
        <v>X</v>
      </c>
      <c r="AX705" s="22" t="str">
        <f t="shared" si="960"/>
        <v>X</v>
      </c>
      <c r="AY705" s="22" t="str">
        <f t="shared" si="961"/>
        <v>X</v>
      </c>
      <c r="AZ705" s="22" t="str">
        <f t="shared" si="962"/>
        <v>X</v>
      </c>
      <c r="BA705" s="22" t="str">
        <f t="shared" si="963"/>
        <v>O</v>
      </c>
      <c r="BB705" s="22">
        <f t="shared" si="964"/>
        <v>3</v>
      </c>
      <c r="BC705" s="22" t="str">
        <f t="shared" si="1118"/>
        <v>1G</v>
      </c>
      <c r="BD705" s="22" t="str">
        <f t="shared" si="1119"/>
        <v>1G</v>
      </c>
      <c r="BE705" s="22" t="str">
        <f t="shared" si="1120"/>
        <v>2G</v>
      </c>
      <c r="BF705" s="22" t="str">
        <f t="shared" si="1121"/>
        <v>2G</v>
      </c>
      <c r="BG705" s="22" t="str">
        <f t="shared" si="1122"/>
        <v>2G</v>
      </c>
      <c r="BH705" s="22" t="str">
        <f t="shared" si="1123"/>
        <v>2G</v>
      </c>
      <c r="BI705" s="22">
        <f t="shared" si="1101"/>
        <v>2</v>
      </c>
      <c r="BJ705" s="22">
        <f t="shared" si="1102"/>
        <v>4</v>
      </c>
      <c r="BK705" s="22">
        <f t="shared" si="1103"/>
        <v>0</v>
      </c>
      <c r="BL705" s="22" t="str">
        <f t="shared" si="1124"/>
        <v>240</v>
      </c>
      <c r="BS705"/>
    </row>
    <row r="706" spans="2:71">
      <c r="B706" s="16">
        <v>703</v>
      </c>
      <c r="C706" s="23" t="s">
        <v>1069</v>
      </c>
      <c r="N706" s="23">
        <v>10</v>
      </c>
      <c r="O706" s="23">
        <v>28</v>
      </c>
      <c r="P706" s="23">
        <v>31</v>
      </c>
      <c r="Q706" s="23">
        <v>33</v>
      </c>
      <c r="R706" s="23">
        <v>41</v>
      </c>
      <c r="S706" s="23">
        <v>44</v>
      </c>
      <c r="T706" s="23">
        <v>21</v>
      </c>
      <c r="U706" s="23">
        <f t="shared" si="932"/>
        <v>187</v>
      </c>
      <c r="W706" s="22" t="str">
        <f t="shared" si="933"/>
        <v>짝수</v>
      </c>
      <c r="X706" s="22" t="str">
        <f t="shared" si="934"/>
        <v>짝수</v>
      </c>
      <c r="Y706" s="22" t="str">
        <f t="shared" si="935"/>
        <v>홀수</v>
      </c>
      <c r="Z706" s="22" t="str">
        <f t="shared" si="936"/>
        <v>홀수</v>
      </c>
      <c r="AA706" s="23" t="str">
        <f t="shared" si="937"/>
        <v>홀수</v>
      </c>
      <c r="AB706" s="23" t="str">
        <f t="shared" si="938"/>
        <v>짝수</v>
      </c>
      <c r="AC706" s="22" t="str">
        <f t="shared" si="939"/>
        <v>3 : 3</v>
      </c>
      <c r="AD706" s="22">
        <f t="shared" si="940"/>
        <v>3</v>
      </c>
      <c r="AE706" s="22">
        <f t="shared" si="941"/>
        <v>3</v>
      </c>
      <c r="AF706" s="22" t="str">
        <f t="shared" si="942"/>
        <v>저수</v>
      </c>
      <c r="AG706" s="22" t="str">
        <f t="shared" si="943"/>
        <v>고수</v>
      </c>
      <c r="AH706" s="22" t="str">
        <f t="shared" si="944"/>
        <v>고수</v>
      </c>
      <c r="AI706" s="22" t="str">
        <f t="shared" si="945"/>
        <v>고수</v>
      </c>
      <c r="AJ706" s="22" t="str">
        <f t="shared" si="946"/>
        <v>고수</v>
      </c>
      <c r="AK706" s="22" t="str">
        <f t="shared" si="947"/>
        <v>고수</v>
      </c>
      <c r="AL706" s="22" t="str">
        <f t="shared" si="948"/>
        <v>1 : 5</v>
      </c>
      <c r="AM706" s="22">
        <f t="shared" si="949"/>
        <v>1</v>
      </c>
      <c r="AN706" s="22">
        <f t="shared" si="950"/>
        <v>5</v>
      </c>
      <c r="AO706" s="22">
        <f t="shared" si="951"/>
        <v>17</v>
      </c>
      <c r="AP706" s="22" t="str">
        <f t="shared" si="952"/>
        <v>X</v>
      </c>
      <c r="AQ706" s="22" t="str">
        <f t="shared" si="953"/>
        <v>X</v>
      </c>
      <c r="AR706" s="22" t="str">
        <f t="shared" si="954"/>
        <v>X</v>
      </c>
      <c r="AS706" s="22" t="str">
        <f t="shared" si="955"/>
        <v>X</v>
      </c>
      <c r="AT706" s="22" t="str">
        <f t="shared" si="956"/>
        <v>X</v>
      </c>
      <c r="AU706" s="22" t="str">
        <f t="shared" si="957"/>
        <v>X</v>
      </c>
      <c r="AV706" s="22" t="str">
        <f t="shared" si="958"/>
        <v>X</v>
      </c>
      <c r="AW706" s="22" t="str">
        <f t="shared" si="959"/>
        <v>X</v>
      </c>
      <c r="AX706" s="22" t="str">
        <f t="shared" si="960"/>
        <v>O</v>
      </c>
      <c r="AY706" s="22" t="str">
        <f t="shared" si="961"/>
        <v>X</v>
      </c>
      <c r="AZ706" s="22" t="str">
        <f t="shared" si="962"/>
        <v>O</v>
      </c>
      <c r="BA706" s="22" t="str">
        <f t="shared" si="963"/>
        <v>X</v>
      </c>
      <c r="BB706" s="22">
        <f t="shared" si="964"/>
        <v>2</v>
      </c>
      <c r="BC706" s="22" t="str">
        <f t="shared" ref="BC706:BC707" si="1125">VLOOKUP(N706,삼그룹,6,FALSE)</f>
        <v>1G</v>
      </c>
      <c r="BD706" s="22" t="str">
        <f t="shared" ref="BD706:BD707" si="1126">VLOOKUP(O706,삼그룹,6,FALSE)</f>
        <v>2G</v>
      </c>
      <c r="BE706" s="22" t="str">
        <f t="shared" ref="BE706:BE707" si="1127">VLOOKUP(P706,삼그룹,6,FALSE)</f>
        <v>3G</v>
      </c>
      <c r="BF706" s="22" t="str">
        <f t="shared" ref="BF706:BF707" si="1128">VLOOKUP(Q706,삼그룹,6,FALSE)</f>
        <v>3G</v>
      </c>
      <c r="BG706" s="22" t="str">
        <f t="shared" ref="BG706:BG707" si="1129">VLOOKUP(R706,삼그룹,6,FALSE)</f>
        <v>3G</v>
      </c>
      <c r="BH706" s="22" t="str">
        <f t="shared" ref="BH706:BH707" si="1130">VLOOKUP(S706,삼그룹,6,FALSE)</f>
        <v>3G</v>
      </c>
      <c r="BI706" s="22">
        <f t="shared" si="1101"/>
        <v>1</v>
      </c>
      <c r="BJ706" s="22">
        <f t="shared" si="1102"/>
        <v>1</v>
      </c>
      <c r="BK706" s="22">
        <f t="shared" si="1103"/>
        <v>4</v>
      </c>
      <c r="BL706" s="22" t="str">
        <f t="shared" ref="BL706:BL707" si="1131">BI706&amp;BJ706&amp;BK706</f>
        <v>114</v>
      </c>
    </row>
    <row r="707" spans="2:71">
      <c r="B707" s="16">
        <v>704</v>
      </c>
      <c r="C707" s="23" t="s">
        <v>1070</v>
      </c>
      <c r="N707" s="23">
        <v>1</v>
      </c>
      <c r="O707" s="23">
        <v>4</v>
      </c>
      <c r="P707" s="23">
        <v>8</v>
      </c>
      <c r="Q707" s="23">
        <v>23</v>
      </c>
      <c r="R707" s="23">
        <v>33</v>
      </c>
      <c r="S707" s="23">
        <v>42</v>
      </c>
      <c r="T707" s="23">
        <v>45</v>
      </c>
      <c r="U707" s="23">
        <f t="shared" si="932"/>
        <v>111</v>
      </c>
      <c r="W707" s="22" t="str">
        <f t="shared" si="933"/>
        <v>홀수</v>
      </c>
      <c r="X707" s="22" t="str">
        <f t="shared" si="934"/>
        <v>짝수</v>
      </c>
      <c r="Y707" s="22" t="str">
        <f t="shared" si="935"/>
        <v>짝수</v>
      </c>
      <c r="Z707" s="22" t="str">
        <f t="shared" si="936"/>
        <v>홀수</v>
      </c>
      <c r="AA707" s="23" t="str">
        <f t="shared" si="937"/>
        <v>홀수</v>
      </c>
      <c r="AB707" s="23" t="str">
        <f t="shared" si="938"/>
        <v>짝수</v>
      </c>
      <c r="AC707" s="22" t="str">
        <f t="shared" si="939"/>
        <v>3 : 3</v>
      </c>
      <c r="AD707" s="22">
        <f t="shared" si="940"/>
        <v>3</v>
      </c>
      <c r="AE707" s="22">
        <f t="shared" si="941"/>
        <v>3</v>
      </c>
      <c r="AF707" s="22" t="str">
        <f t="shared" si="942"/>
        <v>저수</v>
      </c>
      <c r="AG707" s="22" t="str">
        <f t="shared" si="943"/>
        <v>저수</v>
      </c>
      <c r="AH707" s="22" t="str">
        <f t="shared" si="944"/>
        <v>저수</v>
      </c>
      <c r="AI707" s="22" t="str">
        <f t="shared" si="945"/>
        <v>고수</v>
      </c>
      <c r="AJ707" s="22" t="str">
        <f t="shared" si="946"/>
        <v>고수</v>
      </c>
      <c r="AK707" s="22" t="str">
        <f t="shared" si="947"/>
        <v>고수</v>
      </c>
      <c r="AL707" s="22" t="str">
        <f t="shared" si="948"/>
        <v>3 : 3</v>
      </c>
      <c r="AM707" s="22">
        <f t="shared" si="949"/>
        <v>3</v>
      </c>
      <c r="AN707" s="22">
        <f t="shared" si="950"/>
        <v>3</v>
      </c>
      <c r="AO707" s="22">
        <f t="shared" si="951"/>
        <v>21</v>
      </c>
      <c r="AP707" s="22" t="str">
        <f t="shared" si="952"/>
        <v>X</v>
      </c>
      <c r="AQ707" s="22" t="str">
        <f t="shared" si="953"/>
        <v>X</v>
      </c>
      <c r="AR707" s="22" t="str">
        <f t="shared" si="954"/>
        <v>X</v>
      </c>
      <c r="AS707" s="22" t="str">
        <f t="shared" si="955"/>
        <v>X</v>
      </c>
      <c r="AT707" s="22" t="str">
        <f t="shared" si="956"/>
        <v>X</v>
      </c>
      <c r="AU707" s="22" t="str">
        <f t="shared" si="957"/>
        <v>X</v>
      </c>
      <c r="AV707" s="22" t="str">
        <f t="shared" si="958"/>
        <v>X</v>
      </c>
      <c r="AW707" s="22" t="str">
        <f t="shared" si="959"/>
        <v>X</v>
      </c>
      <c r="AX707" s="22" t="str">
        <f t="shared" si="960"/>
        <v>X</v>
      </c>
      <c r="AY707" s="22" t="str">
        <f t="shared" si="961"/>
        <v>O</v>
      </c>
      <c r="AZ707" s="22" t="str">
        <f t="shared" si="962"/>
        <v>X</v>
      </c>
      <c r="BA707" s="22" t="str">
        <f t="shared" si="963"/>
        <v>X</v>
      </c>
      <c r="BB707" s="22">
        <f t="shared" si="964"/>
        <v>1</v>
      </c>
      <c r="BC707" s="22" t="str">
        <f t="shared" si="1125"/>
        <v>1G</v>
      </c>
      <c r="BD707" s="22" t="str">
        <f t="shared" si="1126"/>
        <v>1G</v>
      </c>
      <c r="BE707" s="22" t="str">
        <f t="shared" si="1127"/>
        <v>1G</v>
      </c>
      <c r="BF707" s="22" t="str">
        <f t="shared" si="1128"/>
        <v>2G</v>
      </c>
      <c r="BG707" s="22" t="str">
        <f t="shared" si="1129"/>
        <v>3G</v>
      </c>
      <c r="BH707" s="22" t="str">
        <f t="shared" si="1130"/>
        <v>3G</v>
      </c>
      <c r="BI707" s="22">
        <f t="shared" si="1101"/>
        <v>3</v>
      </c>
      <c r="BJ707" s="22">
        <f t="shared" si="1102"/>
        <v>1</v>
      </c>
      <c r="BK707" s="22">
        <f t="shared" si="1103"/>
        <v>2</v>
      </c>
      <c r="BL707" s="22" t="str">
        <f t="shared" si="1131"/>
        <v>312</v>
      </c>
    </row>
    <row r="708" spans="2:71">
      <c r="B708" s="16">
        <v>705</v>
      </c>
      <c r="C708" s="23" t="s">
        <v>1071</v>
      </c>
      <c r="N708" s="23">
        <v>1</v>
      </c>
      <c r="O708" s="23">
        <v>6</v>
      </c>
      <c r="P708" s="23">
        <v>17</v>
      </c>
      <c r="Q708" s="23">
        <v>22</v>
      </c>
      <c r="R708" s="23">
        <v>28</v>
      </c>
      <c r="S708" s="23">
        <v>45</v>
      </c>
      <c r="T708" s="23">
        <v>23</v>
      </c>
      <c r="U708" s="23">
        <f t="shared" si="932"/>
        <v>119</v>
      </c>
      <c r="W708" s="22" t="str">
        <f t="shared" si="933"/>
        <v>홀수</v>
      </c>
      <c r="X708" s="22" t="str">
        <f t="shared" si="934"/>
        <v>짝수</v>
      </c>
      <c r="Y708" s="22" t="str">
        <f t="shared" si="935"/>
        <v>홀수</v>
      </c>
      <c r="Z708" s="22" t="str">
        <f t="shared" si="936"/>
        <v>짝수</v>
      </c>
      <c r="AA708" s="23" t="str">
        <f t="shared" si="937"/>
        <v>짝수</v>
      </c>
      <c r="AB708" s="23" t="str">
        <f t="shared" si="938"/>
        <v>홀수</v>
      </c>
      <c r="AC708" s="22" t="str">
        <f t="shared" si="939"/>
        <v>3 : 3</v>
      </c>
      <c r="AD708" s="22">
        <f t="shared" si="940"/>
        <v>3</v>
      </c>
      <c r="AE708" s="22">
        <f t="shared" si="941"/>
        <v>3</v>
      </c>
      <c r="AF708" s="22" t="str">
        <f t="shared" si="942"/>
        <v>저수</v>
      </c>
      <c r="AG708" s="22" t="str">
        <f t="shared" si="943"/>
        <v>저수</v>
      </c>
      <c r="AH708" s="22" t="str">
        <f t="shared" si="944"/>
        <v>저수</v>
      </c>
      <c r="AI708" s="22" t="str">
        <f t="shared" si="945"/>
        <v>저수</v>
      </c>
      <c r="AJ708" s="22" t="str">
        <f t="shared" si="946"/>
        <v>고수</v>
      </c>
      <c r="AK708" s="22" t="str">
        <f t="shared" si="947"/>
        <v>고수</v>
      </c>
      <c r="AL708" s="22" t="str">
        <f t="shared" si="948"/>
        <v>4 : 2</v>
      </c>
      <c r="AM708" s="22">
        <f t="shared" si="949"/>
        <v>4</v>
      </c>
      <c r="AN708" s="22">
        <f t="shared" si="950"/>
        <v>2</v>
      </c>
      <c r="AO708" s="22">
        <f t="shared" si="951"/>
        <v>29</v>
      </c>
      <c r="AP708" s="22" t="str">
        <f t="shared" si="952"/>
        <v>X</v>
      </c>
      <c r="AQ708" s="22" t="str">
        <f t="shared" si="953"/>
        <v>X</v>
      </c>
      <c r="AR708" s="22" t="str">
        <f t="shared" si="954"/>
        <v>O</v>
      </c>
      <c r="AS708" s="22" t="str">
        <f t="shared" si="955"/>
        <v>X</v>
      </c>
      <c r="AT708" s="22" t="str">
        <f t="shared" si="956"/>
        <v>X</v>
      </c>
      <c r="AU708" s="22" t="str">
        <f t="shared" si="957"/>
        <v>X</v>
      </c>
      <c r="AV708" s="22" t="str">
        <f t="shared" si="958"/>
        <v>X</v>
      </c>
      <c r="AW708" s="22" t="str">
        <f t="shared" si="959"/>
        <v>X</v>
      </c>
      <c r="AX708" s="22" t="str">
        <f t="shared" si="960"/>
        <v>X</v>
      </c>
      <c r="AY708" s="22" t="str">
        <f t="shared" si="961"/>
        <v>X</v>
      </c>
      <c r="AZ708" s="22" t="str">
        <f t="shared" si="962"/>
        <v>X</v>
      </c>
      <c r="BA708" s="22" t="str">
        <f t="shared" si="963"/>
        <v>X</v>
      </c>
      <c r="BB708" s="22">
        <f t="shared" si="964"/>
        <v>1</v>
      </c>
      <c r="BC708" s="22" t="str">
        <f t="shared" ref="BC708:BC709" si="1132">VLOOKUP(N708,삼그룹,6,FALSE)</f>
        <v>1G</v>
      </c>
      <c r="BD708" s="22" t="str">
        <f t="shared" ref="BD708:BD709" si="1133">VLOOKUP(O708,삼그룹,6,FALSE)</f>
        <v>1G</v>
      </c>
      <c r="BE708" s="22" t="str">
        <f t="shared" ref="BE708:BE709" si="1134">VLOOKUP(P708,삼그룹,6,FALSE)</f>
        <v>2G</v>
      </c>
      <c r="BF708" s="22" t="str">
        <f t="shared" ref="BF708:BF709" si="1135">VLOOKUP(Q708,삼그룹,6,FALSE)</f>
        <v>2G</v>
      </c>
      <c r="BG708" s="22" t="str">
        <f t="shared" ref="BG708:BG709" si="1136">VLOOKUP(R708,삼그룹,6,FALSE)</f>
        <v>2G</v>
      </c>
      <c r="BH708" s="22" t="str">
        <f t="shared" ref="BH708:BH709" si="1137">VLOOKUP(S708,삼그룹,6,FALSE)</f>
        <v>3G</v>
      </c>
      <c r="BI708" s="22">
        <f t="shared" si="1101"/>
        <v>2</v>
      </c>
      <c r="BJ708" s="22">
        <f t="shared" si="1102"/>
        <v>3</v>
      </c>
      <c r="BK708" s="22">
        <f t="shared" si="1103"/>
        <v>1</v>
      </c>
      <c r="BL708" s="22" t="str">
        <f t="shared" ref="BL708:BL709" si="1138">BI708&amp;BJ708&amp;BK708</f>
        <v>231</v>
      </c>
    </row>
    <row r="709" spans="2:71">
      <c r="B709" s="16">
        <v>706</v>
      </c>
      <c r="C709" s="23" t="s">
        <v>1072</v>
      </c>
      <c r="N709" s="23">
        <v>3</v>
      </c>
      <c r="O709" s="23">
        <v>4</v>
      </c>
      <c r="P709" s="23">
        <v>6</v>
      </c>
      <c r="Q709" s="23">
        <v>10</v>
      </c>
      <c r="R709" s="23">
        <v>28</v>
      </c>
      <c r="S709" s="23">
        <v>30</v>
      </c>
      <c r="T709" s="23">
        <v>37</v>
      </c>
      <c r="U709" s="23">
        <f t="shared" si="932"/>
        <v>81</v>
      </c>
      <c r="W709" s="22" t="str">
        <f t="shared" si="933"/>
        <v>홀수</v>
      </c>
      <c r="X709" s="22" t="str">
        <f t="shared" si="934"/>
        <v>짝수</v>
      </c>
      <c r="Y709" s="22" t="str">
        <f t="shared" si="935"/>
        <v>짝수</v>
      </c>
      <c r="Z709" s="22" t="str">
        <f t="shared" si="936"/>
        <v>짝수</v>
      </c>
      <c r="AA709" s="23" t="str">
        <f t="shared" si="937"/>
        <v>짝수</v>
      </c>
      <c r="AB709" s="23" t="str">
        <f t="shared" si="938"/>
        <v>짝수</v>
      </c>
      <c r="AC709" s="22" t="str">
        <f t="shared" si="939"/>
        <v>1 : 5</v>
      </c>
      <c r="AD709" s="22">
        <f t="shared" si="940"/>
        <v>1</v>
      </c>
      <c r="AE709" s="22">
        <f t="shared" si="941"/>
        <v>5</v>
      </c>
      <c r="AF709" s="22" t="str">
        <f t="shared" si="942"/>
        <v>저수</v>
      </c>
      <c r="AG709" s="22" t="str">
        <f t="shared" si="943"/>
        <v>저수</v>
      </c>
      <c r="AH709" s="22" t="str">
        <f t="shared" si="944"/>
        <v>저수</v>
      </c>
      <c r="AI709" s="22" t="str">
        <f t="shared" si="945"/>
        <v>저수</v>
      </c>
      <c r="AJ709" s="22" t="str">
        <f t="shared" si="946"/>
        <v>고수</v>
      </c>
      <c r="AK709" s="22" t="str">
        <f t="shared" si="947"/>
        <v>고수</v>
      </c>
      <c r="AL709" s="22" t="str">
        <f t="shared" si="948"/>
        <v>4 : 2</v>
      </c>
      <c r="AM709" s="22">
        <f t="shared" si="949"/>
        <v>4</v>
      </c>
      <c r="AN709" s="22">
        <f t="shared" si="950"/>
        <v>2</v>
      </c>
      <c r="AO709" s="22">
        <f t="shared" si="951"/>
        <v>21</v>
      </c>
      <c r="AP709" s="22" t="str">
        <f t="shared" si="952"/>
        <v>O</v>
      </c>
      <c r="AQ709" s="22" t="str">
        <f t="shared" si="953"/>
        <v>X</v>
      </c>
      <c r="AR709" s="22" t="str">
        <f t="shared" si="954"/>
        <v>X</v>
      </c>
      <c r="AS709" s="22" t="str">
        <f t="shared" si="955"/>
        <v>X</v>
      </c>
      <c r="AT709" s="22" t="str">
        <f t="shared" si="956"/>
        <v>X</v>
      </c>
      <c r="AU709" s="22" t="str">
        <f t="shared" si="957"/>
        <v>X</v>
      </c>
      <c r="AV709" s="22" t="str">
        <f t="shared" si="958"/>
        <v>X</v>
      </c>
      <c r="AW709" s="22" t="str">
        <f t="shared" si="959"/>
        <v>X</v>
      </c>
      <c r="AX709" s="22" t="str">
        <f t="shared" si="960"/>
        <v>X</v>
      </c>
      <c r="AY709" s="22" t="str">
        <f t="shared" si="961"/>
        <v>X</v>
      </c>
      <c r="AZ709" s="22" t="str">
        <f t="shared" si="962"/>
        <v>X</v>
      </c>
      <c r="BA709" s="22" t="str">
        <f t="shared" si="963"/>
        <v>X</v>
      </c>
      <c r="BB709" s="22">
        <f t="shared" si="964"/>
        <v>1</v>
      </c>
      <c r="BC709" s="22" t="str">
        <f t="shared" si="1132"/>
        <v>1G</v>
      </c>
      <c r="BD709" s="22" t="str">
        <f t="shared" si="1133"/>
        <v>1G</v>
      </c>
      <c r="BE709" s="22" t="str">
        <f t="shared" si="1134"/>
        <v>1G</v>
      </c>
      <c r="BF709" s="22" t="str">
        <f t="shared" si="1135"/>
        <v>1G</v>
      </c>
      <c r="BG709" s="22" t="str">
        <f t="shared" si="1136"/>
        <v>2G</v>
      </c>
      <c r="BH709" s="22" t="str">
        <f t="shared" si="1137"/>
        <v>2G</v>
      </c>
      <c r="BI709" s="22">
        <f t="shared" si="1101"/>
        <v>4</v>
      </c>
      <c r="BJ709" s="22">
        <f t="shared" si="1102"/>
        <v>2</v>
      </c>
      <c r="BK709" s="22">
        <f t="shared" si="1103"/>
        <v>0</v>
      </c>
      <c r="BL709" s="22" t="str">
        <f t="shared" si="1138"/>
        <v>420</v>
      </c>
    </row>
    <row r="710" spans="2:71">
      <c r="B710" s="16">
        <v>707</v>
      </c>
      <c r="C710" s="23" t="s">
        <v>1073</v>
      </c>
      <c r="N710" s="23">
        <v>2</v>
      </c>
      <c r="O710" s="23">
        <v>12</v>
      </c>
      <c r="P710" s="23">
        <v>19</v>
      </c>
      <c r="Q710" s="23">
        <v>24</v>
      </c>
      <c r="R710" s="23">
        <v>39</v>
      </c>
      <c r="S710" s="23">
        <v>44</v>
      </c>
      <c r="T710" s="23">
        <v>35</v>
      </c>
      <c r="U710" s="23">
        <f t="shared" si="932"/>
        <v>140</v>
      </c>
      <c r="W710" s="22" t="str">
        <f t="shared" si="933"/>
        <v>짝수</v>
      </c>
      <c r="X710" s="22" t="str">
        <f t="shared" si="934"/>
        <v>짝수</v>
      </c>
      <c r="Y710" s="22" t="str">
        <f t="shared" si="935"/>
        <v>홀수</v>
      </c>
      <c r="Z710" s="22" t="str">
        <f t="shared" si="936"/>
        <v>짝수</v>
      </c>
      <c r="AA710" s="23" t="str">
        <f t="shared" si="937"/>
        <v>홀수</v>
      </c>
      <c r="AB710" s="23" t="str">
        <f t="shared" si="938"/>
        <v>짝수</v>
      </c>
      <c r="AC710" s="22" t="str">
        <f t="shared" si="939"/>
        <v>2 : 4</v>
      </c>
      <c r="AD710" s="22">
        <f t="shared" si="940"/>
        <v>2</v>
      </c>
      <c r="AE710" s="22">
        <f t="shared" si="941"/>
        <v>4</v>
      </c>
      <c r="AF710" s="22" t="str">
        <f t="shared" si="942"/>
        <v>저수</v>
      </c>
      <c r="AG710" s="22" t="str">
        <f t="shared" si="943"/>
        <v>저수</v>
      </c>
      <c r="AH710" s="22" t="str">
        <f t="shared" si="944"/>
        <v>저수</v>
      </c>
      <c r="AI710" s="22" t="str">
        <f t="shared" si="945"/>
        <v>고수</v>
      </c>
      <c r="AJ710" s="22" t="str">
        <f t="shared" si="946"/>
        <v>고수</v>
      </c>
      <c r="AK710" s="22" t="str">
        <f t="shared" si="947"/>
        <v>고수</v>
      </c>
      <c r="AL710" s="22" t="str">
        <f t="shared" si="948"/>
        <v>3 : 3</v>
      </c>
      <c r="AM710" s="22">
        <f t="shared" si="949"/>
        <v>3</v>
      </c>
      <c r="AN710" s="22">
        <f t="shared" si="950"/>
        <v>3</v>
      </c>
      <c r="AO710" s="22">
        <f t="shared" si="951"/>
        <v>30</v>
      </c>
      <c r="AP710" s="22" t="str">
        <f t="shared" si="952"/>
        <v>O</v>
      </c>
      <c r="AQ710" s="22" t="str">
        <f t="shared" si="953"/>
        <v>X</v>
      </c>
      <c r="AR710" s="22" t="str">
        <f t="shared" si="954"/>
        <v>O</v>
      </c>
      <c r="AS710" s="22" t="str">
        <f t="shared" si="955"/>
        <v>X</v>
      </c>
      <c r="AT710" s="22" t="str">
        <f t="shared" si="956"/>
        <v>X</v>
      </c>
      <c r="AU710" s="22" t="str">
        <f t="shared" si="957"/>
        <v>X</v>
      </c>
      <c r="AV710" s="22" t="str">
        <f t="shared" si="958"/>
        <v>X</v>
      </c>
      <c r="AW710" s="22" t="str">
        <f t="shared" si="959"/>
        <v>X</v>
      </c>
      <c r="AX710" s="22" t="str">
        <f t="shared" si="960"/>
        <v>X</v>
      </c>
      <c r="AY710" s="22" t="str">
        <f t="shared" si="961"/>
        <v>X</v>
      </c>
      <c r="AZ710" s="22" t="str">
        <f t="shared" si="962"/>
        <v>X</v>
      </c>
      <c r="BA710" s="22" t="str">
        <f t="shared" si="963"/>
        <v>X</v>
      </c>
      <c r="BB710" s="22">
        <f t="shared" si="964"/>
        <v>2</v>
      </c>
      <c r="BC710" s="22" t="str">
        <f t="shared" ref="BC710:BC712" si="1139">VLOOKUP(N710,삼그룹,6,FALSE)</f>
        <v>1G</v>
      </c>
      <c r="BD710" s="22" t="str">
        <f t="shared" ref="BD710:BD712" si="1140">VLOOKUP(O710,삼그룹,6,FALSE)</f>
        <v>1G</v>
      </c>
      <c r="BE710" s="22" t="str">
        <f t="shared" ref="BE710:BE712" si="1141">VLOOKUP(P710,삼그룹,6,FALSE)</f>
        <v>2G</v>
      </c>
      <c r="BF710" s="22" t="str">
        <f t="shared" ref="BF710:BF712" si="1142">VLOOKUP(Q710,삼그룹,6,FALSE)</f>
        <v>2G</v>
      </c>
      <c r="BG710" s="22" t="str">
        <f t="shared" ref="BG710:BG712" si="1143">VLOOKUP(R710,삼그룹,6,FALSE)</f>
        <v>3G</v>
      </c>
      <c r="BH710" s="22" t="str">
        <f t="shared" ref="BH710:BH712" si="1144">VLOOKUP(S710,삼그룹,6,FALSE)</f>
        <v>3G</v>
      </c>
      <c r="BI710" s="22">
        <f t="shared" si="1101"/>
        <v>2</v>
      </c>
      <c r="BJ710" s="22">
        <f t="shared" si="1102"/>
        <v>2</v>
      </c>
      <c r="BK710" s="22">
        <f t="shared" si="1103"/>
        <v>2</v>
      </c>
      <c r="BL710" s="22" t="str">
        <f t="shared" ref="BL710:BL712" si="1145">BI710&amp;BJ710&amp;BK710</f>
        <v>222</v>
      </c>
    </row>
    <row r="711" spans="2:71">
      <c r="B711" s="16">
        <v>708</v>
      </c>
      <c r="C711" s="23" t="s">
        <v>1074</v>
      </c>
      <c r="N711" s="23">
        <v>2</v>
      </c>
      <c r="O711" s="23">
        <v>10</v>
      </c>
      <c r="P711" s="23">
        <v>16</v>
      </c>
      <c r="Q711" s="23">
        <v>19</v>
      </c>
      <c r="R711" s="23">
        <v>34</v>
      </c>
      <c r="S711" s="23">
        <v>45</v>
      </c>
      <c r="T711" s="23">
        <v>1</v>
      </c>
      <c r="U711" s="23">
        <f t="shared" si="932"/>
        <v>126</v>
      </c>
      <c r="W711" s="22" t="str">
        <f t="shared" si="933"/>
        <v>짝수</v>
      </c>
      <c r="X711" s="22" t="str">
        <f t="shared" si="934"/>
        <v>짝수</v>
      </c>
      <c r="Y711" s="22" t="str">
        <f t="shared" si="935"/>
        <v>짝수</v>
      </c>
      <c r="Z711" s="22" t="str">
        <f t="shared" si="936"/>
        <v>홀수</v>
      </c>
      <c r="AA711" s="23" t="str">
        <f t="shared" si="937"/>
        <v>짝수</v>
      </c>
      <c r="AB711" s="23" t="str">
        <f t="shared" si="938"/>
        <v>홀수</v>
      </c>
      <c r="AC711" s="22" t="str">
        <f t="shared" si="939"/>
        <v>2 : 4</v>
      </c>
      <c r="AD711" s="22">
        <f t="shared" si="940"/>
        <v>2</v>
      </c>
      <c r="AE711" s="22">
        <f t="shared" si="941"/>
        <v>4</v>
      </c>
      <c r="AF711" s="22" t="str">
        <f t="shared" si="942"/>
        <v>저수</v>
      </c>
      <c r="AG711" s="22" t="str">
        <f t="shared" si="943"/>
        <v>저수</v>
      </c>
      <c r="AH711" s="22" t="str">
        <f t="shared" si="944"/>
        <v>저수</v>
      </c>
      <c r="AI711" s="22" t="str">
        <f t="shared" si="945"/>
        <v>저수</v>
      </c>
      <c r="AJ711" s="22" t="str">
        <f t="shared" si="946"/>
        <v>고수</v>
      </c>
      <c r="AK711" s="22" t="str">
        <f t="shared" si="947"/>
        <v>고수</v>
      </c>
      <c r="AL711" s="22" t="str">
        <f t="shared" si="948"/>
        <v>4 : 2</v>
      </c>
      <c r="AM711" s="22">
        <f t="shared" si="949"/>
        <v>4</v>
      </c>
      <c r="AN711" s="22">
        <f t="shared" si="950"/>
        <v>2</v>
      </c>
      <c r="AO711" s="22">
        <f t="shared" si="951"/>
        <v>26</v>
      </c>
      <c r="AP711" s="22" t="str">
        <f t="shared" si="952"/>
        <v>O</v>
      </c>
      <c r="AQ711" s="22" t="str">
        <f t="shared" si="953"/>
        <v>X</v>
      </c>
      <c r="AR711" s="22" t="str">
        <f t="shared" si="954"/>
        <v>X</v>
      </c>
      <c r="AS711" s="22" t="str">
        <f t="shared" si="955"/>
        <v>O</v>
      </c>
      <c r="AT711" s="22" t="str">
        <f t="shared" si="956"/>
        <v>X</v>
      </c>
      <c r="AU711" s="22" t="str">
        <f t="shared" si="957"/>
        <v>X</v>
      </c>
      <c r="AV711" s="22" t="str">
        <f t="shared" si="958"/>
        <v>X</v>
      </c>
      <c r="AW711" s="22" t="str">
        <f t="shared" si="959"/>
        <v>X</v>
      </c>
      <c r="AX711" s="22" t="str">
        <f t="shared" si="960"/>
        <v>X</v>
      </c>
      <c r="AY711" s="22" t="str">
        <f t="shared" si="961"/>
        <v>X</v>
      </c>
      <c r="AZ711" s="22" t="str">
        <f t="shared" si="962"/>
        <v>X</v>
      </c>
      <c r="BA711" s="22" t="str">
        <f t="shared" si="963"/>
        <v>X</v>
      </c>
      <c r="BB711" s="22">
        <f t="shared" si="964"/>
        <v>2</v>
      </c>
      <c r="BC711" s="22" t="str">
        <f t="shared" si="1139"/>
        <v>1G</v>
      </c>
      <c r="BD711" s="22" t="str">
        <f t="shared" si="1140"/>
        <v>1G</v>
      </c>
      <c r="BE711" s="22" t="str">
        <f t="shared" si="1141"/>
        <v>2G</v>
      </c>
      <c r="BF711" s="22" t="str">
        <f t="shared" si="1142"/>
        <v>2G</v>
      </c>
      <c r="BG711" s="22" t="str">
        <f t="shared" si="1143"/>
        <v>3G</v>
      </c>
      <c r="BH711" s="22" t="str">
        <f t="shared" si="1144"/>
        <v>3G</v>
      </c>
      <c r="BI711" s="22">
        <f t="shared" si="1101"/>
        <v>2</v>
      </c>
      <c r="BJ711" s="22">
        <f t="shared" si="1102"/>
        <v>2</v>
      </c>
      <c r="BK711" s="22">
        <f t="shared" si="1103"/>
        <v>2</v>
      </c>
      <c r="BL711" s="22" t="str">
        <f t="shared" si="1145"/>
        <v>222</v>
      </c>
    </row>
    <row r="712" spans="2:71">
      <c r="B712" s="16">
        <v>709</v>
      </c>
      <c r="C712" s="23" t="s">
        <v>1075</v>
      </c>
      <c r="N712" s="23">
        <v>10</v>
      </c>
      <c r="O712" s="23">
        <v>18</v>
      </c>
      <c r="P712" s="23">
        <v>30</v>
      </c>
      <c r="Q712" s="23">
        <v>36</v>
      </c>
      <c r="R712" s="23">
        <v>39</v>
      </c>
      <c r="S712" s="23">
        <v>44</v>
      </c>
      <c r="T712" s="23">
        <v>32</v>
      </c>
      <c r="U712" s="23">
        <f t="shared" si="932"/>
        <v>177</v>
      </c>
      <c r="W712" s="22" t="str">
        <f t="shared" si="933"/>
        <v>짝수</v>
      </c>
      <c r="X712" s="22" t="str">
        <f t="shared" si="934"/>
        <v>짝수</v>
      </c>
      <c r="Y712" s="22" t="str">
        <f t="shared" si="935"/>
        <v>짝수</v>
      </c>
      <c r="Z712" s="22" t="str">
        <f t="shared" si="936"/>
        <v>짝수</v>
      </c>
      <c r="AA712" s="23" t="str">
        <f t="shared" si="937"/>
        <v>홀수</v>
      </c>
      <c r="AB712" s="23" t="str">
        <f t="shared" si="938"/>
        <v>짝수</v>
      </c>
      <c r="AC712" s="22" t="str">
        <f t="shared" si="939"/>
        <v>1 : 5</v>
      </c>
      <c r="AD712" s="22">
        <f t="shared" si="940"/>
        <v>1</v>
      </c>
      <c r="AE712" s="22">
        <f t="shared" si="941"/>
        <v>5</v>
      </c>
      <c r="AF712" s="22" t="str">
        <f t="shared" si="942"/>
        <v>저수</v>
      </c>
      <c r="AG712" s="22" t="str">
        <f t="shared" si="943"/>
        <v>저수</v>
      </c>
      <c r="AH712" s="22" t="str">
        <f t="shared" si="944"/>
        <v>고수</v>
      </c>
      <c r="AI712" s="22" t="str">
        <f t="shared" si="945"/>
        <v>고수</v>
      </c>
      <c r="AJ712" s="22" t="str">
        <f t="shared" si="946"/>
        <v>고수</v>
      </c>
      <c r="AK712" s="22" t="str">
        <f t="shared" si="947"/>
        <v>고수</v>
      </c>
      <c r="AL712" s="22" t="str">
        <f t="shared" si="948"/>
        <v>2 : 4</v>
      </c>
      <c r="AM712" s="22">
        <f t="shared" si="949"/>
        <v>2</v>
      </c>
      <c r="AN712" s="22">
        <f t="shared" si="950"/>
        <v>4</v>
      </c>
      <c r="AO712" s="22">
        <f t="shared" si="951"/>
        <v>27</v>
      </c>
      <c r="AP712" s="22" t="str">
        <f t="shared" si="952"/>
        <v>X</v>
      </c>
      <c r="AQ712" s="22" t="str">
        <f t="shared" si="953"/>
        <v>X</v>
      </c>
      <c r="AR712" s="22" t="str">
        <f t="shared" si="954"/>
        <v>X</v>
      </c>
      <c r="AS712" s="22" t="str">
        <f t="shared" si="955"/>
        <v>X</v>
      </c>
      <c r="AT712" s="22" t="str">
        <f t="shared" si="956"/>
        <v>X</v>
      </c>
      <c r="AU712" s="22" t="str">
        <f t="shared" si="957"/>
        <v>X</v>
      </c>
      <c r="AV712" s="22" t="str">
        <f t="shared" si="958"/>
        <v>X</v>
      </c>
      <c r="AW712" s="22" t="str">
        <f t="shared" si="959"/>
        <v>X</v>
      </c>
      <c r="AX712" s="22" t="str">
        <f t="shared" si="960"/>
        <v>X</v>
      </c>
      <c r="AY712" s="22" t="str">
        <f t="shared" si="961"/>
        <v>X</v>
      </c>
      <c r="AZ712" s="22" t="str">
        <f t="shared" si="962"/>
        <v>X</v>
      </c>
      <c r="BA712" s="22" t="str">
        <f t="shared" si="963"/>
        <v>X</v>
      </c>
      <c r="BB712" s="22">
        <f t="shared" si="964"/>
        <v>0</v>
      </c>
      <c r="BC712" s="22" t="str">
        <f t="shared" si="1139"/>
        <v>1G</v>
      </c>
      <c r="BD712" s="22" t="str">
        <f t="shared" si="1140"/>
        <v>2G</v>
      </c>
      <c r="BE712" s="22" t="str">
        <f t="shared" si="1141"/>
        <v>2G</v>
      </c>
      <c r="BF712" s="22" t="str">
        <f t="shared" si="1142"/>
        <v>3G</v>
      </c>
      <c r="BG712" s="22" t="str">
        <f t="shared" si="1143"/>
        <v>3G</v>
      </c>
      <c r="BH712" s="22" t="str">
        <f t="shared" si="1144"/>
        <v>3G</v>
      </c>
      <c r="BI712" s="22">
        <f t="shared" si="1101"/>
        <v>1</v>
      </c>
      <c r="BJ712" s="22">
        <f t="shared" si="1102"/>
        <v>2</v>
      </c>
      <c r="BK712" s="22">
        <f t="shared" si="1103"/>
        <v>3</v>
      </c>
      <c r="BL712" s="22" t="str">
        <f t="shared" si="1145"/>
        <v>123</v>
      </c>
    </row>
    <row r="713" spans="2:71">
      <c r="B713" s="16">
        <v>710</v>
      </c>
      <c r="C713" s="23" t="s">
        <v>1076</v>
      </c>
      <c r="N713" s="23">
        <v>3</v>
      </c>
      <c r="O713" s="23">
        <v>4</v>
      </c>
      <c r="P713" s="23">
        <v>9</v>
      </c>
      <c r="Q713" s="23">
        <v>24</v>
      </c>
      <c r="R713" s="23">
        <v>25</v>
      </c>
      <c r="S713" s="23">
        <v>33</v>
      </c>
      <c r="T713" s="23">
        <v>10</v>
      </c>
      <c r="U713" s="23">
        <f t="shared" si="932"/>
        <v>98</v>
      </c>
      <c r="W713" s="22" t="str">
        <f t="shared" si="933"/>
        <v>홀수</v>
      </c>
      <c r="X713" s="22" t="str">
        <f t="shared" si="934"/>
        <v>짝수</v>
      </c>
      <c r="Y713" s="22" t="str">
        <f t="shared" si="935"/>
        <v>홀수</v>
      </c>
      <c r="Z713" s="22" t="str">
        <f t="shared" si="936"/>
        <v>짝수</v>
      </c>
      <c r="AA713" s="23" t="str">
        <f t="shared" si="937"/>
        <v>홀수</v>
      </c>
      <c r="AB713" s="23" t="str">
        <f t="shared" si="938"/>
        <v>홀수</v>
      </c>
      <c r="AC713" s="22" t="str">
        <f t="shared" si="939"/>
        <v>4 : 2</v>
      </c>
      <c r="AD713" s="22">
        <f t="shared" si="940"/>
        <v>4</v>
      </c>
      <c r="AE713" s="22">
        <f t="shared" si="941"/>
        <v>2</v>
      </c>
      <c r="AF713" s="22" t="str">
        <f t="shared" si="942"/>
        <v>저수</v>
      </c>
      <c r="AG713" s="22" t="str">
        <f t="shared" si="943"/>
        <v>저수</v>
      </c>
      <c r="AH713" s="22" t="str">
        <f t="shared" si="944"/>
        <v>저수</v>
      </c>
      <c r="AI713" s="22" t="str">
        <f t="shared" si="945"/>
        <v>고수</v>
      </c>
      <c r="AJ713" s="22" t="str">
        <f t="shared" si="946"/>
        <v>고수</v>
      </c>
      <c r="AK713" s="22" t="str">
        <f t="shared" si="947"/>
        <v>고수</v>
      </c>
      <c r="AL713" s="22" t="str">
        <f t="shared" si="948"/>
        <v>3 : 3</v>
      </c>
      <c r="AM713" s="22">
        <f t="shared" si="949"/>
        <v>3</v>
      </c>
      <c r="AN713" s="22">
        <f t="shared" si="950"/>
        <v>3</v>
      </c>
      <c r="AO713" s="22">
        <f t="shared" si="951"/>
        <v>28</v>
      </c>
      <c r="AP713" s="22" t="str">
        <f t="shared" si="952"/>
        <v>O</v>
      </c>
      <c r="AQ713" s="22" t="str">
        <f t="shared" si="953"/>
        <v>X</v>
      </c>
      <c r="AR713" s="22" t="str">
        <f t="shared" si="954"/>
        <v>X</v>
      </c>
      <c r="AS713" s="22" t="str">
        <f t="shared" si="955"/>
        <v>X</v>
      </c>
      <c r="AT713" s="22" t="str">
        <f t="shared" si="956"/>
        <v>X</v>
      </c>
      <c r="AU713" s="22" t="str">
        <f t="shared" si="957"/>
        <v>X</v>
      </c>
      <c r="AV713" s="22" t="str">
        <f t="shared" si="958"/>
        <v>X</v>
      </c>
      <c r="AW713" s="22" t="str">
        <f t="shared" si="959"/>
        <v>X</v>
      </c>
      <c r="AX713" s="22" t="str">
        <f t="shared" si="960"/>
        <v>X</v>
      </c>
      <c r="AY713" s="22" t="str">
        <f t="shared" si="961"/>
        <v>X</v>
      </c>
      <c r="AZ713" s="22" t="str">
        <f t="shared" si="962"/>
        <v>X</v>
      </c>
      <c r="BA713" s="22" t="str">
        <f t="shared" si="963"/>
        <v>X</v>
      </c>
      <c r="BB713" s="22">
        <f t="shared" si="964"/>
        <v>1</v>
      </c>
      <c r="BC713" s="22" t="str">
        <f t="shared" ref="BC713:BC714" si="1146">VLOOKUP(N713,삼그룹,6,FALSE)</f>
        <v>1G</v>
      </c>
      <c r="BD713" s="22" t="str">
        <f t="shared" ref="BD713:BD714" si="1147">VLOOKUP(O713,삼그룹,6,FALSE)</f>
        <v>1G</v>
      </c>
      <c r="BE713" s="22" t="str">
        <f t="shared" ref="BE713:BE714" si="1148">VLOOKUP(P713,삼그룹,6,FALSE)</f>
        <v>1G</v>
      </c>
      <c r="BF713" s="22" t="str">
        <f t="shared" ref="BF713:BF714" si="1149">VLOOKUP(Q713,삼그룹,6,FALSE)</f>
        <v>2G</v>
      </c>
      <c r="BG713" s="22" t="str">
        <f t="shared" ref="BG713:BG714" si="1150">VLOOKUP(R713,삼그룹,6,FALSE)</f>
        <v>2G</v>
      </c>
      <c r="BH713" s="22" t="str">
        <f t="shared" ref="BH713:BH714" si="1151">VLOOKUP(S713,삼그룹,6,FALSE)</f>
        <v>3G</v>
      </c>
      <c r="BI713" s="22">
        <f t="shared" si="1101"/>
        <v>3</v>
      </c>
      <c r="BJ713" s="22">
        <f t="shared" si="1102"/>
        <v>2</v>
      </c>
      <c r="BK713" s="22">
        <f t="shared" si="1103"/>
        <v>1</v>
      </c>
      <c r="BL713" s="22" t="str">
        <f t="shared" ref="BL713:BL714" si="1152">BI713&amp;BJ713&amp;BK713</f>
        <v>321</v>
      </c>
    </row>
    <row r="714" spans="2:71">
      <c r="B714" s="16">
        <v>711</v>
      </c>
      <c r="C714" s="23" t="s">
        <v>1077</v>
      </c>
      <c r="N714" s="23">
        <v>11</v>
      </c>
      <c r="O714" s="23">
        <v>15</v>
      </c>
      <c r="P714" s="23">
        <v>24</v>
      </c>
      <c r="Q714" s="23">
        <v>35</v>
      </c>
      <c r="R714" s="23">
        <v>37</v>
      </c>
      <c r="S714" s="23">
        <v>45</v>
      </c>
      <c r="T714" s="23">
        <v>42</v>
      </c>
      <c r="U714" s="23">
        <f t="shared" si="932"/>
        <v>167</v>
      </c>
      <c r="W714" s="22" t="str">
        <f t="shared" si="933"/>
        <v>홀수</v>
      </c>
      <c r="X714" s="22" t="str">
        <f t="shared" si="934"/>
        <v>홀수</v>
      </c>
      <c r="Y714" s="22" t="str">
        <f t="shared" si="935"/>
        <v>짝수</v>
      </c>
      <c r="Z714" s="22" t="str">
        <f t="shared" si="936"/>
        <v>홀수</v>
      </c>
      <c r="AA714" s="23" t="str">
        <f t="shared" si="937"/>
        <v>홀수</v>
      </c>
      <c r="AB714" s="23" t="str">
        <f t="shared" si="938"/>
        <v>홀수</v>
      </c>
      <c r="AC714" s="22" t="str">
        <f t="shared" si="939"/>
        <v>5 : 1</v>
      </c>
      <c r="AD714" s="22">
        <f t="shared" si="940"/>
        <v>5</v>
      </c>
      <c r="AE714" s="22">
        <f t="shared" si="941"/>
        <v>1</v>
      </c>
      <c r="AF714" s="22" t="str">
        <f t="shared" si="942"/>
        <v>저수</v>
      </c>
      <c r="AG714" s="22" t="str">
        <f t="shared" si="943"/>
        <v>저수</v>
      </c>
      <c r="AH714" s="22" t="str">
        <f t="shared" si="944"/>
        <v>고수</v>
      </c>
      <c r="AI714" s="22" t="str">
        <f t="shared" si="945"/>
        <v>고수</v>
      </c>
      <c r="AJ714" s="22" t="str">
        <f t="shared" si="946"/>
        <v>고수</v>
      </c>
      <c r="AK714" s="22" t="str">
        <f t="shared" si="947"/>
        <v>고수</v>
      </c>
      <c r="AL714" s="22" t="str">
        <f t="shared" si="948"/>
        <v>2 : 4</v>
      </c>
      <c r="AM714" s="22">
        <f t="shared" si="949"/>
        <v>2</v>
      </c>
      <c r="AN714" s="22">
        <f t="shared" si="950"/>
        <v>4</v>
      </c>
      <c r="AO714" s="22">
        <f t="shared" si="951"/>
        <v>27</v>
      </c>
      <c r="AP714" s="22" t="str">
        <f t="shared" si="952"/>
        <v>O</v>
      </c>
      <c r="AQ714" s="22" t="str">
        <f t="shared" si="953"/>
        <v>X</v>
      </c>
      <c r="AR714" s="22" t="str">
        <f t="shared" si="954"/>
        <v>X</v>
      </c>
      <c r="AS714" s="22" t="str">
        <f t="shared" si="955"/>
        <v>X</v>
      </c>
      <c r="AT714" s="22" t="str">
        <f t="shared" si="956"/>
        <v>X</v>
      </c>
      <c r="AU714" s="22" t="str">
        <f t="shared" si="957"/>
        <v>X</v>
      </c>
      <c r="AV714" s="22" t="str">
        <f t="shared" si="958"/>
        <v>X</v>
      </c>
      <c r="AW714" s="22" t="str">
        <f t="shared" si="959"/>
        <v>X</v>
      </c>
      <c r="AX714" s="22" t="str">
        <f t="shared" si="960"/>
        <v>X</v>
      </c>
      <c r="AY714" s="22" t="str">
        <f t="shared" si="961"/>
        <v>X</v>
      </c>
      <c r="AZ714" s="22" t="str">
        <f t="shared" si="962"/>
        <v>O</v>
      </c>
      <c r="BA714" s="22" t="str">
        <f t="shared" si="963"/>
        <v>X</v>
      </c>
      <c r="BB714" s="22">
        <f t="shared" si="964"/>
        <v>2</v>
      </c>
      <c r="BC714" s="22" t="str">
        <f t="shared" si="1146"/>
        <v>1G</v>
      </c>
      <c r="BD714" s="22" t="str">
        <f t="shared" si="1147"/>
        <v>1G</v>
      </c>
      <c r="BE714" s="22" t="str">
        <f t="shared" si="1148"/>
        <v>2G</v>
      </c>
      <c r="BF714" s="22" t="str">
        <f t="shared" si="1149"/>
        <v>3G</v>
      </c>
      <c r="BG714" s="22" t="str">
        <f t="shared" si="1150"/>
        <v>3G</v>
      </c>
      <c r="BH714" s="22" t="str">
        <f t="shared" si="1151"/>
        <v>3G</v>
      </c>
      <c r="BI714" s="22">
        <f t="shared" si="1101"/>
        <v>2</v>
      </c>
      <c r="BJ714" s="22">
        <f t="shared" si="1102"/>
        <v>1</v>
      </c>
      <c r="BK714" s="22">
        <f t="shared" si="1103"/>
        <v>3</v>
      </c>
      <c r="BL714" s="22" t="str">
        <f t="shared" si="1152"/>
        <v>213</v>
      </c>
    </row>
    <row r="715" spans="2:71">
      <c r="B715" s="16">
        <v>712</v>
      </c>
      <c r="C715" s="23" t="s">
        <v>1078</v>
      </c>
      <c r="N715" s="23">
        <v>17</v>
      </c>
      <c r="O715" s="23">
        <v>20</v>
      </c>
      <c r="P715" s="23">
        <v>30</v>
      </c>
      <c r="Q715" s="23">
        <v>31</v>
      </c>
      <c r="R715" s="23">
        <v>33</v>
      </c>
      <c r="S715" s="23">
        <v>45</v>
      </c>
      <c r="T715" s="23">
        <v>19</v>
      </c>
      <c r="U715" s="23">
        <f t="shared" si="932"/>
        <v>176</v>
      </c>
      <c r="W715" s="22" t="str">
        <f t="shared" si="933"/>
        <v>홀수</v>
      </c>
      <c r="X715" s="22" t="str">
        <f t="shared" si="934"/>
        <v>짝수</v>
      </c>
      <c r="Y715" s="22" t="str">
        <f t="shared" si="935"/>
        <v>짝수</v>
      </c>
      <c r="Z715" s="22" t="str">
        <f t="shared" si="936"/>
        <v>홀수</v>
      </c>
      <c r="AA715" s="23" t="str">
        <f t="shared" si="937"/>
        <v>홀수</v>
      </c>
      <c r="AB715" s="23" t="str">
        <f t="shared" si="938"/>
        <v>홀수</v>
      </c>
      <c r="AC715" s="22" t="str">
        <f t="shared" si="939"/>
        <v>4 : 2</v>
      </c>
      <c r="AD715" s="22">
        <f t="shared" si="940"/>
        <v>4</v>
      </c>
      <c r="AE715" s="22">
        <f t="shared" si="941"/>
        <v>2</v>
      </c>
      <c r="AF715" s="22" t="str">
        <f t="shared" si="942"/>
        <v>저수</v>
      </c>
      <c r="AG715" s="22" t="str">
        <f t="shared" si="943"/>
        <v>저수</v>
      </c>
      <c r="AH715" s="22" t="str">
        <f t="shared" si="944"/>
        <v>고수</v>
      </c>
      <c r="AI715" s="22" t="str">
        <f t="shared" si="945"/>
        <v>고수</v>
      </c>
      <c r="AJ715" s="22" t="str">
        <f t="shared" si="946"/>
        <v>고수</v>
      </c>
      <c r="AK715" s="22" t="str">
        <f t="shared" si="947"/>
        <v>고수</v>
      </c>
      <c r="AL715" s="22" t="str">
        <f t="shared" si="948"/>
        <v>2 : 4</v>
      </c>
      <c r="AM715" s="22">
        <f t="shared" si="949"/>
        <v>2</v>
      </c>
      <c r="AN715" s="22">
        <f t="shared" si="950"/>
        <v>4</v>
      </c>
      <c r="AO715" s="22">
        <f t="shared" si="951"/>
        <v>16</v>
      </c>
      <c r="AP715" s="22" t="str">
        <f t="shared" si="952"/>
        <v>O</v>
      </c>
      <c r="AQ715" s="22" t="str">
        <f t="shared" si="953"/>
        <v>X</v>
      </c>
      <c r="AR715" s="22" t="str">
        <f t="shared" si="954"/>
        <v>X</v>
      </c>
      <c r="AS715" s="22" t="str">
        <f t="shared" si="955"/>
        <v>X</v>
      </c>
      <c r="AT715" s="22" t="str">
        <f t="shared" si="956"/>
        <v>X</v>
      </c>
      <c r="AU715" s="22" t="str">
        <f t="shared" si="957"/>
        <v>X</v>
      </c>
      <c r="AV715" s="22" t="str">
        <f t="shared" si="958"/>
        <v>X</v>
      </c>
      <c r="AW715" s="22" t="str">
        <f t="shared" si="959"/>
        <v>X</v>
      </c>
      <c r="AX715" s="22" t="str">
        <f t="shared" si="960"/>
        <v>X</v>
      </c>
      <c r="AY715" s="22" t="str">
        <f t="shared" si="961"/>
        <v>O</v>
      </c>
      <c r="AZ715" s="22" t="str">
        <f t="shared" si="962"/>
        <v>X</v>
      </c>
      <c r="BA715" s="22" t="str">
        <f t="shared" si="963"/>
        <v>X</v>
      </c>
      <c r="BB715" s="22">
        <f t="shared" si="964"/>
        <v>2</v>
      </c>
      <c r="BC715" s="22" t="str">
        <f t="shared" ref="BC715:BC716" si="1153">VLOOKUP(N715,삼그룹,6,FALSE)</f>
        <v>2G</v>
      </c>
      <c r="BD715" s="22" t="str">
        <f t="shared" ref="BD715:BD716" si="1154">VLOOKUP(O715,삼그룹,6,FALSE)</f>
        <v>2G</v>
      </c>
      <c r="BE715" s="22" t="str">
        <f t="shared" ref="BE715:BE716" si="1155">VLOOKUP(P715,삼그룹,6,FALSE)</f>
        <v>2G</v>
      </c>
      <c r="BF715" s="22" t="str">
        <f t="shared" ref="BF715:BF716" si="1156">VLOOKUP(Q715,삼그룹,6,FALSE)</f>
        <v>3G</v>
      </c>
      <c r="BG715" s="22" t="str">
        <f t="shared" ref="BG715:BG716" si="1157">VLOOKUP(R715,삼그룹,6,FALSE)</f>
        <v>3G</v>
      </c>
      <c r="BH715" s="22" t="str">
        <f t="shared" ref="BH715:BH716" si="1158">VLOOKUP(S715,삼그룹,6,FALSE)</f>
        <v>3G</v>
      </c>
      <c r="BI715" s="22">
        <f t="shared" si="1101"/>
        <v>0</v>
      </c>
      <c r="BJ715" s="22">
        <f t="shared" si="1102"/>
        <v>3</v>
      </c>
      <c r="BK715" s="22">
        <f t="shared" si="1103"/>
        <v>3</v>
      </c>
      <c r="BL715" s="22" t="str">
        <f t="shared" ref="BL715:BL716" si="1159">BI715&amp;BJ715&amp;BK715</f>
        <v>033</v>
      </c>
    </row>
    <row r="716" spans="2:71">
      <c r="B716" s="16">
        <v>713</v>
      </c>
      <c r="C716" s="23" t="s">
        <v>1079</v>
      </c>
      <c r="N716" s="23">
        <v>2</v>
      </c>
      <c r="O716" s="23">
        <v>5</v>
      </c>
      <c r="P716" s="23">
        <v>15</v>
      </c>
      <c r="Q716" s="23">
        <v>18</v>
      </c>
      <c r="R716" s="23">
        <v>19</v>
      </c>
      <c r="S716" s="23">
        <v>23</v>
      </c>
      <c r="T716" s="23">
        <v>44</v>
      </c>
      <c r="U716" s="23">
        <f t="shared" si="932"/>
        <v>82</v>
      </c>
      <c r="W716" s="22" t="str">
        <f t="shared" si="933"/>
        <v>짝수</v>
      </c>
      <c r="X716" s="22" t="str">
        <f t="shared" si="934"/>
        <v>홀수</v>
      </c>
      <c r="Y716" s="22" t="str">
        <f t="shared" si="935"/>
        <v>홀수</v>
      </c>
      <c r="Z716" s="22" t="str">
        <f t="shared" si="936"/>
        <v>짝수</v>
      </c>
      <c r="AA716" s="23" t="str">
        <f t="shared" si="937"/>
        <v>홀수</v>
      </c>
      <c r="AB716" s="23" t="str">
        <f t="shared" si="938"/>
        <v>홀수</v>
      </c>
      <c r="AC716" s="22" t="str">
        <f t="shared" si="939"/>
        <v>4 : 2</v>
      </c>
      <c r="AD716" s="22">
        <f t="shared" si="940"/>
        <v>4</v>
      </c>
      <c r="AE716" s="22">
        <f t="shared" si="941"/>
        <v>2</v>
      </c>
      <c r="AF716" s="22" t="str">
        <f t="shared" si="942"/>
        <v>저수</v>
      </c>
      <c r="AG716" s="22" t="str">
        <f t="shared" si="943"/>
        <v>저수</v>
      </c>
      <c r="AH716" s="22" t="str">
        <f t="shared" si="944"/>
        <v>저수</v>
      </c>
      <c r="AI716" s="22" t="str">
        <f t="shared" si="945"/>
        <v>저수</v>
      </c>
      <c r="AJ716" s="22" t="str">
        <f t="shared" si="946"/>
        <v>저수</v>
      </c>
      <c r="AK716" s="22" t="str">
        <f t="shared" si="947"/>
        <v>고수</v>
      </c>
      <c r="AL716" s="22" t="str">
        <f t="shared" si="948"/>
        <v>5 : 1</v>
      </c>
      <c r="AM716" s="22">
        <f t="shared" si="949"/>
        <v>5</v>
      </c>
      <c r="AN716" s="22">
        <f t="shared" si="950"/>
        <v>1</v>
      </c>
      <c r="AO716" s="22">
        <f t="shared" si="951"/>
        <v>32</v>
      </c>
      <c r="AP716" s="22" t="str">
        <f t="shared" si="952"/>
        <v>O</v>
      </c>
      <c r="AQ716" s="22" t="str">
        <f t="shared" si="953"/>
        <v>O</v>
      </c>
      <c r="AR716" s="22" t="str">
        <f t="shared" si="954"/>
        <v>X</v>
      </c>
      <c r="AS716" s="22" t="str">
        <f t="shared" si="955"/>
        <v>X</v>
      </c>
      <c r="AT716" s="22" t="str">
        <f t="shared" si="956"/>
        <v>O</v>
      </c>
      <c r="AU716" s="22" t="str">
        <f t="shared" si="957"/>
        <v>X</v>
      </c>
      <c r="AV716" s="22" t="str">
        <f t="shared" si="958"/>
        <v>X</v>
      </c>
      <c r="AW716" s="22" t="str">
        <f t="shared" si="959"/>
        <v>X</v>
      </c>
      <c r="AX716" s="22" t="str">
        <f t="shared" si="960"/>
        <v>X</v>
      </c>
      <c r="AY716" s="22" t="str">
        <f t="shared" si="961"/>
        <v>X</v>
      </c>
      <c r="AZ716" s="22" t="str">
        <f t="shared" si="962"/>
        <v>X</v>
      </c>
      <c r="BA716" s="22" t="str">
        <f t="shared" si="963"/>
        <v>O</v>
      </c>
      <c r="BB716" s="22">
        <f t="shared" si="964"/>
        <v>4</v>
      </c>
      <c r="BC716" s="22" t="str">
        <f t="shared" si="1153"/>
        <v>1G</v>
      </c>
      <c r="BD716" s="22" t="str">
        <f t="shared" si="1154"/>
        <v>1G</v>
      </c>
      <c r="BE716" s="22" t="str">
        <f t="shared" si="1155"/>
        <v>1G</v>
      </c>
      <c r="BF716" s="22" t="str">
        <f t="shared" si="1156"/>
        <v>2G</v>
      </c>
      <c r="BG716" s="22" t="str">
        <f t="shared" si="1157"/>
        <v>2G</v>
      </c>
      <c r="BH716" s="22" t="str">
        <f t="shared" si="1158"/>
        <v>2G</v>
      </c>
      <c r="BI716" s="22">
        <f t="shared" si="1101"/>
        <v>3</v>
      </c>
      <c r="BJ716" s="22">
        <f t="shared" si="1102"/>
        <v>3</v>
      </c>
      <c r="BK716" s="22">
        <f t="shared" si="1103"/>
        <v>0</v>
      </c>
      <c r="BL716" s="22" t="str">
        <f t="shared" si="1159"/>
        <v>330</v>
      </c>
    </row>
    <row r="717" spans="2:71">
      <c r="B717" s="16">
        <v>714</v>
      </c>
      <c r="C717" s="23" t="s">
        <v>1080</v>
      </c>
      <c r="N717" s="23">
        <v>1</v>
      </c>
      <c r="O717" s="23">
        <v>7</v>
      </c>
      <c r="P717" s="23">
        <v>22</v>
      </c>
      <c r="Q717" s="23">
        <v>33</v>
      </c>
      <c r="R717" s="23">
        <v>37</v>
      </c>
      <c r="S717" s="23">
        <v>40</v>
      </c>
      <c r="T717" s="23">
        <v>20</v>
      </c>
      <c r="U717" s="23">
        <f t="shared" si="932"/>
        <v>140</v>
      </c>
      <c r="W717" s="22" t="str">
        <f t="shared" si="933"/>
        <v>홀수</v>
      </c>
      <c r="X717" s="22" t="str">
        <f t="shared" si="934"/>
        <v>홀수</v>
      </c>
      <c r="Y717" s="22" t="str">
        <f t="shared" si="935"/>
        <v>짝수</v>
      </c>
      <c r="Z717" s="22" t="str">
        <f t="shared" si="936"/>
        <v>홀수</v>
      </c>
      <c r="AA717" s="23" t="str">
        <f t="shared" si="937"/>
        <v>홀수</v>
      </c>
      <c r="AB717" s="23" t="str">
        <f t="shared" si="938"/>
        <v>짝수</v>
      </c>
      <c r="AC717" s="22" t="str">
        <f t="shared" si="939"/>
        <v>4 : 2</v>
      </c>
      <c r="AD717" s="22">
        <f t="shared" si="940"/>
        <v>4</v>
      </c>
      <c r="AE717" s="22">
        <f t="shared" si="941"/>
        <v>2</v>
      </c>
      <c r="AF717" s="22" t="str">
        <f t="shared" si="942"/>
        <v>저수</v>
      </c>
      <c r="AG717" s="22" t="str">
        <f t="shared" si="943"/>
        <v>저수</v>
      </c>
      <c r="AH717" s="22" t="str">
        <f t="shared" si="944"/>
        <v>저수</v>
      </c>
      <c r="AI717" s="22" t="str">
        <f t="shared" si="945"/>
        <v>고수</v>
      </c>
      <c r="AJ717" s="22" t="str">
        <f t="shared" si="946"/>
        <v>고수</v>
      </c>
      <c r="AK717" s="22" t="str">
        <f t="shared" si="947"/>
        <v>고수</v>
      </c>
      <c r="AL717" s="22" t="str">
        <f t="shared" si="948"/>
        <v>3 : 3</v>
      </c>
      <c r="AM717" s="22">
        <f t="shared" si="949"/>
        <v>3</v>
      </c>
      <c r="AN717" s="22">
        <f t="shared" si="950"/>
        <v>3</v>
      </c>
      <c r="AO717" s="22">
        <f t="shared" si="951"/>
        <v>20</v>
      </c>
      <c r="AP717" s="22" t="str">
        <f t="shared" si="952"/>
        <v>X</v>
      </c>
      <c r="AQ717" s="22" t="str">
        <f t="shared" si="953"/>
        <v>O</v>
      </c>
      <c r="AR717" s="22" t="str">
        <f t="shared" si="954"/>
        <v>X</v>
      </c>
      <c r="AS717" s="22" t="str">
        <f t="shared" si="955"/>
        <v>X</v>
      </c>
      <c r="AT717" s="22" t="str">
        <f t="shared" si="956"/>
        <v>X</v>
      </c>
      <c r="AU717" s="22" t="str">
        <f t="shared" si="957"/>
        <v>X</v>
      </c>
      <c r="AV717" s="22" t="str">
        <f t="shared" si="958"/>
        <v>X</v>
      </c>
      <c r="AW717" s="22" t="str">
        <f t="shared" si="959"/>
        <v>X</v>
      </c>
      <c r="AX717" s="22" t="str">
        <f t="shared" si="960"/>
        <v>X</v>
      </c>
      <c r="AY717" s="22" t="str">
        <f t="shared" si="961"/>
        <v>X</v>
      </c>
      <c r="AZ717" s="22" t="str">
        <f t="shared" si="962"/>
        <v>O</v>
      </c>
      <c r="BA717" s="22" t="str">
        <f t="shared" si="963"/>
        <v>X</v>
      </c>
      <c r="BB717" s="22">
        <f t="shared" si="964"/>
        <v>2</v>
      </c>
      <c r="BC717" s="22" t="str">
        <f t="shared" ref="BC717:BC718" si="1160">VLOOKUP(N717,삼그룹,6,FALSE)</f>
        <v>1G</v>
      </c>
      <c r="BD717" s="22" t="str">
        <f t="shared" ref="BD717:BD718" si="1161">VLOOKUP(O717,삼그룹,6,FALSE)</f>
        <v>1G</v>
      </c>
      <c r="BE717" s="22" t="str">
        <f t="shared" ref="BE717:BE718" si="1162">VLOOKUP(P717,삼그룹,6,FALSE)</f>
        <v>2G</v>
      </c>
      <c r="BF717" s="22" t="str">
        <f t="shared" ref="BF717:BF718" si="1163">VLOOKUP(Q717,삼그룹,6,FALSE)</f>
        <v>3G</v>
      </c>
      <c r="BG717" s="22" t="str">
        <f t="shared" ref="BG717:BG718" si="1164">VLOOKUP(R717,삼그룹,6,FALSE)</f>
        <v>3G</v>
      </c>
      <c r="BH717" s="22" t="str">
        <f t="shared" ref="BH717:BH718" si="1165">VLOOKUP(S717,삼그룹,6,FALSE)</f>
        <v>3G</v>
      </c>
      <c r="BI717" s="22">
        <f t="shared" si="1101"/>
        <v>2</v>
      </c>
      <c r="BJ717" s="22">
        <f t="shared" si="1102"/>
        <v>1</v>
      </c>
      <c r="BK717" s="22">
        <f t="shared" si="1103"/>
        <v>3</v>
      </c>
      <c r="BL717" s="22" t="str">
        <f t="shared" ref="BL717:BL718" si="1166">BI717&amp;BJ717&amp;BK717</f>
        <v>213</v>
      </c>
    </row>
    <row r="718" spans="2:71">
      <c r="B718" s="16">
        <v>715</v>
      </c>
      <c r="C718" s="23" t="s">
        <v>1081</v>
      </c>
      <c r="N718" s="23">
        <v>2</v>
      </c>
      <c r="O718" s="23">
        <v>7</v>
      </c>
      <c r="P718" s="23">
        <v>27</v>
      </c>
      <c r="Q718" s="23">
        <v>33</v>
      </c>
      <c r="R718" s="23">
        <v>41</v>
      </c>
      <c r="S718" s="23">
        <v>44</v>
      </c>
      <c r="T718" s="23">
        <v>10</v>
      </c>
      <c r="U718" s="23">
        <f t="shared" si="932"/>
        <v>154</v>
      </c>
      <c r="W718" s="22" t="str">
        <f t="shared" si="933"/>
        <v>짝수</v>
      </c>
      <c r="X718" s="22" t="str">
        <f t="shared" si="934"/>
        <v>홀수</v>
      </c>
      <c r="Y718" s="22" t="str">
        <f t="shared" si="935"/>
        <v>홀수</v>
      </c>
      <c r="Z718" s="22" t="str">
        <f t="shared" si="936"/>
        <v>홀수</v>
      </c>
      <c r="AA718" s="23" t="str">
        <f t="shared" si="937"/>
        <v>홀수</v>
      </c>
      <c r="AB718" s="23" t="str">
        <f t="shared" si="938"/>
        <v>짝수</v>
      </c>
      <c r="AC718" s="22" t="str">
        <f t="shared" si="939"/>
        <v>4 : 2</v>
      </c>
      <c r="AD718" s="22">
        <f t="shared" si="940"/>
        <v>4</v>
      </c>
      <c r="AE718" s="22">
        <f t="shared" si="941"/>
        <v>2</v>
      </c>
      <c r="AF718" s="22" t="str">
        <f t="shared" si="942"/>
        <v>저수</v>
      </c>
      <c r="AG718" s="22" t="str">
        <f t="shared" si="943"/>
        <v>저수</v>
      </c>
      <c r="AH718" s="22" t="str">
        <f t="shared" si="944"/>
        <v>고수</v>
      </c>
      <c r="AI718" s="22" t="str">
        <f t="shared" si="945"/>
        <v>고수</v>
      </c>
      <c r="AJ718" s="22" t="str">
        <f t="shared" si="946"/>
        <v>고수</v>
      </c>
      <c r="AK718" s="22" t="str">
        <f t="shared" si="947"/>
        <v>고수</v>
      </c>
      <c r="AL718" s="22" t="str">
        <f t="shared" si="948"/>
        <v>2 : 4</v>
      </c>
      <c r="AM718" s="22">
        <f t="shared" si="949"/>
        <v>2</v>
      </c>
      <c r="AN718" s="22">
        <f t="shared" si="950"/>
        <v>4</v>
      </c>
      <c r="AO718" s="22">
        <f t="shared" si="951"/>
        <v>24</v>
      </c>
      <c r="AP718" s="22" t="str">
        <f t="shared" si="952"/>
        <v>O</v>
      </c>
      <c r="AQ718" s="22" t="str">
        <f t="shared" si="953"/>
        <v>O</v>
      </c>
      <c r="AR718" s="22" t="str">
        <f t="shared" si="954"/>
        <v>X</v>
      </c>
      <c r="AS718" s="22" t="str">
        <f t="shared" si="955"/>
        <v>X</v>
      </c>
      <c r="AT718" s="22" t="str">
        <f t="shared" si="956"/>
        <v>X</v>
      </c>
      <c r="AU718" s="22" t="str">
        <f t="shared" si="957"/>
        <v>X</v>
      </c>
      <c r="AV718" s="22" t="str">
        <f t="shared" si="958"/>
        <v>X</v>
      </c>
      <c r="AW718" s="22" t="str">
        <f t="shared" si="959"/>
        <v>X</v>
      </c>
      <c r="AX718" s="22" t="str">
        <f t="shared" si="960"/>
        <v>X</v>
      </c>
      <c r="AY718" s="22" t="str">
        <f t="shared" si="961"/>
        <v>X</v>
      </c>
      <c r="AZ718" s="22" t="str">
        <f t="shared" si="962"/>
        <v>O</v>
      </c>
      <c r="BA718" s="22" t="str">
        <f t="shared" si="963"/>
        <v>X</v>
      </c>
      <c r="BB718" s="22">
        <f t="shared" si="964"/>
        <v>3</v>
      </c>
      <c r="BC718" s="22" t="str">
        <f t="shared" si="1160"/>
        <v>1G</v>
      </c>
      <c r="BD718" s="22" t="str">
        <f t="shared" si="1161"/>
        <v>1G</v>
      </c>
      <c r="BE718" s="22" t="str">
        <f t="shared" si="1162"/>
        <v>2G</v>
      </c>
      <c r="BF718" s="22" t="str">
        <f t="shared" si="1163"/>
        <v>3G</v>
      </c>
      <c r="BG718" s="22" t="str">
        <f t="shared" si="1164"/>
        <v>3G</v>
      </c>
      <c r="BH718" s="22" t="str">
        <f t="shared" si="1165"/>
        <v>3G</v>
      </c>
      <c r="BI718" s="22">
        <f t="shared" si="1101"/>
        <v>2</v>
      </c>
      <c r="BJ718" s="22">
        <f t="shared" si="1102"/>
        <v>1</v>
      </c>
      <c r="BK718" s="22">
        <f t="shared" si="1103"/>
        <v>3</v>
      </c>
      <c r="BL718" s="22" t="str">
        <f t="shared" si="1166"/>
        <v>213</v>
      </c>
    </row>
    <row r="719" spans="2:71">
      <c r="B719" s="16">
        <v>716</v>
      </c>
      <c r="C719" s="23" t="s">
        <v>1082</v>
      </c>
      <c r="N719" s="23">
        <v>2</v>
      </c>
      <c r="O719" s="23">
        <v>6</v>
      </c>
      <c r="P719" s="23">
        <v>13</v>
      </c>
      <c r="Q719" s="23">
        <v>16</v>
      </c>
      <c r="R719" s="23">
        <v>29</v>
      </c>
      <c r="S719" s="23">
        <v>30</v>
      </c>
      <c r="T719" s="23">
        <v>21</v>
      </c>
      <c r="U719" s="23">
        <f t="shared" si="932"/>
        <v>96</v>
      </c>
      <c r="W719" s="22" t="str">
        <f t="shared" si="933"/>
        <v>짝수</v>
      </c>
      <c r="X719" s="22" t="str">
        <f t="shared" si="934"/>
        <v>짝수</v>
      </c>
      <c r="Y719" s="22" t="str">
        <f t="shared" si="935"/>
        <v>홀수</v>
      </c>
      <c r="Z719" s="22" t="str">
        <f t="shared" si="936"/>
        <v>짝수</v>
      </c>
      <c r="AA719" s="23" t="str">
        <f t="shared" si="937"/>
        <v>홀수</v>
      </c>
      <c r="AB719" s="23" t="str">
        <f t="shared" si="938"/>
        <v>짝수</v>
      </c>
      <c r="AC719" s="22" t="str">
        <f t="shared" si="939"/>
        <v>2 : 4</v>
      </c>
      <c r="AD719" s="22">
        <f t="shared" si="940"/>
        <v>2</v>
      </c>
      <c r="AE719" s="22">
        <f t="shared" si="941"/>
        <v>4</v>
      </c>
      <c r="AF719" s="22" t="str">
        <f t="shared" si="942"/>
        <v>저수</v>
      </c>
      <c r="AG719" s="22" t="str">
        <f t="shared" si="943"/>
        <v>저수</v>
      </c>
      <c r="AH719" s="22" t="str">
        <f t="shared" si="944"/>
        <v>저수</v>
      </c>
      <c r="AI719" s="22" t="str">
        <f t="shared" si="945"/>
        <v>저수</v>
      </c>
      <c r="AJ719" s="22" t="str">
        <f t="shared" si="946"/>
        <v>고수</v>
      </c>
      <c r="AK719" s="22" t="str">
        <f t="shared" si="947"/>
        <v>고수</v>
      </c>
      <c r="AL719" s="22" t="str">
        <f t="shared" si="948"/>
        <v>4 : 2</v>
      </c>
      <c r="AM719" s="22">
        <f t="shared" si="949"/>
        <v>4</v>
      </c>
      <c r="AN719" s="22">
        <f t="shared" si="950"/>
        <v>2</v>
      </c>
      <c r="AO719" s="22">
        <f t="shared" si="951"/>
        <v>26</v>
      </c>
      <c r="AP719" s="22" t="str">
        <f t="shared" si="952"/>
        <v>O</v>
      </c>
      <c r="AQ719" s="22" t="str">
        <f t="shared" si="953"/>
        <v>X</v>
      </c>
      <c r="AR719" s="22" t="str">
        <f t="shared" si="954"/>
        <v>O</v>
      </c>
      <c r="AS719" s="22" t="str">
        <f t="shared" si="955"/>
        <v>X</v>
      </c>
      <c r="AT719" s="22" t="str">
        <f t="shared" si="956"/>
        <v>X</v>
      </c>
      <c r="AU719" s="22" t="str">
        <f t="shared" si="957"/>
        <v>X</v>
      </c>
      <c r="AV719" s="22" t="str">
        <f t="shared" si="958"/>
        <v>X</v>
      </c>
      <c r="AW719" s="22" t="str">
        <f t="shared" si="959"/>
        <v>X</v>
      </c>
      <c r="AX719" s="22" t="str">
        <f t="shared" si="960"/>
        <v>X</v>
      </c>
      <c r="AY719" s="22" t="str">
        <f t="shared" si="961"/>
        <v>X</v>
      </c>
      <c r="AZ719" s="22" t="str">
        <f t="shared" si="962"/>
        <v>O</v>
      </c>
      <c r="BA719" s="22" t="str">
        <f t="shared" si="963"/>
        <v>X</v>
      </c>
      <c r="BB719" s="22">
        <f t="shared" si="964"/>
        <v>3</v>
      </c>
      <c r="BC719" s="22" t="str">
        <f t="shared" ref="BC719:BC720" si="1167">VLOOKUP(N719,삼그룹,6,FALSE)</f>
        <v>1G</v>
      </c>
      <c r="BD719" s="22" t="str">
        <f t="shared" ref="BD719:BD720" si="1168">VLOOKUP(O719,삼그룹,6,FALSE)</f>
        <v>1G</v>
      </c>
      <c r="BE719" s="22" t="str">
        <f t="shared" ref="BE719:BE720" si="1169">VLOOKUP(P719,삼그룹,6,FALSE)</f>
        <v>1G</v>
      </c>
      <c r="BF719" s="22" t="str">
        <f t="shared" ref="BF719:BF720" si="1170">VLOOKUP(Q719,삼그룹,6,FALSE)</f>
        <v>2G</v>
      </c>
      <c r="BG719" s="22" t="str">
        <f t="shared" ref="BG719:BG720" si="1171">VLOOKUP(R719,삼그룹,6,FALSE)</f>
        <v>2G</v>
      </c>
      <c r="BH719" s="22" t="str">
        <f t="shared" ref="BH719:BH720" si="1172">VLOOKUP(S719,삼그룹,6,FALSE)</f>
        <v>2G</v>
      </c>
      <c r="BI719" s="22">
        <f t="shared" si="1101"/>
        <v>3</v>
      </c>
      <c r="BJ719" s="22">
        <f t="shared" si="1102"/>
        <v>3</v>
      </c>
      <c r="BK719" s="22">
        <f t="shared" si="1103"/>
        <v>0</v>
      </c>
      <c r="BL719" s="22" t="str">
        <f t="shared" ref="BL719:BL720" si="1173">BI719&amp;BJ719&amp;BK719</f>
        <v>330</v>
      </c>
    </row>
    <row r="720" spans="2:71">
      <c r="B720" s="16">
        <v>717</v>
      </c>
      <c r="C720" s="23" t="s">
        <v>1083</v>
      </c>
      <c r="N720" s="23">
        <v>2</v>
      </c>
      <c r="O720" s="23">
        <v>11</v>
      </c>
      <c r="P720" s="23">
        <v>19</v>
      </c>
      <c r="Q720" s="23">
        <v>25</v>
      </c>
      <c r="R720" s="23">
        <v>28</v>
      </c>
      <c r="S720" s="23">
        <v>32</v>
      </c>
      <c r="T720" s="23">
        <v>44</v>
      </c>
      <c r="U720" s="23">
        <f t="shared" si="932"/>
        <v>117</v>
      </c>
      <c r="W720" s="22" t="str">
        <f t="shared" si="933"/>
        <v>짝수</v>
      </c>
      <c r="X720" s="22" t="str">
        <f t="shared" si="934"/>
        <v>홀수</v>
      </c>
      <c r="Y720" s="22" t="str">
        <f t="shared" si="935"/>
        <v>홀수</v>
      </c>
      <c r="Z720" s="22" t="str">
        <f t="shared" si="936"/>
        <v>홀수</v>
      </c>
      <c r="AA720" s="23" t="str">
        <f t="shared" si="937"/>
        <v>짝수</v>
      </c>
      <c r="AB720" s="23" t="str">
        <f t="shared" si="938"/>
        <v>짝수</v>
      </c>
      <c r="AC720" s="22" t="str">
        <f t="shared" si="939"/>
        <v>3 : 3</v>
      </c>
      <c r="AD720" s="22">
        <f t="shared" si="940"/>
        <v>3</v>
      </c>
      <c r="AE720" s="22">
        <f t="shared" si="941"/>
        <v>3</v>
      </c>
      <c r="AF720" s="22" t="str">
        <f t="shared" si="942"/>
        <v>저수</v>
      </c>
      <c r="AG720" s="22" t="str">
        <f t="shared" si="943"/>
        <v>저수</v>
      </c>
      <c r="AH720" s="22" t="str">
        <f t="shared" si="944"/>
        <v>저수</v>
      </c>
      <c r="AI720" s="22" t="str">
        <f t="shared" si="945"/>
        <v>고수</v>
      </c>
      <c r="AJ720" s="22" t="str">
        <f t="shared" si="946"/>
        <v>고수</v>
      </c>
      <c r="AK720" s="22" t="str">
        <f t="shared" si="947"/>
        <v>고수</v>
      </c>
      <c r="AL720" s="22" t="str">
        <f t="shared" si="948"/>
        <v>3 : 3</v>
      </c>
      <c r="AM720" s="22">
        <f t="shared" si="949"/>
        <v>3</v>
      </c>
      <c r="AN720" s="22">
        <f t="shared" si="950"/>
        <v>3</v>
      </c>
      <c r="AO720" s="22">
        <f t="shared" si="951"/>
        <v>27</v>
      </c>
      <c r="AP720" s="22" t="str">
        <f t="shared" si="952"/>
        <v>O</v>
      </c>
      <c r="AQ720" s="22" t="str">
        <f t="shared" si="953"/>
        <v>O</v>
      </c>
      <c r="AR720" s="22" t="str">
        <f t="shared" si="954"/>
        <v>O</v>
      </c>
      <c r="AS720" s="22" t="str">
        <f t="shared" si="955"/>
        <v>X</v>
      </c>
      <c r="AT720" s="22" t="str">
        <f t="shared" si="956"/>
        <v>X</v>
      </c>
      <c r="AU720" s="22" t="str">
        <f t="shared" si="957"/>
        <v>X</v>
      </c>
      <c r="AV720" s="22" t="str">
        <f t="shared" si="958"/>
        <v>X</v>
      </c>
      <c r="AW720" s="22" t="str">
        <f t="shared" si="959"/>
        <v>X</v>
      </c>
      <c r="AX720" s="22" t="str">
        <f t="shared" si="960"/>
        <v>X</v>
      </c>
      <c r="AY720" s="22" t="str">
        <f t="shared" si="961"/>
        <v>X</v>
      </c>
      <c r="AZ720" s="22" t="str">
        <f t="shared" si="962"/>
        <v>X</v>
      </c>
      <c r="BA720" s="22" t="str">
        <f t="shared" si="963"/>
        <v>X</v>
      </c>
      <c r="BB720" s="22">
        <f t="shared" si="964"/>
        <v>3</v>
      </c>
      <c r="BC720" s="22" t="str">
        <f t="shared" si="1167"/>
        <v>1G</v>
      </c>
      <c r="BD720" s="22" t="str">
        <f t="shared" si="1168"/>
        <v>1G</v>
      </c>
      <c r="BE720" s="22" t="str">
        <f t="shared" si="1169"/>
        <v>2G</v>
      </c>
      <c r="BF720" s="22" t="str">
        <f t="shared" si="1170"/>
        <v>2G</v>
      </c>
      <c r="BG720" s="22" t="str">
        <f t="shared" si="1171"/>
        <v>2G</v>
      </c>
      <c r="BH720" s="22" t="str">
        <f t="shared" si="1172"/>
        <v>3G</v>
      </c>
      <c r="BI720" s="22">
        <f t="shared" si="1101"/>
        <v>2</v>
      </c>
      <c r="BJ720" s="22">
        <f t="shared" si="1102"/>
        <v>3</v>
      </c>
      <c r="BK720" s="22">
        <f t="shared" si="1103"/>
        <v>1</v>
      </c>
      <c r="BL720" s="22" t="str">
        <f t="shared" si="1173"/>
        <v>231</v>
      </c>
    </row>
    <row r="721" spans="2:64">
      <c r="B721" s="16">
        <v>718</v>
      </c>
      <c r="C721" s="23" t="s">
        <v>1084</v>
      </c>
      <c r="N721" s="23">
        <v>4</v>
      </c>
      <c r="O721" s="23">
        <v>11</v>
      </c>
      <c r="P721" s="23">
        <v>20</v>
      </c>
      <c r="Q721" s="23">
        <v>23</v>
      </c>
      <c r="R721" s="23">
        <v>32</v>
      </c>
      <c r="S721" s="23">
        <v>39</v>
      </c>
      <c r="T721" s="23">
        <v>40</v>
      </c>
      <c r="U721" s="23">
        <f t="shared" si="932"/>
        <v>129</v>
      </c>
      <c r="W721" s="22" t="str">
        <f t="shared" si="933"/>
        <v>짝수</v>
      </c>
      <c r="X721" s="22" t="str">
        <f t="shared" si="934"/>
        <v>홀수</v>
      </c>
      <c r="Y721" s="22" t="str">
        <f t="shared" si="935"/>
        <v>짝수</v>
      </c>
      <c r="Z721" s="22" t="str">
        <f t="shared" si="936"/>
        <v>홀수</v>
      </c>
      <c r="AA721" s="23" t="str">
        <f t="shared" si="937"/>
        <v>짝수</v>
      </c>
      <c r="AB721" s="23" t="str">
        <f t="shared" si="938"/>
        <v>홀수</v>
      </c>
      <c r="AC721" s="22" t="str">
        <f t="shared" si="939"/>
        <v>3 : 3</v>
      </c>
      <c r="AD721" s="22">
        <f t="shared" si="940"/>
        <v>3</v>
      </c>
      <c r="AE721" s="22">
        <f t="shared" si="941"/>
        <v>3</v>
      </c>
      <c r="AF721" s="22" t="str">
        <f t="shared" si="942"/>
        <v>저수</v>
      </c>
      <c r="AG721" s="22" t="str">
        <f t="shared" si="943"/>
        <v>저수</v>
      </c>
      <c r="AH721" s="22" t="str">
        <f t="shared" si="944"/>
        <v>저수</v>
      </c>
      <c r="AI721" s="22" t="str">
        <f t="shared" si="945"/>
        <v>고수</v>
      </c>
      <c r="AJ721" s="22" t="str">
        <f t="shared" si="946"/>
        <v>고수</v>
      </c>
      <c r="AK721" s="22" t="str">
        <f t="shared" si="947"/>
        <v>고수</v>
      </c>
      <c r="AL721" s="22" t="str">
        <f t="shared" si="948"/>
        <v>3 : 3</v>
      </c>
      <c r="AM721" s="22">
        <f t="shared" si="949"/>
        <v>3</v>
      </c>
      <c r="AN721" s="22">
        <f t="shared" si="950"/>
        <v>3</v>
      </c>
      <c r="AO721" s="22">
        <f t="shared" si="951"/>
        <v>19</v>
      </c>
      <c r="AP721" s="22" t="str">
        <f t="shared" si="952"/>
        <v>X</v>
      </c>
      <c r="AQ721" s="22" t="str">
        <f t="shared" si="953"/>
        <v>O</v>
      </c>
      <c r="AR721" s="22" t="str">
        <f t="shared" si="954"/>
        <v>X</v>
      </c>
      <c r="AS721" s="22" t="str">
        <f t="shared" si="955"/>
        <v>X</v>
      </c>
      <c r="AT721" s="22" t="str">
        <f t="shared" si="956"/>
        <v>X</v>
      </c>
      <c r="AU721" s="22" t="str">
        <f t="shared" si="957"/>
        <v>X</v>
      </c>
      <c r="AV721" s="22" t="str">
        <f t="shared" si="958"/>
        <v>X</v>
      </c>
      <c r="AW721" s="22" t="str">
        <f t="shared" si="959"/>
        <v>X</v>
      </c>
      <c r="AX721" s="22" t="str">
        <f t="shared" si="960"/>
        <v>X</v>
      </c>
      <c r="AY721" s="22" t="str">
        <f t="shared" si="961"/>
        <v>O</v>
      </c>
      <c r="AZ721" s="22" t="str">
        <f t="shared" si="962"/>
        <v>X</v>
      </c>
      <c r="BA721" s="22" t="str">
        <f t="shared" si="963"/>
        <v>X</v>
      </c>
      <c r="BB721" s="22">
        <f t="shared" si="964"/>
        <v>2</v>
      </c>
      <c r="BC721" s="22" t="str">
        <f t="shared" ref="BC721:BC722" si="1174">VLOOKUP(N721,삼그룹,6,FALSE)</f>
        <v>1G</v>
      </c>
      <c r="BD721" s="22" t="str">
        <f t="shared" ref="BD721:BD722" si="1175">VLOOKUP(O721,삼그룹,6,FALSE)</f>
        <v>1G</v>
      </c>
      <c r="BE721" s="22" t="str">
        <f t="shared" ref="BE721:BE722" si="1176">VLOOKUP(P721,삼그룹,6,FALSE)</f>
        <v>2G</v>
      </c>
      <c r="BF721" s="22" t="str">
        <f t="shared" ref="BF721:BF722" si="1177">VLOOKUP(Q721,삼그룹,6,FALSE)</f>
        <v>2G</v>
      </c>
      <c r="BG721" s="22" t="str">
        <f t="shared" ref="BG721:BG722" si="1178">VLOOKUP(R721,삼그룹,6,FALSE)</f>
        <v>3G</v>
      </c>
      <c r="BH721" s="22" t="str">
        <f t="shared" ref="BH721:BH722" si="1179">VLOOKUP(S721,삼그룹,6,FALSE)</f>
        <v>3G</v>
      </c>
      <c r="BI721" s="22">
        <f t="shared" si="1101"/>
        <v>2</v>
      </c>
      <c r="BJ721" s="22">
        <f t="shared" si="1102"/>
        <v>2</v>
      </c>
      <c r="BK721" s="22">
        <f t="shared" si="1103"/>
        <v>2</v>
      </c>
      <c r="BL721" s="22" t="str">
        <f t="shared" ref="BL721:BL722" si="1180">BI721&amp;BJ721&amp;BK721</f>
        <v>222</v>
      </c>
    </row>
    <row r="722" spans="2:64">
      <c r="B722" s="16">
        <v>719</v>
      </c>
      <c r="C722" s="23" t="s">
        <v>1085</v>
      </c>
      <c r="N722" s="23">
        <v>4</v>
      </c>
      <c r="O722" s="23">
        <v>8</v>
      </c>
      <c r="P722" s="23">
        <v>13</v>
      </c>
      <c r="Q722" s="23">
        <v>19</v>
      </c>
      <c r="R722" s="23">
        <v>20</v>
      </c>
      <c r="S722" s="23">
        <v>43</v>
      </c>
      <c r="T722" s="23">
        <v>26</v>
      </c>
      <c r="U722" s="23">
        <f t="shared" si="932"/>
        <v>107</v>
      </c>
      <c r="W722" s="22" t="str">
        <f t="shared" si="933"/>
        <v>짝수</v>
      </c>
      <c r="X722" s="22" t="str">
        <f t="shared" si="934"/>
        <v>짝수</v>
      </c>
      <c r="Y722" s="22" t="str">
        <f t="shared" si="935"/>
        <v>홀수</v>
      </c>
      <c r="Z722" s="22" t="str">
        <f t="shared" si="936"/>
        <v>홀수</v>
      </c>
      <c r="AA722" s="23" t="str">
        <f t="shared" si="937"/>
        <v>짝수</v>
      </c>
      <c r="AB722" s="23" t="str">
        <f t="shared" si="938"/>
        <v>홀수</v>
      </c>
      <c r="AC722" s="22" t="str">
        <f t="shared" si="939"/>
        <v>3 : 3</v>
      </c>
      <c r="AD722" s="22">
        <f t="shared" si="940"/>
        <v>3</v>
      </c>
      <c r="AE722" s="22">
        <f t="shared" si="941"/>
        <v>3</v>
      </c>
      <c r="AF722" s="22" t="str">
        <f t="shared" si="942"/>
        <v>저수</v>
      </c>
      <c r="AG722" s="22" t="str">
        <f t="shared" si="943"/>
        <v>저수</v>
      </c>
      <c r="AH722" s="22" t="str">
        <f t="shared" si="944"/>
        <v>저수</v>
      </c>
      <c r="AI722" s="22" t="str">
        <f t="shared" si="945"/>
        <v>저수</v>
      </c>
      <c r="AJ722" s="22" t="str">
        <f t="shared" si="946"/>
        <v>저수</v>
      </c>
      <c r="AK722" s="22" t="str">
        <f t="shared" si="947"/>
        <v>고수</v>
      </c>
      <c r="AL722" s="22" t="str">
        <f t="shared" si="948"/>
        <v>5 : 1</v>
      </c>
      <c r="AM722" s="22">
        <f t="shared" si="949"/>
        <v>5</v>
      </c>
      <c r="AN722" s="22">
        <f t="shared" si="950"/>
        <v>1</v>
      </c>
      <c r="AO722" s="22">
        <f t="shared" si="951"/>
        <v>27</v>
      </c>
      <c r="AP722" s="22" t="str">
        <f t="shared" si="952"/>
        <v>X</v>
      </c>
      <c r="AQ722" s="22" t="str">
        <f t="shared" si="953"/>
        <v>X</v>
      </c>
      <c r="AR722" s="22" t="str">
        <f t="shared" si="954"/>
        <v>O</v>
      </c>
      <c r="AS722" s="22" t="str">
        <f t="shared" si="955"/>
        <v>O</v>
      </c>
      <c r="AT722" s="22" t="str">
        <f t="shared" si="956"/>
        <v>X</v>
      </c>
      <c r="AU722" s="22" t="str">
        <f t="shared" si="957"/>
        <v>X</v>
      </c>
      <c r="AV722" s="22" t="str">
        <f t="shared" si="958"/>
        <v>X</v>
      </c>
      <c r="AW722" s="22" t="str">
        <f t="shared" si="959"/>
        <v>X</v>
      </c>
      <c r="AX722" s="22" t="str">
        <f t="shared" si="960"/>
        <v>X</v>
      </c>
      <c r="AY722" s="22" t="str">
        <f t="shared" si="961"/>
        <v>X</v>
      </c>
      <c r="AZ722" s="22" t="str">
        <f t="shared" si="962"/>
        <v>X</v>
      </c>
      <c r="BA722" s="22" t="str">
        <f t="shared" si="963"/>
        <v>O</v>
      </c>
      <c r="BB722" s="22">
        <f t="shared" si="964"/>
        <v>3</v>
      </c>
      <c r="BC722" s="22" t="str">
        <f t="shared" si="1174"/>
        <v>1G</v>
      </c>
      <c r="BD722" s="22" t="str">
        <f t="shared" si="1175"/>
        <v>1G</v>
      </c>
      <c r="BE722" s="22" t="str">
        <f t="shared" si="1176"/>
        <v>1G</v>
      </c>
      <c r="BF722" s="22" t="str">
        <f t="shared" si="1177"/>
        <v>2G</v>
      </c>
      <c r="BG722" s="22" t="str">
        <f t="shared" si="1178"/>
        <v>2G</v>
      </c>
      <c r="BH722" s="22" t="str">
        <f t="shared" si="1179"/>
        <v>3G</v>
      </c>
      <c r="BI722" s="22">
        <f t="shared" si="1101"/>
        <v>3</v>
      </c>
      <c r="BJ722" s="22">
        <f t="shared" si="1102"/>
        <v>2</v>
      </c>
      <c r="BK722" s="22">
        <f t="shared" si="1103"/>
        <v>1</v>
      </c>
      <c r="BL722" s="22" t="str">
        <f t="shared" si="1180"/>
        <v>321</v>
      </c>
    </row>
    <row r="723" spans="2:64">
      <c r="B723" s="16">
        <v>720</v>
      </c>
      <c r="C723" s="23" t="s">
        <v>1086</v>
      </c>
      <c r="N723" s="23">
        <v>1</v>
      </c>
      <c r="O723" s="23">
        <v>12</v>
      </c>
      <c r="P723" s="23">
        <v>29</v>
      </c>
      <c r="Q723" s="23">
        <v>34</v>
      </c>
      <c r="R723" s="23">
        <v>36</v>
      </c>
      <c r="S723" s="23">
        <v>37</v>
      </c>
      <c r="T723" s="23">
        <v>41</v>
      </c>
      <c r="U723" s="23">
        <f t="shared" si="932"/>
        <v>149</v>
      </c>
      <c r="W723" s="22" t="str">
        <f t="shared" si="933"/>
        <v>홀수</v>
      </c>
      <c r="X723" s="22" t="str">
        <f t="shared" si="934"/>
        <v>짝수</v>
      </c>
      <c r="Y723" s="22" t="str">
        <f t="shared" si="935"/>
        <v>홀수</v>
      </c>
      <c r="Z723" s="22" t="str">
        <f t="shared" si="936"/>
        <v>짝수</v>
      </c>
      <c r="AA723" s="23" t="str">
        <f t="shared" si="937"/>
        <v>짝수</v>
      </c>
      <c r="AB723" s="23" t="str">
        <f t="shared" si="938"/>
        <v>홀수</v>
      </c>
      <c r="AC723" s="22" t="str">
        <f t="shared" si="939"/>
        <v>3 : 3</v>
      </c>
      <c r="AD723" s="22">
        <f t="shared" si="940"/>
        <v>3</v>
      </c>
      <c r="AE723" s="22">
        <f t="shared" si="941"/>
        <v>3</v>
      </c>
      <c r="AF723" s="22" t="str">
        <f t="shared" si="942"/>
        <v>저수</v>
      </c>
      <c r="AG723" s="22" t="str">
        <f t="shared" si="943"/>
        <v>저수</v>
      </c>
      <c r="AH723" s="22" t="str">
        <f t="shared" si="944"/>
        <v>고수</v>
      </c>
      <c r="AI723" s="22" t="str">
        <f t="shared" si="945"/>
        <v>고수</v>
      </c>
      <c r="AJ723" s="22" t="str">
        <f t="shared" si="946"/>
        <v>고수</v>
      </c>
      <c r="AK723" s="22" t="str">
        <f t="shared" si="947"/>
        <v>고수</v>
      </c>
      <c r="AL723" s="22" t="str">
        <f t="shared" si="948"/>
        <v>2 : 4</v>
      </c>
      <c r="AM723" s="22">
        <f t="shared" si="949"/>
        <v>2</v>
      </c>
      <c r="AN723" s="22">
        <f t="shared" si="950"/>
        <v>4</v>
      </c>
      <c r="AO723" s="22">
        <f t="shared" si="951"/>
        <v>29</v>
      </c>
      <c r="AP723" s="22" t="str">
        <f t="shared" si="952"/>
        <v>X</v>
      </c>
      <c r="AQ723" s="22" t="str">
        <f t="shared" si="953"/>
        <v>X</v>
      </c>
      <c r="AR723" s="22" t="str">
        <f t="shared" si="954"/>
        <v>X</v>
      </c>
      <c r="AS723" s="22" t="str">
        <f t="shared" si="955"/>
        <v>X</v>
      </c>
      <c r="AT723" s="22" t="str">
        <f t="shared" si="956"/>
        <v>X</v>
      </c>
      <c r="AU723" s="22" t="str">
        <f t="shared" si="957"/>
        <v>X</v>
      </c>
      <c r="AV723" s="22" t="str">
        <f t="shared" si="958"/>
        <v>X</v>
      </c>
      <c r="AW723" s="22" t="str">
        <f t="shared" si="959"/>
        <v>X</v>
      </c>
      <c r="AX723" s="22" t="str">
        <f t="shared" si="960"/>
        <v>O</v>
      </c>
      <c r="AY723" s="22" t="str">
        <f t="shared" si="961"/>
        <v>X</v>
      </c>
      <c r="AZ723" s="22" t="str">
        <f t="shared" si="962"/>
        <v>X</v>
      </c>
      <c r="BA723" s="22" t="str">
        <f t="shared" si="963"/>
        <v>O</v>
      </c>
      <c r="BB723" s="22">
        <f t="shared" si="964"/>
        <v>2</v>
      </c>
      <c r="BC723" s="22" t="str">
        <f t="shared" ref="BC723:BC724" si="1181">VLOOKUP(N723,삼그룹,6,FALSE)</f>
        <v>1G</v>
      </c>
      <c r="BD723" s="22" t="str">
        <f t="shared" ref="BD723:BD724" si="1182">VLOOKUP(O723,삼그룹,6,FALSE)</f>
        <v>1G</v>
      </c>
      <c r="BE723" s="22" t="str">
        <f t="shared" ref="BE723:BE724" si="1183">VLOOKUP(P723,삼그룹,6,FALSE)</f>
        <v>2G</v>
      </c>
      <c r="BF723" s="22" t="str">
        <f t="shared" ref="BF723:BF724" si="1184">VLOOKUP(Q723,삼그룹,6,FALSE)</f>
        <v>3G</v>
      </c>
      <c r="BG723" s="22" t="str">
        <f t="shared" ref="BG723:BG724" si="1185">VLOOKUP(R723,삼그룹,6,FALSE)</f>
        <v>3G</v>
      </c>
      <c r="BH723" s="22" t="str">
        <f t="shared" ref="BH723:BH724" si="1186">VLOOKUP(S723,삼그룹,6,FALSE)</f>
        <v>3G</v>
      </c>
      <c r="BI723" s="22">
        <f t="shared" si="1101"/>
        <v>2</v>
      </c>
      <c r="BJ723" s="22">
        <f t="shared" si="1102"/>
        <v>1</v>
      </c>
      <c r="BK723" s="22">
        <f t="shared" si="1103"/>
        <v>3</v>
      </c>
      <c r="BL723" s="22" t="str">
        <f t="shared" ref="BL723:BL724" si="1187">BI723&amp;BJ723&amp;BK723</f>
        <v>213</v>
      </c>
    </row>
    <row r="724" spans="2:64">
      <c r="B724" s="16">
        <v>721</v>
      </c>
      <c r="C724" s="23" t="s">
        <v>1087</v>
      </c>
      <c r="N724" s="23">
        <v>1</v>
      </c>
      <c r="O724" s="23">
        <v>28</v>
      </c>
      <c r="P724" s="23">
        <v>35</v>
      </c>
      <c r="Q724" s="23">
        <v>41</v>
      </c>
      <c r="R724" s="23">
        <v>43</v>
      </c>
      <c r="S724" s="23">
        <v>44</v>
      </c>
      <c r="T724" s="23">
        <v>31</v>
      </c>
      <c r="U724" s="23">
        <f t="shared" si="932"/>
        <v>192</v>
      </c>
      <c r="W724" s="22" t="str">
        <f t="shared" si="933"/>
        <v>홀수</v>
      </c>
      <c r="X724" s="22" t="str">
        <f t="shared" si="934"/>
        <v>짝수</v>
      </c>
      <c r="Y724" s="22" t="str">
        <f t="shared" si="935"/>
        <v>홀수</v>
      </c>
      <c r="Z724" s="22" t="str">
        <f t="shared" si="936"/>
        <v>홀수</v>
      </c>
      <c r="AA724" s="23" t="str">
        <f t="shared" si="937"/>
        <v>홀수</v>
      </c>
      <c r="AB724" s="23" t="str">
        <f t="shared" si="938"/>
        <v>짝수</v>
      </c>
      <c r="AC724" s="22" t="str">
        <f t="shared" si="939"/>
        <v>4 : 2</v>
      </c>
      <c r="AD724" s="22">
        <f t="shared" si="940"/>
        <v>4</v>
      </c>
      <c r="AE724" s="22">
        <f t="shared" si="941"/>
        <v>2</v>
      </c>
      <c r="AF724" s="22" t="str">
        <f t="shared" si="942"/>
        <v>저수</v>
      </c>
      <c r="AG724" s="22" t="str">
        <f t="shared" si="943"/>
        <v>고수</v>
      </c>
      <c r="AH724" s="22" t="str">
        <f t="shared" si="944"/>
        <v>고수</v>
      </c>
      <c r="AI724" s="22" t="str">
        <f t="shared" si="945"/>
        <v>고수</v>
      </c>
      <c r="AJ724" s="22" t="str">
        <f t="shared" si="946"/>
        <v>고수</v>
      </c>
      <c r="AK724" s="22" t="str">
        <f t="shared" si="947"/>
        <v>고수</v>
      </c>
      <c r="AL724" s="22" t="str">
        <f t="shared" si="948"/>
        <v>1 : 5</v>
      </c>
      <c r="AM724" s="22">
        <f t="shared" si="949"/>
        <v>1</v>
      </c>
      <c r="AN724" s="22">
        <f t="shared" si="950"/>
        <v>5</v>
      </c>
      <c r="AO724" s="22">
        <f t="shared" si="951"/>
        <v>22</v>
      </c>
      <c r="AP724" s="22" t="str">
        <f t="shared" si="952"/>
        <v>X</v>
      </c>
      <c r="AQ724" s="22" t="str">
        <f t="shared" si="953"/>
        <v>X</v>
      </c>
      <c r="AR724" s="22" t="str">
        <f t="shared" si="954"/>
        <v>X</v>
      </c>
      <c r="AS724" s="22" t="str">
        <f t="shared" si="955"/>
        <v>X</v>
      </c>
      <c r="AT724" s="22" t="str">
        <f t="shared" si="956"/>
        <v>X</v>
      </c>
      <c r="AU724" s="22" t="str">
        <f t="shared" si="957"/>
        <v>X</v>
      </c>
      <c r="AV724" s="22" t="str">
        <f t="shared" si="958"/>
        <v>X</v>
      </c>
      <c r="AW724" s="22" t="str">
        <f t="shared" si="959"/>
        <v>X</v>
      </c>
      <c r="AX724" s="22" t="str">
        <f t="shared" si="960"/>
        <v>X</v>
      </c>
      <c r="AY724" s="22" t="str">
        <f t="shared" si="961"/>
        <v>O</v>
      </c>
      <c r="AZ724" s="22" t="str">
        <f t="shared" si="962"/>
        <v>O</v>
      </c>
      <c r="BA724" s="22" t="str">
        <f t="shared" si="963"/>
        <v>X</v>
      </c>
      <c r="BB724" s="22">
        <f t="shared" si="964"/>
        <v>2</v>
      </c>
      <c r="BC724" s="22" t="str">
        <f t="shared" si="1181"/>
        <v>1G</v>
      </c>
      <c r="BD724" s="22" t="str">
        <f t="shared" si="1182"/>
        <v>2G</v>
      </c>
      <c r="BE724" s="22" t="str">
        <f t="shared" si="1183"/>
        <v>3G</v>
      </c>
      <c r="BF724" s="22" t="str">
        <f t="shared" si="1184"/>
        <v>3G</v>
      </c>
      <c r="BG724" s="22" t="str">
        <f t="shared" si="1185"/>
        <v>3G</v>
      </c>
      <c r="BH724" s="22" t="str">
        <f t="shared" si="1186"/>
        <v>3G</v>
      </c>
      <c r="BI724" s="22">
        <f t="shared" si="1101"/>
        <v>1</v>
      </c>
      <c r="BJ724" s="22">
        <f t="shared" si="1102"/>
        <v>1</v>
      </c>
      <c r="BK724" s="22">
        <f t="shared" si="1103"/>
        <v>4</v>
      </c>
      <c r="BL724" s="22" t="str">
        <f t="shared" si="1187"/>
        <v>114</v>
      </c>
    </row>
    <row r="725" spans="2:64">
      <c r="B725" s="16">
        <v>722</v>
      </c>
      <c r="C725" s="23" t="s">
        <v>1088</v>
      </c>
      <c r="N725" s="23">
        <v>12</v>
      </c>
      <c r="O725" s="23">
        <v>14</v>
      </c>
      <c r="P725" s="23">
        <v>21</v>
      </c>
      <c r="Q725" s="23">
        <v>30</v>
      </c>
      <c r="R725" s="23">
        <v>39</v>
      </c>
      <c r="S725" s="23">
        <v>43</v>
      </c>
      <c r="T725" s="23">
        <v>45</v>
      </c>
      <c r="U725" s="23">
        <f t="shared" si="932"/>
        <v>159</v>
      </c>
      <c r="W725" s="22" t="str">
        <f t="shared" si="933"/>
        <v>짝수</v>
      </c>
      <c r="X725" s="22" t="str">
        <f t="shared" si="934"/>
        <v>짝수</v>
      </c>
      <c r="Y725" s="22" t="str">
        <f t="shared" si="935"/>
        <v>홀수</v>
      </c>
      <c r="Z725" s="22" t="str">
        <f t="shared" si="936"/>
        <v>짝수</v>
      </c>
      <c r="AA725" s="23" t="str">
        <f t="shared" si="937"/>
        <v>홀수</v>
      </c>
      <c r="AB725" s="23" t="str">
        <f t="shared" si="938"/>
        <v>홀수</v>
      </c>
      <c r="AC725" s="22" t="str">
        <f t="shared" si="939"/>
        <v>3 : 3</v>
      </c>
      <c r="AD725" s="22">
        <f t="shared" si="940"/>
        <v>3</v>
      </c>
      <c r="AE725" s="22">
        <f t="shared" si="941"/>
        <v>3</v>
      </c>
      <c r="AF725" s="22" t="str">
        <f t="shared" si="942"/>
        <v>저수</v>
      </c>
      <c r="AG725" s="22" t="str">
        <f t="shared" si="943"/>
        <v>저수</v>
      </c>
      <c r="AH725" s="22" t="str">
        <f t="shared" si="944"/>
        <v>저수</v>
      </c>
      <c r="AI725" s="22" t="str">
        <f t="shared" si="945"/>
        <v>고수</v>
      </c>
      <c r="AJ725" s="22" t="str">
        <f t="shared" si="946"/>
        <v>고수</v>
      </c>
      <c r="AK725" s="22" t="str">
        <f t="shared" si="947"/>
        <v>고수</v>
      </c>
      <c r="AL725" s="22" t="str">
        <f t="shared" si="948"/>
        <v>3 : 3</v>
      </c>
      <c r="AM725" s="22">
        <f t="shared" si="949"/>
        <v>3</v>
      </c>
      <c r="AN725" s="22">
        <f t="shared" si="950"/>
        <v>3</v>
      </c>
      <c r="AO725" s="22">
        <f t="shared" si="951"/>
        <v>19</v>
      </c>
      <c r="AP725" s="22" t="str">
        <f t="shared" si="952"/>
        <v>X</v>
      </c>
      <c r="AQ725" s="22" t="str">
        <f t="shared" si="953"/>
        <v>X</v>
      </c>
      <c r="AR725" s="22" t="str">
        <f t="shared" si="954"/>
        <v>X</v>
      </c>
      <c r="AS725" s="22" t="str">
        <f t="shared" si="955"/>
        <v>X</v>
      </c>
      <c r="AT725" s="22" t="str">
        <f t="shared" si="956"/>
        <v>X</v>
      </c>
      <c r="AU725" s="22" t="str">
        <f t="shared" si="957"/>
        <v>X</v>
      </c>
      <c r="AV725" s="22" t="str">
        <f t="shared" si="958"/>
        <v>X</v>
      </c>
      <c r="AW725" s="22" t="str">
        <f t="shared" si="959"/>
        <v>X</v>
      </c>
      <c r="AX725" s="22" t="str">
        <f t="shared" si="960"/>
        <v>X</v>
      </c>
      <c r="AY725" s="22" t="str">
        <f t="shared" si="961"/>
        <v>X</v>
      </c>
      <c r="AZ725" s="22" t="str">
        <f t="shared" si="962"/>
        <v>X</v>
      </c>
      <c r="BA725" s="22" t="str">
        <f t="shared" si="963"/>
        <v>O</v>
      </c>
      <c r="BB725" s="22">
        <f t="shared" si="964"/>
        <v>1</v>
      </c>
      <c r="BC725" s="22" t="str">
        <f t="shared" ref="BC725" si="1188">VLOOKUP(N725,삼그룹,6,FALSE)</f>
        <v>1G</v>
      </c>
      <c r="BD725" s="22" t="str">
        <f t="shared" ref="BD725" si="1189">VLOOKUP(O725,삼그룹,6,FALSE)</f>
        <v>1G</v>
      </c>
      <c r="BE725" s="22" t="str">
        <f t="shared" ref="BE725" si="1190">VLOOKUP(P725,삼그룹,6,FALSE)</f>
        <v>2G</v>
      </c>
      <c r="BF725" s="22" t="str">
        <f t="shared" ref="BF725" si="1191">VLOOKUP(Q725,삼그룹,6,FALSE)</f>
        <v>2G</v>
      </c>
      <c r="BG725" s="22" t="str">
        <f t="shared" ref="BG725" si="1192">VLOOKUP(R725,삼그룹,6,FALSE)</f>
        <v>3G</v>
      </c>
      <c r="BH725" s="22" t="str">
        <f t="shared" ref="BH725" si="1193">VLOOKUP(S725,삼그룹,6,FALSE)</f>
        <v>3G</v>
      </c>
      <c r="BI725" s="22">
        <f t="shared" si="1101"/>
        <v>2</v>
      </c>
      <c r="BJ725" s="22">
        <f t="shared" si="1102"/>
        <v>2</v>
      </c>
      <c r="BK725" s="22">
        <f t="shared" si="1103"/>
        <v>2</v>
      </c>
      <c r="BL725" s="22" t="str">
        <f t="shared" ref="BL725" si="1194">BI725&amp;BJ725&amp;BK725</f>
        <v>222</v>
      </c>
    </row>
  </sheetData>
  <autoFilter ref="A4:CD563" xr:uid="{00000000-0009-0000-0000-000001000000}"/>
  <sortState xmlns:xlrd2="http://schemas.microsoft.com/office/spreadsheetml/2017/richdata2" ref="BO5:BQ49">
    <sortCondition ref="BQ5"/>
  </sortState>
  <mergeCells count="18">
    <mergeCell ref="BO51:BQ51"/>
    <mergeCell ref="BY1:CD1"/>
    <mergeCell ref="CF2:CJ2"/>
    <mergeCell ref="BO73:BQ73"/>
    <mergeCell ref="T3:U3"/>
    <mergeCell ref="BR3:BW3"/>
    <mergeCell ref="AP3:BB3"/>
    <mergeCell ref="BO62:BQ62"/>
    <mergeCell ref="T2:U2"/>
    <mergeCell ref="BS50:BU50"/>
    <mergeCell ref="BR2:BW2"/>
    <mergeCell ref="CE1:CJ1"/>
    <mergeCell ref="CF40:CH40"/>
    <mergeCell ref="R2:S2"/>
    <mergeCell ref="R3:S3"/>
    <mergeCell ref="CF3:CJ3"/>
    <mergeCell ref="W3:AE3"/>
    <mergeCell ref="AF3:AN3"/>
  </mergeCells>
  <phoneticPr fontId="2" type="noConversion"/>
  <conditionalFormatting sqref="BQ53:BQ59">
    <cfRule type="cellIs" dxfId="22" priority="3" operator="greaterThan">
      <formula>0.1</formula>
    </cfRule>
  </conditionalFormatting>
  <conditionalFormatting sqref="BQ64:BQ70">
    <cfRule type="cellIs" dxfId="21" priority="2" operator="greaterThan">
      <formula>0.1</formula>
    </cfRule>
  </conditionalFormatting>
  <conditionalFormatting sqref="BQ75:BQ80">
    <cfRule type="cellIs" dxfId="20" priority="1" operator="greaterThan">
      <formula>0.1</formula>
    </cfRule>
  </conditionalFormatting>
  <pageMargins left="0.7" right="0.7" top="0.75" bottom="0.75" header="0.3" footer="0.3"/>
  <pageSetup paperSize="9" orientation="portrait" r:id="rId1"/>
  <drawing r:id="rId2"/>
</worksheet>
</file>

<file path=docMetadata/LabelInfo.xml><?xml version="1.0" encoding="utf-8"?>
<clbl:labelList xmlns:clbl="http://schemas.microsoft.com/office/2020/mipLabelMetadata">
  <clbl:label id="{55c3c93c-4c7c-4709-9e9e-2b12e2d560ab}" enabled="1" method="Privileged" siteId="{9d1b3610-9ab0-42d5-93aa-46150d723d8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16</vt:i4>
      </vt:variant>
    </vt:vector>
  </HeadingPairs>
  <TitlesOfParts>
    <vt:vector size="18" baseType="lpstr">
      <vt:lpstr>당첨번호</vt:lpstr>
      <vt:lpstr>집계</vt:lpstr>
      <vt:lpstr>_1열</vt:lpstr>
      <vt:lpstr>_2열</vt:lpstr>
      <vt:lpstr>_3열</vt:lpstr>
      <vt:lpstr>_4열</vt:lpstr>
      <vt:lpstr>_5열</vt:lpstr>
      <vt:lpstr>_6열</vt:lpstr>
      <vt:lpstr>당첨</vt:lpstr>
      <vt:lpstr>당첨번호</vt:lpstr>
      <vt:lpstr>보너스</vt:lpstr>
      <vt:lpstr>삼그룹</vt:lpstr>
      <vt:lpstr>전체출현번호</vt:lpstr>
      <vt:lpstr>최근10회</vt:lpstr>
      <vt:lpstr>최근5회</vt:lpstr>
      <vt:lpstr>합계</vt:lpstr>
      <vt:lpstr>홀짝수</vt:lpstr>
      <vt:lpstr>회차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</dc:creator>
  <cp:lastModifiedBy>조범영(Beomyoung Jo) 기술부장 두산에너빌리티</cp:lastModifiedBy>
  <cp:lastPrinted>2012-05-06T01:16:30Z</cp:lastPrinted>
  <dcterms:created xsi:type="dcterms:W3CDTF">2010-05-04T12:32:05Z</dcterms:created>
  <dcterms:modified xsi:type="dcterms:W3CDTF">2026-07-29T00:30:39Z</dcterms:modified>
</cp:coreProperties>
</file>